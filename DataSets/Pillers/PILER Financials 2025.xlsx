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tables/table3.xml" ContentType="application/vnd.openxmlformats-officedocument.spreadsheetml.table+xml"/>
  <Override PartName="/xl/pivotTables/pivotTable3.xml" ContentType="application/vnd.openxmlformats-officedocument.spreadsheetml.pivotTable+xml"/>
  <Override PartName="/xl/tables/table4.xml" ContentType="application/vnd.openxmlformats-officedocument.spreadsheetml.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2r6m7w-my.sharepoint.com/personal/younus_2r6m7w_onmicrosoft_com/Documents/Portfolio/PowerBi-DataAnalyst/DataSets/Pillers/"/>
    </mc:Choice>
  </mc:AlternateContent>
  <xr:revisionPtr revIDLastSave="62" documentId="11_9335A263942F24EA82B52CE26A2DECA68463E7F8" xr6:coauthVersionLast="47" xr6:coauthVersionMax="47" xr10:uidLastSave="{F9E004B5-B0B4-4AF7-B761-58B60FFC678B}"/>
  <bookViews>
    <workbookView xWindow="19090" yWindow="-110" windowWidth="19420" windowHeight="10300" tabRatio="789" firstSheet="8" activeTab="15" xr2:uid="{00000000-000D-0000-FFFF-FFFF00000000}"/>
  </bookViews>
  <sheets>
    <sheet name="Con BS" sheetId="4" r:id="rId1"/>
    <sheet name="Con I EX" sheetId="5" r:id="rId2"/>
    <sheet name="SOCE" sheetId="6" r:id="rId3"/>
    <sheet name="CFS" sheetId="7" r:id="rId4"/>
    <sheet name="Con 1-3 (New)" sheetId="8" r:id="rId5"/>
    <sheet name="PPE-Note-4" sheetId="23" r:id="rId6"/>
    <sheet name="Con 5-18" sheetId="10" r:id="rId7"/>
    <sheet name="Note 16" sheetId="11" state="hidden" r:id="rId8"/>
    <sheet name="Sheet9" sheetId="52" r:id="rId9"/>
    <sheet name="Pivot 2025" sheetId="32" r:id="rId10"/>
    <sheet name="Trial Balance June 2025" sheetId="29" r:id="rId11"/>
    <sheet name="Sheet5" sheetId="57" r:id="rId12"/>
    <sheet name="Sheet7" sheetId="59" r:id="rId13"/>
    <sheet name="Detail1" sheetId="61" r:id="rId14"/>
    <sheet name="Pivot 2026" sheetId="60" r:id="rId15"/>
    <sheet name="Trial Balance June-2026" sheetId="34" r:id="rId16"/>
    <sheet name="Tax Working 2025" sheetId="33" r:id="rId17"/>
    <sheet name="Adjustments 2025" sheetId="25" r:id="rId18"/>
    <sheet name="Pivot" sheetId="20" state="hidden" r:id="rId19"/>
    <sheet name="TB (Grouping)" sheetId="17" state="hidden" r:id="rId20"/>
    <sheet name="Adjustments" sheetId="22" state="hidden" r:id="rId21"/>
    <sheet name="Sheet1" sheetId="24" state="hidden" r:id="rId22"/>
  </sheets>
  <definedNames>
    <definedName name="\A">#REF!</definedName>
    <definedName name="\B">#REF!</definedName>
    <definedName name="\E">#REF!</definedName>
    <definedName name="\H">#REF!</definedName>
    <definedName name="\L">#REF!</definedName>
    <definedName name="\M">#REF!</definedName>
    <definedName name="\O">#REF!</definedName>
    <definedName name="\S">#REF!</definedName>
    <definedName name="\V">#REF!</definedName>
    <definedName name="\W">#REF!</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Fill" hidden="1">#REF!</definedName>
    <definedName name="_xlnm._FilterDatabase" localSheetId="19" hidden="1">'TB (Grouping)'!$A$6:$R$427</definedName>
    <definedName name="_xlnm._FilterDatabase" localSheetId="10" hidden="1">'Trial Balance June 2025'!$A$8:$S$522</definedName>
    <definedName name="_xlnm._FilterDatabase" localSheetId="15" hidden="1">'Trial Balance June-2026'!$J$6:$P$407</definedName>
    <definedName name="_Key1" hidden="1">#REF!</definedName>
    <definedName name="_Key2" hidden="1">#REF!</definedName>
    <definedName name="_Order1" hidden="1">255</definedName>
    <definedName name="_Sort" hidden="1">#REF!</definedName>
    <definedName name="_Table1_In1" hidden="1">#REF!</definedName>
    <definedName name="_Table1_Out" hidden="1">#REF!</definedName>
    <definedName name="a">#REF!</definedName>
    <definedName name="ABC">#REF!</definedName>
    <definedName name="adjfasl" localSheetId="3">#REF!</definedName>
    <definedName name="adjfasl" localSheetId="4">#REF!</definedName>
    <definedName name="adjfasl" localSheetId="6">#REF!</definedName>
    <definedName name="adjfasl" localSheetId="0">#REF!</definedName>
    <definedName name="adjfasl" localSheetId="1">#REF!</definedName>
    <definedName name="adjfasl" localSheetId="7">#REF!</definedName>
    <definedName name="adjfasl" localSheetId="2">#REF!</definedName>
    <definedName name="admin_3_2">#REF!</definedName>
    <definedName name="admin_cross">#REF!</definedName>
    <definedName name="as" hidden="1">#REF!</definedName>
    <definedName name="AU_329">#REF!</definedName>
    <definedName name="b">#REF!</definedName>
    <definedName name="C_">#REF!</definedName>
    <definedName name="CF">#REF!</definedName>
    <definedName name="cogos">#REF!</definedName>
    <definedName name="cogos_cross">#REF!</definedName>
    <definedName name="cogos_detail">#REF!</definedName>
    <definedName name="cogs">#REF!</definedName>
    <definedName name="consumer">#REF!</definedName>
    <definedName name="COST">#REF!</definedName>
    <definedName name="d">#REF!</definedName>
    <definedName name="_xlnm.Database" localSheetId="3">#REF!</definedName>
    <definedName name="_xlnm.Database" localSheetId="4">#REF!</definedName>
    <definedName name="_xlnm.Database" localSheetId="6">#REF!</definedName>
    <definedName name="_xlnm.Database" localSheetId="0">#REF!</definedName>
    <definedName name="_xlnm.Database" localSheetId="1">#REF!</definedName>
    <definedName name="_xlnm.Database" localSheetId="7">#REF!</definedName>
    <definedName name="_xlnm.Database" localSheetId="2">#REF!</definedName>
    <definedName name="_xlnm.Database" localSheetId="10">#REF!</definedName>
    <definedName name="_xlnm.Database">#REF!</definedName>
    <definedName name="DETAILS">#REF!</definedName>
    <definedName name="discount">#REF!</definedName>
    <definedName name="DME">#REF!</definedName>
    <definedName name="DRAWB">#REF!</definedName>
    <definedName name="DRSUP">#REF!</definedName>
    <definedName name="ER">#REF!</definedName>
    <definedName name="EXCH">#REF!</definedName>
    <definedName name="f">#REF!</definedName>
    <definedName name="fg" hidden="1">#REF!</definedName>
    <definedName name="financialcharges">#REF!</definedName>
    <definedName name="g">#REF!</definedName>
    <definedName name="gratuity">#REF!</definedName>
    <definedName name="hffix">#REF!</definedName>
    <definedName name="hn" hidden="1">#REF!</definedName>
    <definedName name="L">#REF!</definedName>
    <definedName name="LACHM">#REF!</definedName>
    <definedName name="LACHMN">#REF!</definedName>
    <definedName name="List_LevelAssurance">#REF!</definedName>
    <definedName name="List_TypeProcedure">#REF!</definedName>
    <definedName name="LMR">#REF!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#REF!</definedName>
    <definedName name="MENU">#REF!</definedName>
    <definedName name="mn" hidden="1">#REF!</definedName>
    <definedName name="n">#REF!</definedName>
    <definedName name="nid">#REF!</definedName>
    <definedName name="nnumb">#REF!</definedName>
    <definedName name="nnumb1">#REF!</definedName>
    <definedName name="nokia206" localSheetId="10">#REF!</definedName>
    <definedName name="nokia206">#REF!</definedName>
    <definedName name="NUMB">#REF!</definedName>
    <definedName name="numbers">#REF!</definedName>
    <definedName name="nvalue">#REF!</definedName>
    <definedName name="nvalue2">#REF!</definedName>
    <definedName name="nvalue3">#REF!</definedName>
    <definedName name="O">#REF!</definedName>
    <definedName name="otherchrages">#REF!</definedName>
    <definedName name="otherincome">#REF!</definedName>
    <definedName name="otherincome2">#REF!</definedName>
    <definedName name="P">#REF!</definedName>
    <definedName name="phrama">#REF!</definedName>
    <definedName name="pl_lead">#REF!</definedName>
    <definedName name="PL2_3">#REF!</definedName>
    <definedName name="PL3_2">#REF!</definedName>
    <definedName name="_xlnm.Print_Area" localSheetId="3">CFS!$A$1:$J$69</definedName>
    <definedName name="_xlnm.Print_Area" localSheetId="4">'Con 1-3 (New)'!$A$1:$L$194</definedName>
    <definedName name="_xlnm.Print_Area" localSheetId="6">'Con 5-18'!$A$1:$Z$358</definedName>
    <definedName name="_xlnm.Print_Area" localSheetId="0">'Con BS'!$A$1:$P$61</definedName>
    <definedName name="_xlnm.Print_Area" localSheetId="1">'Con I EX'!$A$1:$P$60</definedName>
    <definedName name="_xlnm.Print_Area" localSheetId="5">'PPE-Note-4'!$A$1:$O$125</definedName>
    <definedName name="_xlnm.Print_Area" localSheetId="2">SOCE!$A$1:$P$68</definedName>
    <definedName name="_xlnm.Print_Area" localSheetId="10">'Trial Balance June 2025'!$A$1:$N$522</definedName>
    <definedName name="_xlnm.Print_Area">#REF!</definedName>
    <definedName name="_xlnm.Print_Titles" localSheetId="10">'Trial Balance June 2025'!$7:$8</definedName>
    <definedName name="_xlnm.Print_Titles">#REF!</definedName>
    <definedName name="PRINT_TITLES_MI">#REF!</definedName>
    <definedName name="PROFIT">#REF!</definedName>
    <definedName name="qw" hidden="1">#REF!</definedName>
    <definedName name="R_">#REF!</definedName>
    <definedName name="rmk" localSheetId="3">#REF!</definedName>
    <definedName name="rmk" localSheetId="4">#REF!</definedName>
    <definedName name="rmk" localSheetId="6">#REF!</definedName>
    <definedName name="rmk" localSheetId="0">#REF!</definedName>
    <definedName name="rmk" localSheetId="1">#REF!</definedName>
    <definedName name="rmk" localSheetId="7">#REF!</definedName>
    <definedName name="rmk" localSheetId="2">#REF!</definedName>
    <definedName name="SAL_MIN">#REF!</definedName>
    <definedName name="sale_productwise">#REF!</definedName>
    <definedName name="sales_comm">#REF!</definedName>
    <definedName name="sheet">#REF!</definedName>
    <definedName name="t">#REF!</definedName>
    <definedName name="TB" localSheetId="3">#REF!</definedName>
    <definedName name="TB" localSheetId="4">#REF!</definedName>
    <definedName name="TB" localSheetId="6">#REF!</definedName>
    <definedName name="TB" localSheetId="0">#REF!</definedName>
    <definedName name="TB" localSheetId="1">#REF!</definedName>
    <definedName name="TB" localSheetId="7">#REF!</definedName>
    <definedName name="TB" localSheetId="2">#REF!</definedName>
    <definedName name="Template_Analytic">#REF!</definedName>
    <definedName name="TIME">#REF!</definedName>
    <definedName name="UFPrn20160107164127">#REF!</definedName>
    <definedName name="UFPrn20160108151910">#REF!</definedName>
    <definedName name="UFPrn20160108152017">#REF!</definedName>
    <definedName name="UFPrn20160108162210">#REF!</definedName>
    <definedName name="UFPrn20160109075008">#REF!</definedName>
    <definedName name="UFPrn20160111155646">#REF!</definedName>
    <definedName name="UFPrn20161221124936">#REF!</definedName>
    <definedName name="UFPrn20170101200404">#REF!</definedName>
    <definedName name="UFPrn20170103104451">#REF!</definedName>
    <definedName name="UFPrn20170105203420">#REF!</definedName>
    <definedName name="vb" hidden="1">#REF!</definedName>
    <definedName name="VBASIC_AMOUMT">#REF!</definedName>
    <definedName name="VBASIC_AMOUNT">#REF!</definedName>
    <definedName name="VBASIC_VLIST">#REF!</definedName>
    <definedName name="VENDOR">#REF!</definedName>
    <definedName name="VLIST">#REF!</definedName>
    <definedName name="W">#REF!</definedName>
    <definedName name="Z">#REF!</definedName>
  </definedNames>
  <calcPr calcId="191029"/>
  <pivotCaches>
    <pivotCache cacheId="0" r:id="rId23"/>
    <pivotCache cacheId="1" r:id="rId24"/>
    <pivotCache cacheId="2" r:id="rId25"/>
    <pivotCache cacheId="10" r:id="rId2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6" l="1"/>
  <c r="J30" i="6" s="1"/>
  <c r="H26" i="6"/>
  <c r="J24" i="6"/>
  <c r="J28" i="6" s="1"/>
  <c r="J32" i="6" s="1"/>
  <c r="J22" i="6"/>
  <c r="J20" i="6"/>
  <c r="J18" i="6"/>
  <c r="J16" i="6"/>
  <c r="K279" i="10"/>
  <c r="K209" i="10"/>
  <c r="K196" i="10"/>
  <c r="K136" i="10"/>
  <c r="K138" i="10" s="1"/>
  <c r="K132" i="10"/>
  <c r="J26" i="6" l="1"/>
  <c r="H28" i="6"/>
  <c r="H32" i="6" s="1"/>
  <c r="M13" i="10" l="1"/>
  <c r="K13" i="10" s="1"/>
  <c r="K15" i="10" s="1"/>
  <c r="K9" i="10"/>
  <c r="N121" i="23" l="1"/>
  <c r="H114" i="23"/>
  <c r="N57" i="23"/>
  <c r="H51" i="23"/>
  <c r="E121" i="23"/>
  <c r="M116" i="23" l="1"/>
  <c r="L116" i="23"/>
  <c r="K116" i="23"/>
  <c r="J116" i="23"/>
  <c r="I116" i="23"/>
  <c r="H116" i="23"/>
  <c r="G116" i="23"/>
  <c r="F116" i="23"/>
  <c r="E116" i="23"/>
  <c r="N123" i="23"/>
  <c r="E123" i="23"/>
  <c r="O112" i="23"/>
  <c r="O114" i="23"/>
  <c r="I35" i="4"/>
  <c r="I33" i="4"/>
  <c r="I18" i="4"/>
  <c r="O120" i="23" l="1"/>
  <c r="J318" i="34"/>
  <c r="J438" i="34" l="1"/>
  <c r="M5" i="34" l="1"/>
  <c r="L5" i="34"/>
  <c r="D131" i="34"/>
  <c r="D132" i="34"/>
  <c r="D133" i="34"/>
  <c r="D134" i="34"/>
  <c r="D135" i="34"/>
  <c r="D239" i="34" l="1"/>
  <c r="D240" i="34"/>
  <c r="D209" i="34"/>
  <c r="D210" i="34"/>
  <c r="D211" i="34"/>
  <c r="D212" i="34"/>
  <c r="D213" i="34"/>
  <c r="D214" i="34"/>
  <c r="D215" i="34"/>
  <c r="D216" i="34"/>
  <c r="D217" i="34"/>
  <c r="D218" i="34"/>
  <c r="D219" i="34"/>
  <c r="D220" i="34"/>
  <c r="D221" i="34"/>
  <c r="D222" i="34"/>
  <c r="D223" i="34"/>
  <c r="D224" i="34"/>
  <c r="D225" i="34"/>
  <c r="D226" i="34"/>
  <c r="D227" i="34"/>
  <c r="D228" i="34"/>
  <c r="D229" i="34"/>
  <c r="D230" i="34"/>
  <c r="D231" i="34"/>
  <c r="D232" i="34"/>
  <c r="D233" i="34"/>
  <c r="D234" i="34"/>
  <c r="D235" i="34"/>
  <c r="D236" i="34"/>
  <c r="D237" i="34"/>
  <c r="D238" i="34"/>
  <c r="D241" i="34"/>
  <c r="D242" i="34"/>
  <c r="D243" i="34"/>
  <c r="D244" i="34"/>
  <c r="D245" i="34"/>
  <c r="D246" i="34"/>
  <c r="D247" i="34"/>
  <c r="D248" i="34"/>
  <c r="D249" i="34"/>
  <c r="D250" i="34"/>
  <c r="D251" i="34"/>
  <c r="D252" i="34"/>
  <c r="D253" i="34"/>
  <c r="D254" i="34"/>
  <c r="D255" i="34"/>
  <c r="D256" i="34"/>
  <c r="D257" i="34"/>
  <c r="D258" i="34"/>
  <c r="D259" i="34"/>
  <c r="D260" i="34"/>
  <c r="D261" i="34"/>
  <c r="D262" i="34"/>
  <c r="D263" i="34"/>
  <c r="D264" i="34"/>
  <c r="D265" i="34"/>
  <c r="D266" i="34"/>
  <c r="D267" i="34"/>
  <c r="D268" i="34"/>
  <c r="D269" i="34"/>
  <c r="D270" i="34"/>
  <c r="D271" i="34"/>
  <c r="D272" i="34"/>
  <c r="D273" i="34"/>
  <c r="D274" i="34"/>
  <c r="D275" i="34"/>
  <c r="D276" i="34"/>
  <c r="D277" i="34"/>
  <c r="D278" i="34"/>
  <c r="D279" i="34"/>
  <c r="D280" i="34"/>
  <c r="D281" i="34"/>
  <c r="D282" i="34"/>
  <c r="D283" i="34"/>
  <c r="D284" i="34"/>
  <c r="D285" i="34"/>
  <c r="D286" i="34"/>
  <c r="D287" i="34"/>
  <c r="D288" i="34"/>
  <c r="D289" i="34"/>
  <c r="D290" i="34"/>
  <c r="D291" i="34"/>
  <c r="D292" i="34"/>
  <c r="D293" i="34"/>
  <c r="D294" i="34"/>
  <c r="D295" i="34"/>
  <c r="D296" i="34"/>
  <c r="D297" i="34"/>
  <c r="D298" i="34"/>
  <c r="D299" i="34"/>
  <c r="D300" i="34"/>
  <c r="D301" i="34"/>
  <c r="D302" i="34"/>
  <c r="D303" i="34"/>
  <c r="D304" i="34"/>
  <c r="D305" i="34"/>
  <c r="D306" i="34"/>
  <c r="D307" i="34"/>
  <c r="D308" i="34"/>
  <c r="D309" i="34"/>
  <c r="D310" i="34"/>
  <c r="D311" i="34"/>
  <c r="D312" i="34"/>
  <c r="D313" i="34"/>
  <c r="D314" i="34"/>
  <c r="D315" i="34"/>
  <c r="D316" i="34"/>
  <c r="D317" i="34"/>
  <c r="D318" i="34"/>
  <c r="D319" i="34"/>
  <c r="D320" i="34"/>
  <c r="D321" i="34"/>
  <c r="D322" i="34"/>
  <c r="D323" i="34"/>
  <c r="D324" i="34"/>
  <c r="D325" i="34"/>
  <c r="D326" i="34"/>
  <c r="D327" i="34"/>
  <c r="D328" i="34"/>
  <c r="D329" i="34"/>
  <c r="D330" i="34"/>
  <c r="D331" i="34"/>
  <c r="D332" i="34"/>
  <c r="D333" i="34"/>
  <c r="D334" i="34"/>
  <c r="D335" i="34"/>
  <c r="D336" i="34"/>
  <c r="D337" i="34"/>
  <c r="D338" i="34"/>
  <c r="D339" i="34"/>
  <c r="D340" i="34"/>
  <c r="D341" i="34"/>
  <c r="D342" i="34"/>
  <c r="D343" i="34"/>
  <c r="D344" i="34"/>
  <c r="D345" i="34"/>
  <c r="D346" i="34"/>
  <c r="D347" i="34"/>
  <c r="D348" i="34"/>
  <c r="D349" i="34"/>
  <c r="D350" i="34"/>
  <c r="D351" i="34"/>
  <c r="D352" i="34"/>
  <c r="D353" i="34"/>
  <c r="D354" i="34"/>
  <c r="D355" i="34"/>
  <c r="D356" i="34"/>
  <c r="D357" i="34"/>
  <c r="D358" i="34"/>
  <c r="D359" i="34"/>
  <c r="D360" i="34"/>
  <c r="D361" i="34"/>
  <c r="D362" i="34"/>
  <c r="D363" i="34"/>
  <c r="D364" i="34"/>
  <c r="D365" i="34"/>
  <c r="D366" i="34"/>
  <c r="D367" i="34"/>
  <c r="D368" i="34"/>
  <c r="D369" i="34"/>
  <c r="D370" i="34"/>
  <c r="D371" i="34"/>
  <c r="D372" i="34"/>
  <c r="D373" i="34"/>
  <c r="D374" i="34"/>
  <c r="D375" i="34"/>
  <c r="D376" i="34"/>
  <c r="D377" i="34"/>
  <c r="D378" i="34"/>
  <c r="D379" i="34"/>
  <c r="D380" i="34"/>
  <c r="D381" i="34"/>
  <c r="D382" i="34"/>
  <c r="D383" i="34"/>
  <c r="D384" i="34"/>
  <c r="D385" i="34"/>
  <c r="D386" i="34"/>
  <c r="D387" i="34"/>
  <c r="D388" i="34"/>
  <c r="D389" i="34"/>
  <c r="D390" i="34"/>
  <c r="D391" i="34"/>
  <c r="D392" i="34"/>
  <c r="D393" i="34"/>
  <c r="D394" i="34"/>
  <c r="D395" i="34"/>
  <c r="D396" i="34"/>
  <c r="D397" i="34"/>
  <c r="D398" i="34"/>
  <c r="D399" i="34"/>
  <c r="D400" i="34"/>
  <c r="D401" i="34"/>
  <c r="D402" i="34"/>
  <c r="D403" i="34"/>
  <c r="D404" i="34"/>
  <c r="D405" i="34"/>
  <c r="D406" i="34"/>
  <c r="D407" i="34"/>
  <c r="D7" i="34"/>
  <c r="D8" i="34"/>
  <c r="D9" i="34"/>
  <c r="D10" i="34"/>
  <c r="D11" i="34"/>
  <c r="D12" i="34"/>
  <c r="D13" i="34"/>
  <c r="D14" i="34"/>
  <c r="D15" i="34"/>
  <c r="D16" i="34"/>
  <c r="D17" i="34"/>
  <c r="D18" i="34"/>
  <c r="D19" i="34"/>
  <c r="D20" i="34"/>
  <c r="D21" i="34"/>
  <c r="D22" i="34"/>
  <c r="D23" i="34"/>
  <c r="D24" i="34"/>
  <c r="D25" i="34"/>
  <c r="D26" i="34"/>
  <c r="D27" i="34"/>
  <c r="D28" i="34"/>
  <c r="D29" i="34"/>
  <c r="D30" i="34"/>
  <c r="D31" i="34"/>
  <c r="D32" i="34"/>
  <c r="D33" i="34"/>
  <c r="D34" i="34"/>
  <c r="D35" i="34"/>
  <c r="D36" i="34"/>
  <c r="D37" i="34"/>
  <c r="D38" i="34"/>
  <c r="D39" i="34"/>
  <c r="D40" i="34"/>
  <c r="D41" i="34"/>
  <c r="D48" i="34"/>
  <c r="D49" i="34"/>
  <c r="D51" i="34"/>
  <c r="D52" i="34"/>
  <c r="D53" i="34"/>
  <c r="D54" i="34"/>
  <c r="D55" i="34"/>
  <c r="D56" i="34"/>
  <c r="D57" i="34"/>
  <c r="D58" i="34"/>
  <c r="D59" i="34"/>
  <c r="D60" i="34"/>
  <c r="D61" i="34"/>
  <c r="D62" i="34"/>
  <c r="D63" i="34"/>
  <c r="D64" i="34"/>
  <c r="D65" i="34"/>
  <c r="D66" i="34"/>
  <c r="D67" i="34"/>
  <c r="D68" i="34"/>
  <c r="D69" i="34"/>
  <c r="D70" i="34"/>
  <c r="D71" i="34"/>
  <c r="D72" i="34"/>
  <c r="D91" i="34"/>
  <c r="D96" i="34"/>
  <c r="D97" i="34"/>
  <c r="D98" i="34"/>
  <c r="D99" i="34"/>
  <c r="D100" i="34"/>
  <c r="D103" i="34"/>
  <c r="D104" i="34"/>
  <c r="D105" i="34"/>
  <c r="D107" i="34"/>
  <c r="D108" i="34"/>
  <c r="D111" i="34"/>
  <c r="D112" i="34"/>
  <c r="D113" i="34"/>
  <c r="D114" i="34"/>
  <c r="D115" i="34"/>
  <c r="D116" i="34"/>
  <c r="D117" i="34"/>
  <c r="D123" i="34"/>
  <c r="D124" i="34"/>
  <c r="D127" i="34"/>
  <c r="D128" i="34"/>
  <c r="D129" i="34"/>
  <c r="D130" i="34"/>
  <c r="D183" i="34"/>
  <c r="D184" i="34"/>
  <c r="D185" i="34"/>
  <c r="D186" i="34"/>
  <c r="D187" i="34"/>
  <c r="D188" i="34"/>
  <c r="D189" i="34"/>
  <c r="D190" i="34"/>
  <c r="D191" i="34"/>
  <c r="D192" i="34"/>
  <c r="D193" i="34"/>
  <c r="D194" i="34"/>
  <c r="D195" i="34"/>
  <c r="D196" i="34"/>
  <c r="D197" i="34"/>
  <c r="D198" i="34"/>
  <c r="D199" i="34"/>
  <c r="D200" i="34"/>
  <c r="D201" i="34"/>
  <c r="D202" i="34"/>
  <c r="D203" i="34"/>
  <c r="D204" i="34"/>
  <c r="D205" i="34"/>
  <c r="D206" i="34"/>
  <c r="D207" i="34"/>
  <c r="D208" i="34"/>
  <c r="N407" i="34"/>
  <c r="N406" i="34"/>
  <c r="N405" i="34"/>
  <c r="N404" i="34"/>
  <c r="N403" i="34"/>
  <c r="N402" i="34"/>
  <c r="N401" i="34"/>
  <c r="N400" i="34"/>
  <c r="N398" i="34"/>
  <c r="N384" i="34"/>
  <c r="N383" i="34"/>
  <c r="N382" i="34"/>
  <c r="N381" i="34"/>
  <c r="N380" i="34"/>
  <c r="N379" i="34"/>
  <c r="N378" i="34"/>
  <c r="N377" i="34"/>
  <c r="N376" i="34"/>
  <c r="N375" i="34"/>
  <c r="N374" i="34"/>
  <c r="N373" i="34"/>
  <c r="N372" i="34"/>
  <c r="N371" i="34"/>
  <c r="N367" i="34"/>
  <c r="N325" i="34"/>
  <c r="N8" i="34"/>
  <c r="N198" i="34"/>
  <c r="N352" i="34"/>
  <c r="O407" i="34"/>
  <c r="O406" i="34"/>
  <c r="O405" i="34"/>
  <c r="O404" i="34"/>
  <c r="O403" i="34"/>
  <c r="O402" i="34"/>
  <c r="O401" i="34"/>
  <c r="O400" i="34"/>
  <c r="O398" i="34"/>
  <c r="O384" i="34"/>
  <c r="O383" i="34"/>
  <c r="O382" i="34"/>
  <c r="O381" i="34"/>
  <c r="O380" i="34"/>
  <c r="O379" i="34"/>
  <c r="O378" i="34"/>
  <c r="O377" i="34"/>
  <c r="O376" i="34"/>
  <c r="O375" i="34"/>
  <c r="O374" i="34"/>
  <c r="O373" i="34"/>
  <c r="O372" i="34"/>
  <c r="O371" i="34"/>
  <c r="O367" i="34"/>
  <c r="O352" i="34"/>
  <c r="O325" i="34"/>
  <c r="O198" i="34"/>
  <c r="P405" i="34" l="1"/>
  <c r="P404" i="34"/>
  <c r="P402" i="34"/>
  <c r="P400" i="34"/>
  <c r="P384" i="34"/>
  <c r="P381" i="34"/>
  <c r="P379" i="34"/>
  <c r="P377" i="34"/>
  <c r="P375" i="34"/>
  <c r="P373" i="34"/>
  <c r="P372" i="34"/>
  <c r="P367" i="34"/>
  <c r="P352" i="34"/>
  <c r="P406" i="34"/>
  <c r="P403" i="34"/>
  <c r="P401" i="34"/>
  <c r="P398" i="34"/>
  <c r="P383" i="34"/>
  <c r="P382" i="34"/>
  <c r="P380" i="34"/>
  <c r="P378" i="34"/>
  <c r="P376" i="34"/>
  <c r="P374" i="34"/>
  <c r="P371" i="34"/>
  <c r="P325" i="34"/>
  <c r="P198" i="34"/>
  <c r="P200" i="29"/>
  <c r="O157" i="10"/>
  <c r="M179" i="10"/>
  <c r="M57" i="23"/>
  <c r="M121" i="23" s="1"/>
  <c r="M123" i="23" s="1"/>
  <c r="L57" i="23"/>
  <c r="L121" i="23" s="1"/>
  <c r="L123" i="23" s="1"/>
  <c r="K57" i="23"/>
  <c r="K121" i="23" s="1"/>
  <c r="K123" i="23" s="1"/>
  <c r="J57" i="23"/>
  <c r="J121" i="23" s="1"/>
  <c r="J123" i="23" s="1"/>
  <c r="I57" i="23"/>
  <c r="I121" i="23" s="1"/>
  <c r="I123" i="23" s="1"/>
  <c r="G57" i="23"/>
  <c r="G121" i="23" s="1"/>
  <c r="G123" i="23" s="1"/>
  <c r="F57" i="23"/>
  <c r="F121" i="23" s="1"/>
  <c r="F123" i="23" s="1"/>
  <c r="E57" i="23"/>
  <c r="M56" i="23"/>
  <c r="L56" i="23"/>
  <c r="K56" i="23"/>
  <c r="J56" i="23"/>
  <c r="I56" i="23"/>
  <c r="G56" i="23"/>
  <c r="F56" i="23"/>
  <c r="E56" i="23"/>
  <c r="M50" i="23"/>
  <c r="L50" i="23"/>
  <c r="K50" i="23"/>
  <c r="J50" i="23"/>
  <c r="I50" i="23"/>
  <c r="G50" i="23"/>
  <c r="F50" i="23"/>
  <c r="E50" i="23"/>
  <c r="H49" i="23"/>
  <c r="O49" i="23" s="1"/>
  <c r="H48" i="23"/>
  <c r="O48" i="23" s="1"/>
  <c r="N50" i="23"/>
  <c r="N111" i="23" s="1"/>
  <c r="O73" i="10"/>
  <c r="M73" i="10"/>
  <c r="O111" i="23" l="1"/>
  <c r="N116" i="23"/>
  <c r="O116" i="23" s="1"/>
  <c r="I10" i="4" s="1"/>
  <c r="I13" i="4" s="1"/>
  <c r="I20" i="4" s="1"/>
  <c r="H57" i="23"/>
  <c r="H121" i="23" s="1"/>
  <c r="H56" i="23"/>
  <c r="H50" i="23"/>
  <c r="O50" i="23" s="1"/>
  <c r="O24" i="6"/>
  <c r="H123" i="23" l="1"/>
  <c r="O121" i="23"/>
  <c r="O123" i="23" s="1"/>
  <c r="O320" i="29"/>
  <c r="M134" i="10"/>
  <c r="M126" i="10"/>
  <c r="K27" i="5" l="1"/>
  <c r="F78" i="25"/>
  <c r="F55" i="33"/>
  <c r="B55" i="33"/>
  <c r="I54" i="33"/>
  <c r="J54" i="33" s="1"/>
  <c r="H53" i="33"/>
  <c r="I53" i="33" s="1"/>
  <c r="H52" i="33"/>
  <c r="H51" i="33"/>
  <c r="I51" i="33" s="1"/>
  <c r="J51" i="33" s="1"/>
  <c r="H50" i="33"/>
  <c r="H55" i="33" s="1"/>
  <c r="I42" i="33"/>
  <c r="J42" i="33" s="1"/>
  <c r="I41" i="33"/>
  <c r="J41" i="33" s="1"/>
  <c r="I38" i="33"/>
  <c r="J38" i="33" s="1"/>
  <c r="F43" i="33"/>
  <c r="O35" i="33"/>
  <c r="E28" i="33"/>
  <c r="I26" i="33"/>
  <c r="C12" i="33"/>
  <c r="E6" i="33"/>
  <c r="M115" i="10"/>
  <c r="L31" i="4"/>
  <c r="H25" i="7" l="1"/>
  <c r="I50" i="33"/>
  <c r="J50" i="33" s="1"/>
  <c r="I52" i="33"/>
  <c r="J53" i="33"/>
  <c r="M37" i="33"/>
  <c r="N37" i="33" s="1"/>
  <c r="H37" i="33"/>
  <c r="J52" i="33" l="1"/>
  <c r="I55" i="33"/>
  <c r="C15" i="33" s="1"/>
  <c r="C21" i="33" s="1"/>
  <c r="C22" i="33" s="1"/>
  <c r="C25" i="33" s="1"/>
  <c r="J55" i="33"/>
  <c r="P38" i="33"/>
  <c r="H43" i="33"/>
  <c r="I37" i="33"/>
  <c r="N35" i="33"/>
  <c r="P35" i="33" s="1"/>
  <c r="P37" i="33" s="1"/>
  <c r="F31" i="33" l="1"/>
  <c r="E25" i="33"/>
  <c r="F29" i="33" s="1"/>
  <c r="F33" i="33" s="1"/>
  <c r="P41" i="33"/>
  <c r="I43" i="33"/>
  <c r="J37" i="33"/>
  <c r="J43" i="33" s="1"/>
  <c r="O243" i="29" l="1"/>
  <c r="O215" i="29"/>
  <c r="O271" i="29"/>
  <c r="O265" i="29"/>
  <c r="O238" i="29"/>
  <c r="O234" i="29"/>
  <c r="O232" i="29"/>
  <c r="O230" i="29"/>
  <c r="O229" i="29"/>
  <c r="O226" i="29"/>
  <c r="O225" i="29"/>
  <c r="O223" i="29"/>
  <c r="O221" i="29"/>
  <c r="O220" i="29"/>
  <c r="O219" i="29"/>
  <c r="O217" i="29"/>
  <c r="J27" i="7"/>
  <c r="O324" i="29"/>
  <c r="N324" i="29"/>
  <c r="R324" i="29" s="1"/>
  <c r="M324" i="29"/>
  <c r="O134" i="29"/>
  <c r="F38" i="25"/>
  <c r="P133" i="29" s="1"/>
  <c r="F35" i="25"/>
  <c r="P260" i="29" s="1"/>
  <c r="M131" i="10"/>
  <c r="M123" i="10"/>
  <c r="M130" i="10"/>
  <c r="M114" i="10"/>
  <c r="M117" i="10"/>
  <c r="M120" i="10"/>
  <c r="M124" i="10"/>
  <c r="Q324" i="29" l="1"/>
  <c r="S324" i="29" s="1"/>
  <c r="O131" i="29" l="1"/>
  <c r="O258" i="29"/>
  <c r="F32" i="25"/>
  <c r="P132" i="29" s="1"/>
  <c r="F29" i="25"/>
  <c r="P344" i="29" s="1"/>
  <c r="P254" i="29" l="1"/>
  <c r="O123" i="29"/>
  <c r="P87" i="29"/>
  <c r="O346" i="29"/>
  <c r="P104" i="29"/>
  <c r="P102" i="29"/>
  <c r="O105" i="29"/>
  <c r="O103" i="29"/>
  <c r="P211" i="29"/>
  <c r="P100" i="29"/>
  <c r="P99" i="29"/>
  <c r="O95" i="29"/>
  <c r="P97" i="29"/>
  <c r="P96" i="29"/>
  <c r="L18" i="29"/>
  <c r="K217" i="29"/>
  <c r="AA111" i="10" l="1"/>
  <c r="K11" i="5"/>
  <c r="L5" i="29" l="1"/>
  <c r="K5" i="29"/>
  <c r="J5" i="29"/>
  <c r="I5" i="29"/>
  <c r="P5" i="29"/>
  <c r="O5" i="29"/>
  <c r="M511" i="29"/>
  <c r="N511" i="29"/>
  <c r="M512" i="29"/>
  <c r="N512" i="29"/>
  <c r="M513" i="29"/>
  <c r="N513" i="29"/>
  <c r="M514" i="29"/>
  <c r="N514" i="29"/>
  <c r="M515" i="29"/>
  <c r="N515" i="29"/>
  <c r="N9" i="29"/>
  <c r="M9" i="29"/>
  <c r="M166" i="10"/>
  <c r="M80" i="10"/>
  <c r="M125" i="10"/>
  <c r="F2" i="25" l="1"/>
  <c r="E2" i="25"/>
  <c r="O136" i="10"/>
  <c r="O138" i="10" s="1"/>
  <c r="M157" i="10"/>
  <c r="M51" i="10"/>
  <c r="M194" i="10"/>
  <c r="B8" i="8" l="1"/>
  <c r="B17" i="8" s="1"/>
  <c r="J189" i="8"/>
  <c r="J188" i="8"/>
  <c r="J177" i="8"/>
  <c r="J172" i="8"/>
  <c r="J178" i="8"/>
  <c r="J183" i="8" l="1"/>
  <c r="N178" i="8"/>
  <c r="L171" i="8"/>
  <c r="J170" i="8"/>
  <c r="M74" i="10"/>
  <c r="Q12" i="4" l="1"/>
  <c r="AA133" i="10" l="1"/>
  <c r="Q40" i="4"/>
  <c r="Q39" i="4"/>
  <c r="AL24" i="6"/>
  <c r="M118" i="10"/>
  <c r="M119" i="10"/>
  <c r="M116" i="10"/>
  <c r="M121" i="10"/>
  <c r="M122" i="10"/>
  <c r="M10" i="29" l="1"/>
  <c r="N10" i="29"/>
  <c r="M11" i="29"/>
  <c r="N11" i="29"/>
  <c r="M12" i="29"/>
  <c r="N12" i="29"/>
  <c r="M13" i="29"/>
  <c r="N13" i="29"/>
  <c r="M14" i="29"/>
  <c r="N14" i="29"/>
  <c r="M15" i="29"/>
  <c r="N15" i="29"/>
  <c r="M16" i="29"/>
  <c r="N16" i="29"/>
  <c r="M17" i="29"/>
  <c r="N17" i="29"/>
  <c r="M18" i="29"/>
  <c r="N18" i="29"/>
  <c r="M19" i="29"/>
  <c r="N19" i="29"/>
  <c r="M20" i="29"/>
  <c r="N20" i="29"/>
  <c r="M21" i="29"/>
  <c r="N21" i="29"/>
  <c r="M22" i="29"/>
  <c r="N22" i="29"/>
  <c r="M23" i="29"/>
  <c r="N23" i="29"/>
  <c r="M24" i="29"/>
  <c r="N24" i="29"/>
  <c r="M25" i="29"/>
  <c r="N25" i="29"/>
  <c r="M26" i="29"/>
  <c r="N26" i="29"/>
  <c r="M27" i="29"/>
  <c r="N27" i="29"/>
  <c r="M28" i="29"/>
  <c r="N28" i="29"/>
  <c r="M29" i="29"/>
  <c r="N29" i="29"/>
  <c r="M30" i="29"/>
  <c r="N30" i="29"/>
  <c r="M31" i="29"/>
  <c r="N31" i="29"/>
  <c r="M32" i="29"/>
  <c r="N32" i="29"/>
  <c r="M33" i="29"/>
  <c r="N33" i="29"/>
  <c r="M34" i="29"/>
  <c r="N34" i="29"/>
  <c r="M35" i="29"/>
  <c r="N35" i="29"/>
  <c r="M36" i="29"/>
  <c r="N36" i="29"/>
  <c r="M37" i="29"/>
  <c r="N37" i="29"/>
  <c r="M38" i="29"/>
  <c r="N38" i="29"/>
  <c r="M39" i="29"/>
  <c r="N39" i="29"/>
  <c r="M40" i="29"/>
  <c r="N40" i="29"/>
  <c r="M41" i="29"/>
  <c r="N41" i="29"/>
  <c r="M42" i="29"/>
  <c r="N42" i="29"/>
  <c r="M43" i="29"/>
  <c r="N43" i="29"/>
  <c r="M44" i="29"/>
  <c r="N44" i="29"/>
  <c r="M45" i="29"/>
  <c r="N45" i="29"/>
  <c r="M46" i="29"/>
  <c r="N46" i="29"/>
  <c r="M47" i="29"/>
  <c r="N47" i="29"/>
  <c r="M48" i="29"/>
  <c r="N48" i="29"/>
  <c r="M49" i="29"/>
  <c r="N49" i="29"/>
  <c r="M50" i="29"/>
  <c r="N50" i="29"/>
  <c r="M51" i="29"/>
  <c r="N51" i="29"/>
  <c r="M52" i="29"/>
  <c r="N52" i="29"/>
  <c r="M53" i="29"/>
  <c r="N53" i="29"/>
  <c r="M54" i="29"/>
  <c r="N54" i="29"/>
  <c r="M55" i="29"/>
  <c r="N55" i="29"/>
  <c r="M56" i="29"/>
  <c r="N56" i="29"/>
  <c r="M57" i="29"/>
  <c r="N57" i="29"/>
  <c r="M58" i="29"/>
  <c r="N58" i="29"/>
  <c r="M59" i="29"/>
  <c r="N59" i="29"/>
  <c r="M60" i="29"/>
  <c r="N60" i="29"/>
  <c r="M61" i="29"/>
  <c r="N61" i="29"/>
  <c r="M62" i="29"/>
  <c r="N62" i="29"/>
  <c r="M63" i="29"/>
  <c r="N63" i="29"/>
  <c r="M64" i="29"/>
  <c r="N64" i="29"/>
  <c r="M65" i="29"/>
  <c r="N65" i="29"/>
  <c r="M66" i="29"/>
  <c r="N66" i="29"/>
  <c r="M67" i="29"/>
  <c r="N67" i="29"/>
  <c r="M68" i="29"/>
  <c r="N68" i="29"/>
  <c r="M69" i="29"/>
  <c r="N69" i="29"/>
  <c r="M70" i="29"/>
  <c r="N70" i="29"/>
  <c r="M71" i="29"/>
  <c r="N71" i="29"/>
  <c r="M72" i="29"/>
  <c r="N72" i="29"/>
  <c r="M73" i="29"/>
  <c r="N73" i="29"/>
  <c r="M74" i="29"/>
  <c r="N74" i="29"/>
  <c r="M75" i="29"/>
  <c r="N75" i="29"/>
  <c r="M76" i="29"/>
  <c r="N76" i="29"/>
  <c r="M77" i="29"/>
  <c r="N77" i="29"/>
  <c r="M78" i="29"/>
  <c r="N78" i="29"/>
  <c r="M79" i="29"/>
  <c r="N79" i="29"/>
  <c r="M80" i="29"/>
  <c r="N80" i="29"/>
  <c r="M81" i="29"/>
  <c r="N81" i="29"/>
  <c r="M82" i="29"/>
  <c r="N82" i="29"/>
  <c r="M83" i="29"/>
  <c r="N83" i="29"/>
  <c r="M84" i="29"/>
  <c r="N84" i="29"/>
  <c r="M85" i="29"/>
  <c r="N85" i="29"/>
  <c r="M86" i="29"/>
  <c r="N86" i="29"/>
  <c r="M87" i="29"/>
  <c r="N87" i="29"/>
  <c r="M88" i="29"/>
  <c r="N88" i="29"/>
  <c r="M89" i="29"/>
  <c r="N89" i="29"/>
  <c r="M90" i="29"/>
  <c r="N90" i="29"/>
  <c r="M91" i="29"/>
  <c r="N91" i="29"/>
  <c r="M92" i="29"/>
  <c r="N92" i="29"/>
  <c r="M93" i="29"/>
  <c r="N93" i="29"/>
  <c r="M94" i="29"/>
  <c r="N94" i="29"/>
  <c r="M95" i="29"/>
  <c r="N95" i="29"/>
  <c r="M96" i="29"/>
  <c r="N96" i="29"/>
  <c r="M97" i="29"/>
  <c r="N97" i="29"/>
  <c r="M98" i="29"/>
  <c r="N98" i="29"/>
  <c r="M99" i="29"/>
  <c r="N99" i="29"/>
  <c r="M100" i="29"/>
  <c r="N100" i="29"/>
  <c r="M101" i="29"/>
  <c r="N101" i="29"/>
  <c r="M102" i="29"/>
  <c r="N102" i="29"/>
  <c r="M103" i="29"/>
  <c r="N103" i="29"/>
  <c r="M104" i="29"/>
  <c r="N104" i="29"/>
  <c r="M105" i="29"/>
  <c r="N105" i="29"/>
  <c r="M106" i="29"/>
  <c r="N106" i="29"/>
  <c r="M107" i="29"/>
  <c r="N107" i="29"/>
  <c r="M108" i="29"/>
  <c r="N108" i="29"/>
  <c r="M109" i="29"/>
  <c r="N109" i="29"/>
  <c r="M110" i="29"/>
  <c r="N110" i="29"/>
  <c r="M111" i="29"/>
  <c r="N111" i="29"/>
  <c r="M112" i="29"/>
  <c r="N112" i="29"/>
  <c r="M113" i="29"/>
  <c r="N113" i="29"/>
  <c r="M114" i="29"/>
  <c r="N114" i="29"/>
  <c r="M115" i="29"/>
  <c r="N115" i="29"/>
  <c r="M116" i="29"/>
  <c r="N116" i="29"/>
  <c r="M117" i="29"/>
  <c r="N117" i="29"/>
  <c r="M118" i="29"/>
  <c r="N118" i="29"/>
  <c r="M119" i="29"/>
  <c r="N119" i="29"/>
  <c r="M120" i="29"/>
  <c r="N120" i="29"/>
  <c r="M121" i="29"/>
  <c r="N121" i="29"/>
  <c r="M122" i="29"/>
  <c r="N122" i="29"/>
  <c r="M123" i="29"/>
  <c r="N123" i="29"/>
  <c r="M124" i="29"/>
  <c r="N124" i="29"/>
  <c r="M125" i="29"/>
  <c r="N125" i="29"/>
  <c r="M126" i="29"/>
  <c r="N126" i="29"/>
  <c r="M127" i="29"/>
  <c r="N127" i="29"/>
  <c r="M128" i="29"/>
  <c r="N128" i="29"/>
  <c r="M129" i="29"/>
  <c r="N129" i="29"/>
  <c r="M130" i="29"/>
  <c r="N130" i="29"/>
  <c r="M131" i="29"/>
  <c r="N131" i="29"/>
  <c r="M132" i="29"/>
  <c r="N132" i="29"/>
  <c r="M133" i="29"/>
  <c r="N133" i="29"/>
  <c r="M134" i="29"/>
  <c r="N134" i="29"/>
  <c r="M135" i="29"/>
  <c r="N135" i="29"/>
  <c r="M136" i="29"/>
  <c r="N136" i="29"/>
  <c r="M137" i="29"/>
  <c r="N137" i="29"/>
  <c r="M138" i="29"/>
  <c r="N138" i="29"/>
  <c r="M139" i="29"/>
  <c r="N139" i="29"/>
  <c r="M140" i="29"/>
  <c r="N140" i="29"/>
  <c r="M141" i="29"/>
  <c r="N141" i="29"/>
  <c r="M142" i="29"/>
  <c r="N142" i="29"/>
  <c r="M143" i="29"/>
  <c r="N143" i="29"/>
  <c r="M144" i="29"/>
  <c r="N144" i="29"/>
  <c r="M145" i="29"/>
  <c r="N145" i="29"/>
  <c r="M146" i="29"/>
  <c r="N146" i="29"/>
  <c r="M147" i="29"/>
  <c r="N147" i="29"/>
  <c r="M148" i="29"/>
  <c r="N148" i="29"/>
  <c r="M149" i="29"/>
  <c r="N149" i="29"/>
  <c r="M150" i="29"/>
  <c r="N150" i="29"/>
  <c r="M151" i="29"/>
  <c r="N151" i="29"/>
  <c r="M152" i="29"/>
  <c r="N152" i="29"/>
  <c r="M153" i="29"/>
  <c r="N153" i="29"/>
  <c r="M154" i="29"/>
  <c r="N154" i="29"/>
  <c r="M155" i="29"/>
  <c r="N155" i="29"/>
  <c r="M156" i="29"/>
  <c r="N156" i="29"/>
  <c r="M157" i="29"/>
  <c r="N157" i="29"/>
  <c r="M158" i="29"/>
  <c r="N158" i="29"/>
  <c r="M159" i="29"/>
  <c r="N159" i="29"/>
  <c r="M160" i="29"/>
  <c r="N160" i="29"/>
  <c r="M161" i="29"/>
  <c r="N161" i="29"/>
  <c r="M162" i="29"/>
  <c r="N162" i="29"/>
  <c r="M163" i="29"/>
  <c r="N163" i="29"/>
  <c r="M164" i="29"/>
  <c r="N164" i="29"/>
  <c r="M165" i="29"/>
  <c r="N165" i="29"/>
  <c r="M166" i="29"/>
  <c r="N166" i="29"/>
  <c r="M167" i="29"/>
  <c r="N167" i="29"/>
  <c r="M168" i="29"/>
  <c r="N168" i="29"/>
  <c r="M169" i="29"/>
  <c r="N169" i="29"/>
  <c r="M170" i="29"/>
  <c r="N170" i="29"/>
  <c r="M171" i="29"/>
  <c r="N171" i="29"/>
  <c r="M172" i="29"/>
  <c r="N172" i="29"/>
  <c r="M173" i="29"/>
  <c r="N173" i="29"/>
  <c r="M174" i="29"/>
  <c r="N174" i="29"/>
  <c r="M175" i="29"/>
  <c r="N175" i="29"/>
  <c r="M176" i="29"/>
  <c r="N176" i="29"/>
  <c r="M177" i="29"/>
  <c r="N177" i="29"/>
  <c r="M178" i="29"/>
  <c r="N178" i="29"/>
  <c r="M179" i="29"/>
  <c r="N179" i="29"/>
  <c r="M180" i="29"/>
  <c r="N180" i="29"/>
  <c r="M181" i="29"/>
  <c r="N181" i="29"/>
  <c r="M182" i="29"/>
  <c r="N182" i="29"/>
  <c r="M183" i="29"/>
  <c r="N183" i="29"/>
  <c r="M184" i="29"/>
  <c r="N184" i="29"/>
  <c r="M185" i="29"/>
  <c r="N185" i="29"/>
  <c r="M186" i="29"/>
  <c r="N186" i="29"/>
  <c r="M187" i="29"/>
  <c r="N187" i="29"/>
  <c r="M188" i="29"/>
  <c r="N188" i="29"/>
  <c r="M189" i="29"/>
  <c r="N189" i="29"/>
  <c r="M190" i="29"/>
  <c r="N190" i="29"/>
  <c r="M191" i="29"/>
  <c r="N191" i="29"/>
  <c r="M192" i="29"/>
  <c r="N192" i="29"/>
  <c r="M193" i="29"/>
  <c r="N193" i="29"/>
  <c r="M194" i="29"/>
  <c r="N194" i="29"/>
  <c r="M195" i="29"/>
  <c r="N195" i="29"/>
  <c r="M196" i="29"/>
  <c r="N196" i="29"/>
  <c r="M197" i="29"/>
  <c r="N197" i="29"/>
  <c r="M198" i="29"/>
  <c r="N198" i="29"/>
  <c r="M199" i="29"/>
  <c r="N199" i="29"/>
  <c r="M200" i="29"/>
  <c r="N200" i="29"/>
  <c r="M201" i="29"/>
  <c r="N201" i="29"/>
  <c r="M202" i="29"/>
  <c r="N202" i="29"/>
  <c r="M203" i="29"/>
  <c r="N203" i="29"/>
  <c r="M204" i="29"/>
  <c r="N204" i="29"/>
  <c r="M205" i="29"/>
  <c r="N205" i="29"/>
  <c r="M206" i="29"/>
  <c r="N206" i="29"/>
  <c r="M207" i="29"/>
  <c r="N207" i="29"/>
  <c r="M208" i="29"/>
  <c r="N208" i="29"/>
  <c r="M209" i="29"/>
  <c r="N209" i="29"/>
  <c r="M210" i="29"/>
  <c r="N210" i="29"/>
  <c r="M211" i="29"/>
  <c r="N211" i="29"/>
  <c r="M212" i="29"/>
  <c r="N212" i="29"/>
  <c r="M213" i="29"/>
  <c r="N213" i="29"/>
  <c r="M214" i="29"/>
  <c r="N214" i="29"/>
  <c r="M215" i="29"/>
  <c r="N215" i="29"/>
  <c r="M216" i="29"/>
  <c r="N216" i="29"/>
  <c r="M217" i="29"/>
  <c r="N217" i="29"/>
  <c r="M218" i="29"/>
  <c r="N218" i="29"/>
  <c r="M219" i="29"/>
  <c r="N219" i="29"/>
  <c r="M220" i="29"/>
  <c r="N220" i="29"/>
  <c r="M221" i="29"/>
  <c r="N221" i="29"/>
  <c r="M222" i="29"/>
  <c r="N222" i="29"/>
  <c r="M223" i="29"/>
  <c r="N223" i="29"/>
  <c r="M224" i="29"/>
  <c r="N224" i="29"/>
  <c r="M225" i="29"/>
  <c r="N225" i="29"/>
  <c r="M226" i="29"/>
  <c r="N226" i="29"/>
  <c r="M227" i="29"/>
  <c r="N227" i="29"/>
  <c r="M228" i="29"/>
  <c r="N228" i="29"/>
  <c r="M229" i="29"/>
  <c r="N229" i="29"/>
  <c r="M230" i="29"/>
  <c r="N230" i="29"/>
  <c r="M231" i="29"/>
  <c r="N231" i="29"/>
  <c r="M232" i="29"/>
  <c r="N232" i="29"/>
  <c r="M233" i="29"/>
  <c r="N233" i="29"/>
  <c r="M234" i="29"/>
  <c r="N234" i="29"/>
  <c r="M235" i="29"/>
  <c r="N235" i="29"/>
  <c r="M236" i="29"/>
  <c r="N236" i="29"/>
  <c r="M237" i="29"/>
  <c r="N237" i="29"/>
  <c r="M238" i="29"/>
  <c r="N238" i="29"/>
  <c r="M239" i="29"/>
  <c r="N239" i="29"/>
  <c r="M240" i="29"/>
  <c r="N240" i="29"/>
  <c r="M241" i="29"/>
  <c r="N241" i="29"/>
  <c r="M242" i="29"/>
  <c r="N242" i="29"/>
  <c r="M243" i="29"/>
  <c r="N243" i="29"/>
  <c r="M244" i="29"/>
  <c r="N244" i="29"/>
  <c r="M245" i="29"/>
  <c r="N245" i="29"/>
  <c r="M246" i="29"/>
  <c r="N246" i="29"/>
  <c r="M247" i="29"/>
  <c r="N247" i="29"/>
  <c r="M248" i="29"/>
  <c r="N248" i="29"/>
  <c r="M249" i="29"/>
  <c r="N249" i="29"/>
  <c r="M250" i="29"/>
  <c r="N250" i="29"/>
  <c r="M251" i="29"/>
  <c r="N251" i="29"/>
  <c r="M252" i="29"/>
  <c r="N252" i="29"/>
  <c r="M253" i="29"/>
  <c r="N253" i="29"/>
  <c r="M254" i="29"/>
  <c r="N254" i="29"/>
  <c r="M255" i="29"/>
  <c r="N255" i="29"/>
  <c r="M256" i="29"/>
  <c r="N256" i="29"/>
  <c r="M257" i="29"/>
  <c r="N257" i="29"/>
  <c r="M258" i="29"/>
  <c r="N258" i="29"/>
  <c r="M259" i="29"/>
  <c r="N259" i="29"/>
  <c r="M260" i="29"/>
  <c r="N260" i="29"/>
  <c r="M261" i="29"/>
  <c r="N261" i="29"/>
  <c r="M262" i="29"/>
  <c r="N262" i="29"/>
  <c r="M263" i="29"/>
  <c r="N263" i="29"/>
  <c r="M264" i="29"/>
  <c r="N264" i="29"/>
  <c r="M265" i="29"/>
  <c r="N265" i="29"/>
  <c r="M266" i="29"/>
  <c r="N266" i="29"/>
  <c r="M267" i="29"/>
  <c r="N267" i="29"/>
  <c r="M268" i="29"/>
  <c r="N268" i="29"/>
  <c r="M269" i="29"/>
  <c r="N269" i="29"/>
  <c r="M270" i="29"/>
  <c r="N270" i="29"/>
  <c r="M271" i="29"/>
  <c r="N271" i="29"/>
  <c r="M272" i="29"/>
  <c r="N272" i="29"/>
  <c r="M273" i="29"/>
  <c r="N273" i="29"/>
  <c r="M274" i="29"/>
  <c r="N274" i="29"/>
  <c r="M275" i="29"/>
  <c r="N275" i="29"/>
  <c r="M276" i="29"/>
  <c r="N276" i="29"/>
  <c r="M277" i="29"/>
  <c r="N277" i="29"/>
  <c r="M278" i="29"/>
  <c r="N278" i="29"/>
  <c r="M279" i="29"/>
  <c r="N279" i="29"/>
  <c r="M280" i="29"/>
  <c r="N280" i="29"/>
  <c r="M281" i="29"/>
  <c r="N281" i="29"/>
  <c r="M282" i="29"/>
  <c r="N282" i="29"/>
  <c r="M283" i="29"/>
  <c r="N283" i="29"/>
  <c r="M284" i="29"/>
  <c r="N284" i="29"/>
  <c r="M285" i="29"/>
  <c r="N285" i="29"/>
  <c r="M286" i="29"/>
  <c r="N286" i="29"/>
  <c r="M287" i="29"/>
  <c r="N287" i="29"/>
  <c r="M288" i="29"/>
  <c r="N288" i="29"/>
  <c r="M289" i="29"/>
  <c r="N289" i="29"/>
  <c r="M290" i="29"/>
  <c r="N290" i="29"/>
  <c r="M291" i="29"/>
  <c r="N291" i="29"/>
  <c r="M292" i="29"/>
  <c r="N292" i="29"/>
  <c r="M293" i="29"/>
  <c r="N293" i="29"/>
  <c r="M294" i="29"/>
  <c r="N294" i="29"/>
  <c r="M295" i="29"/>
  <c r="N295" i="29"/>
  <c r="M296" i="29"/>
  <c r="N296" i="29"/>
  <c r="M297" i="29"/>
  <c r="N297" i="29"/>
  <c r="M298" i="29"/>
  <c r="N298" i="29"/>
  <c r="M299" i="29"/>
  <c r="N299" i="29"/>
  <c r="M300" i="29"/>
  <c r="N300" i="29"/>
  <c r="M301" i="29"/>
  <c r="N301" i="29"/>
  <c r="M302" i="29"/>
  <c r="N302" i="29"/>
  <c r="M303" i="29"/>
  <c r="N303" i="29"/>
  <c r="M304" i="29"/>
  <c r="N304" i="29"/>
  <c r="M305" i="29"/>
  <c r="N305" i="29"/>
  <c r="M306" i="29"/>
  <c r="N306" i="29"/>
  <c r="M307" i="29"/>
  <c r="N307" i="29"/>
  <c r="M308" i="29"/>
  <c r="N308" i="29"/>
  <c r="M309" i="29"/>
  <c r="N309" i="29"/>
  <c r="M310" i="29"/>
  <c r="N310" i="29"/>
  <c r="M311" i="29"/>
  <c r="N311" i="29"/>
  <c r="M312" i="29"/>
  <c r="N312" i="29"/>
  <c r="M313" i="29"/>
  <c r="N313" i="29"/>
  <c r="M314" i="29"/>
  <c r="N314" i="29"/>
  <c r="M315" i="29"/>
  <c r="N315" i="29"/>
  <c r="M316" i="29"/>
  <c r="N316" i="29"/>
  <c r="M317" i="29"/>
  <c r="N317" i="29"/>
  <c r="M318" i="29"/>
  <c r="N318" i="29"/>
  <c r="M319" i="29"/>
  <c r="N319" i="29"/>
  <c r="M320" i="29"/>
  <c r="N320" i="29"/>
  <c r="M321" i="29"/>
  <c r="N321" i="29"/>
  <c r="M322" i="29"/>
  <c r="N322" i="29"/>
  <c r="M323" i="29"/>
  <c r="N323" i="29"/>
  <c r="M325" i="29"/>
  <c r="N325" i="29"/>
  <c r="M326" i="29"/>
  <c r="N326" i="29"/>
  <c r="M327" i="29"/>
  <c r="N327" i="29"/>
  <c r="M328" i="29"/>
  <c r="N328" i="29"/>
  <c r="M329" i="29"/>
  <c r="N329" i="29"/>
  <c r="M330" i="29"/>
  <c r="N330" i="29"/>
  <c r="M331" i="29"/>
  <c r="N331" i="29"/>
  <c r="M332" i="29"/>
  <c r="N332" i="29"/>
  <c r="M333" i="29"/>
  <c r="N333" i="29"/>
  <c r="M334" i="29"/>
  <c r="N334" i="29"/>
  <c r="M335" i="29"/>
  <c r="N335" i="29"/>
  <c r="M336" i="29"/>
  <c r="N336" i="29"/>
  <c r="M337" i="29"/>
  <c r="N337" i="29"/>
  <c r="M338" i="29"/>
  <c r="N338" i="29"/>
  <c r="M339" i="29"/>
  <c r="N339" i="29"/>
  <c r="M340" i="29"/>
  <c r="N340" i="29"/>
  <c r="M341" i="29"/>
  <c r="N341" i="29"/>
  <c r="M342" i="29"/>
  <c r="N342" i="29"/>
  <c r="M343" i="29"/>
  <c r="N343" i="29"/>
  <c r="M344" i="29"/>
  <c r="N344" i="29"/>
  <c r="M345" i="29"/>
  <c r="N345" i="29"/>
  <c r="M346" i="29"/>
  <c r="N346" i="29"/>
  <c r="M347" i="29"/>
  <c r="N347" i="29"/>
  <c r="M348" i="29"/>
  <c r="N348" i="29"/>
  <c r="M349" i="29"/>
  <c r="N349" i="29"/>
  <c r="M350" i="29"/>
  <c r="N350" i="29"/>
  <c r="M351" i="29"/>
  <c r="N351" i="29"/>
  <c r="M352" i="29"/>
  <c r="N352" i="29"/>
  <c r="M353" i="29"/>
  <c r="N353" i="29"/>
  <c r="M354" i="29"/>
  <c r="N354" i="29"/>
  <c r="M355" i="29"/>
  <c r="N355" i="29"/>
  <c r="M356" i="29"/>
  <c r="N356" i="29"/>
  <c r="M357" i="29"/>
  <c r="N357" i="29"/>
  <c r="M358" i="29"/>
  <c r="N358" i="29"/>
  <c r="M359" i="29"/>
  <c r="N359" i="29"/>
  <c r="M360" i="29"/>
  <c r="N360" i="29"/>
  <c r="M361" i="29"/>
  <c r="N361" i="29"/>
  <c r="M362" i="29"/>
  <c r="N362" i="29"/>
  <c r="M363" i="29"/>
  <c r="N363" i="29"/>
  <c r="M364" i="29"/>
  <c r="N364" i="29"/>
  <c r="M365" i="29"/>
  <c r="N365" i="29"/>
  <c r="M366" i="29"/>
  <c r="N366" i="29"/>
  <c r="M367" i="29"/>
  <c r="N367" i="29"/>
  <c r="M368" i="29"/>
  <c r="N368" i="29"/>
  <c r="M369" i="29"/>
  <c r="N369" i="29"/>
  <c r="M370" i="29"/>
  <c r="N370" i="29"/>
  <c r="M371" i="29"/>
  <c r="N371" i="29"/>
  <c r="M372" i="29"/>
  <c r="N372" i="29"/>
  <c r="M373" i="29"/>
  <c r="N373" i="29"/>
  <c r="M374" i="29"/>
  <c r="N374" i="29"/>
  <c r="M375" i="29"/>
  <c r="N375" i="29"/>
  <c r="M376" i="29"/>
  <c r="N376" i="29"/>
  <c r="M377" i="29"/>
  <c r="N377" i="29"/>
  <c r="M378" i="29"/>
  <c r="N378" i="29"/>
  <c r="M379" i="29"/>
  <c r="N379" i="29"/>
  <c r="M380" i="29"/>
  <c r="N380" i="29"/>
  <c r="M381" i="29"/>
  <c r="N381" i="29"/>
  <c r="M382" i="29"/>
  <c r="N382" i="29"/>
  <c r="M383" i="29"/>
  <c r="N383" i="29"/>
  <c r="M384" i="29"/>
  <c r="N384" i="29"/>
  <c r="M385" i="29"/>
  <c r="N385" i="29"/>
  <c r="M386" i="29"/>
  <c r="N386" i="29"/>
  <c r="M387" i="29"/>
  <c r="N387" i="29"/>
  <c r="M388" i="29"/>
  <c r="N388" i="29"/>
  <c r="M389" i="29"/>
  <c r="N389" i="29"/>
  <c r="M390" i="29"/>
  <c r="N390" i="29"/>
  <c r="M391" i="29"/>
  <c r="N391" i="29"/>
  <c r="M392" i="29"/>
  <c r="N392" i="29"/>
  <c r="M393" i="29"/>
  <c r="N393" i="29"/>
  <c r="M394" i="29"/>
  <c r="N394" i="29"/>
  <c r="M395" i="29"/>
  <c r="N395" i="29"/>
  <c r="M396" i="29"/>
  <c r="N396" i="29"/>
  <c r="M397" i="29"/>
  <c r="N397" i="29"/>
  <c r="M398" i="29"/>
  <c r="N398" i="29"/>
  <c r="M399" i="29"/>
  <c r="N399" i="29"/>
  <c r="M400" i="29"/>
  <c r="N400" i="29"/>
  <c r="M401" i="29"/>
  <c r="N401" i="29"/>
  <c r="M402" i="29"/>
  <c r="N402" i="29"/>
  <c r="M403" i="29"/>
  <c r="N403" i="29"/>
  <c r="M404" i="29"/>
  <c r="N404" i="29"/>
  <c r="M405" i="29"/>
  <c r="N405" i="29"/>
  <c r="M406" i="29"/>
  <c r="N406" i="29"/>
  <c r="M407" i="29"/>
  <c r="N407" i="29"/>
  <c r="M408" i="29"/>
  <c r="N408" i="29"/>
  <c r="M409" i="29"/>
  <c r="N409" i="29"/>
  <c r="M410" i="29"/>
  <c r="N410" i="29"/>
  <c r="M411" i="29"/>
  <c r="N411" i="29"/>
  <c r="M412" i="29"/>
  <c r="N412" i="29"/>
  <c r="M413" i="29"/>
  <c r="N413" i="29"/>
  <c r="M414" i="29"/>
  <c r="N414" i="29"/>
  <c r="M415" i="29"/>
  <c r="N415" i="29"/>
  <c r="M416" i="29"/>
  <c r="N416" i="29"/>
  <c r="M417" i="29"/>
  <c r="N417" i="29"/>
  <c r="M418" i="29"/>
  <c r="N418" i="29"/>
  <c r="M419" i="29"/>
  <c r="N419" i="29"/>
  <c r="M420" i="29"/>
  <c r="N420" i="29"/>
  <c r="M421" i="29"/>
  <c r="N421" i="29"/>
  <c r="M422" i="29"/>
  <c r="N422" i="29"/>
  <c r="M423" i="29"/>
  <c r="N423" i="29"/>
  <c r="M424" i="29"/>
  <c r="N424" i="29"/>
  <c r="M425" i="29"/>
  <c r="N425" i="29"/>
  <c r="M426" i="29"/>
  <c r="N426" i="29"/>
  <c r="M427" i="29"/>
  <c r="N427" i="29"/>
  <c r="M428" i="29"/>
  <c r="N428" i="29"/>
  <c r="M429" i="29"/>
  <c r="N429" i="29"/>
  <c r="M430" i="29"/>
  <c r="N430" i="29"/>
  <c r="M431" i="29"/>
  <c r="N431" i="29"/>
  <c r="M432" i="29"/>
  <c r="N432" i="29"/>
  <c r="M433" i="29"/>
  <c r="N433" i="29"/>
  <c r="M434" i="29"/>
  <c r="N434" i="29"/>
  <c r="M435" i="29"/>
  <c r="N435" i="29"/>
  <c r="M436" i="29"/>
  <c r="N436" i="29"/>
  <c r="M437" i="29"/>
  <c r="N437" i="29"/>
  <c r="M438" i="29"/>
  <c r="N438" i="29"/>
  <c r="M439" i="29"/>
  <c r="N439" i="29"/>
  <c r="M440" i="29"/>
  <c r="N440" i="29"/>
  <c r="M441" i="29"/>
  <c r="N441" i="29"/>
  <c r="M442" i="29"/>
  <c r="N442" i="29"/>
  <c r="M443" i="29"/>
  <c r="N443" i="29"/>
  <c r="M444" i="29"/>
  <c r="N444" i="29"/>
  <c r="M445" i="29"/>
  <c r="N445" i="29"/>
  <c r="M446" i="29"/>
  <c r="N446" i="29"/>
  <c r="M447" i="29"/>
  <c r="N447" i="29"/>
  <c r="M448" i="29"/>
  <c r="N448" i="29"/>
  <c r="M449" i="29"/>
  <c r="N449" i="29"/>
  <c r="M450" i="29"/>
  <c r="N450" i="29"/>
  <c r="M451" i="29"/>
  <c r="N451" i="29"/>
  <c r="M452" i="29"/>
  <c r="N452" i="29"/>
  <c r="M453" i="29"/>
  <c r="N453" i="29"/>
  <c r="M454" i="29"/>
  <c r="N454" i="29"/>
  <c r="M455" i="29"/>
  <c r="N455" i="29"/>
  <c r="M456" i="29"/>
  <c r="N456" i="29"/>
  <c r="M457" i="29"/>
  <c r="N457" i="29"/>
  <c r="M458" i="29"/>
  <c r="N458" i="29"/>
  <c r="M459" i="29"/>
  <c r="N459" i="29"/>
  <c r="M460" i="29"/>
  <c r="N460" i="29"/>
  <c r="M461" i="29"/>
  <c r="N461" i="29"/>
  <c r="M462" i="29"/>
  <c r="N462" i="29"/>
  <c r="M463" i="29"/>
  <c r="N463" i="29"/>
  <c r="M464" i="29"/>
  <c r="N464" i="29"/>
  <c r="M465" i="29"/>
  <c r="N465" i="29"/>
  <c r="M466" i="29"/>
  <c r="N466" i="29"/>
  <c r="M467" i="29"/>
  <c r="N467" i="29"/>
  <c r="M468" i="29"/>
  <c r="N468" i="29"/>
  <c r="M469" i="29"/>
  <c r="N469" i="29"/>
  <c r="M470" i="29"/>
  <c r="N470" i="29"/>
  <c r="M471" i="29"/>
  <c r="N471" i="29"/>
  <c r="M472" i="29"/>
  <c r="N472" i="29"/>
  <c r="M473" i="29"/>
  <c r="N473" i="29"/>
  <c r="M474" i="29"/>
  <c r="N474" i="29"/>
  <c r="M475" i="29"/>
  <c r="N475" i="29"/>
  <c r="M476" i="29"/>
  <c r="N476" i="29"/>
  <c r="M477" i="29"/>
  <c r="N477" i="29"/>
  <c r="M478" i="29"/>
  <c r="N478" i="29"/>
  <c r="M479" i="29"/>
  <c r="N479" i="29"/>
  <c r="M480" i="29"/>
  <c r="N480" i="29"/>
  <c r="M481" i="29"/>
  <c r="N481" i="29"/>
  <c r="M482" i="29"/>
  <c r="N482" i="29"/>
  <c r="M483" i="29"/>
  <c r="N483" i="29"/>
  <c r="M484" i="29"/>
  <c r="N484" i="29"/>
  <c r="M485" i="29"/>
  <c r="N485" i="29"/>
  <c r="M486" i="29"/>
  <c r="N486" i="29"/>
  <c r="M487" i="29"/>
  <c r="N487" i="29"/>
  <c r="M488" i="29"/>
  <c r="N488" i="29"/>
  <c r="M489" i="29"/>
  <c r="N489" i="29"/>
  <c r="M490" i="29"/>
  <c r="N490" i="29"/>
  <c r="M491" i="29"/>
  <c r="N491" i="29"/>
  <c r="M492" i="29"/>
  <c r="N492" i="29"/>
  <c r="M493" i="29"/>
  <c r="N493" i="29"/>
  <c r="M494" i="29"/>
  <c r="N494" i="29"/>
  <c r="M495" i="29"/>
  <c r="N495" i="29"/>
  <c r="M496" i="29"/>
  <c r="N496" i="29"/>
  <c r="M497" i="29"/>
  <c r="N497" i="29"/>
  <c r="M498" i="29"/>
  <c r="N498" i="29"/>
  <c r="M499" i="29"/>
  <c r="N499" i="29"/>
  <c r="M500" i="29"/>
  <c r="N500" i="29"/>
  <c r="M501" i="29"/>
  <c r="N501" i="29"/>
  <c r="M502" i="29"/>
  <c r="N502" i="29"/>
  <c r="M503" i="29"/>
  <c r="N503" i="29"/>
  <c r="M504" i="29"/>
  <c r="N504" i="29"/>
  <c r="M505" i="29"/>
  <c r="N505" i="29"/>
  <c r="M506" i="29"/>
  <c r="N506" i="29"/>
  <c r="M507" i="29"/>
  <c r="N507" i="29"/>
  <c r="M508" i="29"/>
  <c r="N508" i="29"/>
  <c r="M509" i="29"/>
  <c r="N509" i="29"/>
  <c r="M510" i="29"/>
  <c r="N510" i="29"/>
  <c r="M516" i="29"/>
  <c r="N516" i="29"/>
  <c r="M517" i="29"/>
  <c r="N517" i="29"/>
  <c r="M518" i="29"/>
  <c r="N518" i="29"/>
  <c r="M519" i="29"/>
  <c r="N519" i="29"/>
  <c r="M520" i="29"/>
  <c r="N520" i="29"/>
  <c r="M521" i="29"/>
  <c r="N521" i="29"/>
  <c r="M522" i="29"/>
  <c r="N522" i="29"/>
  <c r="M161" i="10"/>
  <c r="M152" i="10"/>
  <c r="M156" i="10"/>
  <c r="M160" i="10"/>
  <c r="N5" i="29" l="1"/>
  <c r="M5" i="29"/>
  <c r="O76" i="10"/>
  <c r="Q512" i="29"/>
  <c r="J283" i="34" l="1"/>
  <c r="N283" i="34" s="1"/>
  <c r="J281" i="34"/>
  <c r="N281" i="34" s="1"/>
  <c r="J282" i="34"/>
  <c r="N282" i="34" s="1"/>
  <c r="J284" i="34"/>
  <c r="N284" i="34" s="1"/>
  <c r="AA74" i="10"/>
  <c r="H34" i="7" l="1"/>
  <c r="AB52" i="10"/>
  <c r="M40" i="10"/>
  <c r="Q511" i="29" l="1"/>
  <c r="R511" i="29" l="1"/>
  <c r="S511" i="29" s="1"/>
  <c r="R471" i="29" l="1"/>
  <c r="Q471" i="29"/>
  <c r="S471" i="29" l="1"/>
  <c r="U220" i="29"/>
  <c r="U219" i="29"/>
  <c r="U214" i="29"/>
  <c r="U213" i="29"/>
  <c r="U212" i="29"/>
  <c r="U211" i="29"/>
  <c r="U210" i="29"/>
  <c r="U209" i="29"/>
  <c r="U208" i="29"/>
  <c r="U207" i="29"/>
  <c r="U206" i="29"/>
  <c r="U205" i="29"/>
  <c r="U204" i="29"/>
  <c r="U203" i="29"/>
  <c r="U202" i="29"/>
  <c r="U201" i="29"/>
  <c r="U200" i="29"/>
  <c r="U199" i="29"/>
  <c r="U198" i="29"/>
  <c r="U197" i="29"/>
  <c r="U196" i="29"/>
  <c r="U195" i="29"/>
  <c r="U194" i="29"/>
  <c r="U193" i="29"/>
  <c r="U192" i="29"/>
  <c r="U191" i="29"/>
  <c r="U190" i="29"/>
  <c r="U189" i="29"/>
  <c r="U188" i="29"/>
  <c r="U187" i="29"/>
  <c r="U186" i="29"/>
  <c r="U185" i="29"/>
  <c r="U184" i="29"/>
  <c r="O56" i="23" l="1"/>
  <c r="O57" i="23"/>
  <c r="O46" i="23"/>
  <c r="H37" i="7" s="1"/>
  <c r="Q218" i="29" l="1"/>
  <c r="N329" i="34" s="1"/>
  <c r="R218" i="29"/>
  <c r="O329" i="34" s="1"/>
  <c r="Q470" i="29"/>
  <c r="R470" i="29"/>
  <c r="Q467" i="29"/>
  <c r="J163" i="34" s="1"/>
  <c r="N163" i="34" s="1"/>
  <c r="P163" i="34" s="1"/>
  <c r="R467" i="29"/>
  <c r="K163" i="34" s="1"/>
  <c r="O163" i="34" s="1"/>
  <c r="Q393" i="29"/>
  <c r="R393" i="29"/>
  <c r="Q354" i="29"/>
  <c r="R354" i="29"/>
  <c r="Q510" i="29"/>
  <c r="R510" i="29"/>
  <c r="Q327" i="29"/>
  <c r="R327" i="29"/>
  <c r="Q321" i="29"/>
  <c r="N393" i="34" s="1"/>
  <c r="R321" i="29"/>
  <c r="O393" i="34" s="1"/>
  <c r="Q322" i="29"/>
  <c r="N394" i="34" s="1"/>
  <c r="R322" i="29"/>
  <c r="O394" i="34" s="1"/>
  <c r="Q319" i="29"/>
  <c r="R319" i="29"/>
  <c r="Q309" i="29"/>
  <c r="R309" i="29"/>
  <c r="Q303" i="29"/>
  <c r="R303" i="29"/>
  <c r="Q281" i="29"/>
  <c r="R281" i="29"/>
  <c r="M39" i="10"/>
  <c r="M42" i="10"/>
  <c r="M43" i="10"/>
  <c r="M45" i="10"/>
  <c r="P393" i="34" l="1"/>
  <c r="P329" i="34"/>
  <c r="P394" i="34"/>
  <c r="O274" i="34"/>
  <c r="K273" i="34"/>
  <c r="O273" i="34" s="1"/>
  <c r="K166" i="34"/>
  <c r="O166" i="34" s="1"/>
  <c r="O168" i="34"/>
  <c r="O167" i="34"/>
  <c r="J274" i="34"/>
  <c r="N274" i="34" s="1"/>
  <c r="P274" i="34" s="1"/>
  <c r="J273" i="34"/>
  <c r="N273" i="34" s="1"/>
  <c r="P273" i="34" s="1"/>
  <c r="J166" i="34"/>
  <c r="N166" i="34" s="1"/>
  <c r="P166" i="34" s="1"/>
  <c r="N167" i="34"/>
  <c r="P167" i="34" s="1"/>
  <c r="N168" i="34"/>
  <c r="P168" i="34" s="1"/>
  <c r="AA45" i="10"/>
  <c r="S218" i="29"/>
  <c r="S393" i="29"/>
  <c r="S470" i="29"/>
  <c r="S467" i="29"/>
  <c r="S354" i="29"/>
  <c r="S327" i="29"/>
  <c r="S510" i="29"/>
  <c r="S322" i="29"/>
  <c r="S321" i="29"/>
  <c r="S309" i="29"/>
  <c r="S319" i="29"/>
  <c r="S303" i="29"/>
  <c r="S281" i="29"/>
  <c r="Q233" i="29" l="1"/>
  <c r="N342" i="34" s="1"/>
  <c r="P342" i="34" s="1"/>
  <c r="R233" i="29"/>
  <c r="O342" i="34" s="1"/>
  <c r="S233" i="29" l="1"/>
  <c r="Q228" i="29"/>
  <c r="N337" i="34" s="1"/>
  <c r="P337" i="34" s="1"/>
  <c r="R228" i="29"/>
  <c r="O337" i="34" s="1"/>
  <c r="Q503" i="29"/>
  <c r="R503" i="29"/>
  <c r="Q191" i="29"/>
  <c r="R191" i="29"/>
  <c r="Q202" i="29"/>
  <c r="R202" i="29"/>
  <c r="Q87" i="29"/>
  <c r="R87" i="29"/>
  <c r="Q71" i="29"/>
  <c r="R71" i="29"/>
  <c r="Q32" i="29"/>
  <c r="R32" i="29"/>
  <c r="Q33" i="29"/>
  <c r="R33" i="29"/>
  <c r="O33" i="34" l="1"/>
  <c r="K32" i="34"/>
  <c r="O32" i="34" s="1"/>
  <c r="O31" i="34"/>
  <c r="O30" i="34"/>
  <c r="N30" i="34"/>
  <c r="N31" i="34"/>
  <c r="P31" i="34" s="1"/>
  <c r="J32" i="34"/>
  <c r="N32" i="34" s="1"/>
  <c r="P32" i="34" s="1"/>
  <c r="N33" i="34"/>
  <c r="P33" i="34" s="1"/>
  <c r="S228" i="29"/>
  <c r="S503" i="29"/>
  <c r="S202" i="29"/>
  <c r="S191" i="29"/>
  <c r="S87" i="29"/>
  <c r="S71" i="29"/>
  <c r="S33" i="29"/>
  <c r="S32" i="29"/>
  <c r="P30" i="34" l="1"/>
  <c r="J4" i="29"/>
  <c r="J2" i="29" s="1"/>
  <c r="L4" i="29" l="1"/>
  <c r="AD9" i="29" l="1"/>
  <c r="AB176" i="10" l="1"/>
  <c r="AB175" i="10"/>
  <c r="M72" i="10"/>
  <c r="AA72" i="10" l="1"/>
  <c r="R398" i="29"/>
  <c r="K50" i="34" s="1"/>
  <c r="O50" i="34" s="1"/>
  <c r="Q398" i="29" l="1"/>
  <c r="S398" i="29" l="1"/>
  <c r="J50" i="34"/>
  <c r="N50" i="34" s="1"/>
  <c r="P50" i="34" s="1"/>
  <c r="AA10" i="29"/>
  <c r="AB10" i="29"/>
  <c r="AC10" i="29"/>
  <c r="AD10" i="29"/>
  <c r="AE10" i="29"/>
  <c r="AF10" i="29"/>
  <c r="AG10" i="29"/>
  <c r="AH10" i="29"/>
  <c r="AI10" i="29"/>
  <c r="AJ10" i="29"/>
  <c r="AK10" i="29"/>
  <c r="AL10" i="29"/>
  <c r="AM10" i="29"/>
  <c r="AN10" i="29"/>
  <c r="AO10" i="29"/>
  <c r="AP10" i="29"/>
  <c r="AQ10" i="29"/>
  <c r="AR10" i="29"/>
  <c r="AS10" i="29"/>
  <c r="AT10" i="29"/>
  <c r="AU10" i="29"/>
  <c r="AV10" i="29"/>
  <c r="AW10" i="29"/>
  <c r="AX10" i="29"/>
  <c r="AY10" i="29"/>
  <c r="AZ10" i="29"/>
  <c r="BA10" i="29"/>
  <c r="BB10" i="29"/>
  <c r="BC10" i="29"/>
  <c r="BD10" i="29"/>
  <c r="BE10" i="29"/>
  <c r="BF10" i="29"/>
  <c r="BG10" i="29"/>
  <c r="AA11" i="29"/>
  <c r="AB11" i="29"/>
  <c r="AC11" i="29"/>
  <c r="AD11" i="29"/>
  <c r="AE11" i="29"/>
  <c r="AF11" i="29"/>
  <c r="AG11" i="29"/>
  <c r="AH11" i="29"/>
  <c r="AI11" i="29"/>
  <c r="AJ11" i="29"/>
  <c r="AK11" i="29"/>
  <c r="AL11" i="29"/>
  <c r="AM11" i="29"/>
  <c r="AN11" i="29"/>
  <c r="AO11" i="29"/>
  <c r="AP11" i="29"/>
  <c r="AQ11" i="29"/>
  <c r="AR11" i="29"/>
  <c r="AS11" i="29"/>
  <c r="AT11" i="29"/>
  <c r="AU11" i="29"/>
  <c r="AV11" i="29"/>
  <c r="AW11" i="29"/>
  <c r="AX11" i="29"/>
  <c r="AY11" i="29"/>
  <c r="AZ11" i="29"/>
  <c r="BA11" i="29"/>
  <c r="BB11" i="29"/>
  <c r="BC11" i="29"/>
  <c r="BD11" i="29"/>
  <c r="BE11" i="29"/>
  <c r="BF11" i="29"/>
  <c r="BG11" i="29"/>
  <c r="AB12" i="29"/>
  <c r="AC12" i="29"/>
  <c r="AD12" i="29"/>
  <c r="AE12" i="29"/>
  <c r="AF12" i="29"/>
  <c r="AG12" i="29"/>
  <c r="AH12" i="29"/>
  <c r="AI12" i="29"/>
  <c r="AJ12" i="29"/>
  <c r="AK12" i="29"/>
  <c r="AL12" i="29"/>
  <c r="AM12" i="29"/>
  <c r="AN12" i="29"/>
  <c r="AO12" i="29"/>
  <c r="AP12" i="29"/>
  <c r="AQ12" i="29"/>
  <c r="AR12" i="29"/>
  <c r="AS12" i="29"/>
  <c r="AT12" i="29"/>
  <c r="AU12" i="29"/>
  <c r="AV12" i="29"/>
  <c r="AW12" i="29"/>
  <c r="AX12" i="29"/>
  <c r="AY12" i="29"/>
  <c r="AZ12" i="29"/>
  <c r="BA12" i="29"/>
  <c r="BB12" i="29"/>
  <c r="BC12" i="29"/>
  <c r="BD12" i="29"/>
  <c r="BE12" i="29"/>
  <c r="BF12" i="29"/>
  <c r="BG12" i="29"/>
  <c r="AB13" i="29"/>
  <c r="AC13" i="29"/>
  <c r="AD13" i="29"/>
  <c r="AE13" i="29"/>
  <c r="AF13" i="29"/>
  <c r="AG13" i="29"/>
  <c r="AH13" i="29"/>
  <c r="AI13" i="29"/>
  <c r="AJ13" i="29"/>
  <c r="AK13" i="29"/>
  <c r="AL13" i="29"/>
  <c r="AM13" i="29"/>
  <c r="AN13" i="29"/>
  <c r="AO13" i="29"/>
  <c r="AP13" i="29"/>
  <c r="AQ13" i="29"/>
  <c r="AR13" i="29"/>
  <c r="AS13" i="29"/>
  <c r="AT13" i="29"/>
  <c r="AU13" i="29"/>
  <c r="AV13" i="29"/>
  <c r="AW13" i="29"/>
  <c r="AX13" i="29"/>
  <c r="AY13" i="29"/>
  <c r="AZ13" i="29"/>
  <c r="BA13" i="29"/>
  <c r="BB13" i="29"/>
  <c r="BC13" i="29"/>
  <c r="BD13" i="29"/>
  <c r="BE13" i="29"/>
  <c r="BF13" i="29"/>
  <c r="BG13" i="29"/>
  <c r="AA14" i="29"/>
  <c r="AB14" i="29"/>
  <c r="AC14" i="29"/>
  <c r="AD14" i="29"/>
  <c r="AE14" i="29"/>
  <c r="AF14" i="29"/>
  <c r="AG14" i="29"/>
  <c r="AH14" i="29"/>
  <c r="AI14" i="29"/>
  <c r="AJ14" i="29"/>
  <c r="AK14" i="29"/>
  <c r="AL14" i="29"/>
  <c r="AM14" i="29"/>
  <c r="AN14" i="29"/>
  <c r="AO14" i="29"/>
  <c r="AP14" i="29"/>
  <c r="AQ14" i="29"/>
  <c r="AR14" i="29"/>
  <c r="AS14" i="29"/>
  <c r="AT14" i="29"/>
  <c r="AU14" i="29"/>
  <c r="AV14" i="29"/>
  <c r="AW14" i="29"/>
  <c r="AX14" i="29"/>
  <c r="AY14" i="29"/>
  <c r="AZ14" i="29"/>
  <c r="BA14" i="29"/>
  <c r="BB14" i="29"/>
  <c r="BC14" i="29"/>
  <c r="BD14" i="29"/>
  <c r="BE14" i="29"/>
  <c r="BF14" i="29"/>
  <c r="BG14" i="29"/>
  <c r="AA15" i="29"/>
  <c r="AB15" i="29"/>
  <c r="AC15" i="29"/>
  <c r="AD15" i="29"/>
  <c r="AE15" i="29"/>
  <c r="AF15" i="29"/>
  <c r="AG15" i="29"/>
  <c r="AH15" i="29"/>
  <c r="AI15" i="29"/>
  <c r="AJ15" i="29"/>
  <c r="AK15" i="29"/>
  <c r="AL15" i="29"/>
  <c r="AM15" i="29"/>
  <c r="AN15" i="29"/>
  <c r="AO15" i="29"/>
  <c r="AP15" i="29"/>
  <c r="AQ15" i="29"/>
  <c r="AR15" i="29"/>
  <c r="AS15" i="29"/>
  <c r="AT15" i="29"/>
  <c r="AU15" i="29"/>
  <c r="AV15" i="29"/>
  <c r="AW15" i="29"/>
  <c r="AX15" i="29"/>
  <c r="AY15" i="29"/>
  <c r="AZ15" i="29"/>
  <c r="BA15" i="29"/>
  <c r="BB15" i="29"/>
  <c r="BC15" i="29"/>
  <c r="BD15" i="29"/>
  <c r="BE15" i="29"/>
  <c r="BF15" i="29"/>
  <c r="BG15" i="29"/>
  <c r="AA16" i="29"/>
  <c r="AB16" i="29"/>
  <c r="AC16" i="29"/>
  <c r="AD16" i="29"/>
  <c r="AE16" i="29"/>
  <c r="AF16" i="29"/>
  <c r="AG16" i="29"/>
  <c r="AH16" i="29"/>
  <c r="AI16" i="29"/>
  <c r="AJ16" i="29"/>
  <c r="AK16" i="29"/>
  <c r="AL16" i="29"/>
  <c r="AM16" i="29"/>
  <c r="AN16" i="29"/>
  <c r="AO16" i="29"/>
  <c r="AP16" i="29"/>
  <c r="AQ16" i="29"/>
  <c r="AR16" i="29"/>
  <c r="AS16" i="29"/>
  <c r="AT16" i="29"/>
  <c r="AU16" i="29"/>
  <c r="AV16" i="29"/>
  <c r="AW16" i="29"/>
  <c r="AX16" i="29"/>
  <c r="AY16" i="29"/>
  <c r="AZ16" i="29"/>
  <c r="BA16" i="29"/>
  <c r="BB16" i="29"/>
  <c r="BC16" i="29"/>
  <c r="BD16" i="29"/>
  <c r="BE16" i="29"/>
  <c r="BF16" i="29"/>
  <c r="BG16" i="29"/>
  <c r="AA17" i="29"/>
  <c r="AB17" i="29"/>
  <c r="AC17" i="29"/>
  <c r="AD17" i="29"/>
  <c r="AE17" i="29"/>
  <c r="AF17" i="29"/>
  <c r="AG17" i="29"/>
  <c r="AH17" i="29"/>
  <c r="AI17" i="29"/>
  <c r="AJ17" i="29"/>
  <c r="AK17" i="29"/>
  <c r="AL17" i="29"/>
  <c r="AM17" i="29"/>
  <c r="AN17" i="29"/>
  <c r="AO17" i="29"/>
  <c r="AP17" i="29"/>
  <c r="AQ17" i="29"/>
  <c r="AR17" i="29"/>
  <c r="AS17" i="29"/>
  <c r="AT17" i="29"/>
  <c r="AU17" i="29"/>
  <c r="AV17" i="29"/>
  <c r="AW17" i="29"/>
  <c r="AX17" i="29"/>
  <c r="AY17" i="29"/>
  <c r="AZ17" i="29"/>
  <c r="BA17" i="29"/>
  <c r="BB17" i="29"/>
  <c r="BC17" i="29"/>
  <c r="BD17" i="29"/>
  <c r="BE17" i="29"/>
  <c r="BF17" i="29"/>
  <c r="BG17" i="29"/>
  <c r="AA18" i="29"/>
  <c r="AD18" i="29"/>
  <c r="AE18" i="29"/>
  <c r="AF18" i="29"/>
  <c r="AG18" i="29"/>
  <c r="AH18" i="29"/>
  <c r="AI18" i="29"/>
  <c r="AJ18" i="29"/>
  <c r="AK18" i="29"/>
  <c r="AL18" i="29"/>
  <c r="AM18" i="29"/>
  <c r="AN18" i="29"/>
  <c r="AO18" i="29"/>
  <c r="AP18" i="29"/>
  <c r="AQ18" i="29"/>
  <c r="AR18" i="29"/>
  <c r="AS18" i="29"/>
  <c r="AT18" i="29"/>
  <c r="AU18" i="29"/>
  <c r="AV18" i="29"/>
  <c r="AW18" i="29"/>
  <c r="AX18" i="29"/>
  <c r="AY18" i="29"/>
  <c r="AZ18" i="29"/>
  <c r="BA18" i="29"/>
  <c r="BB18" i="29"/>
  <c r="BC18" i="29"/>
  <c r="BD18" i="29"/>
  <c r="BE18" i="29"/>
  <c r="BF18" i="29"/>
  <c r="BG18" i="29"/>
  <c r="AA19" i="29"/>
  <c r="AF19" i="29"/>
  <c r="AG19" i="29"/>
  <c r="AH19" i="29"/>
  <c r="AI19" i="29"/>
  <c r="AJ19" i="29"/>
  <c r="AK19" i="29"/>
  <c r="AL19" i="29"/>
  <c r="AM19" i="29"/>
  <c r="AN19" i="29"/>
  <c r="AO19" i="29"/>
  <c r="AP19" i="29"/>
  <c r="AQ19" i="29"/>
  <c r="AR19" i="29"/>
  <c r="AS19" i="29"/>
  <c r="AT19" i="29"/>
  <c r="AU19" i="29"/>
  <c r="AV19" i="29"/>
  <c r="AW19" i="29"/>
  <c r="AX19" i="29"/>
  <c r="AY19" i="29"/>
  <c r="AZ19" i="29"/>
  <c r="BA19" i="29"/>
  <c r="BB19" i="29"/>
  <c r="BC19" i="29"/>
  <c r="BD19" i="29"/>
  <c r="BE19" i="29"/>
  <c r="BF19" i="29"/>
  <c r="BG19" i="29"/>
  <c r="AA20" i="29"/>
  <c r="AB20" i="29"/>
  <c r="AC20" i="29"/>
  <c r="AF20" i="29"/>
  <c r="AG20" i="29"/>
  <c r="AH20" i="29"/>
  <c r="AI20" i="29"/>
  <c r="AJ20" i="29"/>
  <c r="AK20" i="29"/>
  <c r="AL20" i="29"/>
  <c r="AM20" i="29"/>
  <c r="AN20" i="29"/>
  <c r="AO20" i="29"/>
  <c r="AP20" i="29"/>
  <c r="AQ20" i="29"/>
  <c r="AR20" i="29"/>
  <c r="AS20" i="29"/>
  <c r="AT20" i="29"/>
  <c r="AU20" i="29"/>
  <c r="AV20" i="29"/>
  <c r="AW20" i="29"/>
  <c r="AX20" i="29"/>
  <c r="AY20" i="29"/>
  <c r="AZ20" i="29"/>
  <c r="BA20" i="29"/>
  <c r="BB20" i="29"/>
  <c r="BC20" i="29"/>
  <c r="BD20" i="29"/>
  <c r="BE20" i="29"/>
  <c r="BF20" i="29"/>
  <c r="BG20" i="29"/>
  <c r="AA21" i="29"/>
  <c r="AB21" i="29"/>
  <c r="AC21" i="29"/>
  <c r="AD21" i="29"/>
  <c r="AE21" i="29"/>
  <c r="AH21" i="29"/>
  <c r="AI21" i="29"/>
  <c r="AJ21" i="29"/>
  <c r="AK21" i="29"/>
  <c r="AL21" i="29"/>
  <c r="AM21" i="29"/>
  <c r="AN21" i="29"/>
  <c r="AO21" i="29"/>
  <c r="AP21" i="29"/>
  <c r="AQ21" i="29"/>
  <c r="AR21" i="29"/>
  <c r="AS21" i="29"/>
  <c r="AT21" i="29"/>
  <c r="AU21" i="29"/>
  <c r="AV21" i="29"/>
  <c r="AW21" i="29"/>
  <c r="AX21" i="29"/>
  <c r="AY21" i="29"/>
  <c r="AZ21" i="29"/>
  <c r="BA21" i="29"/>
  <c r="BB21" i="29"/>
  <c r="BC21" i="29"/>
  <c r="BD21" i="29"/>
  <c r="BE21" i="29"/>
  <c r="BF21" i="29"/>
  <c r="BG21" i="29"/>
  <c r="AA22" i="29"/>
  <c r="AB22" i="29"/>
  <c r="AC22" i="29"/>
  <c r="AD22" i="29"/>
  <c r="AE22" i="29"/>
  <c r="AJ22" i="29"/>
  <c r="AK22" i="29"/>
  <c r="AL22" i="29"/>
  <c r="AM22" i="29"/>
  <c r="AN22" i="29"/>
  <c r="AO22" i="29"/>
  <c r="AP22" i="29"/>
  <c r="AQ22" i="29"/>
  <c r="AR22" i="29"/>
  <c r="AS22" i="29"/>
  <c r="AT22" i="29"/>
  <c r="AU22" i="29"/>
  <c r="AV22" i="29"/>
  <c r="AW22" i="29"/>
  <c r="AX22" i="29"/>
  <c r="AY22" i="29"/>
  <c r="AZ22" i="29"/>
  <c r="BA22" i="29"/>
  <c r="BB22" i="29"/>
  <c r="BC22" i="29"/>
  <c r="BD22" i="29"/>
  <c r="BE22" i="29"/>
  <c r="BF22" i="29"/>
  <c r="BG22" i="29"/>
  <c r="AA23" i="29"/>
  <c r="AB23" i="29"/>
  <c r="AC23" i="29"/>
  <c r="AD23" i="29"/>
  <c r="AE23" i="29"/>
  <c r="AF23" i="29"/>
  <c r="AG23" i="29"/>
  <c r="AL23" i="29"/>
  <c r="AM23" i="29"/>
  <c r="AN23" i="29"/>
  <c r="AO23" i="29"/>
  <c r="AP23" i="29"/>
  <c r="AQ23" i="29"/>
  <c r="AR23" i="29"/>
  <c r="AS23" i="29"/>
  <c r="AT23" i="29"/>
  <c r="AU23" i="29"/>
  <c r="AV23" i="29"/>
  <c r="AW23" i="29"/>
  <c r="AX23" i="29"/>
  <c r="AY23" i="29"/>
  <c r="AZ23" i="29"/>
  <c r="BA23" i="29"/>
  <c r="BB23" i="29"/>
  <c r="BC23" i="29"/>
  <c r="BD23" i="29"/>
  <c r="BE23" i="29"/>
  <c r="BF23" i="29"/>
  <c r="BG23" i="29"/>
  <c r="AA24" i="29"/>
  <c r="AB24" i="29"/>
  <c r="AC24" i="29"/>
  <c r="AD24" i="29"/>
  <c r="AE24" i="29"/>
  <c r="AF24" i="29"/>
  <c r="AG24" i="29"/>
  <c r="AH24" i="29"/>
  <c r="AI24" i="29"/>
  <c r="AL24" i="29"/>
  <c r="AM24" i="29"/>
  <c r="AN24" i="29"/>
  <c r="AO24" i="29"/>
  <c r="AP24" i="29"/>
  <c r="AQ24" i="29"/>
  <c r="AR24" i="29"/>
  <c r="AS24" i="29"/>
  <c r="AT24" i="29"/>
  <c r="AU24" i="29"/>
  <c r="AV24" i="29"/>
  <c r="AW24" i="29"/>
  <c r="AX24" i="29"/>
  <c r="AY24" i="29"/>
  <c r="AZ24" i="29"/>
  <c r="BA24" i="29"/>
  <c r="BB24" i="29"/>
  <c r="BC24" i="29"/>
  <c r="BD24" i="29"/>
  <c r="BE24" i="29"/>
  <c r="BF24" i="29"/>
  <c r="BG24" i="29"/>
  <c r="AA25" i="29"/>
  <c r="AB25" i="29"/>
  <c r="AC25" i="29"/>
  <c r="AD25" i="29"/>
  <c r="AE25" i="29"/>
  <c r="AF25" i="29"/>
  <c r="AG25" i="29"/>
  <c r="AH25" i="29"/>
  <c r="AI25" i="29"/>
  <c r="AJ25" i="29"/>
  <c r="AK25" i="29"/>
  <c r="AN25" i="29"/>
  <c r="AO25" i="29"/>
  <c r="AP25" i="29"/>
  <c r="AQ25" i="29"/>
  <c r="AR25" i="29"/>
  <c r="AS25" i="29"/>
  <c r="AT25" i="29"/>
  <c r="AU25" i="29"/>
  <c r="AV25" i="29"/>
  <c r="AW25" i="29"/>
  <c r="AX25" i="29"/>
  <c r="AY25" i="29"/>
  <c r="AZ25" i="29"/>
  <c r="BA25" i="29"/>
  <c r="BB25" i="29"/>
  <c r="BC25" i="29"/>
  <c r="BD25" i="29"/>
  <c r="BE25" i="29"/>
  <c r="BF25" i="29"/>
  <c r="BG25" i="29"/>
  <c r="AA26" i="29"/>
  <c r="AB26" i="29"/>
  <c r="AC26" i="29"/>
  <c r="AD26" i="29"/>
  <c r="AE26" i="29"/>
  <c r="AF26" i="29"/>
  <c r="AG26" i="29"/>
  <c r="AH26" i="29"/>
  <c r="AI26" i="29"/>
  <c r="AJ26" i="29"/>
  <c r="AK26" i="29"/>
  <c r="AP26" i="29"/>
  <c r="AQ26" i="29"/>
  <c r="AR26" i="29"/>
  <c r="AS26" i="29"/>
  <c r="AT26" i="29"/>
  <c r="AU26" i="29"/>
  <c r="AV26" i="29"/>
  <c r="AW26" i="29"/>
  <c r="AX26" i="29"/>
  <c r="AY26" i="29"/>
  <c r="AZ26" i="29"/>
  <c r="BA26" i="29"/>
  <c r="BB26" i="29"/>
  <c r="BC26" i="29"/>
  <c r="BD26" i="29"/>
  <c r="BE26" i="29"/>
  <c r="BF26" i="29"/>
  <c r="BG26" i="29"/>
  <c r="AA27" i="29"/>
  <c r="AB27" i="29"/>
  <c r="AC27" i="29"/>
  <c r="AD27" i="29"/>
  <c r="AE27" i="29"/>
  <c r="AF27" i="29"/>
  <c r="AG27" i="29"/>
  <c r="AH27" i="29"/>
  <c r="AI27" i="29"/>
  <c r="AJ27" i="29"/>
  <c r="AK27" i="29"/>
  <c r="AL27" i="29"/>
  <c r="AM27" i="29"/>
  <c r="AR27" i="29"/>
  <c r="AS27" i="29"/>
  <c r="AT27" i="29"/>
  <c r="AU27" i="29"/>
  <c r="AV27" i="29"/>
  <c r="AW27" i="29"/>
  <c r="AX27" i="29"/>
  <c r="AY27" i="29"/>
  <c r="AZ27" i="29"/>
  <c r="BA27" i="29"/>
  <c r="BB27" i="29"/>
  <c r="BC27" i="29"/>
  <c r="BD27" i="29"/>
  <c r="BE27" i="29"/>
  <c r="BF27" i="29"/>
  <c r="BG27" i="29"/>
  <c r="AA28" i="29"/>
  <c r="AB28" i="29"/>
  <c r="AC28" i="29"/>
  <c r="AD28" i="29"/>
  <c r="AE28" i="29"/>
  <c r="AF28" i="29"/>
  <c r="AG28" i="29"/>
  <c r="AH28" i="29"/>
  <c r="AI28" i="29"/>
  <c r="AJ28" i="29"/>
  <c r="AK28" i="29"/>
  <c r="AL28" i="29"/>
  <c r="AM28" i="29"/>
  <c r="AN28" i="29"/>
  <c r="AO28" i="29"/>
  <c r="AR28" i="29"/>
  <c r="AS28" i="29"/>
  <c r="AT28" i="29"/>
  <c r="AU28" i="29"/>
  <c r="AV28" i="29"/>
  <c r="AW28" i="29"/>
  <c r="AX28" i="29"/>
  <c r="AY28" i="29"/>
  <c r="AZ28" i="29"/>
  <c r="BA28" i="29"/>
  <c r="BB28" i="29"/>
  <c r="BC28" i="29"/>
  <c r="BD28" i="29"/>
  <c r="BE28" i="29"/>
  <c r="BF28" i="29"/>
  <c r="BG28" i="29"/>
  <c r="AB29" i="29"/>
  <c r="AC29" i="29"/>
  <c r="AD29" i="29"/>
  <c r="AE29" i="29"/>
  <c r="AF29" i="29"/>
  <c r="AG29" i="29"/>
  <c r="AH29" i="29"/>
  <c r="AI29" i="29"/>
  <c r="AJ29" i="29"/>
  <c r="AK29" i="29"/>
  <c r="AL29" i="29"/>
  <c r="AM29" i="29"/>
  <c r="AN29" i="29"/>
  <c r="AO29" i="29"/>
  <c r="AP29" i="29"/>
  <c r="AQ29" i="29"/>
  <c r="AR29" i="29"/>
  <c r="AS29" i="29"/>
  <c r="AT29" i="29"/>
  <c r="AU29" i="29"/>
  <c r="AV29" i="29"/>
  <c r="AW29" i="29"/>
  <c r="AX29" i="29"/>
  <c r="AY29" i="29"/>
  <c r="AZ29" i="29"/>
  <c r="BA29" i="29"/>
  <c r="BB29" i="29"/>
  <c r="BC29" i="29"/>
  <c r="BD29" i="29"/>
  <c r="BE29" i="29"/>
  <c r="BF29" i="29"/>
  <c r="BG29" i="29"/>
  <c r="AB30" i="29"/>
  <c r="AC30" i="29"/>
  <c r="AD30" i="29"/>
  <c r="AE30" i="29"/>
  <c r="AF30" i="29"/>
  <c r="AG30" i="29"/>
  <c r="AH30" i="29"/>
  <c r="AI30" i="29"/>
  <c r="AJ30" i="29"/>
  <c r="AK30" i="29"/>
  <c r="AL30" i="29"/>
  <c r="AM30" i="29"/>
  <c r="AN30" i="29"/>
  <c r="AO30" i="29"/>
  <c r="AP30" i="29"/>
  <c r="AQ30" i="29"/>
  <c r="AT30" i="29"/>
  <c r="AU30" i="29"/>
  <c r="AV30" i="29"/>
  <c r="AW30" i="29"/>
  <c r="AX30" i="29"/>
  <c r="AY30" i="29"/>
  <c r="AZ30" i="29"/>
  <c r="BA30" i="29"/>
  <c r="BB30" i="29"/>
  <c r="BC30" i="29"/>
  <c r="BD30" i="29"/>
  <c r="BE30" i="29"/>
  <c r="BF30" i="29"/>
  <c r="BG30" i="29"/>
  <c r="AA31" i="29"/>
  <c r="AB31" i="29"/>
  <c r="AC31" i="29"/>
  <c r="AD31" i="29"/>
  <c r="AE31" i="29"/>
  <c r="AF31" i="29"/>
  <c r="AG31" i="29"/>
  <c r="AH31" i="29"/>
  <c r="AI31" i="29"/>
  <c r="AJ31" i="29"/>
  <c r="AK31" i="29"/>
  <c r="AL31" i="29"/>
  <c r="AM31" i="29"/>
  <c r="AN31" i="29"/>
  <c r="AO31" i="29"/>
  <c r="AP31" i="29"/>
  <c r="AQ31" i="29"/>
  <c r="AT31" i="29"/>
  <c r="AU31" i="29"/>
  <c r="AV31" i="29"/>
  <c r="AW31" i="29"/>
  <c r="AX31" i="29"/>
  <c r="AY31" i="29"/>
  <c r="AZ31" i="29"/>
  <c r="BA31" i="29"/>
  <c r="BB31" i="29"/>
  <c r="BC31" i="29"/>
  <c r="BD31" i="29"/>
  <c r="BE31" i="29"/>
  <c r="BF31" i="29"/>
  <c r="BG31" i="29"/>
  <c r="AA34" i="29"/>
  <c r="AB34" i="29"/>
  <c r="AC34" i="29"/>
  <c r="AD34" i="29"/>
  <c r="AE34" i="29"/>
  <c r="AF34" i="29"/>
  <c r="AG34" i="29"/>
  <c r="AH34" i="29"/>
  <c r="AI34" i="29"/>
  <c r="AJ34" i="29"/>
  <c r="AK34" i="29"/>
  <c r="AL34" i="29"/>
  <c r="AM34" i="29"/>
  <c r="AN34" i="29"/>
  <c r="AO34" i="29"/>
  <c r="AP34" i="29"/>
  <c r="AQ34" i="29"/>
  <c r="AR34" i="29"/>
  <c r="AS34" i="29"/>
  <c r="AT34" i="29"/>
  <c r="AU34" i="29"/>
  <c r="AV34" i="29"/>
  <c r="AW34" i="29"/>
  <c r="AX34" i="29"/>
  <c r="AY34" i="29"/>
  <c r="AZ34" i="29"/>
  <c r="BA34" i="29"/>
  <c r="BB34" i="29"/>
  <c r="BC34" i="29"/>
  <c r="BD34" i="29"/>
  <c r="BE34" i="29"/>
  <c r="BF34" i="29"/>
  <c r="BG34" i="29"/>
  <c r="AA35" i="29"/>
  <c r="AB35" i="29"/>
  <c r="AC35" i="29"/>
  <c r="AD35" i="29"/>
  <c r="AE35" i="29"/>
  <c r="AF35" i="29"/>
  <c r="AG35" i="29"/>
  <c r="AH35" i="29"/>
  <c r="AI35" i="29"/>
  <c r="AJ35" i="29"/>
  <c r="AK35" i="29"/>
  <c r="AL35" i="29"/>
  <c r="AM35" i="29"/>
  <c r="AN35" i="29"/>
  <c r="AO35" i="29"/>
  <c r="AP35" i="29"/>
  <c r="AQ35" i="29"/>
  <c r="AR35" i="29"/>
  <c r="AS35" i="29"/>
  <c r="AV35" i="29"/>
  <c r="AW35" i="29"/>
  <c r="AX35" i="29"/>
  <c r="AY35" i="29"/>
  <c r="AZ35" i="29"/>
  <c r="BA35" i="29"/>
  <c r="BB35" i="29"/>
  <c r="BC35" i="29"/>
  <c r="BD35" i="29"/>
  <c r="BE35" i="29"/>
  <c r="BF35" i="29"/>
  <c r="BG35" i="29"/>
  <c r="AA36" i="29"/>
  <c r="AB36" i="29"/>
  <c r="AC36" i="29"/>
  <c r="AD36" i="29"/>
  <c r="AE36" i="29"/>
  <c r="AF36" i="29"/>
  <c r="AG36" i="29"/>
  <c r="AH36" i="29"/>
  <c r="AI36" i="29"/>
  <c r="AJ36" i="29"/>
  <c r="AK36" i="29"/>
  <c r="AL36" i="29"/>
  <c r="AM36" i="29"/>
  <c r="AN36" i="29"/>
  <c r="AO36" i="29"/>
  <c r="AP36" i="29"/>
  <c r="AQ36" i="29"/>
  <c r="AR36" i="29"/>
  <c r="AS36" i="29"/>
  <c r="AT36" i="29"/>
  <c r="AU36" i="29"/>
  <c r="AX36" i="29"/>
  <c r="AY36" i="29"/>
  <c r="AZ36" i="29"/>
  <c r="BA36" i="29"/>
  <c r="BB36" i="29"/>
  <c r="BC36" i="29"/>
  <c r="BD36" i="29"/>
  <c r="BE36" i="29"/>
  <c r="BF36" i="29"/>
  <c r="BG36" i="29"/>
  <c r="AA37" i="29"/>
  <c r="AB37" i="29"/>
  <c r="AC37" i="29"/>
  <c r="AD37" i="29"/>
  <c r="AE37" i="29"/>
  <c r="AF37" i="29"/>
  <c r="AG37" i="29"/>
  <c r="AH37" i="29"/>
  <c r="AI37" i="29"/>
  <c r="AJ37" i="29"/>
  <c r="AK37" i="29"/>
  <c r="AL37" i="29"/>
  <c r="AM37" i="29"/>
  <c r="AN37" i="29"/>
  <c r="AO37" i="29"/>
  <c r="AP37" i="29"/>
  <c r="AQ37" i="29"/>
  <c r="AR37" i="29"/>
  <c r="AS37" i="29"/>
  <c r="AV37" i="29"/>
  <c r="AW37" i="29"/>
  <c r="AZ37" i="29"/>
  <c r="BA37" i="29"/>
  <c r="BB37" i="29"/>
  <c r="BC37" i="29"/>
  <c r="BD37" i="29"/>
  <c r="BE37" i="29"/>
  <c r="BF37" i="29"/>
  <c r="BG37" i="29"/>
  <c r="AA38" i="29"/>
  <c r="AB38" i="29"/>
  <c r="AC38" i="29"/>
  <c r="AD38" i="29"/>
  <c r="AE38" i="29"/>
  <c r="AF38" i="29"/>
  <c r="AG38" i="29"/>
  <c r="AH38" i="29"/>
  <c r="AI38" i="29"/>
  <c r="AJ38" i="29"/>
  <c r="AK38" i="29"/>
  <c r="AL38" i="29"/>
  <c r="AM38" i="29"/>
  <c r="AN38" i="29"/>
  <c r="AO38" i="29"/>
  <c r="AP38" i="29"/>
  <c r="AQ38" i="29"/>
  <c r="AR38" i="29"/>
  <c r="AS38" i="29"/>
  <c r="AT38" i="29"/>
  <c r="AU38" i="29"/>
  <c r="AX38" i="29"/>
  <c r="AY38" i="29"/>
  <c r="BB38" i="29"/>
  <c r="BC38" i="29"/>
  <c r="BD38" i="29"/>
  <c r="BE38" i="29"/>
  <c r="BF38" i="29"/>
  <c r="BG38" i="29"/>
  <c r="AA39" i="29"/>
  <c r="AB39" i="29"/>
  <c r="AC39" i="29"/>
  <c r="AD39" i="29"/>
  <c r="AE39" i="29"/>
  <c r="AF39" i="29"/>
  <c r="AG39" i="29"/>
  <c r="AH39" i="29"/>
  <c r="AI39" i="29"/>
  <c r="AJ39" i="29"/>
  <c r="AK39" i="29"/>
  <c r="AL39" i="29"/>
  <c r="AM39" i="29"/>
  <c r="AN39" i="29"/>
  <c r="AO39" i="29"/>
  <c r="AP39" i="29"/>
  <c r="AQ39" i="29"/>
  <c r="AR39" i="29"/>
  <c r="AS39" i="29"/>
  <c r="AT39" i="29"/>
  <c r="AU39" i="29"/>
  <c r="AV39" i="29"/>
  <c r="AW39" i="29"/>
  <c r="AZ39" i="29"/>
  <c r="BA39" i="29"/>
  <c r="BD39" i="29"/>
  <c r="BE39" i="29"/>
  <c r="BF39" i="29"/>
  <c r="BG39" i="29"/>
  <c r="AA40" i="29"/>
  <c r="AB40" i="29"/>
  <c r="AC40" i="29"/>
  <c r="AD40" i="29"/>
  <c r="AE40" i="29"/>
  <c r="AF40" i="29"/>
  <c r="AG40" i="29"/>
  <c r="AH40" i="29"/>
  <c r="AI40" i="29"/>
  <c r="AJ40" i="29"/>
  <c r="AK40" i="29"/>
  <c r="AL40" i="29"/>
  <c r="AM40" i="29"/>
  <c r="AN40" i="29"/>
  <c r="AO40" i="29"/>
  <c r="AP40" i="29"/>
  <c r="AQ40" i="29"/>
  <c r="AR40" i="29"/>
  <c r="AS40" i="29"/>
  <c r="AT40" i="29"/>
  <c r="AU40" i="29"/>
  <c r="AV40" i="29"/>
  <c r="AW40" i="29"/>
  <c r="AX40" i="29"/>
  <c r="AY40" i="29"/>
  <c r="BB40" i="29"/>
  <c r="BC40" i="29"/>
  <c r="BD40" i="29"/>
  <c r="BE40" i="29"/>
  <c r="BF40" i="29"/>
  <c r="BG40" i="29"/>
  <c r="AA41" i="29"/>
  <c r="AB41" i="29"/>
  <c r="AC41" i="29"/>
  <c r="AD41" i="29"/>
  <c r="AE41" i="29"/>
  <c r="AF41" i="29"/>
  <c r="AG41" i="29"/>
  <c r="AH41" i="29"/>
  <c r="AI41" i="29"/>
  <c r="AJ41" i="29"/>
  <c r="AK41" i="29"/>
  <c r="AL41" i="29"/>
  <c r="AM41" i="29"/>
  <c r="AN41" i="29"/>
  <c r="AO41" i="29"/>
  <c r="AR41" i="29"/>
  <c r="AS41" i="29"/>
  <c r="AT41" i="29"/>
  <c r="AU41" i="29"/>
  <c r="AV41" i="29"/>
  <c r="AW41" i="29"/>
  <c r="AX41" i="29"/>
  <c r="AY41" i="29"/>
  <c r="AZ41" i="29"/>
  <c r="BA41" i="29"/>
  <c r="BD41" i="29"/>
  <c r="BE41" i="29"/>
  <c r="BF41" i="29"/>
  <c r="BG41" i="29"/>
  <c r="AA42" i="29"/>
  <c r="AB42" i="29"/>
  <c r="AC42" i="29"/>
  <c r="AD42" i="29"/>
  <c r="AE42" i="29"/>
  <c r="AF42" i="29"/>
  <c r="AG42" i="29"/>
  <c r="AH42" i="29"/>
  <c r="AI42" i="29"/>
  <c r="AJ42" i="29"/>
  <c r="AK42" i="29"/>
  <c r="AL42" i="29"/>
  <c r="AM42" i="29"/>
  <c r="AP42" i="29"/>
  <c r="AQ42" i="29"/>
  <c r="AR42" i="29"/>
  <c r="AS42" i="29"/>
  <c r="AT42" i="29"/>
  <c r="AU42" i="29"/>
  <c r="AV42" i="29"/>
  <c r="AW42" i="29"/>
  <c r="AX42" i="29"/>
  <c r="AY42" i="29"/>
  <c r="AZ42" i="29"/>
  <c r="BA42" i="29"/>
  <c r="BB42" i="29"/>
  <c r="BC42" i="29"/>
  <c r="BD42" i="29"/>
  <c r="BE42" i="29"/>
  <c r="BF42" i="29"/>
  <c r="BG42" i="29"/>
  <c r="AA43" i="29"/>
  <c r="AB43" i="29"/>
  <c r="AC43" i="29"/>
  <c r="AD43" i="29"/>
  <c r="AE43" i="29"/>
  <c r="AF43" i="29"/>
  <c r="AG43" i="29"/>
  <c r="AH43" i="29"/>
  <c r="AI43" i="29"/>
  <c r="AJ43" i="29"/>
  <c r="AK43" i="29"/>
  <c r="AL43" i="29"/>
  <c r="AM43" i="29"/>
  <c r="AN43" i="29"/>
  <c r="AO43" i="29"/>
  <c r="AR43" i="29"/>
  <c r="AS43" i="29"/>
  <c r="AT43" i="29"/>
  <c r="AU43" i="29"/>
  <c r="AV43" i="29"/>
  <c r="AW43" i="29"/>
  <c r="AX43" i="29"/>
  <c r="AY43" i="29"/>
  <c r="AZ43" i="29"/>
  <c r="BA43" i="29"/>
  <c r="BB43" i="29"/>
  <c r="BC43" i="29"/>
  <c r="BD43" i="29"/>
  <c r="BE43" i="29"/>
  <c r="BF43" i="29"/>
  <c r="BG43" i="29"/>
  <c r="AA44" i="29"/>
  <c r="AB44" i="29"/>
  <c r="AC44" i="29"/>
  <c r="AD44" i="29"/>
  <c r="AE44" i="29"/>
  <c r="AF44" i="29"/>
  <c r="AG44" i="29"/>
  <c r="AH44" i="29"/>
  <c r="AI44" i="29"/>
  <c r="AL44" i="29"/>
  <c r="AM44" i="29"/>
  <c r="AN44" i="29"/>
  <c r="AO44" i="29"/>
  <c r="AP44" i="29"/>
  <c r="AQ44" i="29"/>
  <c r="AR44" i="29"/>
  <c r="AS44" i="29"/>
  <c r="AT44" i="29"/>
  <c r="AU44" i="29"/>
  <c r="AV44" i="29"/>
  <c r="AW44" i="29"/>
  <c r="AX44" i="29"/>
  <c r="AY44" i="29"/>
  <c r="AZ44" i="29"/>
  <c r="BA44" i="29"/>
  <c r="BB44" i="29"/>
  <c r="BC44" i="29"/>
  <c r="BD44" i="29"/>
  <c r="BE44" i="29"/>
  <c r="BF44" i="29"/>
  <c r="BG44" i="29"/>
  <c r="AA45" i="29"/>
  <c r="AB45" i="29"/>
  <c r="AC45" i="29"/>
  <c r="AD45" i="29"/>
  <c r="AE45" i="29"/>
  <c r="AF45" i="29"/>
  <c r="AG45" i="29"/>
  <c r="AH45" i="29"/>
  <c r="AI45" i="29"/>
  <c r="AJ45" i="29"/>
  <c r="AK45" i="29"/>
  <c r="AL45" i="29"/>
  <c r="AM45" i="29"/>
  <c r="AN45" i="29"/>
  <c r="AO45" i="29"/>
  <c r="AP45" i="29"/>
  <c r="AQ45" i="29"/>
  <c r="AR45" i="29"/>
  <c r="AS45" i="29"/>
  <c r="AT45" i="29"/>
  <c r="AU45" i="29"/>
  <c r="AV45" i="29"/>
  <c r="AW45" i="29"/>
  <c r="AX45" i="29"/>
  <c r="AY45" i="29"/>
  <c r="AZ45" i="29"/>
  <c r="BA45" i="29"/>
  <c r="BB45" i="29"/>
  <c r="BC45" i="29"/>
  <c r="BD45" i="29"/>
  <c r="BE45" i="29"/>
  <c r="BF45" i="29"/>
  <c r="BG45" i="29"/>
  <c r="AA46" i="29"/>
  <c r="AB46" i="29"/>
  <c r="AC46" i="29"/>
  <c r="AD46" i="29"/>
  <c r="AE46" i="29"/>
  <c r="AF46" i="29"/>
  <c r="AG46" i="29"/>
  <c r="AH46" i="29"/>
  <c r="AI46" i="29"/>
  <c r="AJ46" i="29"/>
  <c r="AK46" i="29"/>
  <c r="AL46" i="29"/>
  <c r="AM46" i="29"/>
  <c r="AN46" i="29"/>
  <c r="AO46" i="29"/>
  <c r="AP46" i="29"/>
  <c r="AQ46" i="29"/>
  <c r="AR46" i="29"/>
  <c r="AS46" i="29"/>
  <c r="AT46" i="29"/>
  <c r="AU46" i="29"/>
  <c r="AV46" i="29"/>
  <c r="AW46" i="29"/>
  <c r="AX46" i="29"/>
  <c r="AY46" i="29"/>
  <c r="AZ46" i="29"/>
  <c r="BA46" i="29"/>
  <c r="BD46" i="29"/>
  <c r="BE46" i="29"/>
  <c r="BF46" i="29"/>
  <c r="BG46" i="29"/>
  <c r="AA47" i="29"/>
  <c r="AB47" i="29"/>
  <c r="AC47" i="29"/>
  <c r="AD47" i="29"/>
  <c r="AE47" i="29"/>
  <c r="AF47" i="29"/>
  <c r="AG47" i="29"/>
  <c r="AH47" i="29"/>
  <c r="AI47" i="29"/>
  <c r="AJ47" i="29"/>
  <c r="AK47" i="29"/>
  <c r="AL47" i="29"/>
  <c r="AM47" i="29"/>
  <c r="AN47" i="29"/>
  <c r="AO47" i="29"/>
  <c r="AP47" i="29"/>
  <c r="AQ47" i="29"/>
  <c r="AR47" i="29"/>
  <c r="AS47" i="29"/>
  <c r="AT47" i="29"/>
  <c r="AU47" i="29"/>
  <c r="AV47" i="29"/>
  <c r="AW47" i="29"/>
  <c r="AX47" i="29"/>
  <c r="AY47" i="29"/>
  <c r="AZ47" i="29"/>
  <c r="BA47" i="29"/>
  <c r="BD47" i="29"/>
  <c r="BE47" i="29"/>
  <c r="BF47" i="29"/>
  <c r="BG47" i="29"/>
  <c r="AA48" i="29"/>
  <c r="AB48" i="29"/>
  <c r="AC48" i="29"/>
  <c r="AD48" i="29"/>
  <c r="AE48" i="29"/>
  <c r="AF48" i="29"/>
  <c r="AG48" i="29"/>
  <c r="AH48" i="29"/>
  <c r="AI48" i="29"/>
  <c r="AJ48" i="29"/>
  <c r="AK48" i="29"/>
  <c r="AL48" i="29"/>
  <c r="AM48" i="29"/>
  <c r="AN48" i="29"/>
  <c r="AO48" i="29"/>
  <c r="AR48" i="29"/>
  <c r="AS48" i="29"/>
  <c r="AT48" i="29"/>
  <c r="AU48" i="29"/>
  <c r="AV48" i="29"/>
  <c r="AW48" i="29"/>
  <c r="AX48" i="29"/>
  <c r="AY48" i="29"/>
  <c r="AZ48" i="29"/>
  <c r="BA48" i="29"/>
  <c r="BB48" i="29"/>
  <c r="BC48" i="29"/>
  <c r="BD48" i="29"/>
  <c r="BE48" i="29"/>
  <c r="BF48" i="29"/>
  <c r="BG48" i="29"/>
  <c r="AA49" i="29"/>
  <c r="AB49" i="29"/>
  <c r="AC49" i="29"/>
  <c r="AD49" i="29"/>
  <c r="AE49" i="29"/>
  <c r="AF49" i="29"/>
  <c r="AG49" i="29"/>
  <c r="AH49" i="29"/>
  <c r="AI49" i="29"/>
  <c r="AJ49" i="29"/>
  <c r="AK49" i="29"/>
  <c r="AL49" i="29"/>
  <c r="AM49" i="29"/>
  <c r="AN49" i="29"/>
  <c r="AO49" i="29"/>
  <c r="AR49" i="29"/>
  <c r="AS49" i="29"/>
  <c r="AT49" i="29"/>
  <c r="AU49" i="29"/>
  <c r="AV49" i="29"/>
  <c r="AW49" i="29"/>
  <c r="AX49" i="29"/>
  <c r="AY49" i="29"/>
  <c r="AZ49" i="29"/>
  <c r="BA49" i="29"/>
  <c r="BB49" i="29"/>
  <c r="BC49" i="29"/>
  <c r="BD49" i="29"/>
  <c r="BE49" i="29"/>
  <c r="BF49" i="29"/>
  <c r="BG49" i="29"/>
  <c r="AA50" i="29"/>
  <c r="AB50" i="29"/>
  <c r="AC50" i="29"/>
  <c r="AD50" i="29"/>
  <c r="AE50" i="29"/>
  <c r="AF50" i="29"/>
  <c r="AG50" i="29"/>
  <c r="AH50" i="29"/>
  <c r="AI50" i="29"/>
  <c r="AJ50" i="29"/>
  <c r="AK50" i="29"/>
  <c r="AL50" i="29"/>
  <c r="AM50" i="29"/>
  <c r="AN50" i="29"/>
  <c r="AO50" i="29"/>
  <c r="AP50" i="29"/>
  <c r="AQ50" i="29"/>
  <c r="AR50" i="29"/>
  <c r="AS50" i="29"/>
  <c r="AT50" i="29"/>
  <c r="AU50" i="29"/>
  <c r="AV50" i="29"/>
  <c r="AW50" i="29"/>
  <c r="AX50" i="29"/>
  <c r="AY50" i="29"/>
  <c r="AZ50" i="29"/>
  <c r="BA50" i="29"/>
  <c r="BB50" i="29"/>
  <c r="BC50" i="29"/>
  <c r="BD50" i="29"/>
  <c r="BE50" i="29"/>
  <c r="BF50" i="29"/>
  <c r="BG50" i="29"/>
  <c r="AA51" i="29"/>
  <c r="AB51" i="29"/>
  <c r="AC51" i="29"/>
  <c r="AD51" i="29"/>
  <c r="AE51" i="29"/>
  <c r="AF51" i="29"/>
  <c r="AG51" i="29"/>
  <c r="AH51" i="29"/>
  <c r="AI51" i="29"/>
  <c r="AJ51" i="29"/>
  <c r="AK51" i="29"/>
  <c r="AL51" i="29"/>
  <c r="AM51" i="29"/>
  <c r="AN51" i="29"/>
  <c r="AO51" i="29"/>
  <c r="AP51" i="29"/>
  <c r="AQ51" i="29"/>
  <c r="AR51" i="29"/>
  <c r="AS51" i="29"/>
  <c r="AT51" i="29"/>
  <c r="AU51" i="29"/>
  <c r="AV51" i="29"/>
  <c r="AW51" i="29"/>
  <c r="AX51" i="29"/>
  <c r="AY51" i="29"/>
  <c r="AZ51" i="29"/>
  <c r="BA51" i="29"/>
  <c r="BF51" i="29"/>
  <c r="BG51" i="29"/>
  <c r="AA52" i="29"/>
  <c r="AB52" i="29"/>
  <c r="AC52" i="29"/>
  <c r="AD52" i="29"/>
  <c r="AE52" i="29"/>
  <c r="AF52" i="29"/>
  <c r="AG52" i="29"/>
  <c r="AJ52" i="29"/>
  <c r="AK52" i="29"/>
  <c r="AL52" i="29"/>
  <c r="AM52" i="29"/>
  <c r="AN52" i="29"/>
  <c r="AO52" i="29"/>
  <c r="AP52" i="29"/>
  <c r="AQ52" i="29"/>
  <c r="AR52" i="29"/>
  <c r="AS52" i="29"/>
  <c r="AT52" i="29"/>
  <c r="AU52" i="29"/>
  <c r="AV52" i="29"/>
  <c r="AW52" i="29"/>
  <c r="AX52" i="29"/>
  <c r="AY52" i="29"/>
  <c r="AZ52" i="29"/>
  <c r="BA52" i="29"/>
  <c r="BB52" i="29"/>
  <c r="BC52" i="29"/>
  <c r="BD52" i="29"/>
  <c r="BE52" i="29"/>
  <c r="BF52" i="29"/>
  <c r="BG52" i="29"/>
  <c r="AA53" i="29"/>
  <c r="AB53" i="29"/>
  <c r="AC53" i="29"/>
  <c r="AD53" i="29"/>
  <c r="AE53" i="29"/>
  <c r="AF53" i="29"/>
  <c r="AG53" i="29"/>
  <c r="AH53" i="29"/>
  <c r="AI53" i="29"/>
  <c r="AJ53" i="29"/>
  <c r="AK53" i="29"/>
  <c r="AL53" i="29"/>
  <c r="AM53" i="29"/>
  <c r="AN53" i="29"/>
  <c r="AO53" i="29"/>
  <c r="AP53" i="29"/>
  <c r="AQ53" i="29"/>
  <c r="AR53" i="29"/>
  <c r="AS53" i="29"/>
  <c r="AT53" i="29"/>
  <c r="AU53" i="29"/>
  <c r="AV53" i="29"/>
  <c r="AW53" i="29"/>
  <c r="AX53" i="29"/>
  <c r="AY53" i="29"/>
  <c r="BD53" i="29"/>
  <c r="BE53" i="29"/>
  <c r="BF53" i="29"/>
  <c r="BG53" i="29"/>
  <c r="AA54" i="29"/>
  <c r="AB54" i="29"/>
  <c r="AC54" i="29"/>
  <c r="AD54" i="29"/>
  <c r="AE54" i="29"/>
  <c r="AF54" i="29"/>
  <c r="AG54" i="29"/>
  <c r="AH54" i="29"/>
  <c r="AI54" i="29"/>
  <c r="AJ54" i="29"/>
  <c r="AK54" i="29"/>
  <c r="AL54" i="29"/>
  <c r="AM54" i="29"/>
  <c r="AN54" i="29"/>
  <c r="AO54" i="29"/>
  <c r="AP54" i="29"/>
  <c r="AQ54" i="29"/>
  <c r="AR54" i="29"/>
  <c r="AS54" i="29"/>
  <c r="AT54" i="29"/>
  <c r="AU54" i="29"/>
  <c r="AX54" i="29"/>
  <c r="AY54" i="29"/>
  <c r="AZ54" i="29"/>
  <c r="BA54" i="29"/>
  <c r="BB54" i="29"/>
  <c r="BC54" i="29"/>
  <c r="BD54" i="29"/>
  <c r="BE54" i="29"/>
  <c r="BF54" i="29"/>
  <c r="BG54" i="29"/>
  <c r="AA55" i="29"/>
  <c r="AB55" i="29"/>
  <c r="AC55" i="29"/>
  <c r="AF55" i="29"/>
  <c r="AG55" i="29"/>
  <c r="AH55" i="29"/>
  <c r="AI55" i="29"/>
  <c r="AJ55" i="29"/>
  <c r="AK55" i="29"/>
  <c r="AL55" i="29"/>
  <c r="AM55" i="29"/>
  <c r="AN55" i="29"/>
  <c r="AO55" i="29"/>
  <c r="AR55" i="29"/>
  <c r="AS55" i="29"/>
  <c r="AT55" i="29"/>
  <c r="AU55" i="29"/>
  <c r="AV55" i="29"/>
  <c r="AW55" i="29"/>
  <c r="AX55" i="29"/>
  <c r="AY55" i="29"/>
  <c r="AZ55" i="29"/>
  <c r="BA55" i="29"/>
  <c r="BB55" i="29"/>
  <c r="BC55" i="29"/>
  <c r="BD55" i="29"/>
  <c r="BE55" i="29"/>
  <c r="BF55" i="29"/>
  <c r="BG55" i="29"/>
  <c r="AA56" i="29"/>
  <c r="AB56" i="29"/>
  <c r="AC56" i="29"/>
  <c r="AD56" i="29"/>
  <c r="AE56" i="29"/>
  <c r="AF56" i="29"/>
  <c r="AG56" i="29"/>
  <c r="AH56" i="29"/>
  <c r="AI56" i="29"/>
  <c r="AJ56" i="29"/>
  <c r="AK56" i="29"/>
  <c r="AN56" i="29"/>
  <c r="AO56" i="29"/>
  <c r="AP56" i="29"/>
  <c r="AQ56" i="29"/>
  <c r="AR56" i="29"/>
  <c r="AS56" i="29"/>
  <c r="AT56" i="29"/>
  <c r="AU56" i="29"/>
  <c r="AV56" i="29"/>
  <c r="AW56" i="29"/>
  <c r="AX56" i="29"/>
  <c r="AY56" i="29"/>
  <c r="AZ56" i="29"/>
  <c r="BA56" i="29"/>
  <c r="BB56" i="29"/>
  <c r="BC56" i="29"/>
  <c r="BD56" i="29"/>
  <c r="BE56" i="29"/>
  <c r="BF56" i="29"/>
  <c r="BG56" i="29"/>
  <c r="AA57" i="29"/>
  <c r="AB57" i="29"/>
  <c r="AC57" i="29"/>
  <c r="AD57" i="29"/>
  <c r="AE57" i="29"/>
  <c r="AF57" i="29"/>
  <c r="AG57" i="29"/>
  <c r="AH57" i="29"/>
  <c r="AI57" i="29"/>
  <c r="AJ57" i="29"/>
  <c r="AK57" i="29"/>
  <c r="AL57" i="29"/>
  <c r="AM57" i="29"/>
  <c r="AN57" i="29"/>
  <c r="AO57" i="29"/>
  <c r="AP57" i="29"/>
  <c r="AQ57" i="29"/>
  <c r="AT57" i="29"/>
  <c r="AU57" i="29"/>
  <c r="AV57" i="29"/>
  <c r="AW57" i="29"/>
  <c r="AX57" i="29"/>
  <c r="AY57" i="29"/>
  <c r="AZ57" i="29"/>
  <c r="BA57" i="29"/>
  <c r="BB57" i="29"/>
  <c r="BC57" i="29"/>
  <c r="BD57" i="29"/>
  <c r="BE57" i="29"/>
  <c r="BF57" i="29"/>
  <c r="BG57" i="29"/>
  <c r="AA58" i="29"/>
  <c r="AB58" i="29"/>
  <c r="AC58" i="29"/>
  <c r="AD58" i="29"/>
  <c r="AE58" i="29"/>
  <c r="AF58" i="29"/>
  <c r="AG58" i="29"/>
  <c r="AH58" i="29"/>
  <c r="AI58" i="29"/>
  <c r="AJ58" i="29"/>
  <c r="AK58" i="29"/>
  <c r="AL58" i="29"/>
  <c r="AM58" i="29"/>
  <c r="AP58" i="29"/>
  <c r="AQ58" i="29"/>
  <c r="AR58" i="29"/>
  <c r="AS58" i="29"/>
  <c r="AT58" i="29"/>
  <c r="AU58" i="29"/>
  <c r="AV58" i="29"/>
  <c r="AW58" i="29"/>
  <c r="AX58" i="29"/>
  <c r="AY58" i="29"/>
  <c r="AZ58" i="29"/>
  <c r="BA58" i="29"/>
  <c r="BD58" i="29"/>
  <c r="BE58" i="29"/>
  <c r="BF58" i="29"/>
  <c r="BG58" i="29"/>
  <c r="AA59" i="29"/>
  <c r="AB59" i="29"/>
  <c r="AC59" i="29"/>
  <c r="AD59" i="29"/>
  <c r="AE59" i="29"/>
  <c r="AF59" i="29"/>
  <c r="AG59" i="29"/>
  <c r="AJ59" i="29"/>
  <c r="AK59" i="29"/>
  <c r="AL59" i="29"/>
  <c r="AM59" i="29"/>
  <c r="AN59" i="29"/>
  <c r="AO59" i="29"/>
  <c r="AP59" i="29"/>
  <c r="AQ59" i="29"/>
  <c r="AR59" i="29"/>
  <c r="AS59" i="29"/>
  <c r="AT59" i="29"/>
  <c r="AU59" i="29"/>
  <c r="AV59" i="29"/>
  <c r="AW59" i="29"/>
  <c r="AX59" i="29"/>
  <c r="AY59" i="29"/>
  <c r="AZ59" i="29"/>
  <c r="BA59" i="29"/>
  <c r="BB59" i="29"/>
  <c r="BC59" i="29"/>
  <c r="BD59" i="29"/>
  <c r="BE59" i="29"/>
  <c r="BF59" i="29"/>
  <c r="BG59" i="29"/>
  <c r="AA60" i="29"/>
  <c r="AB60" i="29"/>
  <c r="AC60" i="29"/>
  <c r="AD60" i="29"/>
  <c r="AE60" i="29"/>
  <c r="AF60" i="29"/>
  <c r="AG60" i="29"/>
  <c r="AH60" i="29"/>
  <c r="AI60" i="29"/>
  <c r="AJ60" i="29"/>
  <c r="AK60" i="29"/>
  <c r="AL60" i="29"/>
  <c r="AM60" i="29"/>
  <c r="AN60" i="29"/>
  <c r="AO60" i="29"/>
  <c r="AP60" i="29"/>
  <c r="AQ60" i="29"/>
  <c r="AR60" i="29"/>
  <c r="AS60" i="29"/>
  <c r="AT60" i="29"/>
  <c r="AU60" i="29"/>
  <c r="AV60" i="29"/>
  <c r="AW60" i="29"/>
  <c r="AX60" i="29"/>
  <c r="AY60" i="29"/>
  <c r="BB60" i="29"/>
  <c r="BC60" i="29"/>
  <c r="BD60" i="29"/>
  <c r="BE60" i="29"/>
  <c r="BF60" i="29"/>
  <c r="BG60" i="29"/>
  <c r="AA61" i="29"/>
  <c r="AB61" i="29"/>
  <c r="AC61" i="29"/>
  <c r="AD61" i="29"/>
  <c r="AE61" i="29"/>
  <c r="AF61" i="29"/>
  <c r="AG61" i="29"/>
  <c r="AH61" i="29"/>
  <c r="AI61" i="29"/>
  <c r="AJ61" i="29"/>
  <c r="AK61" i="29"/>
  <c r="AL61" i="29"/>
  <c r="AM61" i="29"/>
  <c r="AN61" i="29"/>
  <c r="AO61" i="29"/>
  <c r="AP61" i="29"/>
  <c r="AQ61" i="29"/>
  <c r="AR61" i="29"/>
  <c r="AS61" i="29"/>
  <c r="AT61" i="29"/>
  <c r="AU61" i="29"/>
  <c r="AX61" i="29"/>
  <c r="AY61" i="29"/>
  <c r="AZ61" i="29"/>
  <c r="BA61" i="29"/>
  <c r="BD61" i="29"/>
  <c r="BE61" i="29"/>
  <c r="BF61" i="29"/>
  <c r="BG61" i="29"/>
  <c r="AA62" i="29"/>
  <c r="AB62" i="29"/>
  <c r="AC62" i="29"/>
  <c r="AH62" i="29"/>
  <c r="AI62" i="29"/>
  <c r="AJ62" i="29"/>
  <c r="AK62" i="29"/>
  <c r="AL62" i="29"/>
  <c r="AM62" i="29"/>
  <c r="AN62" i="29"/>
  <c r="AO62" i="29"/>
  <c r="AP62" i="29"/>
  <c r="AQ62" i="29"/>
  <c r="AR62" i="29"/>
  <c r="AS62" i="29"/>
  <c r="AT62" i="29"/>
  <c r="AU62" i="29"/>
  <c r="AV62" i="29"/>
  <c r="AW62" i="29"/>
  <c r="AX62" i="29"/>
  <c r="AY62" i="29"/>
  <c r="AZ62" i="29"/>
  <c r="BA62" i="29"/>
  <c r="BB62" i="29"/>
  <c r="BC62" i="29"/>
  <c r="BD62" i="29"/>
  <c r="BE62" i="29"/>
  <c r="BF62" i="29"/>
  <c r="BG62" i="29"/>
  <c r="AA63" i="29"/>
  <c r="AB63" i="29"/>
  <c r="AC63" i="29"/>
  <c r="AD63" i="29"/>
  <c r="AE63" i="29"/>
  <c r="AF63" i="29"/>
  <c r="AG63" i="29"/>
  <c r="AH63" i="29"/>
  <c r="AI63" i="29"/>
  <c r="AJ63" i="29"/>
  <c r="AK63" i="29"/>
  <c r="AN63" i="29"/>
  <c r="AO63" i="29"/>
  <c r="AP63" i="29"/>
  <c r="AQ63" i="29"/>
  <c r="AR63" i="29"/>
  <c r="AS63" i="29"/>
  <c r="AT63" i="29"/>
  <c r="AU63" i="29"/>
  <c r="AX63" i="29"/>
  <c r="AY63" i="29"/>
  <c r="AZ63" i="29"/>
  <c r="BA63" i="29"/>
  <c r="BB63" i="29"/>
  <c r="BC63" i="29"/>
  <c r="BD63" i="29"/>
  <c r="BE63" i="29"/>
  <c r="BF63" i="29"/>
  <c r="BG63" i="29"/>
  <c r="AA64" i="29"/>
  <c r="AB64" i="29"/>
  <c r="AC64" i="29"/>
  <c r="AD64" i="29"/>
  <c r="AE64" i="29"/>
  <c r="AF64" i="29"/>
  <c r="AG64" i="29"/>
  <c r="AH64" i="29"/>
  <c r="AI64" i="29"/>
  <c r="AJ64" i="29"/>
  <c r="AK64" i="29"/>
  <c r="AL64" i="29"/>
  <c r="AM64" i="29"/>
  <c r="AN64" i="29"/>
  <c r="AO64" i="29"/>
  <c r="AP64" i="29"/>
  <c r="AQ64" i="29"/>
  <c r="AT64" i="29"/>
  <c r="AU64" i="29"/>
  <c r="AV64" i="29"/>
  <c r="AW64" i="29"/>
  <c r="AX64" i="29"/>
  <c r="AY64" i="29"/>
  <c r="AZ64" i="29"/>
  <c r="BA64" i="29"/>
  <c r="BB64" i="29"/>
  <c r="BC64" i="29"/>
  <c r="BD64" i="29"/>
  <c r="BE64" i="29"/>
  <c r="BF64" i="29"/>
  <c r="BG64" i="29"/>
  <c r="AA65" i="29"/>
  <c r="AB65" i="29"/>
  <c r="AC65" i="29"/>
  <c r="AD65" i="29"/>
  <c r="AE65" i="29"/>
  <c r="AF65" i="29"/>
  <c r="AG65" i="29"/>
  <c r="AH65" i="29"/>
  <c r="AI65" i="29"/>
  <c r="AJ65" i="29"/>
  <c r="AK65" i="29"/>
  <c r="AL65" i="29"/>
  <c r="AM65" i="29"/>
  <c r="AP65" i="29"/>
  <c r="AQ65" i="29"/>
  <c r="AR65" i="29"/>
  <c r="AS65" i="29"/>
  <c r="AT65" i="29"/>
  <c r="AU65" i="29"/>
  <c r="AV65" i="29"/>
  <c r="AW65" i="29"/>
  <c r="AX65" i="29"/>
  <c r="AY65" i="29"/>
  <c r="AZ65" i="29"/>
  <c r="BA65" i="29"/>
  <c r="BB65" i="29"/>
  <c r="BC65" i="29"/>
  <c r="BD65" i="29"/>
  <c r="BE65" i="29"/>
  <c r="BF65" i="29"/>
  <c r="BG65" i="29"/>
  <c r="AA66" i="29"/>
  <c r="AB66" i="29"/>
  <c r="AC66" i="29"/>
  <c r="AF66" i="29"/>
  <c r="AG66" i="29"/>
  <c r="AH66" i="29"/>
  <c r="AI66" i="29"/>
  <c r="AJ66" i="29"/>
  <c r="AK66" i="29"/>
  <c r="AL66" i="29"/>
  <c r="AM66" i="29"/>
  <c r="AN66" i="29"/>
  <c r="AO66" i="29"/>
  <c r="AP66" i="29"/>
  <c r="AQ66" i="29"/>
  <c r="AR66" i="29"/>
  <c r="AS66" i="29"/>
  <c r="AT66" i="29"/>
  <c r="AU66" i="29"/>
  <c r="AV66" i="29"/>
  <c r="AW66" i="29"/>
  <c r="AX66" i="29"/>
  <c r="AY66" i="29"/>
  <c r="AZ66" i="29"/>
  <c r="BA66" i="29"/>
  <c r="BB66" i="29"/>
  <c r="BC66" i="29"/>
  <c r="BD66" i="29"/>
  <c r="BE66" i="29"/>
  <c r="BF66" i="29"/>
  <c r="BG66" i="29"/>
  <c r="AA67" i="29"/>
  <c r="AB67" i="29"/>
  <c r="AC67" i="29"/>
  <c r="AD67" i="29"/>
  <c r="AE67" i="29"/>
  <c r="AF67" i="29"/>
  <c r="AG67" i="29"/>
  <c r="AH67" i="29"/>
  <c r="AI67" i="29"/>
  <c r="AJ67" i="29"/>
  <c r="AK67" i="29"/>
  <c r="AL67" i="29"/>
  <c r="AM67" i="29"/>
  <c r="AN67" i="29"/>
  <c r="AO67" i="29"/>
  <c r="AP67" i="29"/>
  <c r="AQ67" i="29"/>
  <c r="AR67" i="29"/>
  <c r="AS67" i="29"/>
  <c r="AT67" i="29"/>
  <c r="AU67" i="29"/>
  <c r="AV67" i="29"/>
  <c r="AW67" i="29"/>
  <c r="AX67" i="29"/>
  <c r="AY67" i="29"/>
  <c r="AZ67" i="29"/>
  <c r="BA67" i="29"/>
  <c r="BB67" i="29"/>
  <c r="BC67" i="29"/>
  <c r="BD67" i="29"/>
  <c r="BE67" i="29"/>
  <c r="BF67" i="29"/>
  <c r="BG67" i="29"/>
  <c r="AA68" i="29"/>
  <c r="AB68" i="29"/>
  <c r="AC68" i="29"/>
  <c r="AD68" i="29"/>
  <c r="AE68" i="29"/>
  <c r="AH68" i="29"/>
  <c r="AI68" i="29"/>
  <c r="AJ68" i="29"/>
  <c r="AK68" i="29"/>
  <c r="AL68" i="29"/>
  <c r="AM68" i="29"/>
  <c r="AN68" i="29"/>
  <c r="AO68" i="29"/>
  <c r="AP68" i="29"/>
  <c r="AQ68" i="29"/>
  <c r="AR68" i="29"/>
  <c r="AS68" i="29"/>
  <c r="AT68" i="29"/>
  <c r="AU68" i="29"/>
  <c r="AV68" i="29"/>
  <c r="AW68" i="29"/>
  <c r="AX68" i="29"/>
  <c r="AY68" i="29"/>
  <c r="AZ68" i="29"/>
  <c r="BA68" i="29"/>
  <c r="BD68" i="29"/>
  <c r="BE68" i="29"/>
  <c r="BF68" i="29"/>
  <c r="BG68" i="29"/>
  <c r="AA69" i="29"/>
  <c r="AB69" i="29"/>
  <c r="AC69" i="29"/>
  <c r="AD69" i="29"/>
  <c r="AE69" i="29"/>
  <c r="AH69" i="29"/>
  <c r="AI69" i="29"/>
  <c r="AL69" i="29"/>
  <c r="AM69" i="29"/>
  <c r="AN69" i="29"/>
  <c r="AO69" i="29"/>
  <c r="AP69" i="29"/>
  <c r="AQ69" i="29"/>
  <c r="AR69" i="29"/>
  <c r="AS69" i="29"/>
  <c r="AT69" i="29"/>
  <c r="AU69" i="29"/>
  <c r="AV69" i="29"/>
  <c r="AW69" i="29"/>
  <c r="AX69" i="29"/>
  <c r="AY69" i="29"/>
  <c r="AZ69" i="29"/>
  <c r="BA69" i="29"/>
  <c r="BB69" i="29"/>
  <c r="BC69" i="29"/>
  <c r="BD69" i="29"/>
  <c r="BE69" i="29"/>
  <c r="BF69" i="29"/>
  <c r="BG69" i="29"/>
  <c r="AA70" i="29"/>
  <c r="AB70" i="29"/>
  <c r="AC70" i="29"/>
  <c r="AD70" i="29"/>
  <c r="AE70" i="29"/>
  <c r="AF70" i="29"/>
  <c r="AG70" i="29"/>
  <c r="AH70" i="29"/>
  <c r="AI70" i="29"/>
  <c r="AL70" i="29"/>
  <c r="AM70" i="29"/>
  <c r="AN70" i="29"/>
  <c r="AO70" i="29"/>
  <c r="AP70" i="29"/>
  <c r="AQ70" i="29"/>
  <c r="AR70" i="29"/>
  <c r="AS70" i="29"/>
  <c r="AT70" i="29"/>
  <c r="AU70" i="29"/>
  <c r="AX70" i="29"/>
  <c r="AY70" i="29"/>
  <c r="AZ70" i="29"/>
  <c r="BA70" i="29"/>
  <c r="BB70" i="29"/>
  <c r="BC70" i="29"/>
  <c r="BD70" i="29"/>
  <c r="BE70" i="29"/>
  <c r="BF70" i="29"/>
  <c r="BG70" i="29"/>
  <c r="AA72" i="29"/>
  <c r="AB72" i="29"/>
  <c r="AC72" i="29"/>
  <c r="AD72" i="29"/>
  <c r="AE72" i="29"/>
  <c r="AF72" i="29"/>
  <c r="AG72" i="29"/>
  <c r="AH72" i="29"/>
  <c r="AI72" i="29"/>
  <c r="AJ72" i="29"/>
  <c r="AK72" i="29"/>
  <c r="AL72" i="29"/>
  <c r="AM72" i="29"/>
  <c r="AN72" i="29"/>
  <c r="AO72" i="29"/>
  <c r="AR72" i="29"/>
  <c r="AS72" i="29"/>
  <c r="AT72" i="29"/>
  <c r="AU72" i="29"/>
  <c r="AV72" i="29"/>
  <c r="AW72" i="29"/>
  <c r="AX72" i="29"/>
  <c r="AY72" i="29"/>
  <c r="AZ72" i="29"/>
  <c r="BA72" i="29"/>
  <c r="BB72" i="29"/>
  <c r="BC72" i="29"/>
  <c r="BD72" i="29"/>
  <c r="BE72" i="29"/>
  <c r="AA73" i="29"/>
  <c r="AB73" i="29"/>
  <c r="AC73" i="29"/>
  <c r="AD73" i="29"/>
  <c r="AE73" i="29"/>
  <c r="AF73" i="29"/>
  <c r="AG73" i="29"/>
  <c r="AH73" i="29"/>
  <c r="AI73" i="29"/>
  <c r="AL73" i="29"/>
  <c r="AM73" i="29"/>
  <c r="AN73" i="29"/>
  <c r="AO73" i="29"/>
  <c r="AP73" i="29"/>
  <c r="AQ73" i="29"/>
  <c r="AR73" i="29"/>
  <c r="AS73" i="29"/>
  <c r="AT73" i="29"/>
  <c r="AU73" i="29"/>
  <c r="AV73" i="29"/>
  <c r="AW73" i="29"/>
  <c r="AX73" i="29"/>
  <c r="AY73" i="29"/>
  <c r="AZ73" i="29"/>
  <c r="BA73" i="29"/>
  <c r="BB73" i="29"/>
  <c r="BC73" i="29"/>
  <c r="BD73" i="29"/>
  <c r="BE73" i="29"/>
  <c r="BF73" i="29"/>
  <c r="BG73" i="29"/>
  <c r="AA74" i="29"/>
  <c r="AB74" i="29"/>
  <c r="AC74" i="29"/>
  <c r="AD74" i="29"/>
  <c r="AE74" i="29"/>
  <c r="AF74" i="29"/>
  <c r="AG74" i="29"/>
  <c r="AH74" i="29"/>
  <c r="AI74" i="29"/>
  <c r="AL74" i="29"/>
  <c r="AM74" i="29"/>
  <c r="AN74" i="29"/>
  <c r="AO74" i="29"/>
  <c r="AR74" i="29"/>
  <c r="AS74" i="29"/>
  <c r="AT74" i="29"/>
  <c r="AU74" i="29"/>
  <c r="AV74" i="29"/>
  <c r="AW74" i="29"/>
  <c r="AX74" i="29"/>
  <c r="AY74" i="29"/>
  <c r="AZ74" i="29"/>
  <c r="BA74" i="29"/>
  <c r="BB74" i="29"/>
  <c r="BC74" i="29"/>
  <c r="BD74" i="29"/>
  <c r="BE74" i="29"/>
  <c r="BF74" i="29"/>
  <c r="BG74" i="29"/>
  <c r="AA75" i="29"/>
  <c r="AB75" i="29"/>
  <c r="AC75" i="29"/>
  <c r="AF75" i="29"/>
  <c r="AG75" i="29"/>
  <c r="AH75" i="29"/>
  <c r="AI75" i="29"/>
  <c r="AJ75" i="29"/>
  <c r="AK75" i="29"/>
  <c r="AL75" i="29"/>
  <c r="AM75" i="29"/>
  <c r="AN75" i="29"/>
  <c r="AO75" i="29"/>
  <c r="AP75" i="29"/>
  <c r="AQ75" i="29"/>
  <c r="AR75" i="29"/>
  <c r="AS75" i="29"/>
  <c r="AT75" i="29"/>
  <c r="AU75" i="29"/>
  <c r="AV75" i="29"/>
  <c r="AW75" i="29"/>
  <c r="AX75" i="29"/>
  <c r="AY75" i="29"/>
  <c r="AZ75" i="29"/>
  <c r="BA75" i="29"/>
  <c r="BB75" i="29"/>
  <c r="BC75" i="29"/>
  <c r="BD75" i="29"/>
  <c r="BE75" i="29"/>
  <c r="BF75" i="29"/>
  <c r="BG75" i="29"/>
  <c r="AA76" i="29"/>
  <c r="AB76" i="29"/>
  <c r="AC76" i="29"/>
  <c r="AD76" i="29"/>
  <c r="AE76" i="29"/>
  <c r="AF76" i="29"/>
  <c r="AG76" i="29"/>
  <c r="AH76" i="29"/>
  <c r="AI76" i="29"/>
  <c r="AJ76" i="29"/>
  <c r="AK76" i="29"/>
  <c r="AL76" i="29"/>
  <c r="AM76" i="29"/>
  <c r="AN76" i="29"/>
  <c r="AO76" i="29"/>
  <c r="AR76" i="29"/>
  <c r="AS76" i="29"/>
  <c r="AT76" i="29"/>
  <c r="AU76" i="29"/>
  <c r="AV76" i="29"/>
  <c r="AW76" i="29"/>
  <c r="AX76" i="29"/>
  <c r="AY76" i="29"/>
  <c r="AZ76" i="29"/>
  <c r="BA76" i="29"/>
  <c r="BB76" i="29"/>
  <c r="BC76" i="29"/>
  <c r="BF76" i="29"/>
  <c r="BG76" i="29"/>
  <c r="AA77" i="29"/>
  <c r="AB77" i="29"/>
  <c r="AC77" i="29"/>
  <c r="AD77" i="29"/>
  <c r="AE77" i="29"/>
  <c r="AF77" i="29"/>
  <c r="AG77" i="29"/>
  <c r="AH77" i="29"/>
  <c r="AI77" i="29"/>
  <c r="AJ77" i="29"/>
  <c r="AK77" i="29"/>
  <c r="AL77" i="29"/>
  <c r="AM77" i="29"/>
  <c r="AN77" i="29"/>
  <c r="AO77" i="29"/>
  <c r="AP77" i="29"/>
  <c r="AQ77" i="29"/>
  <c r="AR77" i="29"/>
  <c r="AS77" i="29"/>
  <c r="AT77" i="29"/>
  <c r="AU77" i="29"/>
  <c r="AV77" i="29"/>
  <c r="AW77" i="29"/>
  <c r="AX77" i="29"/>
  <c r="AY77" i="29"/>
  <c r="AZ77" i="29"/>
  <c r="BA77" i="29"/>
  <c r="BB77" i="29"/>
  <c r="BC77" i="29"/>
  <c r="BD77" i="29"/>
  <c r="BE77" i="29"/>
  <c r="BF77" i="29"/>
  <c r="BG77" i="29"/>
  <c r="AA78" i="29"/>
  <c r="AD78" i="29"/>
  <c r="AE78" i="29"/>
  <c r="AF78" i="29"/>
  <c r="AG78" i="29"/>
  <c r="AH78" i="29"/>
  <c r="AI78" i="29"/>
  <c r="AJ78" i="29"/>
  <c r="AK78" i="29"/>
  <c r="AL78" i="29"/>
  <c r="AM78" i="29"/>
  <c r="AN78" i="29"/>
  <c r="AO78" i="29"/>
  <c r="AP78" i="29"/>
  <c r="AQ78" i="29"/>
  <c r="AR78" i="29"/>
  <c r="AS78" i="29"/>
  <c r="AT78" i="29"/>
  <c r="AU78" i="29"/>
  <c r="AV78" i="29"/>
  <c r="AW78" i="29"/>
  <c r="AX78" i="29"/>
  <c r="AY78" i="29"/>
  <c r="AZ78" i="29"/>
  <c r="BA78" i="29"/>
  <c r="BD78" i="29"/>
  <c r="BE78" i="29"/>
  <c r="BF78" i="29"/>
  <c r="BG78" i="29"/>
  <c r="AB79" i="29"/>
  <c r="AC79" i="29"/>
  <c r="AD79" i="29"/>
  <c r="AE79" i="29"/>
  <c r="AH79" i="29"/>
  <c r="AI79" i="29"/>
  <c r="AJ79" i="29"/>
  <c r="AK79" i="29"/>
  <c r="AL79" i="29"/>
  <c r="AM79" i="29"/>
  <c r="AN79" i="29"/>
  <c r="AO79" i="29"/>
  <c r="AP79" i="29"/>
  <c r="AQ79" i="29"/>
  <c r="AR79" i="29"/>
  <c r="AS79" i="29"/>
  <c r="AT79" i="29"/>
  <c r="AU79" i="29"/>
  <c r="AV79" i="29"/>
  <c r="AW79" i="29"/>
  <c r="AX79" i="29"/>
  <c r="AY79" i="29"/>
  <c r="AZ79" i="29"/>
  <c r="BA79" i="29"/>
  <c r="BB79" i="29"/>
  <c r="BC79" i="29"/>
  <c r="BD79" i="29"/>
  <c r="BE79" i="29"/>
  <c r="BF79" i="29"/>
  <c r="BG79" i="29"/>
  <c r="AA80" i="29"/>
  <c r="AB80" i="29"/>
  <c r="AC80" i="29"/>
  <c r="AD80" i="29"/>
  <c r="AE80" i="29"/>
  <c r="AF80" i="29"/>
  <c r="AG80" i="29"/>
  <c r="AH80" i="29"/>
  <c r="AI80" i="29"/>
  <c r="AJ80" i="29"/>
  <c r="AK80" i="29"/>
  <c r="AL80" i="29"/>
  <c r="AM80" i="29"/>
  <c r="AN80" i="29"/>
  <c r="AO80" i="29"/>
  <c r="AP80" i="29"/>
  <c r="AQ80" i="29"/>
  <c r="AT80" i="29"/>
  <c r="AU80" i="29"/>
  <c r="AV80" i="29"/>
  <c r="AW80" i="29"/>
  <c r="AX80" i="29"/>
  <c r="AY80" i="29"/>
  <c r="AZ80" i="29"/>
  <c r="BA80" i="29"/>
  <c r="BD80" i="29"/>
  <c r="BE80" i="29"/>
  <c r="BF80" i="29"/>
  <c r="BG80" i="29"/>
  <c r="AA81" i="29"/>
  <c r="AD81" i="29"/>
  <c r="AE81" i="29"/>
  <c r="AH81" i="29"/>
  <c r="AI81" i="29"/>
  <c r="AJ81" i="29"/>
  <c r="AK81" i="29"/>
  <c r="AL81" i="29"/>
  <c r="AM81" i="29"/>
  <c r="AN81" i="29"/>
  <c r="AO81" i="29"/>
  <c r="AP81" i="29"/>
  <c r="AQ81" i="29"/>
  <c r="AR81" i="29"/>
  <c r="AS81" i="29"/>
  <c r="AT81" i="29"/>
  <c r="AU81" i="29"/>
  <c r="AV81" i="29"/>
  <c r="AW81" i="29"/>
  <c r="AX81" i="29"/>
  <c r="AY81" i="29"/>
  <c r="AZ81" i="29"/>
  <c r="BA81" i="29"/>
  <c r="BB81" i="29"/>
  <c r="BC81" i="29"/>
  <c r="BD81" i="29"/>
  <c r="BE81" i="29"/>
  <c r="BF81" i="29"/>
  <c r="BG81" i="29"/>
  <c r="AA82" i="29"/>
  <c r="AD82" i="29"/>
  <c r="AE82" i="29"/>
  <c r="AF82" i="29"/>
  <c r="AG82" i="29"/>
  <c r="AJ82" i="29"/>
  <c r="AK82" i="29"/>
  <c r="AL82" i="29"/>
  <c r="AM82" i="29"/>
  <c r="AN82" i="29"/>
  <c r="AO82" i="29"/>
  <c r="AP82" i="29"/>
  <c r="AQ82" i="29"/>
  <c r="AR82" i="29"/>
  <c r="AS82" i="29"/>
  <c r="AT82" i="29"/>
  <c r="AU82" i="29"/>
  <c r="AV82" i="29"/>
  <c r="AW82" i="29"/>
  <c r="AX82" i="29"/>
  <c r="AY82" i="29"/>
  <c r="AZ82" i="29"/>
  <c r="BA82" i="29"/>
  <c r="BB82" i="29"/>
  <c r="BC82" i="29"/>
  <c r="BD82" i="29"/>
  <c r="BE82" i="29"/>
  <c r="BF82" i="29"/>
  <c r="BG82" i="29"/>
  <c r="AA83" i="29"/>
  <c r="AB83" i="29"/>
  <c r="AC83" i="29"/>
  <c r="AD83" i="29"/>
  <c r="AE83" i="29"/>
  <c r="AF83" i="29"/>
  <c r="AG83" i="29"/>
  <c r="AH83" i="29"/>
  <c r="AI83" i="29"/>
  <c r="AL83" i="29"/>
  <c r="AM83" i="29"/>
  <c r="AN83" i="29"/>
  <c r="AO83" i="29"/>
  <c r="AP83" i="29"/>
  <c r="AQ83" i="29"/>
  <c r="AR83" i="29"/>
  <c r="AS83" i="29"/>
  <c r="AT83" i="29"/>
  <c r="AU83" i="29"/>
  <c r="AX83" i="29"/>
  <c r="AY83" i="29"/>
  <c r="AZ83" i="29"/>
  <c r="BA83" i="29"/>
  <c r="BB83" i="29"/>
  <c r="BC83" i="29"/>
  <c r="BD83" i="29"/>
  <c r="BE83" i="29"/>
  <c r="BF83" i="29"/>
  <c r="BG83" i="29"/>
  <c r="AA84" i="29"/>
  <c r="AB84" i="29"/>
  <c r="AC84" i="29"/>
  <c r="AF84" i="29"/>
  <c r="AG84" i="29"/>
  <c r="AH84" i="29"/>
  <c r="AI84" i="29"/>
  <c r="AL84" i="29"/>
  <c r="AM84" i="29"/>
  <c r="AN84" i="29"/>
  <c r="AO84" i="29"/>
  <c r="AP84" i="29"/>
  <c r="AQ84" i="29"/>
  <c r="AR84" i="29"/>
  <c r="AS84" i="29"/>
  <c r="AT84" i="29"/>
  <c r="AU84" i="29"/>
  <c r="AV84" i="29"/>
  <c r="AW84" i="29"/>
  <c r="AX84" i="29"/>
  <c r="AY84" i="29"/>
  <c r="AZ84" i="29"/>
  <c r="BA84" i="29"/>
  <c r="BB84" i="29"/>
  <c r="BC84" i="29"/>
  <c r="BD84" i="29"/>
  <c r="BE84" i="29"/>
  <c r="BF84" i="29"/>
  <c r="BG84" i="29"/>
  <c r="AA85" i="29"/>
  <c r="AB85" i="29"/>
  <c r="AC85" i="29"/>
  <c r="AD85" i="29"/>
  <c r="AE85" i="29"/>
  <c r="AF85" i="29"/>
  <c r="AG85" i="29"/>
  <c r="AH85" i="29"/>
  <c r="AI85" i="29"/>
  <c r="AL85" i="29"/>
  <c r="AM85" i="29"/>
  <c r="AN85" i="29"/>
  <c r="AO85" i="29"/>
  <c r="AP85" i="29"/>
  <c r="AQ85" i="29"/>
  <c r="AT85" i="29"/>
  <c r="AU85" i="29"/>
  <c r="AV85" i="29"/>
  <c r="AW85" i="29"/>
  <c r="AX85" i="29"/>
  <c r="AY85" i="29"/>
  <c r="AZ85" i="29"/>
  <c r="BA85" i="29"/>
  <c r="BB85" i="29"/>
  <c r="BC85" i="29"/>
  <c r="BD85" i="29"/>
  <c r="BE85" i="29"/>
  <c r="BF85" i="29"/>
  <c r="BG85" i="29"/>
  <c r="AA86" i="29"/>
  <c r="AB86" i="29"/>
  <c r="AC86" i="29"/>
  <c r="AD86" i="29"/>
  <c r="AE86" i="29"/>
  <c r="AF86" i="29"/>
  <c r="AG86" i="29"/>
  <c r="AH86" i="29"/>
  <c r="AI86" i="29"/>
  <c r="AJ86" i="29"/>
  <c r="AK86" i="29"/>
  <c r="AL86" i="29"/>
  <c r="AM86" i="29"/>
  <c r="AR86" i="29"/>
  <c r="AS86" i="29"/>
  <c r="AT86" i="29"/>
  <c r="AU86" i="29"/>
  <c r="AV86" i="29"/>
  <c r="AW86" i="29"/>
  <c r="AX86" i="29"/>
  <c r="AY86" i="29"/>
  <c r="AZ86" i="29"/>
  <c r="BA86" i="29"/>
  <c r="BB86" i="29"/>
  <c r="BC86" i="29"/>
  <c r="BD86" i="29"/>
  <c r="BE86" i="29"/>
  <c r="BF86" i="29"/>
  <c r="BG86" i="29"/>
  <c r="AA88" i="29"/>
  <c r="AB88" i="29"/>
  <c r="AC88" i="29"/>
  <c r="AD88" i="29"/>
  <c r="AE88" i="29"/>
  <c r="AH88" i="29"/>
  <c r="AI88" i="29"/>
  <c r="AJ88" i="29"/>
  <c r="AK88" i="29"/>
  <c r="AL88" i="29"/>
  <c r="AM88" i="29"/>
  <c r="AN88" i="29"/>
  <c r="AO88" i="29"/>
  <c r="AP88" i="29"/>
  <c r="AQ88" i="29"/>
  <c r="AR88" i="29"/>
  <c r="AS88" i="29"/>
  <c r="AT88" i="29"/>
  <c r="AU88" i="29"/>
  <c r="AV88" i="29"/>
  <c r="AW88" i="29"/>
  <c r="AX88" i="29"/>
  <c r="AY88" i="29"/>
  <c r="AZ88" i="29"/>
  <c r="BA88" i="29"/>
  <c r="BB88" i="29"/>
  <c r="BC88" i="29"/>
  <c r="BD88" i="29"/>
  <c r="BE88" i="29"/>
  <c r="BF88" i="29"/>
  <c r="BG88" i="29"/>
  <c r="AB89" i="29"/>
  <c r="AC89" i="29"/>
  <c r="AD89" i="29"/>
  <c r="AE89" i="29"/>
  <c r="AF89" i="29"/>
  <c r="AG89" i="29"/>
  <c r="AH89" i="29"/>
  <c r="AI89" i="29"/>
  <c r="AJ89" i="29"/>
  <c r="AK89" i="29"/>
  <c r="AL89" i="29"/>
  <c r="AM89" i="29"/>
  <c r="AN89" i="29"/>
  <c r="AO89" i="29"/>
  <c r="AP89" i="29"/>
  <c r="AQ89" i="29"/>
  <c r="AR89" i="29"/>
  <c r="AS89" i="29"/>
  <c r="AT89" i="29"/>
  <c r="AU89" i="29"/>
  <c r="AV89" i="29"/>
  <c r="AW89" i="29"/>
  <c r="AX89" i="29"/>
  <c r="AY89" i="29"/>
  <c r="AZ89" i="29"/>
  <c r="BA89" i="29"/>
  <c r="BB89" i="29"/>
  <c r="BC89" i="29"/>
  <c r="BD89" i="29"/>
  <c r="BE89" i="29"/>
  <c r="BF89" i="29"/>
  <c r="BG89" i="29"/>
  <c r="AA90" i="29"/>
  <c r="AB90" i="29"/>
  <c r="AC90" i="29"/>
  <c r="AD90" i="29"/>
  <c r="AE90" i="29"/>
  <c r="AH90" i="29"/>
  <c r="AI90" i="29"/>
  <c r="AJ90" i="29"/>
  <c r="AK90" i="29"/>
  <c r="AL90" i="29"/>
  <c r="AM90" i="29"/>
  <c r="AN90" i="29"/>
  <c r="AO90" i="29"/>
  <c r="AP90" i="29"/>
  <c r="AQ90" i="29"/>
  <c r="AR90" i="29"/>
  <c r="AS90" i="29"/>
  <c r="AT90" i="29"/>
  <c r="AU90" i="29"/>
  <c r="AV90" i="29"/>
  <c r="AW90" i="29"/>
  <c r="AX90" i="29"/>
  <c r="AY90" i="29"/>
  <c r="AZ90" i="29"/>
  <c r="BA90" i="29"/>
  <c r="BB90" i="29"/>
  <c r="BC90" i="29"/>
  <c r="BD90" i="29"/>
  <c r="BE90" i="29"/>
  <c r="BF90" i="29"/>
  <c r="BG90" i="29"/>
  <c r="AA91" i="29"/>
  <c r="AB91" i="29"/>
  <c r="AC91" i="29"/>
  <c r="AD91" i="29"/>
  <c r="AE91" i="29"/>
  <c r="AH91" i="29"/>
  <c r="AI91" i="29"/>
  <c r="AJ91" i="29"/>
  <c r="AK91" i="29"/>
  <c r="AL91" i="29"/>
  <c r="AM91" i="29"/>
  <c r="AN91" i="29"/>
  <c r="AO91" i="29"/>
  <c r="AP91" i="29"/>
  <c r="AQ91" i="29"/>
  <c r="AR91" i="29"/>
  <c r="AS91" i="29"/>
  <c r="AT91" i="29"/>
  <c r="AU91" i="29"/>
  <c r="AV91" i="29"/>
  <c r="AW91" i="29"/>
  <c r="AX91" i="29"/>
  <c r="AY91" i="29"/>
  <c r="AZ91" i="29"/>
  <c r="BA91" i="29"/>
  <c r="BD91" i="29"/>
  <c r="BE91" i="29"/>
  <c r="BF91" i="29"/>
  <c r="BG91" i="29"/>
  <c r="AA92" i="29"/>
  <c r="AB92" i="29"/>
  <c r="AC92" i="29"/>
  <c r="AD92" i="29"/>
  <c r="AE92" i="29"/>
  <c r="AH92" i="29"/>
  <c r="AI92" i="29"/>
  <c r="AJ92" i="29"/>
  <c r="AK92" i="29"/>
  <c r="AL92" i="29"/>
  <c r="AM92" i="29"/>
  <c r="AN92" i="29"/>
  <c r="AO92" i="29"/>
  <c r="AP92" i="29"/>
  <c r="AQ92" i="29"/>
  <c r="AR92" i="29"/>
  <c r="AS92" i="29"/>
  <c r="AT92" i="29"/>
  <c r="AU92" i="29"/>
  <c r="AV92" i="29"/>
  <c r="AW92" i="29"/>
  <c r="AX92" i="29"/>
  <c r="AY92" i="29"/>
  <c r="AZ92" i="29"/>
  <c r="BA92" i="29"/>
  <c r="BB92" i="29"/>
  <c r="BC92" i="29"/>
  <c r="BD92" i="29"/>
  <c r="BE92" i="29"/>
  <c r="BF92" i="29"/>
  <c r="BG92" i="29"/>
  <c r="AA93" i="29"/>
  <c r="AB93" i="29"/>
  <c r="AC93" i="29"/>
  <c r="AD93" i="29"/>
  <c r="AE93" i="29"/>
  <c r="AF93" i="29"/>
  <c r="AG93" i="29"/>
  <c r="AH93" i="29"/>
  <c r="AI93" i="29"/>
  <c r="AJ93" i="29"/>
  <c r="AK93" i="29"/>
  <c r="AL93" i="29"/>
  <c r="AM93" i="29"/>
  <c r="AN93" i="29"/>
  <c r="AO93" i="29"/>
  <c r="AP93" i="29"/>
  <c r="AQ93" i="29"/>
  <c r="AR93" i="29"/>
  <c r="AS93" i="29"/>
  <c r="AT93" i="29"/>
  <c r="AU93" i="29"/>
  <c r="AV93" i="29"/>
  <c r="AW93" i="29"/>
  <c r="AX93" i="29"/>
  <c r="AY93" i="29"/>
  <c r="AZ93" i="29"/>
  <c r="BA93" i="29"/>
  <c r="BD93" i="29"/>
  <c r="BE93" i="29"/>
  <c r="BF93" i="29"/>
  <c r="BG93" i="29"/>
  <c r="AB94" i="29"/>
  <c r="AC94" i="29"/>
  <c r="AD94" i="29"/>
  <c r="AE94" i="29"/>
  <c r="AF94" i="29"/>
  <c r="AG94" i="29"/>
  <c r="AJ94" i="29"/>
  <c r="AK94" i="29"/>
  <c r="AL94" i="29"/>
  <c r="AM94" i="29"/>
  <c r="AN94" i="29"/>
  <c r="AO94" i="29"/>
  <c r="AP94" i="29"/>
  <c r="AQ94" i="29"/>
  <c r="AR94" i="29"/>
  <c r="AS94" i="29"/>
  <c r="AT94" i="29"/>
  <c r="AU94" i="29"/>
  <c r="AV94" i="29"/>
  <c r="AW94" i="29"/>
  <c r="AX94" i="29"/>
  <c r="AY94" i="29"/>
  <c r="AZ94" i="29"/>
  <c r="BA94" i="29"/>
  <c r="BB94" i="29"/>
  <c r="BC94" i="29"/>
  <c r="BD94" i="29"/>
  <c r="BE94" i="29"/>
  <c r="BF94" i="29"/>
  <c r="BG94" i="29"/>
  <c r="AA95" i="29"/>
  <c r="AB95" i="29"/>
  <c r="AC95" i="29"/>
  <c r="AD95" i="29"/>
  <c r="AE95" i="29"/>
  <c r="AF95" i="29"/>
  <c r="AG95" i="29"/>
  <c r="AH95" i="29"/>
  <c r="AI95" i="29"/>
  <c r="AJ95" i="29"/>
  <c r="AK95" i="29"/>
  <c r="AL95" i="29"/>
  <c r="AM95" i="29"/>
  <c r="AN95" i="29"/>
  <c r="AO95" i="29"/>
  <c r="AP95" i="29"/>
  <c r="AQ95" i="29"/>
  <c r="AR95" i="29"/>
  <c r="AS95" i="29"/>
  <c r="AT95" i="29"/>
  <c r="AU95" i="29"/>
  <c r="AV95" i="29"/>
  <c r="AW95" i="29"/>
  <c r="AX95" i="29"/>
  <c r="AY95" i="29"/>
  <c r="AZ95" i="29"/>
  <c r="BA95" i="29"/>
  <c r="BB95" i="29"/>
  <c r="BC95" i="29"/>
  <c r="BD95" i="29"/>
  <c r="BE95" i="29"/>
  <c r="BF95" i="29"/>
  <c r="BG95" i="29"/>
  <c r="AA96" i="29"/>
  <c r="AB96" i="29"/>
  <c r="AC96" i="29"/>
  <c r="AD96" i="29"/>
  <c r="AE96" i="29"/>
  <c r="AF96" i="29"/>
  <c r="AG96" i="29"/>
  <c r="AH96" i="29"/>
  <c r="AI96" i="29"/>
  <c r="AJ96" i="29"/>
  <c r="AK96" i="29"/>
  <c r="AL96" i="29"/>
  <c r="AM96" i="29"/>
  <c r="AN96" i="29"/>
  <c r="AO96" i="29"/>
  <c r="AP96" i="29"/>
  <c r="AQ96" i="29"/>
  <c r="AR96" i="29"/>
  <c r="AS96" i="29"/>
  <c r="AT96" i="29"/>
  <c r="AU96" i="29"/>
  <c r="AV96" i="29"/>
  <c r="AW96" i="29"/>
  <c r="AX96" i="29"/>
  <c r="AY96" i="29"/>
  <c r="AZ96" i="29"/>
  <c r="BA96" i="29"/>
  <c r="BB96" i="29"/>
  <c r="BC96" i="29"/>
  <c r="BF96" i="29"/>
  <c r="BG96" i="29"/>
  <c r="AA97" i="29"/>
  <c r="AB97" i="29"/>
  <c r="AC97" i="29"/>
  <c r="AD97" i="29"/>
  <c r="AE97" i="29"/>
  <c r="AF97" i="29"/>
  <c r="AG97" i="29"/>
  <c r="AH97" i="29"/>
  <c r="AI97" i="29"/>
  <c r="AJ97" i="29"/>
  <c r="AK97" i="29"/>
  <c r="AL97" i="29"/>
  <c r="AM97" i="29"/>
  <c r="AN97" i="29"/>
  <c r="AO97" i="29"/>
  <c r="AP97" i="29"/>
  <c r="AQ97" i="29"/>
  <c r="AR97" i="29"/>
  <c r="AS97" i="29"/>
  <c r="AT97" i="29"/>
  <c r="AU97" i="29"/>
  <c r="AV97" i="29"/>
  <c r="AW97" i="29"/>
  <c r="AX97" i="29"/>
  <c r="AY97" i="29"/>
  <c r="AZ97" i="29"/>
  <c r="BA97" i="29"/>
  <c r="BD97" i="29"/>
  <c r="BE97" i="29"/>
  <c r="BF97" i="29"/>
  <c r="BG97" i="29"/>
  <c r="AA98" i="29"/>
  <c r="AB98" i="29"/>
  <c r="AC98" i="29"/>
  <c r="AD98" i="29"/>
  <c r="AE98" i="29"/>
  <c r="AF98" i="29"/>
  <c r="AG98" i="29"/>
  <c r="AH98" i="29"/>
  <c r="AI98" i="29"/>
  <c r="AJ98" i="29"/>
  <c r="AK98" i="29"/>
  <c r="AL98" i="29"/>
  <c r="AM98" i="29"/>
  <c r="AN98" i="29"/>
  <c r="AO98" i="29"/>
  <c r="AP98" i="29"/>
  <c r="AQ98" i="29"/>
  <c r="AR98" i="29"/>
  <c r="AS98" i="29"/>
  <c r="AT98" i="29"/>
  <c r="AU98" i="29"/>
  <c r="AX98" i="29"/>
  <c r="AY98" i="29"/>
  <c r="AZ98" i="29"/>
  <c r="BA98" i="29"/>
  <c r="BB98" i="29"/>
  <c r="BC98" i="29"/>
  <c r="BD98" i="29"/>
  <c r="BE98" i="29"/>
  <c r="BF98" i="29"/>
  <c r="BG98" i="29"/>
  <c r="AA99" i="29"/>
  <c r="AB99" i="29"/>
  <c r="AC99" i="29"/>
  <c r="AD99" i="29"/>
  <c r="AE99" i="29"/>
  <c r="AF99" i="29"/>
  <c r="AG99" i="29"/>
  <c r="AH99" i="29"/>
  <c r="AI99" i="29"/>
  <c r="AJ99" i="29"/>
  <c r="AK99" i="29"/>
  <c r="AL99" i="29"/>
  <c r="AM99" i="29"/>
  <c r="AP99" i="29"/>
  <c r="AQ99" i="29"/>
  <c r="AR99" i="29"/>
  <c r="AS99" i="29"/>
  <c r="AT99" i="29"/>
  <c r="AU99" i="29"/>
  <c r="AV99" i="29"/>
  <c r="AW99" i="29"/>
  <c r="AX99" i="29"/>
  <c r="AY99" i="29"/>
  <c r="AZ99" i="29"/>
  <c r="BA99" i="29"/>
  <c r="BD99" i="29"/>
  <c r="BE99" i="29"/>
  <c r="BF99" i="29"/>
  <c r="BG99" i="29"/>
  <c r="AA100" i="29"/>
  <c r="AB100" i="29"/>
  <c r="AC100" i="29"/>
  <c r="AD100" i="29"/>
  <c r="AE100" i="29"/>
  <c r="AF100" i="29"/>
  <c r="AG100" i="29"/>
  <c r="AH100" i="29"/>
  <c r="AI100" i="29"/>
  <c r="AJ100" i="29"/>
  <c r="AK100" i="29"/>
  <c r="AL100" i="29"/>
  <c r="AM100" i="29"/>
  <c r="AN100" i="29"/>
  <c r="AO100" i="29"/>
  <c r="AP100" i="29"/>
  <c r="AQ100" i="29"/>
  <c r="AR100" i="29"/>
  <c r="AS100" i="29"/>
  <c r="AT100" i="29"/>
  <c r="AU100" i="29"/>
  <c r="AV100" i="29"/>
  <c r="AW100" i="29"/>
  <c r="AX100" i="29"/>
  <c r="AY100" i="29"/>
  <c r="AZ100" i="29"/>
  <c r="BA100" i="29"/>
  <c r="BB100" i="29"/>
  <c r="BC100" i="29"/>
  <c r="BD100" i="29"/>
  <c r="BE100" i="29"/>
  <c r="BF100" i="29"/>
  <c r="BG100" i="29"/>
  <c r="AA101" i="29"/>
  <c r="AB101" i="29"/>
  <c r="AC101" i="29"/>
  <c r="AD101" i="29"/>
  <c r="AE101" i="29"/>
  <c r="AF101" i="29"/>
  <c r="AG101" i="29"/>
  <c r="AH101" i="29"/>
  <c r="AI101" i="29"/>
  <c r="AJ101" i="29"/>
  <c r="AK101" i="29"/>
  <c r="AL101" i="29"/>
  <c r="AM101" i="29"/>
  <c r="AN101" i="29"/>
  <c r="AO101" i="29"/>
  <c r="AP101" i="29"/>
  <c r="AQ101" i="29"/>
  <c r="AR101" i="29"/>
  <c r="AS101" i="29"/>
  <c r="AT101" i="29"/>
  <c r="AU101" i="29"/>
  <c r="AV101" i="29"/>
  <c r="AW101" i="29"/>
  <c r="AX101" i="29"/>
  <c r="AY101" i="29"/>
  <c r="AZ101" i="29"/>
  <c r="BA101" i="29"/>
  <c r="BB101" i="29"/>
  <c r="BC101" i="29"/>
  <c r="BD101" i="29"/>
  <c r="BE101" i="29"/>
  <c r="BF101" i="29"/>
  <c r="BG101" i="29"/>
  <c r="AA102" i="29"/>
  <c r="AB102" i="29"/>
  <c r="AC102" i="29"/>
  <c r="AF102" i="29"/>
  <c r="AG102" i="29"/>
  <c r="AH102" i="29"/>
  <c r="AI102" i="29"/>
  <c r="AJ102" i="29"/>
  <c r="AK102" i="29"/>
  <c r="AL102" i="29"/>
  <c r="AM102" i="29"/>
  <c r="AN102" i="29"/>
  <c r="AO102" i="29"/>
  <c r="AP102" i="29"/>
  <c r="AQ102" i="29"/>
  <c r="AR102" i="29"/>
  <c r="AS102" i="29"/>
  <c r="AT102" i="29"/>
  <c r="AU102" i="29"/>
  <c r="AV102" i="29"/>
  <c r="AW102" i="29"/>
  <c r="AX102" i="29"/>
  <c r="AY102" i="29"/>
  <c r="AZ102" i="29"/>
  <c r="BA102" i="29"/>
  <c r="BB102" i="29"/>
  <c r="BC102" i="29"/>
  <c r="BD102" i="29"/>
  <c r="BE102" i="29"/>
  <c r="BF102" i="29"/>
  <c r="BG102" i="29"/>
  <c r="AA103" i="29"/>
  <c r="AB103" i="29"/>
  <c r="AC103" i="29"/>
  <c r="AD103" i="29"/>
  <c r="AE103" i="29"/>
  <c r="AF103" i="29"/>
  <c r="AG103" i="29"/>
  <c r="AH103" i="29"/>
  <c r="AI103" i="29"/>
  <c r="AJ103" i="29"/>
  <c r="AK103" i="29"/>
  <c r="AL103" i="29"/>
  <c r="AM103" i="29"/>
  <c r="AN103" i="29"/>
  <c r="AO103" i="29"/>
  <c r="AP103" i="29"/>
  <c r="AQ103" i="29"/>
  <c r="AR103" i="29"/>
  <c r="AS103" i="29"/>
  <c r="AT103" i="29"/>
  <c r="AU103" i="29"/>
  <c r="AV103" i="29"/>
  <c r="AW103" i="29"/>
  <c r="AX103" i="29"/>
  <c r="AY103" i="29"/>
  <c r="AZ103" i="29"/>
  <c r="BA103" i="29"/>
  <c r="BD103" i="29"/>
  <c r="BE103" i="29"/>
  <c r="BF103" i="29"/>
  <c r="BG103" i="29"/>
  <c r="AA104" i="29"/>
  <c r="AB104" i="29"/>
  <c r="AC104" i="29"/>
  <c r="AD104" i="29"/>
  <c r="AE104" i="29"/>
  <c r="AF104" i="29"/>
  <c r="AG104" i="29"/>
  <c r="AH104" i="29"/>
  <c r="AI104" i="29"/>
  <c r="AJ104" i="29"/>
  <c r="AK104" i="29"/>
  <c r="AL104" i="29"/>
  <c r="AM104" i="29"/>
  <c r="AN104" i="29"/>
  <c r="AO104" i="29"/>
  <c r="AP104" i="29"/>
  <c r="AQ104" i="29"/>
  <c r="AR104" i="29"/>
  <c r="AS104" i="29"/>
  <c r="AT104" i="29"/>
  <c r="AU104" i="29"/>
  <c r="AV104" i="29"/>
  <c r="AW104" i="29"/>
  <c r="AX104" i="29"/>
  <c r="AY104" i="29"/>
  <c r="BB104" i="29"/>
  <c r="BC104" i="29"/>
  <c r="BD104" i="29"/>
  <c r="BE104" i="29"/>
  <c r="BF104" i="29"/>
  <c r="BG104" i="29"/>
  <c r="AA105" i="29"/>
  <c r="AB105" i="29"/>
  <c r="AC105" i="29"/>
  <c r="AD105" i="29"/>
  <c r="AE105" i="29"/>
  <c r="AH105" i="29"/>
  <c r="AI105" i="29"/>
  <c r="AJ105" i="29"/>
  <c r="AK105" i="29"/>
  <c r="AL105" i="29"/>
  <c r="AM105" i="29"/>
  <c r="AN105" i="29"/>
  <c r="AO105" i="29"/>
  <c r="AP105" i="29"/>
  <c r="AQ105" i="29"/>
  <c r="AR105" i="29"/>
  <c r="AS105" i="29"/>
  <c r="AT105" i="29"/>
  <c r="AU105" i="29"/>
  <c r="AV105" i="29"/>
  <c r="AW105" i="29"/>
  <c r="AX105" i="29"/>
  <c r="AY105" i="29"/>
  <c r="AZ105" i="29"/>
  <c r="BA105" i="29"/>
  <c r="BB105" i="29"/>
  <c r="BC105" i="29"/>
  <c r="BD105" i="29"/>
  <c r="BE105" i="29"/>
  <c r="BF105" i="29"/>
  <c r="BG105" i="29"/>
  <c r="AA106" i="29"/>
  <c r="AB106" i="29"/>
  <c r="AC106" i="29"/>
  <c r="AD106" i="29"/>
  <c r="AE106" i="29"/>
  <c r="AF106" i="29"/>
  <c r="AG106" i="29"/>
  <c r="AH106" i="29"/>
  <c r="AI106" i="29"/>
  <c r="AJ106" i="29"/>
  <c r="AK106" i="29"/>
  <c r="AL106" i="29"/>
  <c r="AM106" i="29"/>
  <c r="AN106" i="29"/>
  <c r="AO106" i="29"/>
  <c r="AP106" i="29"/>
  <c r="AQ106" i="29"/>
  <c r="AR106" i="29"/>
  <c r="AS106" i="29"/>
  <c r="AT106" i="29"/>
  <c r="AU106" i="29"/>
  <c r="AV106" i="29"/>
  <c r="AW106" i="29"/>
  <c r="AX106" i="29"/>
  <c r="AY106" i="29"/>
  <c r="AZ106" i="29"/>
  <c r="BA106" i="29"/>
  <c r="BB106" i="29"/>
  <c r="BC106" i="29"/>
  <c r="BD106" i="29"/>
  <c r="BE106" i="29"/>
  <c r="BF106" i="29"/>
  <c r="BG106" i="29"/>
  <c r="AA107" i="29"/>
  <c r="AB107" i="29"/>
  <c r="AC107" i="29"/>
  <c r="AD107" i="29"/>
  <c r="AE107" i="29"/>
  <c r="AF107" i="29"/>
  <c r="AG107" i="29"/>
  <c r="AH107" i="29"/>
  <c r="AI107" i="29"/>
  <c r="AJ107" i="29"/>
  <c r="AK107" i="29"/>
  <c r="AL107" i="29"/>
  <c r="AM107" i="29"/>
  <c r="AN107" i="29"/>
  <c r="AO107" i="29"/>
  <c r="AP107" i="29"/>
  <c r="AQ107" i="29"/>
  <c r="AR107" i="29"/>
  <c r="AS107" i="29"/>
  <c r="AT107" i="29"/>
  <c r="AU107" i="29"/>
  <c r="AV107" i="29"/>
  <c r="AW107" i="29"/>
  <c r="AX107" i="29"/>
  <c r="AY107" i="29"/>
  <c r="AZ107" i="29"/>
  <c r="BA107" i="29"/>
  <c r="BB107" i="29"/>
  <c r="BC107" i="29"/>
  <c r="BD107" i="29"/>
  <c r="BE107" i="29"/>
  <c r="BF107" i="29"/>
  <c r="BG107" i="29"/>
  <c r="AA108" i="29"/>
  <c r="AB108" i="29"/>
  <c r="AC108" i="29"/>
  <c r="AD108" i="29"/>
  <c r="AE108" i="29"/>
  <c r="AF108" i="29"/>
  <c r="AG108" i="29"/>
  <c r="AH108" i="29"/>
  <c r="AI108" i="29"/>
  <c r="AJ108" i="29"/>
  <c r="AK108" i="29"/>
  <c r="AL108" i="29"/>
  <c r="AM108" i="29"/>
  <c r="AN108" i="29"/>
  <c r="AO108" i="29"/>
  <c r="AP108" i="29"/>
  <c r="AQ108" i="29"/>
  <c r="AR108" i="29"/>
  <c r="AS108" i="29"/>
  <c r="AT108" i="29"/>
  <c r="AU108" i="29"/>
  <c r="AV108" i="29"/>
  <c r="AW108" i="29"/>
  <c r="AX108" i="29"/>
  <c r="AY108" i="29"/>
  <c r="AZ108" i="29"/>
  <c r="BA108" i="29"/>
  <c r="BB108" i="29"/>
  <c r="BC108" i="29"/>
  <c r="BD108" i="29"/>
  <c r="BE108" i="29"/>
  <c r="BF108" i="29"/>
  <c r="BG108" i="29"/>
  <c r="AA109" i="29"/>
  <c r="AB109" i="29"/>
  <c r="AC109" i="29"/>
  <c r="AD109" i="29"/>
  <c r="AE109" i="29"/>
  <c r="AF109" i="29"/>
  <c r="AG109" i="29"/>
  <c r="AH109" i="29"/>
  <c r="AI109" i="29"/>
  <c r="AL109" i="29"/>
  <c r="AM109" i="29"/>
  <c r="AN109" i="29"/>
  <c r="AO109" i="29"/>
  <c r="AP109" i="29"/>
  <c r="AQ109" i="29"/>
  <c r="AR109" i="29"/>
  <c r="AS109" i="29"/>
  <c r="AT109" i="29"/>
  <c r="AU109" i="29"/>
  <c r="AV109" i="29"/>
  <c r="AW109" i="29"/>
  <c r="AX109" i="29"/>
  <c r="AY109" i="29"/>
  <c r="AZ109" i="29"/>
  <c r="BA109" i="29"/>
  <c r="BB109" i="29"/>
  <c r="BC109" i="29"/>
  <c r="BD109" i="29"/>
  <c r="BE109" i="29"/>
  <c r="BF109" i="29"/>
  <c r="BG109" i="29"/>
  <c r="AA110" i="29"/>
  <c r="AB110" i="29"/>
  <c r="AC110" i="29"/>
  <c r="AD110" i="29"/>
  <c r="AE110" i="29"/>
  <c r="AF110" i="29"/>
  <c r="AG110" i="29"/>
  <c r="AH110" i="29"/>
  <c r="AI110" i="29"/>
  <c r="AL110" i="29"/>
  <c r="AM110" i="29"/>
  <c r="AN110" i="29"/>
  <c r="AO110" i="29"/>
  <c r="AP110" i="29"/>
  <c r="AQ110" i="29"/>
  <c r="AR110" i="29"/>
  <c r="AS110" i="29"/>
  <c r="AT110" i="29"/>
  <c r="AU110" i="29"/>
  <c r="AV110" i="29"/>
  <c r="AW110" i="29"/>
  <c r="AX110" i="29"/>
  <c r="AY110" i="29"/>
  <c r="AZ110" i="29"/>
  <c r="BA110" i="29"/>
  <c r="BB110" i="29"/>
  <c r="BC110" i="29"/>
  <c r="BD110" i="29"/>
  <c r="BE110" i="29"/>
  <c r="BF110" i="29"/>
  <c r="BG110" i="29"/>
  <c r="AA111" i="29"/>
  <c r="AB111" i="29"/>
  <c r="AC111" i="29"/>
  <c r="AD111" i="29"/>
  <c r="AE111" i="29"/>
  <c r="AF111" i="29"/>
  <c r="AG111" i="29"/>
  <c r="AH111" i="29"/>
  <c r="AI111" i="29"/>
  <c r="AJ111" i="29"/>
  <c r="AK111" i="29"/>
  <c r="AL111" i="29"/>
  <c r="AM111" i="29"/>
  <c r="AN111" i="29"/>
  <c r="AO111" i="29"/>
  <c r="AP111" i="29"/>
  <c r="AQ111" i="29"/>
  <c r="AR111" i="29"/>
  <c r="AS111" i="29"/>
  <c r="AT111" i="29"/>
  <c r="AU111" i="29"/>
  <c r="AV111" i="29"/>
  <c r="AW111" i="29"/>
  <c r="AX111" i="29"/>
  <c r="AY111" i="29"/>
  <c r="AZ111" i="29"/>
  <c r="BA111" i="29"/>
  <c r="BD111" i="29"/>
  <c r="BE111" i="29"/>
  <c r="BF111" i="29"/>
  <c r="BG111" i="29"/>
  <c r="AB112" i="29"/>
  <c r="AC112" i="29"/>
  <c r="AD112" i="29"/>
  <c r="AE112" i="29"/>
  <c r="AF112" i="29"/>
  <c r="AG112" i="29"/>
  <c r="AH112" i="29"/>
  <c r="AI112" i="29"/>
  <c r="AJ112" i="29"/>
  <c r="AK112" i="29"/>
  <c r="AL112" i="29"/>
  <c r="AM112" i="29"/>
  <c r="AN112" i="29"/>
  <c r="AO112" i="29"/>
  <c r="AP112" i="29"/>
  <c r="AQ112" i="29"/>
  <c r="AR112" i="29"/>
  <c r="AS112" i="29"/>
  <c r="AT112" i="29"/>
  <c r="AU112" i="29"/>
  <c r="AV112" i="29"/>
  <c r="AW112" i="29"/>
  <c r="AX112" i="29"/>
  <c r="AY112" i="29"/>
  <c r="AZ112" i="29"/>
  <c r="BA112" i="29"/>
  <c r="BB112" i="29"/>
  <c r="BC112" i="29"/>
  <c r="BD112" i="29"/>
  <c r="BE112" i="29"/>
  <c r="BF112" i="29"/>
  <c r="BG112" i="29"/>
  <c r="AA113" i="29"/>
  <c r="AB113" i="29"/>
  <c r="AC113" i="29"/>
  <c r="AD113" i="29"/>
  <c r="AE113" i="29"/>
  <c r="AF113" i="29"/>
  <c r="AG113" i="29"/>
  <c r="AH113" i="29"/>
  <c r="AI113" i="29"/>
  <c r="AJ113" i="29"/>
  <c r="AK113" i="29"/>
  <c r="AL113" i="29"/>
  <c r="AM113" i="29"/>
  <c r="AN113" i="29"/>
  <c r="AO113" i="29"/>
  <c r="AR113" i="29"/>
  <c r="AS113" i="29"/>
  <c r="AT113" i="29"/>
  <c r="AU113" i="29"/>
  <c r="AV113" i="29"/>
  <c r="AW113" i="29"/>
  <c r="AX113" i="29"/>
  <c r="AY113" i="29"/>
  <c r="AZ113" i="29"/>
  <c r="BA113" i="29"/>
  <c r="BB113" i="29"/>
  <c r="BC113" i="29"/>
  <c r="BD113" i="29"/>
  <c r="BE113" i="29"/>
  <c r="BF113" i="29"/>
  <c r="BG113" i="29"/>
  <c r="AA114" i="29"/>
  <c r="AB114" i="29"/>
  <c r="AC114" i="29"/>
  <c r="AD114" i="29"/>
  <c r="AE114" i="29"/>
  <c r="AF114" i="29"/>
  <c r="AG114" i="29"/>
  <c r="AH114" i="29"/>
  <c r="AI114" i="29"/>
  <c r="AJ114" i="29"/>
  <c r="AK114" i="29"/>
  <c r="AL114" i="29"/>
  <c r="AM114" i="29"/>
  <c r="AN114" i="29"/>
  <c r="AO114" i="29"/>
  <c r="AP114" i="29"/>
  <c r="AQ114" i="29"/>
  <c r="AR114" i="29"/>
  <c r="AS114" i="29"/>
  <c r="AT114" i="29"/>
  <c r="AU114" i="29"/>
  <c r="AV114" i="29"/>
  <c r="AW114" i="29"/>
  <c r="AX114" i="29"/>
  <c r="AY114" i="29"/>
  <c r="AZ114" i="29"/>
  <c r="BA114" i="29"/>
  <c r="BB114" i="29"/>
  <c r="BC114" i="29"/>
  <c r="BD114" i="29"/>
  <c r="BE114" i="29"/>
  <c r="BF114" i="29"/>
  <c r="BG114" i="29"/>
  <c r="AA115" i="29"/>
  <c r="AB115" i="29"/>
  <c r="AC115" i="29"/>
  <c r="AD115" i="29"/>
  <c r="AE115" i="29"/>
  <c r="AF115" i="29"/>
  <c r="AG115" i="29"/>
  <c r="AH115" i="29"/>
  <c r="AI115" i="29"/>
  <c r="AJ115" i="29"/>
  <c r="AK115" i="29"/>
  <c r="AL115" i="29"/>
  <c r="AM115" i="29"/>
  <c r="AN115" i="29"/>
  <c r="AO115" i="29"/>
  <c r="AP115" i="29"/>
  <c r="AQ115" i="29"/>
  <c r="AR115" i="29"/>
  <c r="AS115" i="29"/>
  <c r="AT115" i="29"/>
  <c r="AU115" i="29"/>
  <c r="AV115" i="29"/>
  <c r="AW115" i="29"/>
  <c r="AX115" i="29"/>
  <c r="AY115" i="29"/>
  <c r="AZ115" i="29"/>
  <c r="BA115" i="29"/>
  <c r="BB115" i="29"/>
  <c r="BC115" i="29"/>
  <c r="BD115" i="29"/>
  <c r="BE115" i="29"/>
  <c r="BF115" i="29"/>
  <c r="BG115" i="29"/>
  <c r="AB116" i="29"/>
  <c r="AC116" i="29"/>
  <c r="AD116" i="29"/>
  <c r="AE116" i="29"/>
  <c r="AF116" i="29"/>
  <c r="AG116" i="29"/>
  <c r="AH116" i="29"/>
  <c r="AI116" i="29"/>
  <c r="AJ116" i="29"/>
  <c r="AK116" i="29"/>
  <c r="AL116" i="29"/>
  <c r="AM116" i="29"/>
  <c r="AN116" i="29"/>
  <c r="AO116" i="29"/>
  <c r="AP116" i="29"/>
  <c r="AQ116" i="29"/>
  <c r="AR116" i="29"/>
  <c r="AS116" i="29"/>
  <c r="AT116" i="29"/>
  <c r="AU116" i="29"/>
  <c r="AV116" i="29"/>
  <c r="AW116" i="29"/>
  <c r="AX116" i="29"/>
  <c r="AY116" i="29"/>
  <c r="AZ116" i="29"/>
  <c r="BA116" i="29"/>
  <c r="BB116" i="29"/>
  <c r="BC116" i="29"/>
  <c r="BD116" i="29"/>
  <c r="BE116" i="29"/>
  <c r="BF116" i="29"/>
  <c r="BG116" i="29"/>
  <c r="AA117" i="29"/>
  <c r="AB117" i="29"/>
  <c r="AC117" i="29"/>
  <c r="AD117" i="29"/>
  <c r="AE117" i="29"/>
  <c r="AF117" i="29"/>
  <c r="AG117" i="29"/>
  <c r="AH117" i="29"/>
  <c r="AI117" i="29"/>
  <c r="AL117" i="29"/>
  <c r="AM117" i="29"/>
  <c r="AN117" i="29"/>
  <c r="AO117" i="29"/>
  <c r="AP117" i="29"/>
  <c r="AQ117" i="29"/>
  <c r="AR117" i="29"/>
  <c r="AS117" i="29"/>
  <c r="AT117" i="29"/>
  <c r="AU117" i="29"/>
  <c r="AV117" i="29"/>
  <c r="AW117" i="29"/>
  <c r="AX117" i="29"/>
  <c r="AY117" i="29"/>
  <c r="AZ117" i="29"/>
  <c r="BA117" i="29"/>
  <c r="BB117" i="29"/>
  <c r="BC117" i="29"/>
  <c r="BD117" i="29"/>
  <c r="BE117" i="29"/>
  <c r="BF117" i="29"/>
  <c r="BG117" i="29"/>
  <c r="AA118" i="29"/>
  <c r="AB118" i="29"/>
  <c r="AC118" i="29"/>
  <c r="AF118" i="29"/>
  <c r="AG118" i="29"/>
  <c r="AH118" i="29"/>
  <c r="AI118" i="29"/>
  <c r="AJ118" i="29"/>
  <c r="AK118" i="29"/>
  <c r="AL118" i="29"/>
  <c r="AM118" i="29"/>
  <c r="AN118" i="29"/>
  <c r="AO118" i="29"/>
  <c r="AP118" i="29"/>
  <c r="AQ118" i="29"/>
  <c r="AR118" i="29"/>
  <c r="AS118" i="29"/>
  <c r="AT118" i="29"/>
  <c r="AU118" i="29"/>
  <c r="AV118" i="29"/>
  <c r="AW118" i="29"/>
  <c r="AX118" i="29"/>
  <c r="AY118" i="29"/>
  <c r="AZ118" i="29"/>
  <c r="BA118" i="29"/>
  <c r="BB118" i="29"/>
  <c r="BC118" i="29"/>
  <c r="BD118" i="29"/>
  <c r="BE118" i="29"/>
  <c r="BF118" i="29"/>
  <c r="BG118" i="29"/>
  <c r="AA119" i="29"/>
  <c r="AB119" i="29"/>
  <c r="AC119" i="29"/>
  <c r="AD119" i="29"/>
  <c r="AE119" i="29"/>
  <c r="AF119" i="29"/>
  <c r="AG119" i="29"/>
  <c r="AH119" i="29"/>
  <c r="AI119" i="29"/>
  <c r="AJ119" i="29"/>
  <c r="AK119" i="29"/>
  <c r="AL119" i="29"/>
  <c r="AM119" i="29"/>
  <c r="AN119" i="29"/>
  <c r="AO119" i="29"/>
  <c r="AR119" i="29"/>
  <c r="AS119" i="29"/>
  <c r="AT119" i="29"/>
  <c r="AU119" i="29"/>
  <c r="AV119" i="29"/>
  <c r="AW119" i="29"/>
  <c r="AX119" i="29"/>
  <c r="AY119" i="29"/>
  <c r="AZ119" i="29"/>
  <c r="BA119" i="29"/>
  <c r="BB119" i="29"/>
  <c r="BC119" i="29"/>
  <c r="BD119" i="29"/>
  <c r="BE119" i="29"/>
  <c r="BF119" i="29"/>
  <c r="BG119" i="29"/>
  <c r="AA120" i="29"/>
  <c r="AB120" i="29"/>
  <c r="AC120" i="29"/>
  <c r="AD120" i="29"/>
  <c r="AE120" i="29"/>
  <c r="AF120" i="29"/>
  <c r="AG120" i="29"/>
  <c r="AH120" i="29"/>
  <c r="AI120" i="29"/>
  <c r="AJ120" i="29"/>
  <c r="AK120" i="29"/>
  <c r="AL120" i="29"/>
  <c r="AM120" i="29"/>
  <c r="AN120" i="29"/>
  <c r="AO120" i="29"/>
  <c r="AP120" i="29"/>
  <c r="AQ120" i="29"/>
  <c r="AR120" i="29"/>
  <c r="AS120" i="29"/>
  <c r="AT120" i="29"/>
  <c r="AU120" i="29"/>
  <c r="AV120" i="29"/>
  <c r="AW120" i="29"/>
  <c r="AX120" i="29"/>
  <c r="AY120" i="29"/>
  <c r="AZ120" i="29"/>
  <c r="BA120" i="29"/>
  <c r="BB120" i="29"/>
  <c r="BC120" i="29"/>
  <c r="BD120" i="29"/>
  <c r="BE120" i="29"/>
  <c r="BF120" i="29"/>
  <c r="BG120" i="29"/>
  <c r="AA121" i="29"/>
  <c r="AB121" i="29"/>
  <c r="AC121" i="29"/>
  <c r="AD121" i="29"/>
  <c r="AE121" i="29"/>
  <c r="AF121" i="29"/>
  <c r="AG121" i="29"/>
  <c r="AH121" i="29"/>
  <c r="AI121" i="29"/>
  <c r="AJ121" i="29"/>
  <c r="AK121" i="29"/>
  <c r="AL121" i="29"/>
  <c r="AM121" i="29"/>
  <c r="AN121" i="29"/>
  <c r="AO121" i="29"/>
  <c r="AP121" i="29"/>
  <c r="AQ121" i="29"/>
  <c r="AR121" i="29"/>
  <c r="AS121" i="29"/>
  <c r="AT121" i="29"/>
  <c r="AU121" i="29"/>
  <c r="AV121" i="29"/>
  <c r="AW121" i="29"/>
  <c r="AX121" i="29"/>
  <c r="AY121" i="29"/>
  <c r="AZ121" i="29"/>
  <c r="BA121" i="29"/>
  <c r="BD121" i="29"/>
  <c r="BE121" i="29"/>
  <c r="BF121" i="29"/>
  <c r="BG121" i="29"/>
  <c r="AA122" i="29"/>
  <c r="AB122" i="29"/>
  <c r="AC122" i="29"/>
  <c r="AD122" i="29"/>
  <c r="AE122" i="29"/>
  <c r="AH122" i="29"/>
  <c r="AI122" i="29"/>
  <c r="AJ122" i="29"/>
  <c r="AK122" i="29"/>
  <c r="AL122" i="29"/>
  <c r="AM122" i="29"/>
  <c r="AN122" i="29"/>
  <c r="AO122" i="29"/>
  <c r="AP122" i="29"/>
  <c r="AQ122" i="29"/>
  <c r="AR122" i="29"/>
  <c r="AS122" i="29"/>
  <c r="AT122" i="29"/>
  <c r="AU122" i="29"/>
  <c r="AV122" i="29"/>
  <c r="AW122" i="29"/>
  <c r="AX122" i="29"/>
  <c r="AY122" i="29"/>
  <c r="AZ122" i="29"/>
  <c r="BA122" i="29"/>
  <c r="BB122" i="29"/>
  <c r="BC122" i="29"/>
  <c r="BD122" i="29"/>
  <c r="BE122" i="29"/>
  <c r="BF122" i="29"/>
  <c r="BG122" i="29"/>
  <c r="AA123" i="29"/>
  <c r="AB123" i="29"/>
  <c r="AC123" i="29"/>
  <c r="AD123" i="29"/>
  <c r="AE123" i="29"/>
  <c r="AF123" i="29"/>
  <c r="AG123" i="29"/>
  <c r="AH123" i="29"/>
  <c r="AI123" i="29"/>
  <c r="AJ123" i="29"/>
  <c r="AK123" i="29"/>
  <c r="AL123" i="29"/>
  <c r="AM123" i="29"/>
  <c r="AN123" i="29"/>
  <c r="AO123" i="29"/>
  <c r="AP123" i="29"/>
  <c r="AQ123" i="29"/>
  <c r="AT123" i="29"/>
  <c r="AU123" i="29"/>
  <c r="AV123" i="29"/>
  <c r="AW123" i="29"/>
  <c r="AX123" i="29"/>
  <c r="AY123" i="29"/>
  <c r="AZ123" i="29"/>
  <c r="BA123" i="29"/>
  <c r="BB123" i="29"/>
  <c r="BC123" i="29"/>
  <c r="BD123" i="29"/>
  <c r="BE123" i="29"/>
  <c r="BF123" i="29"/>
  <c r="BG123" i="29"/>
  <c r="AA124" i="29"/>
  <c r="AB124" i="29"/>
  <c r="AC124" i="29"/>
  <c r="AD124" i="29"/>
  <c r="AE124" i="29"/>
  <c r="AF124" i="29"/>
  <c r="AG124" i="29"/>
  <c r="AH124" i="29"/>
  <c r="AI124" i="29"/>
  <c r="AJ124" i="29"/>
  <c r="AK124" i="29"/>
  <c r="AL124" i="29"/>
  <c r="AM124" i="29"/>
  <c r="AN124" i="29"/>
  <c r="AO124" i="29"/>
  <c r="AR124" i="29"/>
  <c r="AS124" i="29"/>
  <c r="AT124" i="29"/>
  <c r="AU124" i="29"/>
  <c r="AV124" i="29"/>
  <c r="AW124" i="29"/>
  <c r="AX124" i="29"/>
  <c r="AY124" i="29"/>
  <c r="AZ124" i="29"/>
  <c r="BA124" i="29"/>
  <c r="BB124" i="29"/>
  <c r="BC124" i="29"/>
  <c r="BD124" i="29"/>
  <c r="BE124" i="29"/>
  <c r="BF124" i="29"/>
  <c r="BG124" i="29"/>
  <c r="AA125" i="29"/>
  <c r="AB125" i="29"/>
  <c r="AC125" i="29"/>
  <c r="AD125" i="29"/>
  <c r="AE125" i="29"/>
  <c r="AF125" i="29"/>
  <c r="AG125" i="29"/>
  <c r="AH125" i="29"/>
  <c r="AI125" i="29"/>
  <c r="AJ125" i="29"/>
  <c r="AK125" i="29"/>
  <c r="AL125" i="29"/>
  <c r="AM125" i="29"/>
  <c r="AN125" i="29"/>
  <c r="AO125" i="29"/>
  <c r="AP125" i="29"/>
  <c r="AQ125" i="29"/>
  <c r="AR125" i="29"/>
  <c r="AS125" i="29"/>
  <c r="AT125" i="29"/>
  <c r="AU125" i="29"/>
  <c r="AV125" i="29"/>
  <c r="AW125" i="29"/>
  <c r="AX125" i="29"/>
  <c r="AY125" i="29"/>
  <c r="AZ125" i="29"/>
  <c r="BA125" i="29"/>
  <c r="BB125" i="29"/>
  <c r="BC125" i="29"/>
  <c r="BD125" i="29"/>
  <c r="BE125" i="29"/>
  <c r="BF125" i="29"/>
  <c r="BG125" i="29"/>
  <c r="AA126" i="29"/>
  <c r="AB126" i="29"/>
  <c r="AC126" i="29"/>
  <c r="AD126" i="29"/>
  <c r="AE126" i="29"/>
  <c r="AH126" i="29"/>
  <c r="AI126" i="29"/>
  <c r="AJ126" i="29"/>
  <c r="AK126" i="29"/>
  <c r="AL126" i="29"/>
  <c r="AM126" i="29"/>
  <c r="AN126" i="29"/>
  <c r="AO126" i="29"/>
  <c r="AP126" i="29"/>
  <c r="AQ126" i="29"/>
  <c r="AR126" i="29"/>
  <c r="AS126" i="29"/>
  <c r="AT126" i="29"/>
  <c r="AU126" i="29"/>
  <c r="AV126" i="29"/>
  <c r="AW126" i="29"/>
  <c r="AX126" i="29"/>
  <c r="AY126" i="29"/>
  <c r="AZ126" i="29"/>
  <c r="BA126" i="29"/>
  <c r="BB126" i="29"/>
  <c r="BC126" i="29"/>
  <c r="BD126" i="29"/>
  <c r="BE126" i="29"/>
  <c r="BF126" i="29"/>
  <c r="BG126" i="29"/>
  <c r="AA127" i="29"/>
  <c r="AB127" i="29"/>
  <c r="AC127" i="29"/>
  <c r="AD127" i="29"/>
  <c r="AE127" i="29"/>
  <c r="AF127" i="29"/>
  <c r="AG127" i="29"/>
  <c r="AH127" i="29"/>
  <c r="AI127" i="29"/>
  <c r="AJ127" i="29"/>
  <c r="AK127" i="29"/>
  <c r="AL127" i="29"/>
  <c r="AM127" i="29"/>
  <c r="AN127" i="29"/>
  <c r="AO127" i="29"/>
  <c r="AP127" i="29"/>
  <c r="AQ127" i="29"/>
  <c r="AT127" i="29"/>
  <c r="AU127" i="29"/>
  <c r="AV127" i="29"/>
  <c r="AW127" i="29"/>
  <c r="AX127" i="29"/>
  <c r="AY127" i="29"/>
  <c r="AZ127" i="29"/>
  <c r="BA127" i="29"/>
  <c r="BB127" i="29"/>
  <c r="BC127" i="29"/>
  <c r="BD127" i="29"/>
  <c r="BE127" i="29"/>
  <c r="BF127" i="29"/>
  <c r="BG127" i="29"/>
  <c r="AA128" i="29"/>
  <c r="AB128" i="29"/>
  <c r="AC128" i="29"/>
  <c r="AD128" i="29"/>
  <c r="AE128" i="29"/>
  <c r="AF128" i="29"/>
  <c r="AG128" i="29"/>
  <c r="AH128" i="29"/>
  <c r="AI128" i="29"/>
  <c r="AJ128" i="29"/>
  <c r="AK128" i="29"/>
  <c r="AL128" i="29"/>
  <c r="AM128" i="29"/>
  <c r="AN128" i="29"/>
  <c r="AO128" i="29"/>
  <c r="AP128" i="29"/>
  <c r="AQ128" i="29"/>
  <c r="AR128" i="29"/>
  <c r="AS128" i="29"/>
  <c r="AT128" i="29"/>
  <c r="AU128" i="29"/>
  <c r="AV128" i="29"/>
  <c r="AW128" i="29"/>
  <c r="AX128" i="29"/>
  <c r="AY128" i="29"/>
  <c r="AZ128" i="29"/>
  <c r="BA128" i="29"/>
  <c r="BB128" i="29"/>
  <c r="BC128" i="29"/>
  <c r="BD128" i="29"/>
  <c r="BE128" i="29"/>
  <c r="BF128" i="29"/>
  <c r="BG128" i="29"/>
  <c r="AA129" i="29"/>
  <c r="AD129" i="29"/>
  <c r="AE129" i="29"/>
  <c r="AF129" i="29"/>
  <c r="AG129" i="29"/>
  <c r="AH129" i="29"/>
  <c r="AI129" i="29"/>
  <c r="AJ129" i="29"/>
  <c r="AK129" i="29"/>
  <c r="AL129" i="29"/>
  <c r="AM129" i="29"/>
  <c r="AN129" i="29"/>
  <c r="AO129" i="29"/>
  <c r="AP129" i="29"/>
  <c r="AQ129" i="29"/>
  <c r="AR129" i="29"/>
  <c r="AS129" i="29"/>
  <c r="AT129" i="29"/>
  <c r="AU129" i="29"/>
  <c r="AV129" i="29"/>
  <c r="AW129" i="29"/>
  <c r="AX129" i="29"/>
  <c r="AY129" i="29"/>
  <c r="AZ129" i="29"/>
  <c r="BA129" i="29"/>
  <c r="BB129" i="29"/>
  <c r="BC129" i="29"/>
  <c r="BD129" i="29"/>
  <c r="BE129" i="29"/>
  <c r="BF129" i="29"/>
  <c r="BG129" i="29"/>
  <c r="AA130" i="29"/>
  <c r="AD130" i="29"/>
  <c r="AE130" i="29"/>
  <c r="AF130" i="29"/>
  <c r="AG130" i="29"/>
  <c r="AH130" i="29"/>
  <c r="AI130" i="29"/>
  <c r="AJ130" i="29"/>
  <c r="AK130" i="29"/>
  <c r="AL130" i="29"/>
  <c r="AM130" i="29"/>
  <c r="AN130" i="29"/>
  <c r="AO130" i="29"/>
  <c r="AP130" i="29"/>
  <c r="AQ130" i="29"/>
  <c r="AR130" i="29"/>
  <c r="AS130" i="29"/>
  <c r="AT130" i="29"/>
  <c r="AU130" i="29"/>
  <c r="AV130" i="29"/>
  <c r="AW130" i="29"/>
  <c r="AX130" i="29"/>
  <c r="AY130" i="29"/>
  <c r="AZ130" i="29"/>
  <c r="BA130" i="29"/>
  <c r="BB130" i="29"/>
  <c r="BC130" i="29"/>
  <c r="BD130" i="29"/>
  <c r="BE130" i="29"/>
  <c r="BF130" i="29"/>
  <c r="BG130" i="29"/>
  <c r="AA131" i="29"/>
  <c r="AB131" i="29"/>
  <c r="AC131" i="29"/>
  <c r="AD131" i="29"/>
  <c r="AE131" i="29"/>
  <c r="AF131" i="29"/>
  <c r="AG131" i="29"/>
  <c r="AH131" i="29"/>
  <c r="AI131" i="29"/>
  <c r="AJ131" i="29"/>
  <c r="AK131" i="29"/>
  <c r="AL131" i="29"/>
  <c r="AM131" i="29"/>
  <c r="AN131" i="29"/>
  <c r="AO131" i="29"/>
  <c r="AR131" i="29"/>
  <c r="AS131" i="29"/>
  <c r="AT131" i="29"/>
  <c r="AU131" i="29"/>
  <c r="AV131" i="29"/>
  <c r="AW131" i="29"/>
  <c r="AX131" i="29"/>
  <c r="AY131" i="29"/>
  <c r="AZ131" i="29"/>
  <c r="BA131" i="29"/>
  <c r="BB131" i="29"/>
  <c r="BC131" i="29"/>
  <c r="BD131" i="29"/>
  <c r="BE131" i="29"/>
  <c r="BF131" i="29"/>
  <c r="BG131" i="29"/>
  <c r="AA132" i="29"/>
  <c r="AB132" i="29"/>
  <c r="AC132" i="29"/>
  <c r="AD132" i="29"/>
  <c r="AE132" i="29"/>
  <c r="AF132" i="29"/>
  <c r="AG132" i="29"/>
  <c r="AH132" i="29"/>
  <c r="AI132" i="29"/>
  <c r="AJ132" i="29"/>
  <c r="AK132" i="29"/>
  <c r="AL132" i="29"/>
  <c r="AM132" i="29"/>
  <c r="AN132" i="29"/>
  <c r="AO132" i="29"/>
  <c r="AP132" i="29"/>
  <c r="AQ132" i="29"/>
  <c r="AR132" i="29"/>
  <c r="AS132" i="29"/>
  <c r="AT132" i="29"/>
  <c r="AU132" i="29"/>
  <c r="AV132" i="29"/>
  <c r="AW132" i="29"/>
  <c r="AX132" i="29"/>
  <c r="AY132" i="29"/>
  <c r="AZ132" i="29"/>
  <c r="BA132" i="29"/>
  <c r="BB132" i="29"/>
  <c r="BC132" i="29"/>
  <c r="BD132" i="29"/>
  <c r="BE132" i="29"/>
  <c r="BF132" i="29"/>
  <c r="BG132" i="29"/>
  <c r="AA133" i="29"/>
  <c r="AB133" i="29"/>
  <c r="AC133" i="29"/>
  <c r="AD133" i="29"/>
  <c r="AE133" i="29"/>
  <c r="AF133" i="29"/>
  <c r="AG133" i="29"/>
  <c r="AH133" i="29"/>
  <c r="AI133" i="29"/>
  <c r="AL133" i="29"/>
  <c r="AM133" i="29"/>
  <c r="AN133" i="29"/>
  <c r="AO133" i="29"/>
  <c r="AP133" i="29"/>
  <c r="AQ133" i="29"/>
  <c r="AR133" i="29"/>
  <c r="AS133" i="29"/>
  <c r="AT133" i="29"/>
  <c r="AU133" i="29"/>
  <c r="AV133" i="29"/>
  <c r="AW133" i="29"/>
  <c r="AX133" i="29"/>
  <c r="AY133" i="29"/>
  <c r="AZ133" i="29"/>
  <c r="BA133" i="29"/>
  <c r="BB133" i="29"/>
  <c r="BC133" i="29"/>
  <c r="BD133" i="29"/>
  <c r="BE133" i="29"/>
  <c r="BF133" i="29"/>
  <c r="BG133" i="29"/>
  <c r="AA134" i="29"/>
  <c r="AB134" i="29"/>
  <c r="AC134" i="29"/>
  <c r="AD134" i="29"/>
  <c r="AE134" i="29"/>
  <c r="AF134" i="29"/>
  <c r="AG134" i="29"/>
  <c r="AH134" i="29"/>
  <c r="AI134" i="29"/>
  <c r="AL134" i="29"/>
  <c r="AM134" i="29"/>
  <c r="AN134" i="29"/>
  <c r="AO134" i="29"/>
  <c r="AP134" i="29"/>
  <c r="AQ134" i="29"/>
  <c r="AR134" i="29"/>
  <c r="AS134" i="29"/>
  <c r="AT134" i="29"/>
  <c r="AU134" i="29"/>
  <c r="AV134" i="29"/>
  <c r="AW134" i="29"/>
  <c r="AX134" i="29"/>
  <c r="AY134" i="29"/>
  <c r="AZ134" i="29"/>
  <c r="BA134" i="29"/>
  <c r="BB134" i="29"/>
  <c r="BC134" i="29"/>
  <c r="BD134" i="29"/>
  <c r="BE134" i="29"/>
  <c r="BF134" i="29"/>
  <c r="BG134" i="29"/>
  <c r="AA135" i="29"/>
  <c r="AB135" i="29"/>
  <c r="AC135" i="29"/>
  <c r="AF135" i="29"/>
  <c r="AG135" i="29"/>
  <c r="AH135" i="29"/>
  <c r="AI135" i="29"/>
  <c r="AL135" i="29"/>
  <c r="AM135" i="29"/>
  <c r="AN135" i="29"/>
  <c r="AO135" i="29"/>
  <c r="AP135" i="29"/>
  <c r="AQ135" i="29"/>
  <c r="AR135" i="29"/>
  <c r="AS135" i="29"/>
  <c r="AT135" i="29"/>
  <c r="AU135" i="29"/>
  <c r="AV135" i="29"/>
  <c r="AW135" i="29"/>
  <c r="AX135" i="29"/>
  <c r="AY135" i="29"/>
  <c r="AZ135" i="29"/>
  <c r="BA135" i="29"/>
  <c r="BB135" i="29"/>
  <c r="BC135" i="29"/>
  <c r="BD135" i="29"/>
  <c r="BE135" i="29"/>
  <c r="BF135" i="29"/>
  <c r="BG135" i="29"/>
  <c r="AA136" i="29"/>
  <c r="AB136" i="29"/>
  <c r="AC136" i="29"/>
  <c r="AD136" i="29"/>
  <c r="AE136" i="29"/>
  <c r="AF136" i="29"/>
  <c r="AG136" i="29"/>
  <c r="AH136" i="29"/>
  <c r="AI136" i="29"/>
  <c r="AJ136" i="29"/>
  <c r="AK136" i="29"/>
  <c r="AL136" i="29"/>
  <c r="AM136" i="29"/>
  <c r="AN136" i="29"/>
  <c r="AO136" i="29"/>
  <c r="AR136" i="29"/>
  <c r="AS136" i="29"/>
  <c r="AT136" i="29"/>
  <c r="AU136" i="29"/>
  <c r="AV136" i="29"/>
  <c r="AW136" i="29"/>
  <c r="AX136" i="29"/>
  <c r="AY136" i="29"/>
  <c r="AZ136" i="29"/>
  <c r="BA136" i="29"/>
  <c r="BB136" i="29"/>
  <c r="BC136" i="29"/>
  <c r="BD136" i="29"/>
  <c r="BE136" i="29"/>
  <c r="BF136" i="29"/>
  <c r="BG136" i="29"/>
  <c r="AA137" i="29"/>
  <c r="AB137" i="29"/>
  <c r="AC137" i="29"/>
  <c r="AD137" i="29"/>
  <c r="AE137" i="29"/>
  <c r="AF137" i="29"/>
  <c r="AG137" i="29"/>
  <c r="AH137" i="29"/>
  <c r="AI137" i="29"/>
  <c r="AJ137" i="29"/>
  <c r="AK137" i="29"/>
  <c r="AL137" i="29"/>
  <c r="AM137" i="29"/>
  <c r="AN137" i="29"/>
  <c r="AO137" i="29"/>
  <c r="AP137" i="29"/>
  <c r="AQ137" i="29"/>
  <c r="AR137" i="29"/>
  <c r="AS137" i="29"/>
  <c r="AT137" i="29"/>
  <c r="AU137" i="29"/>
  <c r="AV137" i="29"/>
  <c r="AW137" i="29"/>
  <c r="AX137" i="29"/>
  <c r="AY137" i="29"/>
  <c r="AZ137" i="29"/>
  <c r="BA137" i="29"/>
  <c r="BB137" i="29"/>
  <c r="BC137" i="29"/>
  <c r="BD137" i="29"/>
  <c r="BE137" i="29"/>
  <c r="BF137" i="29"/>
  <c r="BG137" i="29"/>
  <c r="AA138" i="29"/>
  <c r="AB138" i="29"/>
  <c r="AC138" i="29"/>
  <c r="AD138" i="29"/>
  <c r="AE138" i="29"/>
  <c r="AH138" i="29"/>
  <c r="AI138" i="29"/>
  <c r="AJ138" i="29"/>
  <c r="AK138" i="29"/>
  <c r="AL138" i="29"/>
  <c r="AM138" i="29"/>
  <c r="AN138" i="29"/>
  <c r="AO138" i="29"/>
  <c r="AP138" i="29"/>
  <c r="AQ138" i="29"/>
  <c r="AR138" i="29"/>
  <c r="AS138" i="29"/>
  <c r="AT138" i="29"/>
  <c r="AU138" i="29"/>
  <c r="AV138" i="29"/>
  <c r="AW138" i="29"/>
  <c r="AX138" i="29"/>
  <c r="AY138" i="29"/>
  <c r="AZ138" i="29"/>
  <c r="BA138" i="29"/>
  <c r="BB138" i="29"/>
  <c r="BC138" i="29"/>
  <c r="BD138" i="29"/>
  <c r="BE138" i="29"/>
  <c r="BF138" i="29"/>
  <c r="BG138" i="29"/>
  <c r="AA139" i="29"/>
  <c r="AB139" i="29"/>
  <c r="AC139" i="29"/>
  <c r="AD139" i="29"/>
  <c r="AE139" i="29"/>
  <c r="AH139" i="29"/>
  <c r="AI139" i="29"/>
  <c r="AJ139" i="29"/>
  <c r="AK139" i="29"/>
  <c r="AL139" i="29"/>
  <c r="AM139" i="29"/>
  <c r="AN139" i="29"/>
  <c r="AO139" i="29"/>
  <c r="AP139" i="29"/>
  <c r="AQ139" i="29"/>
  <c r="AR139" i="29"/>
  <c r="AS139" i="29"/>
  <c r="AT139" i="29"/>
  <c r="AU139" i="29"/>
  <c r="AV139" i="29"/>
  <c r="AW139" i="29"/>
  <c r="AX139" i="29"/>
  <c r="AY139" i="29"/>
  <c r="AZ139" i="29"/>
  <c r="BA139" i="29"/>
  <c r="BB139" i="29"/>
  <c r="BC139" i="29"/>
  <c r="BD139" i="29"/>
  <c r="BE139" i="29"/>
  <c r="BF139" i="29"/>
  <c r="BG139" i="29"/>
  <c r="AA140" i="29"/>
  <c r="AB140" i="29"/>
  <c r="AC140" i="29"/>
  <c r="AD140" i="29"/>
  <c r="AE140" i="29"/>
  <c r="AH140" i="29"/>
  <c r="AI140" i="29"/>
  <c r="AJ140" i="29"/>
  <c r="AK140" i="29"/>
  <c r="AL140" i="29"/>
  <c r="AM140" i="29"/>
  <c r="AN140" i="29"/>
  <c r="AO140" i="29"/>
  <c r="AP140" i="29"/>
  <c r="AQ140" i="29"/>
  <c r="AR140" i="29"/>
  <c r="AS140" i="29"/>
  <c r="AT140" i="29"/>
  <c r="AU140" i="29"/>
  <c r="AV140" i="29"/>
  <c r="AW140" i="29"/>
  <c r="AX140" i="29"/>
  <c r="AY140" i="29"/>
  <c r="AZ140" i="29"/>
  <c r="BA140" i="29"/>
  <c r="BB140" i="29"/>
  <c r="BC140" i="29"/>
  <c r="BD140" i="29"/>
  <c r="BE140" i="29"/>
  <c r="BF140" i="29"/>
  <c r="BG140" i="29"/>
  <c r="AA141" i="29"/>
  <c r="AB141" i="29"/>
  <c r="AC141" i="29"/>
  <c r="AD141" i="29"/>
  <c r="AE141" i="29"/>
  <c r="AH141" i="29"/>
  <c r="AI141" i="29"/>
  <c r="AJ141" i="29"/>
  <c r="AK141" i="29"/>
  <c r="AL141" i="29"/>
  <c r="AM141" i="29"/>
  <c r="AN141" i="29"/>
  <c r="AO141" i="29"/>
  <c r="AP141" i="29"/>
  <c r="AQ141" i="29"/>
  <c r="AR141" i="29"/>
  <c r="AS141" i="29"/>
  <c r="AT141" i="29"/>
  <c r="AU141" i="29"/>
  <c r="AV141" i="29"/>
  <c r="AW141" i="29"/>
  <c r="AX141" i="29"/>
  <c r="AY141" i="29"/>
  <c r="AZ141" i="29"/>
  <c r="BA141" i="29"/>
  <c r="BB141" i="29"/>
  <c r="BC141" i="29"/>
  <c r="BD141" i="29"/>
  <c r="BE141" i="29"/>
  <c r="BF141" i="29"/>
  <c r="BG141" i="29"/>
  <c r="AA142" i="29"/>
  <c r="AB142" i="29"/>
  <c r="AC142" i="29"/>
  <c r="AD142" i="29"/>
  <c r="AE142" i="29"/>
  <c r="AF142" i="29"/>
  <c r="AG142" i="29"/>
  <c r="AH142" i="29"/>
  <c r="AI142" i="29"/>
  <c r="AJ142" i="29"/>
  <c r="AK142" i="29"/>
  <c r="AL142" i="29"/>
  <c r="AM142" i="29"/>
  <c r="AN142" i="29"/>
  <c r="AO142" i="29"/>
  <c r="AP142" i="29"/>
  <c r="AQ142" i="29"/>
  <c r="AR142" i="29"/>
  <c r="AS142" i="29"/>
  <c r="AT142" i="29"/>
  <c r="AU142" i="29"/>
  <c r="AV142" i="29"/>
  <c r="AW142" i="29"/>
  <c r="AX142" i="29"/>
  <c r="AY142" i="29"/>
  <c r="AZ142" i="29"/>
  <c r="BA142" i="29"/>
  <c r="BB142" i="29"/>
  <c r="BC142" i="29"/>
  <c r="BD142" i="29"/>
  <c r="BE142" i="29"/>
  <c r="BF142" i="29"/>
  <c r="BG142" i="29"/>
  <c r="AA143" i="29"/>
  <c r="AB143" i="29"/>
  <c r="AC143" i="29"/>
  <c r="AD143" i="29"/>
  <c r="AE143" i="29"/>
  <c r="AF143" i="29"/>
  <c r="AG143" i="29"/>
  <c r="AH143" i="29"/>
  <c r="AI143" i="29"/>
  <c r="AL143" i="29"/>
  <c r="AM143" i="29"/>
  <c r="AN143" i="29"/>
  <c r="AO143" i="29"/>
  <c r="AP143" i="29"/>
  <c r="AQ143" i="29"/>
  <c r="AR143" i="29"/>
  <c r="AS143" i="29"/>
  <c r="AT143" i="29"/>
  <c r="AU143" i="29"/>
  <c r="AV143" i="29"/>
  <c r="AW143" i="29"/>
  <c r="AX143" i="29"/>
  <c r="AY143" i="29"/>
  <c r="AZ143" i="29"/>
  <c r="BA143" i="29"/>
  <c r="BB143" i="29"/>
  <c r="BC143" i="29"/>
  <c r="BD143" i="29"/>
  <c r="BE143" i="29"/>
  <c r="BF143" i="29"/>
  <c r="BG143" i="29"/>
  <c r="AA144" i="29"/>
  <c r="AB144" i="29"/>
  <c r="AC144" i="29"/>
  <c r="AD144" i="29"/>
  <c r="AE144" i="29"/>
  <c r="AF144" i="29"/>
  <c r="AG144" i="29"/>
  <c r="AH144" i="29"/>
  <c r="AI144" i="29"/>
  <c r="AL144" i="29"/>
  <c r="AM144" i="29"/>
  <c r="AN144" i="29"/>
  <c r="AO144" i="29"/>
  <c r="AP144" i="29"/>
  <c r="AQ144" i="29"/>
  <c r="AR144" i="29"/>
  <c r="AS144" i="29"/>
  <c r="AT144" i="29"/>
  <c r="AU144" i="29"/>
  <c r="AX144" i="29"/>
  <c r="AY144" i="29"/>
  <c r="AZ144" i="29"/>
  <c r="BA144" i="29"/>
  <c r="BB144" i="29"/>
  <c r="BC144" i="29"/>
  <c r="BD144" i="29"/>
  <c r="BE144" i="29"/>
  <c r="BF144" i="29"/>
  <c r="BG144" i="29"/>
  <c r="AA145" i="29"/>
  <c r="AB145" i="29"/>
  <c r="AC145" i="29"/>
  <c r="AD145" i="29"/>
  <c r="AE145" i="29"/>
  <c r="AF145" i="29"/>
  <c r="AG145" i="29"/>
  <c r="AH145" i="29"/>
  <c r="AI145" i="29"/>
  <c r="AJ145" i="29"/>
  <c r="AK145" i="29"/>
  <c r="AL145" i="29"/>
  <c r="AM145" i="29"/>
  <c r="AN145" i="29"/>
  <c r="AO145" i="29"/>
  <c r="AP145" i="29"/>
  <c r="AQ145" i="29"/>
  <c r="AR145" i="29"/>
  <c r="AS145" i="29"/>
  <c r="AT145" i="29"/>
  <c r="AU145" i="29"/>
  <c r="AV145" i="29"/>
  <c r="AW145" i="29"/>
  <c r="AX145" i="29"/>
  <c r="AY145" i="29"/>
  <c r="AZ145" i="29"/>
  <c r="BA145" i="29"/>
  <c r="BB145" i="29"/>
  <c r="BC145" i="29"/>
  <c r="BD145" i="29"/>
  <c r="BE145" i="29"/>
  <c r="BF145" i="29"/>
  <c r="BG145" i="29"/>
  <c r="AA146" i="29"/>
  <c r="AD146" i="29"/>
  <c r="AE146" i="29"/>
  <c r="AF146" i="29"/>
  <c r="AG146" i="29"/>
  <c r="AJ146" i="29"/>
  <c r="AK146" i="29"/>
  <c r="AL146" i="29"/>
  <c r="AM146" i="29"/>
  <c r="AN146" i="29"/>
  <c r="AO146" i="29"/>
  <c r="AP146" i="29"/>
  <c r="AQ146" i="29"/>
  <c r="AR146" i="29"/>
  <c r="AS146" i="29"/>
  <c r="AT146" i="29"/>
  <c r="AU146" i="29"/>
  <c r="AV146" i="29"/>
  <c r="AW146" i="29"/>
  <c r="AX146" i="29"/>
  <c r="AY146" i="29"/>
  <c r="AZ146" i="29"/>
  <c r="BA146" i="29"/>
  <c r="BB146" i="29"/>
  <c r="BC146" i="29"/>
  <c r="BD146" i="29"/>
  <c r="BE146" i="29"/>
  <c r="BF146" i="29"/>
  <c r="BG146" i="29"/>
  <c r="AA147" i="29"/>
  <c r="AB147" i="29"/>
  <c r="AC147" i="29"/>
  <c r="AD147" i="29"/>
  <c r="AE147" i="29"/>
  <c r="AF147" i="29"/>
  <c r="AG147" i="29"/>
  <c r="AH147" i="29"/>
  <c r="AI147" i="29"/>
  <c r="AL147" i="29"/>
  <c r="AM147" i="29"/>
  <c r="AN147" i="29"/>
  <c r="AO147" i="29"/>
  <c r="AP147" i="29"/>
  <c r="AQ147" i="29"/>
  <c r="AR147" i="29"/>
  <c r="AS147" i="29"/>
  <c r="AT147" i="29"/>
  <c r="AU147" i="29"/>
  <c r="AV147" i="29"/>
  <c r="AW147" i="29"/>
  <c r="AX147" i="29"/>
  <c r="AY147" i="29"/>
  <c r="AZ147" i="29"/>
  <c r="BA147" i="29"/>
  <c r="BB147" i="29"/>
  <c r="BC147" i="29"/>
  <c r="BD147" i="29"/>
  <c r="BE147" i="29"/>
  <c r="BF147" i="29"/>
  <c r="BG147" i="29"/>
  <c r="AA148" i="29"/>
  <c r="AB148" i="29"/>
  <c r="AC148" i="29"/>
  <c r="AD148" i="29"/>
  <c r="AE148" i="29"/>
  <c r="AH148" i="29"/>
  <c r="AI148" i="29"/>
  <c r="AJ148" i="29"/>
  <c r="AK148" i="29"/>
  <c r="AL148" i="29"/>
  <c r="AM148" i="29"/>
  <c r="AN148" i="29"/>
  <c r="AO148" i="29"/>
  <c r="AR148" i="29"/>
  <c r="AS148" i="29"/>
  <c r="AT148" i="29"/>
  <c r="AU148" i="29"/>
  <c r="AV148" i="29"/>
  <c r="AW148" i="29"/>
  <c r="AX148" i="29"/>
  <c r="AY148" i="29"/>
  <c r="AZ148" i="29"/>
  <c r="BA148" i="29"/>
  <c r="BB148" i="29"/>
  <c r="BC148" i="29"/>
  <c r="BD148" i="29"/>
  <c r="BE148" i="29"/>
  <c r="BF148" i="29"/>
  <c r="BG148" i="29"/>
  <c r="AA149" i="29"/>
  <c r="AB149" i="29"/>
  <c r="AC149" i="29"/>
  <c r="AD149" i="29"/>
  <c r="AE149" i="29"/>
  <c r="AF149" i="29"/>
  <c r="AG149" i="29"/>
  <c r="AH149" i="29"/>
  <c r="AI149" i="29"/>
  <c r="AJ149" i="29"/>
  <c r="AK149" i="29"/>
  <c r="AL149" i="29"/>
  <c r="AM149" i="29"/>
  <c r="AN149" i="29"/>
  <c r="AO149" i="29"/>
  <c r="AP149" i="29"/>
  <c r="AQ149" i="29"/>
  <c r="AR149" i="29"/>
  <c r="AS149" i="29"/>
  <c r="AT149" i="29"/>
  <c r="AU149" i="29"/>
  <c r="AV149" i="29"/>
  <c r="AW149" i="29"/>
  <c r="AX149" i="29"/>
  <c r="AY149" i="29"/>
  <c r="AZ149" i="29"/>
  <c r="BA149" i="29"/>
  <c r="BB149" i="29"/>
  <c r="BC149" i="29"/>
  <c r="BD149" i="29"/>
  <c r="BE149" i="29"/>
  <c r="BF149" i="29"/>
  <c r="BG149" i="29"/>
  <c r="AA150" i="29"/>
  <c r="AD150" i="29"/>
  <c r="AE150" i="29"/>
  <c r="AF150" i="29"/>
  <c r="AG150" i="29"/>
  <c r="AH150" i="29"/>
  <c r="AI150" i="29"/>
  <c r="AJ150" i="29"/>
  <c r="AK150" i="29"/>
  <c r="AL150" i="29"/>
  <c r="AM150" i="29"/>
  <c r="AP150" i="29"/>
  <c r="AQ150" i="29"/>
  <c r="AR150" i="29"/>
  <c r="AS150" i="29"/>
  <c r="AT150" i="29"/>
  <c r="AU150" i="29"/>
  <c r="AV150" i="29"/>
  <c r="AW150" i="29"/>
  <c r="AX150" i="29"/>
  <c r="AY150" i="29"/>
  <c r="AZ150" i="29"/>
  <c r="BA150" i="29"/>
  <c r="BB150" i="29"/>
  <c r="BC150" i="29"/>
  <c r="BD150" i="29"/>
  <c r="BE150" i="29"/>
  <c r="BF150" i="29"/>
  <c r="BG150" i="29"/>
  <c r="AA151" i="29"/>
  <c r="AB151" i="29"/>
  <c r="AC151" i="29"/>
  <c r="AD151" i="29"/>
  <c r="AE151" i="29"/>
  <c r="AF151" i="29"/>
  <c r="AG151" i="29"/>
  <c r="AH151" i="29"/>
  <c r="AI151" i="29"/>
  <c r="AJ151" i="29"/>
  <c r="AK151" i="29"/>
  <c r="AL151" i="29"/>
  <c r="AM151" i="29"/>
  <c r="AN151" i="29"/>
  <c r="AO151" i="29"/>
  <c r="AP151" i="29"/>
  <c r="AQ151" i="29"/>
  <c r="AR151" i="29"/>
  <c r="AS151" i="29"/>
  <c r="AT151" i="29"/>
  <c r="AU151" i="29"/>
  <c r="AX151" i="29"/>
  <c r="AY151" i="29"/>
  <c r="AZ151" i="29"/>
  <c r="BA151" i="29"/>
  <c r="BD151" i="29"/>
  <c r="BE151" i="29"/>
  <c r="BF151" i="29"/>
  <c r="BG151" i="29"/>
  <c r="AA152" i="29"/>
  <c r="AB152" i="29"/>
  <c r="AC152" i="29"/>
  <c r="AD152" i="29"/>
  <c r="AE152" i="29"/>
  <c r="AF152" i="29"/>
  <c r="AG152" i="29"/>
  <c r="AH152" i="29"/>
  <c r="AI152" i="29"/>
  <c r="AJ152" i="29"/>
  <c r="AK152" i="29"/>
  <c r="AL152" i="29"/>
  <c r="AM152" i="29"/>
  <c r="AN152" i="29"/>
  <c r="AO152" i="29"/>
  <c r="AP152" i="29"/>
  <c r="AQ152" i="29"/>
  <c r="AR152" i="29"/>
  <c r="AS152" i="29"/>
  <c r="AT152" i="29"/>
  <c r="AU152" i="29"/>
  <c r="AV152" i="29"/>
  <c r="AW152" i="29"/>
  <c r="AX152" i="29"/>
  <c r="AY152" i="29"/>
  <c r="AZ152" i="29"/>
  <c r="BA152" i="29"/>
  <c r="BB152" i="29"/>
  <c r="BC152" i="29"/>
  <c r="BD152" i="29"/>
  <c r="BE152" i="29"/>
  <c r="BF152" i="29"/>
  <c r="BG152" i="29"/>
  <c r="AA153" i="29"/>
  <c r="AB153" i="29"/>
  <c r="AC153" i="29"/>
  <c r="AD153" i="29"/>
  <c r="AE153" i="29"/>
  <c r="AF153" i="29"/>
  <c r="AG153" i="29"/>
  <c r="AH153" i="29"/>
  <c r="AI153" i="29"/>
  <c r="AJ153" i="29"/>
  <c r="AK153" i="29"/>
  <c r="AL153" i="29"/>
  <c r="AM153" i="29"/>
  <c r="AN153" i="29"/>
  <c r="AO153" i="29"/>
  <c r="AP153" i="29"/>
  <c r="AQ153" i="29"/>
  <c r="AR153" i="29"/>
  <c r="AS153" i="29"/>
  <c r="AT153" i="29"/>
  <c r="AU153" i="29"/>
  <c r="AV153" i="29"/>
  <c r="AW153" i="29"/>
  <c r="AX153" i="29"/>
  <c r="AY153" i="29"/>
  <c r="AZ153" i="29"/>
  <c r="BA153" i="29"/>
  <c r="BB153" i="29"/>
  <c r="BC153" i="29"/>
  <c r="BD153" i="29"/>
  <c r="BE153" i="29"/>
  <c r="BF153" i="29"/>
  <c r="BG153" i="29"/>
  <c r="AA154" i="29"/>
  <c r="AB154" i="29"/>
  <c r="AC154" i="29"/>
  <c r="AD154" i="29"/>
  <c r="AE154" i="29"/>
  <c r="AF154" i="29"/>
  <c r="AG154" i="29"/>
  <c r="AH154" i="29"/>
  <c r="AI154" i="29"/>
  <c r="AJ154" i="29"/>
  <c r="AK154" i="29"/>
  <c r="AL154" i="29"/>
  <c r="AM154" i="29"/>
  <c r="AN154" i="29"/>
  <c r="AO154" i="29"/>
  <c r="AP154" i="29"/>
  <c r="AQ154" i="29"/>
  <c r="AR154" i="29"/>
  <c r="AS154" i="29"/>
  <c r="AT154" i="29"/>
  <c r="AU154" i="29"/>
  <c r="AV154" i="29"/>
  <c r="AW154" i="29"/>
  <c r="AX154" i="29"/>
  <c r="AY154" i="29"/>
  <c r="AZ154" i="29"/>
  <c r="BA154" i="29"/>
  <c r="BD154" i="29"/>
  <c r="BE154" i="29"/>
  <c r="BF154" i="29"/>
  <c r="BG154" i="29"/>
  <c r="AA155" i="29"/>
  <c r="AB155" i="29"/>
  <c r="AC155" i="29"/>
  <c r="AD155" i="29"/>
  <c r="AE155" i="29"/>
  <c r="AF155" i="29"/>
  <c r="AG155" i="29"/>
  <c r="AH155" i="29"/>
  <c r="AI155" i="29"/>
  <c r="AJ155" i="29"/>
  <c r="AK155" i="29"/>
  <c r="AL155" i="29"/>
  <c r="AM155" i="29"/>
  <c r="AN155" i="29"/>
  <c r="AO155" i="29"/>
  <c r="AR155" i="29"/>
  <c r="AS155" i="29"/>
  <c r="AT155" i="29"/>
  <c r="AU155" i="29"/>
  <c r="AV155" i="29"/>
  <c r="AW155" i="29"/>
  <c r="AX155" i="29"/>
  <c r="AY155" i="29"/>
  <c r="AZ155" i="29"/>
  <c r="BA155" i="29"/>
  <c r="BB155" i="29"/>
  <c r="BC155" i="29"/>
  <c r="BD155" i="29"/>
  <c r="BE155" i="29"/>
  <c r="AA156" i="29"/>
  <c r="AB156" i="29"/>
  <c r="AC156" i="29"/>
  <c r="AD156" i="29"/>
  <c r="AE156" i="29"/>
  <c r="AF156" i="29"/>
  <c r="AG156" i="29"/>
  <c r="AH156" i="29"/>
  <c r="AI156" i="29"/>
  <c r="AJ156" i="29"/>
  <c r="AK156" i="29"/>
  <c r="AL156" i="29"/>
  <c r="AM156" i="29"/>
  <c r="AN156" i="29"/>
  <c r="AO156" i="29"/>
  <c r="AR156" i="29"/>
  <c r="AS156" i="29"/>
  <c r="AT156" i="29"/>
  <c r="AU156" i="29"/>
  <c r="AV156" i="29"/>
  <c r="AW156" i="29"/>
  <c r="AX156" i="29"/>
  <c r="AY156" i="29"/>
  <c r="AZ156" i="29"/>
  <c r="BA156" i="29"/>
  <c r="BB156" i="29"/>
  <c r="BC156" i="29"/>
  <c r="BD156" i="29"/>
  <c r="BE156" i="29"/>
  <c r="BF156" i="29"/>
  <c r="BG156" i="29"/>
  <c r="AA157" i="29"/>
  <c r="AB157" i="29"/>
  <c r="AC157" i="29"/>
  <c r="AF157" i="29"/>
  <c r="AG157" i="29"/>
  <c r="AH157" i="29"/>
  <c r="AI157" i="29"/>
  <c r="AJ157" i="29"/>
  <c r="AK157" i="29"/>
  <c r="AL157" i="29"/>
  <c r="AM157" i="29"/>
  <c r="AN157" i="29"/>
  <c r="AO157" i="29"/>
  <c r="AP157" i="29"/>
  <c r="AQ157" i="29"/>
  <c r="AR157" i="29"/>
  <c r="AS157" i="29"/>
  <c r="AT157" i="29"/>
  <c r="AU157" i="29"/>
  <c r="AV157" i="29"/>
  <c r="AW157" i="29"/>
  <c r="AX157" i="29"/>
  <c r="AY157" i="29"/>
  <c r="AZ157" i="29"/>
  <c r="BA157" i="29"/>
  <c r="BB157" i="29"/>
  <c r="BC157" i="29"/>
  <c r="BD157" i="29"/>
  <c r="BE157" i="29"/>
  <c r="BF157" i="29"/>
  <c r="BG157" i="29"/>
  <c r="AA158" i="29"/>
  <c r="AB158" i="29"/>
  <c r="AC158" i="29"/>
  <c r="AD158" i="29"/>
  <c r="AE158" i="29"/>
  <c r="AF158" i="29"/>
  <c r="AG158" i="29"/>
  <c r="AH158" i="29"/>
  <c r="AI158" i="29"/>
  <c r="AJ158" i="29"/>
  <c r="AK158" i="29"/>
  <c r="AL158" i="29"/>
  <c r="AM158" i="29"/>
  <c r="AN158" i="29"/>
  <c r="AO158" i="29"/>
  <c r="AP158" i="29"/>
  <c r="AQ158" i="29"/>
  <c r="AT158" i="29"/>
  <c r="AU158" i="29"/>
  <c r="AV158" i="29"/>
  <c r="AW158" i="29"/>
  <c r="AX158" i="29"/>
  <c r="AY158" i="29"/>
  <c r="AZ158" i="29"/>
  <c r="BA158" i="29"/>
  <c r="BD158" i="29"/>
  <c r="BE158" i="29"/>
  <c r="BF158" i="29"/>
  <c r="BG158" i="29"/>
  <c r="AA159" i="29"/>
  <c r="AB159" i="29"/>
  <c r="AC159" i="29"/>
  <c r="AD159" i="29"/>
  <c r="AE159" i="29"/>
  <c r="AH159" i="29"/>
  <c r="AI159" i="29"/>
  <c r="AJ159" i="29"/>
  <c r="AK159" i="29"/>
  <c r="AL159" i="29"/>
  <c r="AM159" i="29"/>
  <c r="AN159" i="29"/>
  <c r="AO159" i="29"/>
  <c r="AP159" i="29"/>
  <c r="AQ159" i="29"/>
  <c r="AR159" i="29"/>
  <c r="AS159" i="29"/>
  <c r="AT159" i="29"/>
  <c r="AU159" i="29"/>
  <c r="AV159" i="29"/>
  <c r="AW159" i="29"/>
  <c r="AX159" i="29"/>
  <c r="AY159" i="29"/>
  <c r="AZ159" i="29"/>
  <c r="BA159" i="29"/>
  <c r="BB159" i="29"/>
  <c r="BC159" i="29"/>
  <c r="BD159" i="29"/>
  <c r="BE159" i="29"/>
  <c r="BF159" i="29"/>
  <c r="BG159" i="29"/>
  <c r="AA160" i="29"/>
  <c r="AB160" i="29"/>
  <c r="AC160" i="29"/>
  <c r="AD160" i="29"/>
  <c r="AE160" i="29"/>
  <c r="AF160" i="29"/>
  <c r="AG160" i="29"/>
  <c r="AH160" i="29"/>
  <c r="AI160" i="29"/>
  <c r="AJ160" i="29"/>
  <c r="AK160" i="29"/>
  <c r="AL160" i="29"/>
  <c r="AM160" i="29"/>
  <c r="AP160" i="29"/>
  <c r="AQ160" i="29"/>
  <c r="AR160" i="29"/>
  <c r="AS160" i="29"/>
  <c r="AT160" i="29"/>
  <c r="AU160" i="29"/>
  <c r="AV160" i="29"/>
  <c r="AW160" i="29"/>
  <c r="AX160" i="29"/>
  <c r="AY160" i="29"/>
  <c r="AZ160" i="29"/>
  <c r="BA160" i="29"/>
  <c r="BB160" i="29"/>
  <c r="BC160" i="29"/>
  <c r="BD160" i="29"/>
  <c r="BE160" i="29"/>
  <c r="BF160" i="29"/>
  <c r="BG160" i="29"/>
  <c r="AA161" i="29"/>
  <c r="AB161" i="29"/>
  <c r="AC161" i="29"/>
  <c r="AD161" i="29"/>
  <c r="AE161" i="29"/>
  <c r="AF161" i="29"/>
  <c r="AG161" i="29"/>
  <c r="AH161" i="29"/>
  <c r="AI161" i="29"/>
  <c r="AJ161" i="29"/>
  <c r="AK161" i="29"/>
  <c r="AL161" i="29"/>
  <c r="AM161" i="29"/>
  <c r="AN161" i="29"/>
  <c r="AO161" i="29"/>
  <c r="AP161" i="29"/>
  <c r="AQ161" i="29"/>
  <c r="AT161" i="29"/>
  <c r="AU161" i="29"/>
  <c r="AV161" i="29"/>
  <c r="AW161" i="29"/>
  <c r="AX161" i="29"/>
  <c r="AY161" i="29"/>
  <c r="AZ161" i="29"/>
  <c r="BA161" i="29"/>
  <c r="BB161" i="29"/>
  <c r="BC161" i="29"/>
  <c r="BD161" i="29"/>
  <c r="BE161" i="29"/>
  <c r="BF161" i="29"/>
  <c r="BG161" i="29"/>
  <c r="AA162" i="29"/>
  <c r="AB162" i="29"/>
  <c r="AC162" i="29"/>
  <c r="AD162" i="29"/>
  <c r="AE162" i="29"/>
  <c r="AF162" i="29"/>
  <c r="AG162" i="29"/>
  <c r="AH162" i="29"/>
  <c r="AI162" i="29"/>
  <c r="AJ162" i="29"/>
  <c r="AK162" i="29"/>
  <c r="AL162" i="29"/>
  <c r="AM162" i="29"/>
  <c r="AN162" i="29"/>
  <c r="AO162" i="29"/>
  <c r="AP162" i="29"/>
  <c r="AQ162" i="29"/>
  <c r="AR162" i="29"/>
  <c r="AS162" i="29"/>
  <c r="AT162" i="29"/>
  <c r="AU162" i="29"/>
  <c r="AV162" i="29"/>
  <c r="AW162" i="29"/>
  <c r="AX162" i="29"/>
  <c r="AY162" i="29"/>
  <c r="AZ162" i="29"/>
  <c r="BA162" i="29"/>
  <c r="BB162" i="29"/>
  <c r="BC162" i="29"/>
  <c r="BD162" i="29"/>
  <c r="BE162" i="29"/>
  <c r="BF162" i="29"/>
  <c r="BG162" i="29"/>
  <c r="AA163" i="29"/>
  <c r="AB163" i="29"/>
  <c r="AC163" i="29"/>
  <c r="AD163" i="29"/>
  <c r="AE163" i="29"/>
  <c r="AF163" i="29"/>
  <c r="AG163" i="29"/>
  <c r="AH163" i="29"/>
  <c r="AI163" i="29"/>
  <c r="AJ163" i="29"/>
  <c r="AK163" i="29"/>
  <c r="AL163" i="29"/>
  <c r="AM163" i="29"/>
  <c r="AN163" i="29"/>
  <c r="AO163" i="29"/>
  <c r="AP163" i="29"/>
  <c r="AQ163" i="29"/>
  <c r="AR163" i="29"/>
  <c r="AS163" i="29"/>
  <c r="AT163" i="29"/>
  <c r="AU163" i="29"/>
  <c r="AX163" i="29"/>
  <c r="AY163" i="29"/>
  <c r="AZ163" i="29"/>
  <c r="BA163" i="29"/>
  <c r="BB163" i="29"/>
  <c r="BC163" i="29"/>
  <c r="BD163" i="29"/>
  <c r="BE163" i="29"/>
  <c r="BF163" i="29"/>
  <c r="BG163" i="29"/>
  <c r="AA164" i="29"/>
  <c r="AB164" i="29"/>
  <c r="AC164" i="29"/>
  <c r="AD164" i="29"/>
  <c r="AE164" i="29"/>
  <c r="AF164" i="29"/>
  <c r="AG164" i="29"/>
  <c r="AH164" i="29"/>
  <c r="AI164" i="29"/>
  <c r="AJ164" i="29"/>
  <c r="AK164" i="29"/>
  <c r="AL164" i="29"/>
  <c r="AM164" i="29"/>
  <c r="AN164" i="29"/>
  <c r="AO164" i="29"/>
  <c r="AR164" i="29"/>
  <c r="AS164" i="29"/>
  <c r="AT164" i="29"/>
  <c r="AU164" i="29"/>
  <c r="AV164" i="29"/>
  <c r="AW164" i="29"/>
  <c r="AX164" i="29"/>
  <c r="AY164" i="29"/>
  <c r="AZ164" i="29"/>
  <c r="BA164" i="29"/>
  <c r="BB164" i="29"/>
  <c r="BC164" i="29"/>
  <c r="BD164" i="29"/>
  <c r="BE164" i="29"/>
  <c r="BF164" i="29"/>
  <c r="BG164" i="29"/>
  <c r="AA165" i="29"/>
  <c r="AB165" i="29"/>
  <c r="AC165" i="29"/>
  <c r="AD165" i="29"/>
  <c r="AE165" i="29"/>
  <c r="AF165" i="29"/>
  <c r="AG165" i="29"/>
  <c r="AJ165" i="29"/>
  <c r="AK165" i="29"/>
  <c r="AL165" i="29"/>
  <c r="AM165" i="29"/>
  <c r="AN165" i="29"/>
  <c r="AO165" i="29"/>
  <c r="AP165" i="29"/>
  <c r="AQ165" i="29"/>
  <c r="AR165" i="29"/>
  <c r="AS165" i="29"/>
  <c r="AT165" i="29"/>
  <c r="AU165" i="29"/>
  <c r="AV165" i="29"/>
  <c r="AW165" i="29"/>
  <c r="AX165" i="29"/>
  <c r="AY165" i="29"/>
  <c r="AZ165" i="29"/>
  <c r="BA165" i="29"/>
  <c r="BB165" i="29"/>
  <c r="BC165" i="29"/>
  <c r="BD165" i="29"/>
  <c r="BE165" i="29"/>
  <c r="BF165" i="29"/>
  <c r="BG165" i="29"/>
  <c r="AA166" i="29"/>
  <c r="AB166" i="29"/>
  <c r="AC166" i="29"/>
  <c r="AD166" i="29"/>
  <c r="AE166" i="29"/>
  <c r="AF166" i="29"/>
  <c r="AG166" i="29"/>
  <c r="AH166" i="29"/>
  <c r="AI166" i="29"/>
  <c r="AJ166" i="29"/>
  <c r="AK166" i="29"/>
  <c r="AL166" i="29"/>
  <c r="AM166" i="29"/>
  <c r="AP166" i="29"/>
  <c r="AQ166" i="29"/>
  <c r="AR166" i="29"/>
  <c r="AS166" i="29"/>
  <c r="AT166" i="29"/>
  <c r="AU166" i="29"/>
  <c r="AV166" i="29"/>
  <c r="AW166" i="29"/>
  <c r="AX166" i="29"/>
  <c r="AY166" i="29"/>
  <c r="AZ166" i="29"/>
  <c r="BA166" i="29"/>
  <c r="BD166" i="29"/>
  <c r="BE166" i="29"/>
  <c r="BF166" i="29"/>
  <c r="BG166" i="29"/>
  <c r="AA167" i="29"/>
  <c r="AB167" i="29"/>
  <c r="AC167" i="29"/>
  <c r="AD167" i="29"/>
  <c r="AE167" i="29"/>
  <c r="AF167" i="29"/>
  <c r="AG167" i="29"/>
  <c r="AH167" i="29"/>
  <c r="AI167" i="29"/>
  <c r="AJ167" i="29"/>
  <c r="AK167" i="29"/>
  <c r="AL167" i="29"/>
  <c r="AM167" i="29"/>
  <c r="AN167" i="29"/>
  <c r="AO167" i="29"/>
  <c r="AP167" i="29"/>
  <c r="AQ167" i="29"/>
  <c r="AR167" i="29"/>
  <c r="AS167" i="29"/>
  <c r="AT167" i="29"/>
  <c r="AU167" i="29"/>
  <c r="AX167" i="29"/>
  <c r="AY167" i="29"/>
  <c r="AZ167" i="29"/>
  <c r="BA167" i="29"/>
  <c r="BB167" i="29"/>
  <c r="BC167" i="29"/>
  <c r="BD167" i="29"/>
  <c r="BE167" i="29"/>
  <c r="BF167" i="29"/>
  <c r="BG167" i="29"/>
  <c r="AA168" i="29"/>
  <c r="AB168" i="29"/>
  <c r="AC168" i="29"/>
  <c r="AD168" i="29"/>
  <c r="AE168" i="29"/>
  <c r="AF168" i="29"/>
  <c r="AG168" i="29"/>
  <c r="AH168" i="29"/>
  <c r="AI168" i="29"/>
  <c r="AJ168" i="29"/>
  <c r="AK168" i="29"/>
  <c r="AL168" i="29"/>
  <c r="AM168" i="29"/>
  <c r="AN168" i="29"/>
  <c r="AO168" i="29"/>
  <c r="AP168" i="29"/>
  <c r="AQ168" i="29"/>
  <c r="AR168" i="29"/>
  <c r="AS168" i="29"/>
  <c r="AT168" i="29"/>
  <c r="AU168" i="29"/>
  <c r="AV168" i="29"/>
  <c r="AW168" i="29"/>
  <c r="AX168" i="29"/>
  <c r="AY168" i="29"/>
  <c r="AZ168" i="29"/>
  <c r="BA168" i="29"/>
  <c r="BB168" i="29"/>
  <c r="BC168" i="29"/>
  <c r="BD168" i="29"/>
  <c r="BE168" i="29"/>
  <c r="BF168" i="29"/>
  <c r="BG168" i="29"/>
  <c r="AA169" i="29"/>
  <c r="AB169" i="29"/>
  <c r="AC169" i="29"/>
  <c r="AD169" i="29"/>
  <c r="AE169" i="29"/>
  <c r="AF169" i="29"/>
  <c r="AG169" i="29"/>
  <c r="AH169" i="29"/>
  <c r="AI169" i="29"/>
  <c r="AJ169" i="29"/>
  <c r="AK169" i="29"/>
  <c r="AL169" i="29"/>
  <c r="AM169" i="29"/>
  <c r="AN169" i="29"/>
  <c r="AO169" i="29"/>
  <c r="AP169" i="29"/>
  <c r="AQ169" i="29"/>
  <c r="AR169" i="29"/>
  <c r="AS169" i="29"/>
  <c r="AT169" i="29"/>
  <c r="AU169" i="29"/>
  <c r="AV169" i="29"/>
  <c r="AW169" i="29"/>
  <c r="AX169" i="29"/>
  <c r="AY169" i="29"/>
  <c r="AZ169" i="29"/>
  <c r="BA169" i="29"/>
  <c r="BB169" i="29"/>
  <c r="BC169" i="29"/>
  <c r="BD169" i="29"/>
  <c r="BE169" i="29"/>
  <c r="BF169" i="29"/>
  <c r="BG169" i="29"/>
  <c r="AA170" i="29"/>
  <c r="AB170" i="29"/>
  <c r="AC170" i="29"/>
  <c r="AD170" i="29"/>
  <c r="AE170" i="29"/>
  <c r="AF170" i="29"/>
  <c r="AG170" i="29"/>
  <c r="AH170" i="29"/>
  <c r="AI170" i="29"/>
  <c r="AJ170" i="29"/>
  <c r="AK170" i="29"/>
  <c r="AL170" i="29"/>
  <c r="AM170" i="29"/>
  <c r="AN170" i="29"/>
  <c r="AO170" i="29"/>
  <c r="AP170" i="29"/>
  <c r="AQ170" i="29"/>
  <c r="AR170" i="29"/>
  <c r="AS170" i="29"/>
  <c r="AT170" i="29"/>
  <c r="AU170" i="29"/>
  <c r="AV170" i="29"/>
  <c r="AW170" i="29"/>
  <c r="AX170" i="29"/>
  <c r="AY170" i="29"/>
  <c r="AZ170" i="29"/>
  <c r="BA170" i="29"/>
  <c r="BB170" i="29"/>
  <c r="BC170" i="29"/>
  <c r="BD170" i="29"/>
  <c r="BE170" i="29"/>
  <c r="BF170" i="29"/>
  <c r="BG170" i="29"/>
  <c r="AA171" i="29"/>
  <c r="AB171" i="29"/>
  <c r="AC171" i="29"/>
  <c r="AF171" i="29"/>
  <c r="AG171" i="29"/>
  <c r="AH171" i="29"/>
  <c r="AI171" i="29"/>
  <c r="AL171" i="29"/>
  <c r="AM171" i="29"/>
  <c r="AN171" i="29"/>
  <c r="AO171" i="29"/>
  <c r="AP171" i="29"/>
  <c r="AQ171" i="29"/>
  <c r="AR171" i="29"/>
  <c r="AS171" i="29"/>
  <c r="AT171" i="29"/>
  <c r="AU171" i="29"/>
  <c r="AV171" i="29"/>
  <c r="AW171" i="29"/>
  <c r="AX171" i="29"/>
  <c r="AY171" i="29"/>
  <c r="AZ171" i="29"/>
  <c r="BA171" i="29"/>
  <c r="BB171" i="29"/>
  <c r="BC171" i="29"/>
  <c r="BD171" i="29"/>
  <c r="BE171" i="29"/>
  <c r="BF171" i="29"/>
  <c r="BG171" i="29"/>
  <c r="AA172" i="29"/>
  <c r="AB172" i="29"/>
  <c r="AC172" i="29"/>
  <c r="AD172" i="29"/>
  <c r="AE172" i="29"/>
  <c r="AF172" i="29"/>
  <c r="AG172" i="29"/>
  <c r="AH172" i="29"/>
  <c r="AI172" i="29"/>
  <c r="AJ172" i="29"/>
  <c r="AK172" i="29"/>
  <c r="AL172" i="29"/>
  <c r="AM172" i="29"/>
  <c r="AN172" i="29"/>
  <c r="AO172" i="29"/>
  <c r="AP172" i="29"/>
  <c r="AQ172" i="29"/>
  <c r="AR172" i="29"/>
  <c r="AS172" i="29"/>
  <c r="AT172" i="29"/>
  <c r="AU172" i="29"/>
  <c r="AV172" i="29"/>
  <c r="AW172" i="29"/>
  <c r="AX172" i="29"/>
  <c r="AY172" i="29"/>
  <c r="AZ172" i="29"/>
  <c r="BA172" i="29"/>
  <c r="BB172" i="29"/>
  <c r="BC172" i="29"/>
  <c r="BD172" i="29"/>
  <c r="BE172" i="29"/>
  <c r="BF172" i="29"/>
  <c r="BG172" i="29"/>
  <c r="AA173" i="29"/>
  <c r="AB173" i="29"/>
  <c r="AC173" i="29"/>
  <c r="AD173" i="29"/>
  <c r="AE173" i="29"/>
  <c r="AF173" i="29"/>
  <c r="AG173" i="29"/>
  <c r="AH173" i="29"/>
  <c r="AI173" i="29"/>
  <c r="AJ173" i="29"/>
  <c r="AK173" i="29"/>
  <c r="AL173" i="29"/>
  <c r="AM173" i="29"/>
  <c r="AP173" i="29"/>
  <c r="AQ173" i="29"/>
  <c r="AR173" i="29"/>
  <c r="AS173" i="29"/>
  <c r="AT173" i="29"/>
  <c r="AU173" i="29"/>
  <c r="AV173" i="29"/>
  <c r="AW173" i="29"/>
  <c r="AX173" i="29"/>
  <c r="AY173" i="29"/>
  <c r="AZ173" i="29"/>
  <c r="BA173" i="29"/>
  <c r="BD173" i="29"/>
  <c r="BE173" i="29"/>
  <c r="BF173" i="29"/>
  <c r="BG173" i="29"/>
  <c r="AA174" i="29"/>
  <c r="AB174" i="29"/>
  <c r="AC174" i="29"/>
  <c r="AD174" i="29"/>
  <c r="AE174" i="29"/>
  <c r="AF174" i="29"/>
  <c r="AG174" i="29"/>
  <c r="AH174" i="29"/>
  <c r="AI174" i="29"/>
  <c r="AJ174" i="29"/>
  <c r="AK174" i="29"/>
  <c r="AL174" i="29"/>
  <c r="AM174" i="29"/>
  <c r="AN174" i="29"/>
  <c r="AO174" i="29"/>
  <c r="AP174" i="29"/>
  <c r="AQ174" i="29"/>
  <c r="AR174" i="29"/>
  <c r="AS174" i="29"/>
  <c r="AT174" i="29"/>
  <c r="AU174" i="29"/>
  <c r="AX174" i="29"/>
  <c r="AY174" i="29"/>
  <c r="AZ174" i="29"/>
  <c r="BA174" i="29"/>
  <c r="BD174" i="29"/>
  <c r="BE174" i="29"/>
  <c r="BF174" i="29"/>
  <c r="BG174" i="29"/>
  <c r="AA175" i="29"/>
  <c r="AB175" i="29"/>
  <c r="AC175" i="29"/>
  <c r="AD175" i="29"/>
  <c r="AE175" i="29"/>
  <c r="AH175" i="29"/>
  <c r="AI175" i="29"/>
  <c r="AJ175" i="29"/>
  <c r="AK175" i="29"/>
  <c r="AL175" i="29"/>
  <c r="AM175" i="29"/>
  <c r="AN175" i="29"/>
  <c r="AO175" i="29"/>
  <c r="AP175" i="29"/>
  <c r="AQ175" i="29"/>
  <c r="AR175" i="29"/>
  <c r="AS175" i="29"/>
  <c r="AT175" i="29"/>
  <c r="AU175" i="29"/>
  <c r="AV175" i="29"/>
  <c r="AW175" i="29"/>
  <c r="AX175" i="29"/>
  <c r="AY175" i="29"/>
  <c r="AZ175" i="29"/>
  <c r="BA175" i="29"/>
  <c r="BB175" i="29"/>
  <c r="BC175" i="29"/>
  <c r="BD175" i="29"/>
  <c r="BE175" i="29"/>
  <c r="BF175" i="29"/>
  <c r="BG175" i="29"/>
  <c r="AA176" i="29"/>
  <c r="AB176" i="29"/>
  <c r="AC176" i="29"/>
  <c r="AD176" i="29"/>
  <c r="AE176" i="29"/>
  <c r="AF176" i="29"/>
  <c r="AG176" i="29"/>
  <c r="AH176" i="29"/>
  <c r="AI176" i="29"/>
  <c r="AJ176" i="29"/>
  <c r="AK176" i="29"/>
  <c r="AL176" i="29"/>
  <c r="AM176" i="29"/>
  <c r="AN176" i="29"/>
  <c r="AO176" i="29"/>
  <c r="AP176" i="29"/>
  <c r="AQ176" i="29"/>
  <c r="AR176" i="29"/>
  <c r="AS176" i="29"/>
  <c r="AT176" i="29"/>
  <c r="AU176" i="29"/>
  <c r="AX176" i="29"/>
  <c r="AY176" i="29"/>
  <c r="AZ176" i="29"/>
  <c r="BA176" i="29"/>
  <c r="BB176" i="29"/>
  <c r="BC176" i="29"/>
  <c r="BD176" i="29"/>
  <c r="BE176" i="29"/>
  <c r="BF176" i="29"/>
  <c r="BG176" i="29"/>
  <c r="AA177" i="29"/>
  <c r="AB177" i="29"/>
  <c r="AC177" i="29"/>
  <c r="AF177" i="29"/>
  <c r="AG177" i="29"/>
  <c r="AH177" i="29"/>
  <c r="AI177" i="29"/>
  <c r="AJ177" i="29"/>
  <c r="AK177" i="29"/>
  <c r="AL177" i="29"/>
  <c r="AM177" i="29"/>
  <c r="AN177" i="29"/>
  <c r="AO177" i="29"/>
  <c r="AP177" i="29"/>
  <c r="AQ177" i="29"/>
  <c r="AR177" i="29"/>
  <c r="AS177" i="29"/>
  <c r="AT177" i="29"/>
  <c r="AU177" i="29"/>
  <c r="AV177" i="29"/>
  <c r="AW177" i="29"/>
  <c r="AX177" i="29"/>
  <c r="AY177" i="29"/>
  <c r="AZ177" i="29"/>
  <c r="BA177" i="29"/>
  <c r="BB177" i="29"/>
  <c r="BC177" i="29"/>
  <c r="BD177" i="29"/>
  <c r="BE177" i="29"/>
  <c r="BF177" i="29"/>
  <c r="BG177" i="29"/>
  <c r="AA178" i="29"/>
  <c r="AB178" i="29"/>
  <c r="AC178" i="29"/>
  <c r="AF178" i="29"/>
  <c r="AG178" i="29"/>
  <c r="AH178" i="29"/>
  <c r="AI178" i="29"/>
  <c r="AJ178" i="29"/>
  <c r="AK178" i="29"/>
  <c r="AL178" i="29"/>
  <c r="AM178" i="29"/>
  <c r="AN178" i="29"/>
  <c r="AO178" i="29"/>
  <c r="AP178" i="29"/>
  <c r="AQ178" i="29"/>
  <c r="AR178" i="29"/>
  <c r="AS178" i="29"/>
  <c r="AT178" i="29"/>
  <c r="AU178" i="29"/>
  <c r="AV178" i="29"/>
  <c r="AW178" i="29"/>
  <c r="AX178" i="29"/>
  <c r="AY178" i="29"/>
  <c r="AZ178" i="29"/>
  <c r="BA178" i="29"/>
  <c r="BB178" i="29"/>
  <c r="BC178" i="29"/>
  <c r="BD178" i="29"/>
  <c r="BE178" i="29"/>
  <c r="BF178" i="29"/>
  <c r="BG178" i="29"/>
  <c r="AA179" i="29"/>
  <c r="AB179" i="29"/>
  <c r="AC179" i="29"/>
  <c r="AD179" i="29"/>
  <c r="AE179" i="29"/>
  <c r="AF179" i="29"/>
  <c r="AG179" i="29"/>
  <c r="AH179" i="29"/>
  <c r="AI179" i="29"/>
  <c r="AJ179" i="29"/>
  <c r="AK179" i="29"/>
  <c r="AL179" i="29"/>
  <c r="AM179" i="29"/>
  <c r="AN179" i="29"/>
  <c r="AO179" i="29"/>
  <c r="AP179" i="29"/>
  <c r="AQ179" i="29"/>
  <c r="AR179" i="29"/>
  <c r="AS179" i="29"/>
  <c r="AT179" i="29"/>
  <c r="AU179" i="29"/>
  <c r="AV179" i="29"/>
  <c r="AW179" i="29"/>
  <c r="AX179" i="29"/>
  <c r="AY179" i="29"/>
  <c r="AZ179" i="29"/>
  <c r="BA179" i="29"/>
  <c r="BB179" i="29"/>
  <c r="BC179" i="29"/>
  <c r="BD179" i="29"/>
  <c r="BE179" i="29"/>
  <c r="BF179" i="29"/>
  <c r="BG179" i="29"/>
  <c r="AA180" i="29"/>
  <c r="AB180" i="29"/>
  <c r="AC180" i="29"/>
  <c r="AD180" i="29"/>
  <c r="AE180" i="29"/>
  <c r="AF180" i="29"/>
  <c r="AG180" i="29"/>
  <c r="AH180" i="29"/>
  <c r="AI180" i="29"/>
  <c r="AJ180" i="29"/>
  <c r="AK180" i="29"/>
  <c r="AL180" i="29"/>
  <c r="AM180" i="29"/>
  <c r="AN180" i="29"/>
  <c r="AO180" i="29"/>
  <c r="AP180" i="29"/>
  <c r="AQ180" i="29"/>
  <c r="AR180" i="29"/>
  <c r="AS180" i="29"/>
  <c r="AT180" i="29"/>
  <c r="AU180" i="29"/>
  <c r="AV180" i="29"/>
  <c r="AW180" i="29"/>
  <c r="AX180" i="29"/>
  <c r="AY180" i="29"/>
  <c r="AZ180" i="29"/>
  <c r="BA180" i="29"/>
  <c r="BB180" i="29"/>
  <c r="BC180" i="29"/>
  <c r="BD180" i="29"/>
  <c r="BE180" i="29"/>
  <c r="BF180" i="29"/>
  <c r="BG180" i="29"/>
  <c r="AA181" i="29"/>
  <c r="AB181" i="29"/>
  <c r="AC181" i="29"/>
  <c r="AD181" i="29"/>
  <c r="AE181" i="29"/>
  <c r="AF181" i="29"/>
  <c r="AG181" i="29"/>
  <c r="AH181" i="29"/>
  <c r="AI181" i="29"/>
  <c r="AJ181" i="29"/>
  <c r="AK181" i="29"/>
  <c r="AL181" i="29"/>
  <c r="AM181" i="29"/>
  <c r="AP181" i="29"/>
  <c r="AQ181" i="29"/>
  <c r="AR181" i="29"/>
  <c r="AS181" i="29"/>
  <c r="AT181" i="29"/>
  <c r="AU181" i="29"/>
  <c r="AV181" i="29"/>
  <c r="AW181" i="29"/>
  <c r="AX181" i="29"/>
  <c r="AY181" i="29"/>
  <c r="AZ181" i="29"/>
  <c r="BA181" i="29"/>
  <c r="BD181" i="29"/>
  <c r="BE181" i="29"/>
  <c r="BF181" i="29"/>
  <c r="BG181" i="29"/>
  <c r="AA182" i="29"/>
  <c r="AB182" i="29"/>
  <c r="AC182" i="29"/>
  <c r="AD182" i="29"/>
  <c r="AE182" i="29"/>
  <c r="AF182" i="29"/>
  <c r="AG182" i="29"/>
  <c r="AH182" i="29"/>
  <c r="AI182" i="29"/>
  <c r="AJ182" i="29"/>
  <c r="AK182" i="29"/>
  <c r="AL182" i="29"/>
  <c r="AM182" i="29"/>
  <c r="AN182" i="29"/>
  <c r="AO182" i="29"/>
  <c r="AP182" i="29"/>
  <c r="AQ182" i="29"/>
  <c r="AR182" i="29"/>
  <c r="AS182" i="29"/>
  <c r="AT182" i="29"/>
  <c r="AU182" i="29"/>
  <c r="AV182" i="29"/>
  <c r="AW182" i="29"/>
  <c r="AX182" i="29"/>
  <c r="AY182" i="29"/>
  <c r="AZ182" i="29"/>
  <c r="BA182" i="29"/>
  <c r="BB182" i="29"/>
  <c r="BC182" i="29"/>
  <c r="BD182" i="29"/>
  <c r="BE182" i="29"/>
  <c r="BF182" i="29"/>
  <c r="BG182" i="29"/>
  <c r="AA183" i="29"/>
  <c r="AB183" i="29"/>
  <c r="AC183" i="29"/>
  <c r="AD183" i="29"/>
  <c r="AE183" i="29"/>
  <c r="AF183" i="29"/>
  <c r="AG183" i="29"/>
  <c r="AH183" i="29"/>
  <c r="AI183" i="29"/>
  <c r="AJ183" i="29"/>
  <c r="AK183" i="29"/>
  <c r="AL183" i="29"/>
  <c r="AM183" i="29"/>
  <c r="AN183" i="29"/>
  <c r="AO183" i="29"/>
  <c r="AP183" i="29"/>
  <c r="AQ183" i="29"/>
  <c r="AR183" i="29"/>
  <c r="AS183" i="29"/>
  <c r="AT183" i="29"/>
  <c r="AU183" i="29"/>
  <c r="AX183" i="29"/>
  <c r="AY183" i="29"/>
  <c r="AZ183" i="29"/>
  <c r="BA183" i="29"/>
  <c r="BB183" i="29"/>
  <c r="BC183" i="29"/>
  <c r="BD183" i="29"/>
  <c r="BE183" i="29"/>
  <c r="BF183" i="29"/>
  <c r="BG183" i="29"/>
  <c r="AA184" i="29"/>
  <c r="AB184" i="29"/>
  <c r="AC184" i="29"/>
  <c r="AD184" i="29"/>
  <c r="AE184" i="29"/>
  <c r="AF184" i="29"/>
  <c r="AG184" i="29"/>
  <c r="AH184" i="29"/>
  <c r="AI184" i="29"/>
  <c r="AJ184" i="29"/>
  <c r="AK184" i="29"/>
  <c r="AL184" i="29"/>
  <c r="AM184" i="29"/>
  <c r="AN184" i="29"/>
  <c r="AO184" i="29"/>
  <c r="AP184" i="29"/>
  <c r="AQ184" i="29"/>
  <c r="AR184" i="29"/>
  <c r="AS184" i="29"/>
  <c r="AT184" i="29"/>
  <c r="AU184" i="29"/>
  <c r="AV184" i="29"/>
  <c r="AW184" i="29"/>
  <c r="AX184" i="29"/>
  <c r="AY184" i="29"/>
  <c r="AZ184" i="29"/>
  <c r="BA184" i="29"/>
  <c r="BB184" i="29"/>
  <c r="BC184" i="29"/>
  <c r="BD184" i="29"/>
  <c r="BE184" i="29"/>
  <c r="BF184" i="29"/>
  <c r="BG184" i="29"/>
  <c r="AB185" i="29"/>
  <c r="AC185" i="29"/>
  <c r="AD185" i="29"/>
  <c r="AE185" i="29"/>
  <c r="AF185" i="29"/>
  <c r="AG185" i="29"/>
  <c r="AH185" i="29"/>
  <c r="AI185" i="29"/>
  <c r="AJ185" i="29"/>
  <c r="AK185" i="29"/>
  <c r="AL185" i="29"/>
  <c r="AM185" i="29"/>
  <c r="AN185" i="29"/>
  <c r="AO185" i="29"/>
  <c r="AP185" i="29"/>
  <c r="AQ185" i="29"/>
  <c r="AR185" i="29"/>
  <c r="AS185" i="29"/>
  <c r="AT185" i="29"/>
  <c r="AU185" i="29"/>
  <c r="AV185" i="29"/>
  <c r="AW185" i="29"/>
  <c r="AX185" i="29"/>
  <c r="AY185" i="29"/>
  <c r="AZ185" i="29"/>
  <c r="BA185" i="29"/>
  <c r="BB185" i="29"/>
  <c r="BC185" i="29"/>
  <c r="BD185" i="29"/>
  <c r="BE185" i="29"/>
  <c r="BF185" i="29"/>
  <c r="BG185" i="29"/>
  <c r="AA186" i="29"/>
  <c r="AB186" i="29"/>
  <c r="AC186" i="29"/>
  <c r="AD186" i="29"/>
  <c r="AE186" i="29"/>
  <c r="AF186" i="29"/>
  <c r="AG186" i="29"/>
  <c r="AH186" i="29"/>
  <c r="AI186" i="29"/>
  <c r="AJ186" i="29"/>
  <c r="AK186" i="29"/>
  <c r="AL186" i="29"/>
  <c r="AM186" i="29"/>
  <c r="AN186" i="29"/>
  <c r="AO186" i="29"/>
  <c r="AP186" i="29"/>
  <c r="AQ186" i="29"/>
  <c r="AR186" i="29"/>
  <c r="AS186" i="29"/>
  <c r="AT186" i="29"/>
  <c r="AU186" i="29"/>
  <c r="AV186" i="29"/>
  <c r="AW186" i="29"/>
  <c r="AX186" i="29"/>
  <c r="AY186" i="29"/>
  <c r="AZ186" i="29"/>
  <c r="BA186" i="29"/>
  <c r="BB186" i="29"/>
  <c r="BC186" i="29"/>
  <c r="BD186" i="29"/>
  <c r="BE186" i="29"/>
  <c r="BF186" i="29"/>
  <c r="BG186" i="29"/>
  <c r="AA187" i="29"/>
  <c r="AB187" i="29"/>
  <c r="AC187" i="29"/>
  <c r="AD187" i="29"/>
  <c r="AE187" i="29"/>
  <c r="AF187" i="29"/>
  <c r="AG187" i="29"/>
  <c r="AH187" i="29"/>
  <c r="AI187" i="29"/>
  <c r="AJ187" i="29"/>
  <c r="AK187" i="29"/>
  <c r="AL187" i="29"/>
  <c r="AM187" i="29"/>
  <c r="AN187" i="29"/>
  <c r="AO187" i="29"/>
  <c r="AP187" i="29"/>
  <c r="AQ187" i="29"/>
  <c r="AR187" i="29"/>
  <c r="AS187" i="29"/>
  <c r="AT187" i="29"/>
  <c r="AU187" i="29"/>
  <c r="AV187" i="29"/>
  <c r="AW187" i="29"/>
  <c r="AX187" i="29"/>
  <c r="AY187" i="29"/>
  <c r="AZ187" i="29"/>
  <c r="BA187" i="29"/>
  <c r="BB187" i="29"/>
  <c r="BC187" i="29"/>
  <c r="BF187" i="29"/>
  <c r="BG187" i="29"/>
  <c r="AA188" i="29"/>
  <c r="AB188" i="29"/>
  <c r="AC188" i="29"/>
  <c r="AD188" i="29"/>
  <c r="AE188" i="29"/>
  <c r="AF188" i="29"/>
  <c r="AG188" i="29"/>
  <c r="AH188" i="29"/>
  <c r="AI188" i="29"/>
  <c r="AJ188" i="29"/>
  <c r="AK188" i="29"/>
  <c r="AL188" i="29"/>
  <c r="AM188" i="29"/>
  <c r="AN188" i="29"/>
  <c r="AO188" i="29"/>
  <c r="AP188" i="29"/>
  <c r="AQ188" i="29"/>
  <c r="AR188" i="29"/>
  <c r="AS188" i="29"/>
  <c r="AT188" i="29"/>
  <c r="AU188" i="29"/>
  <c r="AV188" i="29"/>
  <c r="AW188" i="29"/>
  <c r="AX188" i="29"/>
  <c r="AY188" i="29"/>
  <c r="AZ188" i="29"/>
  <c r="BA188" i="29"/>
  <c r="BD188" i="29"/>
  <c r="BE188" i="29"/>
  <c r="BF188" i="29"/>
  <c r="BG188" i="29"/>
  <c r="AA189" i="29"/>
  <c r="AB189" i="29"/>
  <c r="AC189" i="29"/>
  <c r="AD189" i="29"/>
  <c r="AE189" i="29"/>
  <c r="AF189" i="29"/>
  <c r="AG189" i="29"/>
  <c r="AH189" i="29"/>
  <c r="AI189" i="29"/>
  <c r="AJ189" i="29"/>
  <c r="AK189" i="29"/>
  <c r="AL189" i="29"/>
  <c r="AM189" i="29"/>
  <c r="AN189" i="29"/>
  <c r="AO189" i="29"/>
  <c r="AP189" i="29"/>
  <c r="AQ189" i="29"/>
  <c r="AR189" i="29"/>
  <c r="AS189" i="29"/>
  <c r="AT189" i="29"/>
  <c r="AU189" i="29"/>
  <c r="AX189" i="29"/>
  <c r="AY189" i="29"/>
  <c r="AZ189" i="29"/>
  <c r="BA189" i="29"/>
  <c r="BB189" i="29"/>
  <c r="BC189" i="29"/>
  <c r="BD189" i="29"/>
  <c r="BE189" i="29"/>
  <c r="BF189" i="29"/>
  <c r="BG189" i="29"/>
  <c r="AA190" i="29"/>
  <c r="AB190" i="29"/>
  <c r="AC190" i="29"/>
  <c r="AD190" i="29"/>
  <c r="AE190" i="29"/>
  <c r="AF190" i="29"/>
  <c r="AG190" i="29"/>
  <c r="AH190" i="29"/>
  <c r="AI190" i="29"/>
  <c r="AJ190" i="29"/>
  <c r="AK190" i="29"/>
  <c r="AL190" i="29"/>
  <c r="AM190" i="29"/>
  <c r="AP190" i="29"/>
  <c r="AQ190" i="29"/>
  <c r="AR190" i="29"/>
  <c r="AS190" i="29"/>
  <c r="AT190" i="29"/>
  <c r="AU190" i="29"/>
  <c r="AV190" i="29"/>
  <c r="AW190" i="29"/>
  <c r="AX190" i="29"/>
  <c r="AY190" i="29"/>
  <c r="AZ190" i="29"/>
  <c r="BA190" i="29"/>
  <c r="BB190" i="29"/>
  <c r="BC190" i="29"/>
  <c r="BD190" i="29"/>
  <c r="BE190" i="29"/>
  <c r="BF190" i="29"/>
  <c r="BG190" i="29"/>
  <c r="AA192" i="29"/>
  <c r="AB192" i="29"/>
  <c r="AC192" i="29"/>
  <c r="AD192" i="29"/>
  <c r="AE192" i="29"/>
  <c r="AF192" i="29"/>
  <c r="AG192" i="29"/>
  <c r="AH192" i="29"/>
  <c r="AI192" i="29"/>
  <c r="AJ192" i="29"/>
  <c r="AK192" i="29"/>
  <c r="AL192" i="29"/>
  <c r="AM192" i="29"/>
  <c r="AN192" i="29"/>
  <c r="AO192" i="29"/>
  <c r="AP192" i="29"/>
  <c r="AQ192" i="29"/>
  <c r="AR192" i="29"/>
  <c r="AS192" i="29"/>
  <c r="AT192" i="29"/>
  <c r="AU192" i="29"/>
  <c r="AV192" i="29"/>
  <c r="AW192" i="29"/>
  <c r="AX192" i="29"/>
  <c r="AY192" i="29"/>
  <c r="AZ192" i="29"/>
  <c r="BA192" i="29"/>
  <c r="BB192" i="29"/>
  <c r="BC192" i="29"/>
  <c r="BD192" i="29"/>
  <c r="BE192" i="29"/>
  <c r="BF192" i="29"/>
  <c r="BG192" i="29"/>
  <c r="AA193" i="29"/>
  <c r="AB193" i="29"/>
  <c r="AC193" i="29"/>
  <c r="AD193" i="29"/>
  <c r="AE193" i="29"/>
  <c r="AF193" i="29"/>
  <c r="AG193" i="29"/>
  <c r="AH193" i="29"/>
  <c r="AI193" i="29"/>
  <c r="AJ193" i="29"/>
  <c r="AK193" i="29"/>
  <c r="AL193" i="29"/>
  <c r="AM193" i="29"/>
  <c r="AN193" i="29"/>
  <c r="AO193" i="29"/>
  <c r="AP193" i="29"/>
  <c r="AQ193" i="29"/>
  <c r="AR193" i="29"/>
  <c r="AS193" i="29"/>
  <c r="AT193" i="29"/>
  <c r="AU193" i="29"/>
  <c r="AV193" i="29"/>
  <c r="AW193" i="29"/>
  <c r="AX193" i="29"/>
  <c r="AY193" i="29"/>
  <c r="BB193" i="29"/>
  <c r="BC193" i="29"/>
  <c r="BD193" i="29"/>
  <c r="BE193" i="29"/>
  <c r="BF193" i="29"/>
  <c r="BG193" i="29"/>
  <c r="AA194" i="29"/>
  <c r="AB194" i="29"/>
  <c r="AC194" i="29"/>
  <c r="AD194" i="29"/>
  <c r="AE194" i="29"/>
  <c r="AF194" i="29"/>
  <c r="AG194" i="29"/>
  <c r="AH194" i="29"/>
  <c r="AI194" i="29"/>
  <c r="AJ194" i="29"/>
  <c r="AK194" i="29"/>
  <c r="AL194" i="29"/>
  <c r="AM194" i="29"/>
  <c r="AN194" i="29"/>
  <c r="AO194" i="29"/>
  <c r="AP194" i="29"/>
  <c r="AQ194" i="29"/>
  <c r="AR194" i="29"/>
  <c r="AS194" i="29"/>
  <c r="AT194" i="29"/>
  <c r="AU194" i="29"/>
  <c r="AX194" i="29"/>
  <c r="AY194" i="29"/>
  <c r="AZ194" i="29"/>
  <c r="BA194" i="29"/>
  <c r="BB194" i="29"/>
  <c r="BC194" i="29"/>
  <c r="BD194" i="29"/>
  <c r="BE194" i="29"/>
  <c r="BF194" i="29"/>
  <c r="BG194" i="29"/>
  <c r="AA195" i="29"/>
  <c r="AB195" i="29"/>
  <c r="AC195" i="29"/>
  <c r="AD195" i="29"/>
  <c r="AE195" i="29"/>
  <c r="AF195" i="29"/>
  <c r="AG195" i="29"/>
  <c r="AH195" i="29"/>
  <c r="AI195" i="29"/>
  <c r="AJ195" i="29"/>
  <c r="AK195" i="29"/>
  <c r="AL195" i="29"/>
  <c r="AM195" i="29"/>
  <c r="AP195" i="29"/>
  <c r="AQ195" i="29"/>
  <c r="AR195" i="29"/>
  <c r="AS195" i="29"/>
  <c r="AT195" i="29"/>
  <c r="AU195" i="29"/>
  <c r="AV195" i="29"/>
  <c r="AW195" i="29"/>
  <c r="AX195" i="29"/>
  <c r="AY195" i="29"/>
  <c r="AZ195" i="29"/>
  <c r="BA195" i="29"/>
  <c r="BB195" i="29"/>
  <c r="BC195" i="29"/>
  <c r="BD195" i="29"/>
  <c r="BE195" i="29"/>
  <c r="BF195" i="29"/>
  <c r="BG195" i="29"/>
  <c r="AA196" i="29"/>
  <c r="AB196" i="29"/>
  <c r="AC196" i="29"/>
  <c r="AD196" i="29"/>
  <c r="AE196" i="29"/>
  <c r="AF196" i="29"/>
  <c r="AG196" i="29"/>
  <c r="AH196" i="29"/>
  <c r="AI196" i="29"/>
  <c r="AJ196" i="29"/>
  <c r="AK196" i="29"/>
  <c r="AL196" i="29"/>
  <c r="AM196" i="29"/>
  <c r="AN196" i="29"/>
  <c r="AO196" i="29"/>
  <c r="AR196" i="29"/>
  <c r="AS196" i="29"/>
  <c r="AT196" i="29"/>
  <c r="AU196" i="29"/>
  <c r="AV196" i="29"/>
  <c r="AW196" i="29"/>
  <c r="AX196" i="29"/>
  <c r="AY196" i="29"/>
  <c r="AZ196" i="29"/>
  <c r="BA196" i="29"/>
  <c r="BB196" i="29"/>
  <c r="BC196" i="29"/>
  <c r="BD196" i="29"/>
  <c r="BE196" i="29"/>
  <c r="BF196" i="29"/>
  <c r="BG196" i="29"/>
  <c r="AA197" i="29"/>
  <c r="AB197" i="29"/>
  <c r="AC197" i="29"/>
  <c r="AD197" i="29"/>
  <c r="AE197" i="29"/>
  <c r="AF197" i="29"/>
  <c r="AG197" i="29"/>
  <c r="AH197" i="29"/>
  <c r="AI197" i="29"/>
  <c r="AJ197" i="29"/>
  <c r="AK197" i="29"/>
  <c r="AL197" i="29"/>
  <c r="AM197" i="29"/>
  <c r="AP197" i="29"/>
  <c r="AQ197" i="29"/>
  <c r="AR197" i="29"/>
  <c r="AS197" i="29"/>
  <c r="AT197" i="29"/>
  <c r="AU197" i="29"/>
  <c r="AV197" i="29"/>
  <c r="AW197" i="29"/>
  <c r="AX197" i="29"/>
  <c r="AY197" i="29"/>
  <c r="AZ197" i="29"/>
  <c r="BA197" i="29"/>
  <c r="BB197" i="29"/>
  <c r="BC197" i="29"/>
  <c r="BD197" i="29"/>
  <c r="BE197" i="29"/>
  <c r="BF197" i="29"/>
  <c r="BG197" i="29"/>
  <c r="AA198" i="29"/>
  <c r="AB198" i="29"/>
  <c r="AC198" i="29"/>
  <c r="AD198" i="29"/>
  <c r="AE198" i="29"/>
  <c r="AF198" i="29"/>
  <c r="AG198" i="29"/>
  <c r="AH198" i="29"/>
  <c r="AI198" i="29"/>
  <c r="AJ198" i="29"/>
  <c r="AK198" i="29"/>
  <c r="AL198" i="29"/>
  <c r="AM198" i="29"/>
  <c r="AN198" i="29"/>
  <c r="AO198" i="29"/>
  <c r="AP198" i="29"/>
  <c r="AQ198" i="29"/>
  <c r="AR198" i="29"/>
  <c r="AS198" i="29"/>
  <c r="AT198" i="29"/>
  <c r="AU198" i="29"/>
  <c r="AV198" i="29"/>
  <c r="AW198" i="29"/>
  <c r="AX198" i="29"/>
  <c r="AY198" i="29"/>
  <c r="AZ198" i="29"/>
  <c r="BA198" i="29"/>
  <c r="BB198" i="29"/>
  <c r="BC198" i="29"/>
  <c r="BD198" i="29"/>
  <c r="BE198" i="29"/>
  <c r="BF198" i="29"/>
  <c r="BG198" i="29"/>
  <c r="AA199" i="29"/>
  <c r="AB199" i="29"/>
  <c r="AC199" i="29"/>
  <c r="AD199" i="29"/>
  <c r="AE199" i="29"/>
  <c r="AF199" i="29"/>
  <c r="AG199" i="29"/>
  <c r="AH199" i="29"/>
  <c r="AI199" i="29"/>
  <c r="AJ199" i="29"/>
  <c r="AK199" i="29"/>
  <c r="AL199" i="29"/>
  <c r="AM199" i="29"/>
  <c r="AN199" i="29"/>
  <c r="AO199" i="29"/>
  <c r="AP199" i="29"/>
  <c r="AQ199" i="29"/>
  <c r="AR199" i="29"/>
  <c r="AS199" i="29"/>
  <c r="AT199" i="29"/>
  <c r="AU199" i="29"/>
  <c r="AV199" i="29"/>
  <c r="AW199" i="29"/>
  <c r="AX199" i="29"/>
  <c r="AY199" i="29"/>
  <c r="AZ199" i="29"/>
  <c r="BA199" i="29"/>
  <c r="BD199" i="29"/>
  <c r="BE199" i="29"/>
  <c r="BF199" i="29"/>
  <c r="BG199" i="29"/>
  <c r="AA200" i="29"/>
  <c r="AB200" i="29"/>
  <c r="AC200" i="29"/>
  <c r="AD200" i="29"/>
  <c r="AE200" i="29"/>
  <c r="AF200" i="29"/>
  <c r="AG200" i="29"/>
  <c r="AH200" i="29"/>
  <c r="AI200" i="29"/>
  <c r="AJ200" i="29"/>
  <c r="AK200" i="29"/>
  <c r="AL200" i="29"/>
  <c r="AM200" i="29"/>
  <c r="AN200" i="29"/>
  <c r="AO200" i="29"/>
  <c r="AP200" i="29"/>
  <c r="AQ200" i="29"/>
  <c r="AR200" i="29"/>
  <c r="AS200" i="29"/>
  <c r="AT200" i="29"/>
  <c r="AU200" i="29"/>
  <c r="AV200" i="29"/>
  <c r="AW200" i="29"/>
  <c r="AX200" i="29"/>
  <c r="AY200" i="29"/>
  <c r="BB200" i="29"/>
  <c r="BC200" i="29"/>
  <c r="BD200" i="29"/>
  <c r="BE200" i="29"/>
  <c r="BF200" i="29"/>
  <c r="BG200" i="29"/>
  <c r="AA201" i="29"/>
  <c r="AB201" i="29"/>
  <c r="AC201" i="29"/>
  <c r="AD201" i="29"/>
  <c r="AE201" i="29"/>
  <c r="AF201" i="29"/>
  <c r="AG201" i="29"/>
  <c r="AH201" i="29"/>
  <c r="AI201" i="29"/>
  <c r="AJ201" i="29"/>
  <c r="AK201" i="29"/>
  <c r="AL201" i="29"/>
  <c r="AM201" i="29"/>
  <c r="AP201" i="29"/>
  <c r="AQ201" i="29"/>
  <c r="AR201" i="29"/>
  <c r="AS201" i="29"/>
  <c r="AT201" i="29"/>
  <c r="AU201" i="29"/>
  <c r="AV201" i="29"/>
  <c r="AW201" i="29"/>
  <c r="AX201" i="29"/>
  <c r="AY201" i="29"/>
  <c r="AZ201" i="29"/>
  <c r="BA201" i="29"/>
  <c r="BD201" i="29"/>
  <c r="BE201" i="29"/>
  <c r="BF201" i="29"/>
  <c r="BG201" i="29"/>
  <c r="AA203" i="29"/>
  <c r="AB203" i="29"/>
  <c r="AC203" i="29"/>
  <c r="AF203" i="29"/>
  <c r="AG203" i="29"/>
  <c r="AH203" i="29"/>
  <c r="AI203" i="29"/>
  <c r="AJ203" i="29"/>
  <c r="AK203" i="29"/>
  <c r="AL203" i="29"/>
  <c r="AM203" i="29"/>
  <c r="AN203" i="29"/>
  <c r="AO203" i="29"/>
  <c r="AP203" i="29"/>
  <c r="AQ203" i="29"/>
  <c r="AR203" i="29"/>
  <c r="AS203" i="29"/>
  <c r="AT203" i="29"/>
  <c r="AU203" i="29"/>
  <c r="AV203" i="29"/>
  <c r="AW203" i="29"/>
  <c r="AX203" i="29"/>
  <c r="AY203" i="29"/>
  <c r="AZ203" i="29"/>
  <c r="BA203" i="29"/>
  <c r="BB203" i="29"/>
  <c r="BC203" i="29"/>
  <c r="BD203" i="29"/>
  <c r="BE203" i="29"/>
  <c r="BF203" i="29"/>
  <c r="BG203" i="29"/>
  <c r="AA204" i="29"/>
  <c r="AB204" i="29"/>
  <c r="AC204" i="29"/>
  <c r="AD204" i="29"/>
  <c r="AE204" i="29"/>
  <c r="AF204" i="29"/>
  <c r="AG204" i="29"/>
  <c r="AH204" i="29"/>
  <c r="AI204" i="29"/>
  <c r="AJ204" i="29"/>
  <c r="AK204" i="29"/>
  <c r="AL204" i="29"/>
  <c r="AM204" i="29"/>
  <c r="AN204" i="29"/>
  <c r="AO204" i="29"/>
  <c r="AP204" i="29"/>
  <c r="AQ204" i="29"/>
  <c r="AT204" i="29"/>
  <c r="AU204" i="29"/>
  <c r="AV204" i="29"/>
  <c r="AW204" i="29"/>
  <c r="AX204" i="29"/>
  <c r="AY204" i="29"/>
  <c r="AZ204" i="29"/>
  <c r="BA204" i="29"/>
  <c r="BB204" i="29"/>
  <c r="BC204" i="29"/>
  <c r="BD204" i="29"/>
  <c r="BE204" i="29"/>
  <c r="BF204" i="29"/>
  <c r="BG204" i="29"/>
  <c r="AA205" i="29"/>
  <c r="AB205" i="29"/>
  <c r="AC205" i="29"/>
  <c r="AD205" i="29"/>
  <c r="AE205" i="29"/>
  <c r="AF205" i="29"/>
  <c r="AG205" i="29"/>
  <c r="AH205" i="29"/>
  <c r="AI205" i="29"/>
  <c r="AJ205" i="29"/>
  <c r="AK205" i="29"/>
  <c r="AL205" i="29"/>
  <c r="AM205" i="29"/>
  <c r="AP205" i="29"/>
  <c r="AQ205" i="29"/>
  <c r="AR205" i="29"/>
  <c r="AS205" i="29"/>
  <c r="AT205" i="29"/>
  <c r="AU205" i="29"/>
  <c r="AV205" i="29"/>
  <c r="AW205" i="29"/>
  <c r="AX205" i="29"/>
  <c r="AY205" i="29"/>
  <c r="AZ205" i="29"/>
  <c r="BA205" i="29"/>
  <c r="BD205" i="29"/>
  <c r="BE205" i="29"/>
  <c r="BF205" i="29"/>
  <c r="BG205" i="29"/>
  <c r="AA206" i="29"/>
  <c r="AB206" i="29"/>
  <c r="AC206" i="29"/>
  <c r="AD206" i="29"/>
  <c r="AE206" i="29"/>
  <c r="AF206" i="29"/>
  <c r="AG206" i="29"/>
  <c r="AH206" i="29"/>
  <c r="AI206" i="29"/>
  <c r="AJ206" i="29"/>
  <c r="AK206" i="29"/>
  <c r="AL206" i="29"/>
  <c r="AM206" i="29"/>
  <c r="AN206" i="29"/>
  <c r="AO206" i="29"/>
  <c r="AP206" i="29"/>
  <c r="AQ206" i="29"/>
  <c r="AR206" i="29"/>
  <c r="AS206" i="29"/>
  <c r="AT206" i="29"/>
  <c r="AU206" i="29"/>
  <c r="AV206" i="29"/>
  <c r="AW206" i="29"/>
  <c r="AX206" i="29"/>
  <c r="AY206" i="29"/>
  <c r="AZ206" i="29"/>
  <c r="BA206" i="29"/>
  <c r="BB206" i="29"/>
  <c r="BC206" i="29"/>
  <c r="BD206" i="29"/>
  <c r="BE206" i="29"/>
  <c r="BF206" i="29"/>
  <c r="BG206" i="29"/>
  <c r="AA207" i="29"/>
  <c r="AB207" i="29"/>
  <c r="AC207" i="29"/>
  <c r="AD207" i="29"/>
  <c r="AE207" i="29"/>
  <c r="AF207" i="29"/>
  <c r="AG207" i="29"/>
  <c r="AH207" i="29"/>
  <c r="AI207" i="29"/>
  <c r="AJ207" i="29"/>
  <c r="AK207" i="29"/>
  <c r="AL207" i="29"/>
  <c r="AM207" i="29"/>
  <c r="AN207" i="29"/>
  <c r="AO207" i="29"/>
  <c r="AP207" i="29"/>
  <c r="AQ207" i="29"/>
  <c r="AR207" i="29"/>
  <c r="AS207" i="29"/>
  <c r="AT207" i="29"/>
  <c r="AU207" i="29"/>
  <c r="AX207" i="29"/>
  <c r="AY207" i="29"/>
  <c r="AZ207" i="29"/>
  <c r="BA207" i="29"/>
  <c r="BD207" i="29"/>
  <c r="BE207" i="29"/>
  <c r="BF207" i="29"/>
  <c r="BG207" i="29"/>
  <c r="AA208" i="29"/>
  <c r="AB208" i="29"/>
  <c r="AC208" i="29"/>
  <c r="AD208" i="29"/>
  <c r="AE208" i="29"/>
  <c r="AF208" i="29"/>
  <c r="AG208" i="29"/>
  <c r="AH208" i="29"/>
  <c r="AI208" i="29"/>
  <c r="AJ208" i="29"/>
  <c r="AK208" i="29"/>
  <c r="AL208" i="29"/>
  <c r="AM208" i="29"/>
  <c r="AN208" i="29"/>
  <c r="AO208" i="29"/>
  <c r="AP208" i="29"/>
  <c r="AQ208" i="29"/>
  <c r="AR208" i="29"/>
  <c r="AS208" i="29"/>
  <c r="AT208" i="29"/>
  <c r="AU208" i="29"/>
  <c r="AV208" i="29"/>
  <c r="AW208" i="29"/>
  <c r="AX208" i="29"/>
  <c r="AY208" i="29"/>
  <c r="AZ208" i="29"/>
  <c r="BA208" i="29"/>
  <c r="BB208" i="29"/>
  <c r="BC208" i="29"/>
  <c r="BD208" i="29"/>
  <c r="BE208" i="29"/>
  <c r="BF208" i="29"/>
  <c r="BG208" i="29"/>
  <c r="AA209" i="29"/>
  <c r="AB209" i="29"/>
  <c r="AC209" i="29"/>
  <c r="AD209" i="29"/>
  <c r="AE209" i="29"/>
  <c r="AF209" i="29"/>
  <c r="AG209" i="29"/>
  <c r="AH209" i="29"/>
  <c r="AI209" i="29"/>
  <c r="AJ209" i="29"/>
  <c r="AK209" i="29"/>
  <c r="AL209" i="29"/>
  <c r="AM209" i="29"/>
  <c r="AN209" i="29"/>
  <c r="AO209" i="29"/>
  <c r="AP209" i="29"/>
  <c r="AQ209" i="29"/>
  <c r="AR209" i="29"/>
  <c r="AS209" i="29"/>
  <c r="AT209" i="29"/>
  <c r="AU209" i="29"/>
  <c r="AV209" i="29"/>
  <c r="AW209" i="29"/>
  <c r="AX209" i="29"/>
  <c r="AY209" i="29"/>
  <c r="AZ209" i="29"/>
  <c r="BA209" i="29"/>
  <c r="BD209" i="29"/>
  <c r="BE209" i="29"/>
  <c r="BF209" i="29"/>
  <c r="BG209" i="29"/>
  <c r="AA210" i="29"/>
  <c r="AB210" i="29"/>
  <c r="AC210" i="29"/>
  <c r="AD210" i="29"/>
  <c r="AE210" i="29"/>
  <c r="AF210" i="29"/>
  <c r="AG210" i="29"/>
  <c r="AH210" i="29"/>
  <c r="AI210" i="29"/>
  <c r="AJ210" i="29"/>
  <c r="AK210" i="29"/>
  <c r="AL210" i="29"/>
  <c r="AM210" i="29"/>
  <c r="AN210" i="29"/>
  <c r="AO210" i="29"/>
  <c r="AP210" i="29"/>
  <c r="AQ210" i="29"/>
  <c r="AR210" i="29"/>
  <c r="AS210" i="29"/>
  <c r="AT210" i="29"/>
  <c r="AU210" i="29"/>
  <c r="AX210" i="29"/>
  <c r="AY210" i="29"/>
  <c r="AZ210" i="29"/>
  <c r="BA210" i="29"/>
  <c r="BB210" i="29"/>
  <c r="BC210" i="29"/>
  <c r="BD210" i="29"/>
  <c r="BE210" i="29"/>
  <c r="BF210" i="29"/>
  <c r="BG210" i="29"/>
  <c r="AA211" i="29"/>
  <c r="AB211" i="29"/>
  <c r="AC211" i="29"/>
  <c r="AD211" i="29"/>
  <c r="AE211" i="29"/>
  <c r="AF211" i="29"/>
  <c r="AG211" i="29"/>
  <c r="AH211" i="29"/>
  <c r="AI211" i="29"/>
  <c r="AJ211" i="29"/>
  <c r="AK211" i="29"/>
  <c r="AL211" i="29"/>
  <c r="AM211" i="29"/>
  <c r="AP211" i="29"/>
  <c r="AQ211" i="29"/>
  <c r="AR211" i="29"/>
  <c r="AS211" i="29"/>
  <c r="AT211" i="29"/>
  <c r="AU211" i="29"/>
  <c r="AV211" i="29"/>
  <c r="AW211" i="29"/>
  <c r="AX211" i="29"/>
  <c r="AY211" i="29"/>
  <c r="AZ211" i="29"/>
  <c r="BA211" i="29"/>
  <c r="BB211" i="29"/>
  <c r="BC211" i="29"/>
  <c r="BD211" i="29"/>
  <c r="BE211" i="29"/>
  <c r="BF211" i="29"/>
  <c r="BG211" i="29"/>
  <c r="AA212" i="29"/>
  <c r="AB212" i="29"/>
  <c r="AC212" i="29"/>
  <c r="AD212" i="29"/>
  <c r="AE212" i="29"/>
  <c r="AF212" i="29"/>
  <c r="AG212" i="29"/>
  <c r="AH212" i="29"/>
  <c r="AI212" i="29"/>
  <c r="AJ212" i="29"/>
  <c r="AK212" i="29"/>
  <c r="AL212" i="29"/>
  <c r="AM212" i="29"/>
  <c r="AN212" i="29"/>
  <c r="AO212" i="29"/>
  <c r="AP212" i="29"/>
  <c r="AQ212" i="29"/>
  <c r="AR212" i="29"/>
  <c r="AS212" i="29"/>
  <c r="AT212" i="29"/>
  <c r="AU212" i="29"/>
  <c r="AV212" i="29"/>
  <c r="AW212" i="29"/>
  <c r="AX212" i="29"/>
  <c r="AY212" i="29"/>
  <c r="AZ212" i="29"/>
  <c r="BA212" i="29"/>
  <c r="BD212" i="29"/>
  <c r="BE212" i="29"/>
  <c r="BF212" i="29"/>
  <c r="BG212" i="29"/>
  <c r="AA213" i="29"/>
  <c r="AB213" i="29"/>
  <c r="AC213" i="29"/>
  <c r="AD213" i="29"/>
  <c r="AE213" i="29"/>
  <c r="AF213" i="29"/>
  <c r="AG213" i="29"/>
  <c r="AH213" i="29"/>
  <c r="AI213" i="29"/>
  <c r="AJ213" i="29"/>
  <c r="AK213" i="29"/>
  <c r="AL213" i="29"/>
  <c r="AM213" i="29"/>
  <c r="AN213" i="29"/>
  <c r="AO213" i="29"/>
  <c r="AP213" i="29"/>
  <c r="AQ213" i="29"/>
  <c r="AR213" i="29"/>
  <c r="AS213" i="29"/>
  <c r="AT213" i="29"/>
  <c r="AU213" i="29"/>
  <c r="AV213" i="29"/>
  <c r="AW213" i="29"/>
  <c r="AX213" i="29"/>
  <c r="AY213" i="29"/>
  <c r="AZ213" i="29"/>
  <c r="BA213" i="29"/>
  <c r="BD213" i="29"/>
  <c r="BE213" i="29"/>
  <c r="BF213" i="29"/>
  <c r="BG213" i="29"/>
  <c r="AA214" i="29"/>
  <c r="AB214" i="29"/>
  <c r="AC214" i="29"/>
  <c r="AD214" i="29"/>
  <c r="AE214" i="29"/>
  <c r="AF214" i="29"/>
  <c r="AG214" i="29"/>
  <c r="AH214" i="29"/>
  <c r="AI214" i="29"/>
  <c r="AJ214" i="29"/>
  <c r="AK214" i="29"/>
  <c r="AL214" i="29"/>
  <c r="AM214" i="29"/>
  <c r="AN214" i="29"/>
  <c r="AO214" i="29"/>
  <c r="AP214" i="29"/>
  <c r="AQ214" i="29"/>
  <c r="AR214" i="29"/>
  <c r="AS214" i="29"/>
  <c r="AT214" i="29"/>
  <c r="AU214" i="29"/>
  <c r="AV214" i="29"/>
  <c r="AW214" i="29"/>
  <c r="AX214" i="29"/>
  <c r="AY214" i="29"/>
  <c r="AZ214" i="29"/>
  <c r="BA214" i="29"/>
  <c r="BB214" i="29"/>
  <c r="BC214" i="29"/>
  <c r="BD214" i="29"/>
  <c r="BE214" i="29"/>
  <c r="BF214" i="29"/>
  <c r="BG214" i="29"/>
  <c r="AA215" i="29"/>
  <c r="AB215" i="29"/>
  <c r="AC215" i="29"/>
  <c r="AD215" i="29"/>
  <c r="AE215" i="29"/>
  <c r="AF215" i="29"/>
  <c r="AG215" i="29"/>
  <c r="AH215" i="29"/>
  <c r="AI215" i="29"/>
  <c r="AJ215" i="29"/>
  <c r="AK215" i="29"/>
  <c r="AL215" i="29"/>
  <c r="AM215" i="29"/>
  <c r="AN215" i="29"/>
  <c r="AO215" i="29"/>
  <c r="AP215" i="29"/>
  <c r="AQ215" i="29"/>
  <c r="AR215" i="29"/>
  <c r="AS215" i="29"/>
  <c r="AT215" i="29"/>
  <c r="AU215" i="29"/>
  <c r="AV215" i="29"/>
  <c r="AW215" i="29"/>
  <c r="AX215" i="29"/>
  <c r="AY215" i="29"/>
  <c r="AZ215" i="29"/>
  <c r="BA215" i="29"/>
  <c r="BB215" i="29"/>
  <c r="BC215" i="29"/>
  <c r="BD215" i="29"/>
  <c r="BE215" i="29"/>
  <c r="BF215" i="29"/>
  <c r="BG215" i="29"/>
  <c r="AA216" i="29"/>
  <c r="AB216" i="29"/>
  <c r="AC216" i="29"/>
  <c r="AD216" i="29"/>
  <c r="AE216" i="29"/>
  <c r="AF216" i="29"/>
  <c r="AG216" i="29"/>
  <c r="AH216" i="29"/>
  <c r="AI216" i="29"/>
  <c r="AJ216" i="29"/>
  <c r="AK216" i="29"/>
  <c r="AL216" i="29"/>
  <c r="AM216" i="29"/>
  <c r="AP216" i="29"/>
  <c r="AQ216" i="29"/>
  <c r="AR216" i="29"/>
  <c r="AS216" i="29"/>
  <c r="AT216" i="29"/>
  <c r="AU216" i="29"/>
  <c r="AV216" i="29"/>
  <c r="AW216" i="29"/>
  <c r="AX216" i="29"/>
  <c r="AY216" i="29"/>
  <c r="AZ216" i="29"/>
  <c r="BA216" i="29"/>
  <c r="BB216" i="29"/>
  <c r="BC216" i="29"/>
  <c r="BD216" i="29"/>
  <c r="BE216" i="29"/>
  <c r="BF216" i="29"/>
  <c r="BG216" i="29"/>
  <c r="AA217" i="29"/>
  <c r="AB217" i="29"/>
  <c r="AC217" i="29"/>
  <c r="AD217" i="29"/>
  <c r="AE217" i="29"/>
  <c r="AF217" i="29"/>
  <c r="AG217" i="29"/>
  <c r="AH217" i="29"/>
  <c r="AI217" i="29"/>
  <c r="AJ217" i="29"/>
  <c r="AK217" i="29"/>
  <c r="AL217" i="29"/>
  <c r="AM217" i="29"/>
  <c r="AN217" i="29"/>
  <c r="AO217" i="29"/>
  <c r="AP217" i="29"/>
  <c r="AQ217" i="29"/>
  <c r="AR217" i="29"/>
  <c r="AS217" i="29"/>
  <c r="AT217" i="29"/>
  <c r="AU217" i="29"/>
  <c r="AV217" i="29"/>
  <c r="AW217" i="29"/>
  <c r="AX217" i="29"/>
  <c r="AY217" i="29"/>
  <c r="AZ217" i="29"/>
  <c r="BA217" i="29"/>
  <c r="BB217" i="29"/>
  <c r="BC217" i="29"/>
  <c r="BD217" i="29"/>
  <c r="BE217" i="29"/>
  <c r="BF217" i="29"/>
  <c r="BG217" i="29"/>
  <c r="AA219" i="29"/>
  <c r="AB219" i="29"/>
  <c r="AC219" i="29"/>
  <c r="AD219" i="29"/>
  <c r="AE219" i="29"/>
  <c r="AF219" i="29"/>
  <c r="AG219" i="29"/>
  <c r="AH219" i="29"/>
  <c r="AI219" i="29"/>
  <c r="AJ219" i="29"/>
  <c r="AK219" i="29"/>
  <c r="AL219" i="29"/>
  <c r="AM219" i="29"/>
  <c r="AN219" i="29"/>
  <c r="AO219" i="29"/>
  <c r="AP219" i="29"/>
  <c r="AQ219" i="29"/>
  <c r="AR219" i="29"/>
  <c r="AS219" i="29"/>
  <c r="AT219" i="29"/>
  <c r="AU219" i="29"/>
  <c r="AV219" i="29"/>
  <c r="AW219" i="29"/>
  <c r="AX219" i="29"/>
  <c r="AY219" i="29"/>
  <c r="AZ219" i="29"/>
  <c r="BA219" i="29"/>
  <c r="BB219" i="29"/>
  <c r="BC219" i="29"/>
  <c r="BD219" i="29"/>
  <c r="BE219" i="29"/>
  <c r="BF219" i="29"/>
  <c r="BG219" i="29"/>
  <c r="AA220" i="29"/>
  <c r="AB220" i="29"/>
  <c r="AC220" i="29"/>
  <c r="AD220" i="29"/>
  <c r="AE220" i="29"/>
  <c r="AF220" i="29"/>
  <c r="AG220" i="29"/>
  <c r="AH220" i="29"/>
  <c r="AI220" i="29"/>
  <c r="AJ220" i="29"/>
  <c r="AK220" i="29"/>
  <c r="AL220" i="29"/>
  <c r="AM220" i="29"/>
  <c r="AN220" i="29"/>
  <c r="AO220" i="29"/>
  <c r="AP220" i="29"/>
  <c r="AQ220" i="29"/>
  <c r="AR220" i="29"/>
  <c r="AS220" i="29"/>
  <c r="AT220" i="29"/>
  <c r="AU220" i="29"/>
  <c r="AX220" i="29"/>
  <c r="AY220" i="29"/>
  <c r="AZ220" i="29"/>
  <c r="BA220" i="29"/>
  <c r="BB220" i="29"/>
  <c r="BC220" i="29"/>
  <c r="BD220" i="29"/>
  <c r="BE220" i="29"/>
  <c r="BF220" i="29"/>
  <c r="BG220" i="29"/>
  <c r="AA221" i="29"/>
  <c r="AB221" i="29"/>
  <c r="AC221" i="29"/>
  <c r="AD221" i="29"/>
  <c r="AE221" i="29"/>
  <c r="AF221" i="29"/>
  <c r="AG221" i="29"/>
  <c r="AH221" i="29"/>
  <c r="AI221" i="29"/>
  <c r="AJ221" i="29"/>
  <c r="AK221" i="29"/>
  <c r="AL221" i="29"/>
  <c r="AM221" i="29"/>
  <c r="AN221" i="29"/>
  <c r="AO221" i="29"/>
  <c r="AP221" i="29"/>
  <c r="AQ221" i="29"/>
  <c r="AR221" i="29"/>
  <c r="AS221" i="29"/>
  <c r="AT221" i="29"/>
  <c r="AU221" i="29"/>
  <c r="AV221" i="29"/>
  <c r="AW221" i="29"/>
  <c r="AX221" i="29"/>
  <c r="AY221" i="29"/>
  <c r="AZ221" i="29"/>
  <c r="BA221" i="29"/>
  <c r="BB221" i="29"/>
  <c r="BC221" i="29"/>
  <c r="BD221" i="29"/>
  <c r="BE221" i="29"/>
  <c r="BF221" i="29"/>
  <c r="BG221" i="29"/>
  <c r="AA222" i="29"/>
  <c r="AB222" i="29"/>
  <c r="AC222" i="29"/>
  <c r="AD222" i="29"/>
  <c r="AE222" i="29"/>
  <c r="AF222" i="29"/>
  <c r="AG222" i="29"/>
  <c r="AH222" i="29"/>
  <c r="AI222" i="29"/>
  <c r="AJ222" i="29"/>
  <c r="AK222" i="29"/>
  <c r="AL222" i="29"/>
  <c r="AM222" i="29"/>
  <c r="AN222" i="29"/>
  <c r="AO222" i="29"/>
  <c r="AP222" i="29"/>
  <c r="AQ222" i="29"/>
  <c r="AR222" i="29"/>
  <c r="AS222" i="29"/>
  <c r="AT222" i="29"/>
  <c r="AU222" i="29"/>
  <c r="AV222" i="29"/>
  <c r="AW222" i="29"/>
  <c r="AX222" i="29"/>
  <c r="AY222" i="29"/>
  <c r="AZ222" i="29"/>
  <c r="BA222" i="29"/>
  <c r="BB222" i="29"/>
  <c r="BC222" i="29"/>
  <c r="BD222" i="29"/>
  <c r="BE222" i="29"/>
  <c r="BF222" i="29"/>
  <c r="BG222" i="29"/>
  <c r="AA223" i="29"/>
  <c r="AB223" i="29"/>
  <c r="AC223" i="29"/>
  <c r="AD223" i="29"/>
  <c r="AE223" i="29"/>
  <c r="AF223" i="29"/>
  <c r="AG223" i="29"/>
  <c r="AH223" i="29"/>
  <c r="AI223" i="29"/>
  <c r="AJ223" i="29"/>
  <c r="AK223" i="29"/>
  <c r="AL223" i="29"/>
  <c r="AM223" i="29"/>
  <c r="AN223" i="29"/>
  <c r="AO223" i="29"/>
  <c r="AP223" i="29"/>
  <c r="AQ223" i="29"/>
  <c r="AR223" i="29"/>
  <c r="AS223" i="29"/>
  <c r="AT223" i="29"/>
  <c r="AU223" i="29"/>
  <c r="AV223" i="29"/>
  <c r="AW223" i="29"/>
  <c r="AX223" i="29"/>
  <c r="AY223" i="29"/>
  <c r="AZ223" i="29"/>
  <c r="BA223" i="29"/>
  <c r="BB223" i="29"/>
  <c r="BC223" i="29"/>
  <c r="BD223" i="29"/>
  <c r="BE223" i="29"/>
  <c r="BF223" i="29"/>
  <c r="BG223" i="29"/>
  <c r="AA224" i="29"/>
  <c r="AB224" i="29"/>
  <c r="AC224" i="29"/>
  <c r="AD224" i="29"/>
  <c r="AE224" i="29"/>
  <c r="AF224" i="29"/>
  <c r="AG224" i="29"/>
  <c r="AH224" i="29"/>
  <c r="AI224" i="29"/>
  <c r="AJ224" i="29"/>
  <c r="AK224" i="29"/>
  <c r="AL224" i="29"/>
  <c r="AM224" i="29"/>
  <c r="AN224" i="29"/>
  <c r="AO224" i="29"/>
  <c r="AP224" i="29"/>
  <c r="AQ224" i="29"/>
  <c r="AR224" i="29"/>
  <c r="AS224" i="29"/>
  <c r="AT224" i="29"/>
  <c r="AU224" i="29"/>
  <c r="AV224" i="29"/>
  <c r="AW224" i="29"/>
  <c r="AX224" i="29"/>
  <c r="AY224" i="29"/>
  <c r="AZ224" i="29"/>
  <c r="BA224" i="29"/>
  <c r="BB224" i="29"/>
  <c r="BC224" i="29"/>
  <c r="BD224" i="29"/>
  <c r="BE224" i="29"/>
  <c r="BF224" i="29"/>
  <c r="BG224" i="29"/>
  <c r="AA225" i="29"/>
  <c r="AB225" i="29"/>
  <c r="AC225" i="29"/>
  <c r="AD225" i="29"/>
  <c r="AE225" i="29"/>
  <c r="AF225" i="29"/>
  <c r="AG225" i="29"/>
  <c r="AH225" i="29"/>
  <c r="AI225" i="29"/>
  <c r="AJ225" i="29"/>
  <c r="AK225" i="29"/>
  <c r="AL225" i="29"/>
  <c r="AM225" i="29"/>
  <c r="AN225" i="29"/>
  <c r="AO225" i="29"/>
  <c r="AP225" i="29"/>
  <c r="AQ225" i="29"/>
  <c r="AR225" i="29"/>
  <c r="AS225" i="29"/>
  <c r="AT225" i="29"/>
  <c r="AU225" i="29"/>
  <c r="AV225" i="29"/>
  <c r="AW225" i="29"/>
  <c r="AX225" i="29"/>
  <c r="AY225" i="29"/>
  <c r="AZ225" i="29"/>
  <c r="BA225" i="29"/>
  <c r="BB225" i="29"/>
  <c r="BC225" i="29"/>
  <c r="BD225" i="29"/>
  <c r="BE225" i="29"/>
  <c r="BF225" i="29"/>
  <c r="BG225" i="29"/>
  <c r="AA226" i="29"/>
  <c r="AB226" i="29"/>
  <c r="AC226" i="29"/>
  <c r="AD226" i="29"/>
  <c r="AE226" i="29"/>
  <c r="AF226" i="29"/>
  <c r="AG226" i="29"/>
  <c r="AH226" i="29"/>
  <c r="AI226" i="29"/>
  <c r="AJ226" i="29"/>
  <c r="AK226" i="29"/>
  <c r="AL226" i="29"/>
  <c r="AM226" i="29"/>
  <c r="AN226" i="29"/>
  <c r="AO226" i="29"/>
  <c r="AP226" i="29"/>
  <c r="AQ226" i="29"/>
  <c r="AR226" i="29"/>
  <c r="AS226" i="29"/>
  <c r="AT226" i="29"/>
  <c r="AU226" i="29"/>
  <c r="AV226" i="29"/>
  <c r="AW226" i="29"/>
  <c r="AX226" i="29"/>
  <c r="AY226" i="29"/>
  <c r="AZ226" i="29"/>
  <c r="BA226" i="29"/>
  <c r="BB226" i="29"/>
  <c r="BC226" i="29"/>
  <c r="BD226" i="29"/>
  <c r="BE226" i="29"/>
  <c r="BF226" i="29"/>
  <c r="BG226" i="29"/>
  <c r="AA227" i="29"/>
  <c r="AB227" i="29"/>
  <c r="AC227" i="29"/>
  <c r="AD227" i="29"/>
  <c r="AE227" i="29"/>
  <c r="AF227" i="29"/>
  <c r="AG227" i="29"/>
  <c r="AH227" i="29"/>
  <c r="AI227" i="29"/>
  <c r="AJ227" i="29"/>
  <c r="AK227" i="29"/>
  <c r="AL227" i="29"/>
  <c r="AM227" i="29"/>
  <c r="AN227" i="29"/>
  <c r="AO227" i="29"/>
  <c r="AP227" i="29"/>
  <c r="AQ227" i="29"/>
  <c r="AR227" i="29"/>
  <c r="AS227" i="29"/>
  <c r="AT227" i="29"/>
  <c r="AU227" i="29"/>
  <c r="AV227" i="29"/>
  <c r="AW227" i="29"/>
  <c r="AX227" i="29"/>
  <c r="AY227" i="29"/>
  <c r="AZ227" i="29"/>
  <c r="BA227" i="29"/>
  <c r="BB227" i="29"/>
  <c r="BC227" i="29"/>
  <c r="BD227" i="29"/>
  <c r="BE227" i="29"/>
  <c r="BF227" i="29"/>
  <c r="BG227" i="29"/>
  <c r="AA229" i="29"/>
  <c r="AB229" i="29"/>
  <c r="AC229" i="29"/>
  <c r="AD229" i="29"/>
  <c r="AE229" i="29"/>
  <c r="AF229" i="29"/>
  <c r="AG229" i="29"/>
  <c r="AH229" i="29"/>
  <c r="AI229" i="29"/>
  <c r="AJ229" i="29"/>
  <c r="AK229" i="29"/>
  <c r="AL229" i="29"/>
  <c r="AM229" i="29"/>
  <c r="AN229" i="29"/>
  <c r="AO229" i="29"/>
  <c r="AP229" i="29"/>
  <c r="AQ229" i="29"/>
  <c r="AR229" i="29"/>
  <c r="AS229" i="29"/>
  <c r="AT229" i="29"/>
  <c r="AU229" i="29"/>
  <c r="AV229" i="29"/>
  <c r="AW229" i="29"/>
  <c r="AX229" i="29"/>
  <c r="AY229" i="29"/>
  <c r="AZ229" i="29"/>
  <c r="BA229" i="29"/>
  <c r="BB229" i="29"/>
  <c r="BC229" i="29"/>
  <c r="BD229" i="29"/>
  <c r="BE229" i="29"/>
  <c r="BF229" i="29"/>
  <c r="BG229" i="29"/>
  <c r="AA230" i="29"/>
  <c r="AB230" i="29"/>
  <c r="AC230" i="29"/>
  <c r="AD230" i="29"/>
  <c r="AE230" i="29"/>
  <c r="AF230" i="29"/>
  <c r="AG230" i="29"/>
  <c r="AH230" i="29"/>
  <c r="AI230" i="29"/>
  <c r="AJ230" i="29"/>
  <c r="AK230" i="29"/>
  <c r="AL230" i="29"/>
  <c r="AM230" i="29"/>
  <c r="AN230" i="29"/>
  <c r="AO230" i="29"/>
  <c r="AP230" i="29"/>
  <c r="AQ230" i="29"/>
  <c r="AR230" i="29"/>
  <c r="AS230" i="29"/>
  <c r="AT230" i="29"/>
  <c r="AU230" i="29"/>
  <c r="AV230" i="29"/>
  <c r="AW230" i="29"/>
  <c r="AX230" i="29"/>
  <c r="AY230" i="29"/>
  <c r="AZ230" i="29"/>
  <c r="BA230" i="29"/>
  <c r="BB230" i="29"/>
  <c r="BC230" i="29"/>
  <c r="BD230" i="29"/>
  <c r="BE230" i="29"/>
  <c r="BF230" i="29"/>
  <c r="BG230" i="29"/>
  <c r="AA231" i="29"/>
  <c r="AB231" i="29"/>
  <c r="AC231" i="29"/>
  <c r="AD231" i="29"/>
  <c r="AE231" i="29"/>
  <c r="AF231" i="29"/>
  <c r="AG231" i="29"/>
  <c r="AH231" i="29"/>
  <c r="AI231" i="29"/>
  <c r="AJ231" i="29"/>
  <c r="AK231" i="29"/>
  <c r="AL231" i="29"/>
  <c r="AM231" i="29"/>
  <c r="AN231" i="29"/>
  <c r="AO231" i="29"/>
  <c r="AP231" i="29"/>
  <c r="AQ231" i="29"/>
  <c r="AR231" i="29"/>
  <c r="AS231" i="29"/>
  <c r="AT231" i="29"/>
  <c r="AU231" i="29"/>
  <c r="AV231" i="29"/>
  <c r="AW231" i="29"/>
  <c r="AX231" i="29"/>
  <c r="AY231" i="29"/>
  <c r="AZ231" i="29"/>
  <c r="BA231" i="29"/>
  <c r="BB231" i="29"/>
  <c r="BC231" i="29"/>
  <c r="BD231" i="29"/>
  <c r="BE231" i="29"/>
  <c r="BF231" i="29"/>
  <c r="BG231" i="29"/>
  <c r="AA232" i="29"/>
  <c r="AB232" i="29"/>
  <c r="AC232" i="29"/>
  <c r="AD232" i="29"/>
  <c r="AE232" i="29"/>
  <c r="AF232" i="29"/>
  <c r="AG232" i="29"/>
  <c r="AH232" i="29"/>
  <c r="AI232" i="29"/>
  <c r="AJ232" i="29"/>
  <c r="AK232" i="29"/>
  <c r="AL232" i="29"/>
  <c r="AM232" i="29"/>
  <c r="AN232" i="29"/>
  <c r="AO232" i="29"/>
  <c r="AP232" i="29"/>
  <c r="AQ232" i="29"/>
  <c r="AR232" i="29"/>
  <c r="AS232" i="29"/>
  <c r="AT232" i="29"/>
  <c r="AU232" i="29"/>
  <c r="AV232" i="29"/>
  <c r="AW232" i="29"/>
  <c r="AX232" i="29"/>
  <c r="AY232" i="29"/>
  <c r="AZ232" i="29"/>
  <c r="BA232" i="29"/>
  <c r="BB232" i="29"/>
  <c r="BC232" i="29"/>
  <c r="BD232" i="29"/>
  <c r="BE232" i="29"/>
  <c r="BF232" i="29"/>
  <c r="BG232" i="29"/>
  <c r="AA234" i="29"/>
  <c r="AB234" i="29"/>
  <c r="AC234" i="29"/>
  <c r="AD234" i="29"/>
  <c r="AE234" i="29"/>
  <c r="AF234" i="29"/>
  <c r="AG234" i="29"/>
  <c r="AH234" i="29"/>
  <c r="AI234" i="29"/>
  <c r="AJ234" i="29"/>
  <c r="AK234" i="29"/>
  <c r="AL234" i="29"/>
  <c r="AM234" i="29"/>
  <c r="AN234" i="29"/>
  <c r="AO234" i="29"/>
  <c r="AP234" i="29"/>
  <c r="AQ234" i="29"/>
  <c r="AR234" i="29"/>
  <c r="AS234" i="29"/>
  <c r="AT234" i="29"/>
  <c r="AU234" i="29"/>
  <c r="AV234" i="29"/>
  <c r="AW234" i="29"/>
  <c r="AX234" i="29"/>
  <c r="AY234" i="29"/>
  <c r="AZ234" i="29"/>
  <c r="BA234" i="29"/>
  <c r="BB234" i="29"/>
  <c r="BC234" i="29"/>
  <c r="BD234" i="29"/>
  <c r="BE234" i="29"/>
  <c r="BF234" i="29"/>
  <c r="BG234" i="29"/>
  <c r="AA235" i="29"/>
  <c r="AB235" i="29"/>
  <c r="AC235" i="29"/>
  <c r="AD235" i="29"/>
  <c r="AE235" i="29"/>
  <c r="AF235" i="29"/>
  <c r="AG235" i="29"/>
  <c r="AH235" i="29"/>
  <c r="AI235" i="29"/>
  <c r="AJ235" i="29"/>
  <c r="AK235" i="29"/>
  <c r="AL235" i="29"/>
  <c r="AM235" i="29"/>
  <c r="AN235" i="29"/>
  <c r="AO235" i="29"/>
  <c r="AP235" i="29"/>
  <c r="AQ235" i="29"/>
  <c r="AR235" i="29"/>
  <c r="AS235" i="29"/>
  <c r="AT235" i="29"/>
  <c r="AU235" i="29"/>
  <c r="AV235" i="29"/>
  <c r="AW235" i="29"/>
  <c r="AX235" i="29"/>
  <c r="AY235" i="29"/>
  <c r="AZ235" i="29"/>
  <c r="BA235" i="29"/>
  <c r="BB235" i="29"/>
  <c r="BC235" i="29"/>
  <c r="BD235" i="29"/>
  <c r="BE235" i="29"/>
  <c r="BF235" i="29"/>
  <c r="BG235" i="29"/>
  <c r="AA236" i="29"/>
  <c r="AB236" i="29"/>
  <c r="AC236" i="29"/>
  <c r="AD236" i="29"/>
  <c r="AE236" i="29"/>
  <c r="AF236" i="29"/>
  <c r="AG236" i="29"/>
  <c r="AH236" i="29"/>
  <c r="AI236" i="29"/>
  <c r="AJ236" i="29"/>
  <c r="AK236" i="29"/>
  <c r="AL236" i="29"/>
  <c r="AM236" i="29"/>
  <c r="AN236" i="29"/>
  <c r="AO236" i="29"/>
  <c r="AP236" i="29"/>
  <c r="AQ236" i="29"/>
  <c r="AR236" i="29"/>
  <c r="AS236" i="29"/>
  <c r="AT236" i="29"/>
  <c r="AU236" i="29"/>
  <c r="AV236" i="29"/>
  <c r="AW236" i="29"/>
  <c r="AX236" i="29"/>
  <c r="AY236" i="29"/>
  <c r="AZ236" i="29"/>
  <c r="BA236" i="29"/>
  <c r="BB236" i="29"/>
  <c r="BC236" i="29"/>
  <c r="BD236" i="29"/>
  <c r="BE236" i="29"/>
  <c r="BF236" i="29"/>
  <c r="BG236" i="29"/>
  <c r="AA237" i="29"/>
  <c r="AB237" i="29"/>
  <c r="AC237" i="29"/>
  <c r="AD237" i="29"/>
  <c r="AE237" i="29"/>
  <c r="AF237" i="29"/>
  <c r="AG237" i="29"/>
  <c r="AH237" i="29"/>
  <c r="AI237" i="29"/>
  <c r="AJ237" i="29"/>
  <c r="AK237" i="29"/>
  <c r="AL237" i="29"/>
  <c r="AM237" i="29"/>
  <c r="AN237" i="29"/>
  <c r="AO237" i="29"/>
  <c r="AP237" i="29"/>
  <c r="AQ237" i="29"/>
  <c r="AR237" i="29"/>
  <c r="AS237" i="29"/>
  <c r="AT237" i="29"/>
  <c r="AU237" i="29"/>
  <c r="AV237" i="29"/>
  <c r="AW237" i="29"/>
  <c r="AX237" i="29"/>
  <c r="AY237" i="29"/>
  <c r="AZ237" i="29"/>
  <c r="BA237" i="29"/>
  <c r="BB237" i="29"/>
  <c r="BC237" i="29"/>
  <c r="BD237" i="29"/>
  <c r="BE237" i="29"/>
  <c r="BF237" i="29"/>
  <c r="BG237" i="29"/>
  <c r="AA238" i="29"/>
  <c r="AB238" i="29"/>
  <c r="AC238" i="29"/>
  <c r="AF238" i="29"/>
  <c r="AG238" i="29"/>
  <c r="AH238" i="29"/>
  <c r="AI238" i="29"/>
  <c r="AJ238" i="29"/>
  <c r="AK238" i="29"/>
  <c r="AL238" i="29"/>
  <c r="AM238" i="29"/>
  <c r="AN238" i="29"/>
  <c r="AO238" i="29"/>
  <c r="AP238" i="29"/>
  <c r="AQ238" i="29"/>
  <c r="AR238" i="29"/>
  <c r="AS238" i="29"/>
  <c r="AT238" i="29"/>
  <c r="AU238" i="29"/>
  <c r="AV238" i="29"/>
  <c r="AW238" i="29"/>
  <c r="AX238" i="29"/>
  <c r="AY238" i="29"/>
  <c r="AZ238" i="29"/>
  <c r="BA238" i="29"/>
  <c r="BB238" i="29"/>
  <c r="BC238" i="29"/>
  <c r="BD238" i="29"/>
  <c r="BE238" i="29"/>
  <c r="BF238" i="29"/>
  <c r="BG238" i="29"/>
  <c r="AA239" i="29"/>
  <c r="AB239" i="29"/>
  <c r="AC239" i="29"/>
  <c r="AD239" i="29"/>
  <c r="AE239" i="29"/>
  <c r="AF239" i="29"/>
  <c r="AG239" i="29"/>
  <c r="AH239" i="29"/>
  <c r="AI239" i="29"/>
  <c r="AJ239" i="29"/>
  <c r="AK239" i="29"/>
  <c r="AL239" i="29"/>
  <c r="AM239" i="29"/>
  <c r="AN239" i="29"/>
  <c r="AO239" i="29"/>
  <c r="AP239" i="29"/>
  <c r="AQ239" i="29"/>
  <c r="AR239" i="29"/>
  <c r="AS239" i="29"/>
  <c r="AT239" i="29"/>
  <c r="AU239" i="29"/>
  <c r="AV239" i="29"/>
  <c r="AW239" i="29"/>
  <c r="AX239" i="29"/>
  <c r="AY239" i="29"/>
  <c r="AZ239" i="29"/>
  <c r="BA239" i="29"/>
  <c r="BB239" i="29"/>
  <c r="BC239" i="29"/>
  <c r="BD239" i="29"/>
  <c r="BE239" i="29"/>
  <c r="BF239" i="29"/>
  <c r="BG239" i="29"/>
  <c r="AA240" i="29"/>
  <c r="AB240" i="29"/>
  <c r="AC240" i="29"/>
  <c r="AD240" i="29"/>
  <c r="AE240" i="29"/>
  <c r="AF240" i="29"/>
  <c r="AG240" i="29"/>
  <c r="AH240" i="29"/>
  <c r="AI240" i="29"/>
  <c r="AJ240" i="29"/>
  <c r="AK240" i="29"/>
  <c r="AL240" i="29"/>
  <c r="AM240" i="29"/>
  <c r="AN240" i="29"/>
  <c r="AO240" i="29"/>
  <c r="AP240" i="29"/>
  <c r="AQ240" i="29"/>
  <c r="AR240" i="29"/>
  <c r="AS240" i="29"/>
  <c r="AT240" i="29"/>
  <c r="AU240" i="29"/>
  <c r="AV240" i="29"/>
  <c r="AW240" i="29"/>
  <c r="AX240" i="29"/>
  <c r="AY240" i="29"/>
  <c r="AZ240" i="29"/>
  <c r="BA240" i="29"/>
  <c r="BB240" i="29"/>
  <c r="BC240" i="29"/>
  <c r="BD240" i="29"/>
  <c r="BE240" i="29"/>
  <c r="BF240" i="29"/>
  <c r="BG240" i="29"/>
  <c r="AA241" i="29"/>
  <c r="AB241" i="29"/>
  <c r="AC241" i="29"/>
  <c r="AD241" i="29"/>
  <c r="AE241" i="29"/>
  <c r="AF241" i="29"/>
  <c r="AG241" i="29"/>
  <c r="AH241" i="29"/>
  <c r="AI241" i="29"/>
  <c r="AJ241" i="29"/>
  <c r="AK241" i="29"/>
  <c r="AL241" i="29"/>
  <c r="AM241" i="29"/>
  <c r="AN241" i="29"/>
  <c r="AO241" i="29"/>
  <c r="AP241" i="29"/>
  <c r="AQ241" i="29"/>
  <c r="AR241" i="29"/>
  <c r="AS241" i="29"/>
  <c r="AT241" i="29"/>
  <c r="AU241" i="29"/>
  <c r="AV241" i="29"/>
  <c r="AW241" i="29"/>
  <c r="AX241" i="29"/>
  <c r="AY241" i="29"/>
  <c r="AZ241" i="29"/>
  <c r="BA241" i="29"/>
  <c r="BB241" i="29"/>
  <c r="BC241" i="29"/>
  <c r="BD241" i="29"/>
  <c r="BE241" i="29"/>
  <c r="BF241" i="29"/>
  <c r="BG241" i="29"/>
  <c r="AA242" i="29"/>
  <c r="AB242" i="29"/>
  <c r="AC242" i="29"/>
  <c r="AD242" i="29"/>
  <c r="AE242" i="29"/>
  <c r="AF242" i="29"/>
  <c r="AG242" i="29"/>
  <c r="AH242" i="29"/>
  <c r="AI242" i="29"/>
  <c r="AJ242" i="29"/>
  <c r="AK242" i="29"/>
  <c r="AL242" i="29"/>
  <c r="AM242" i="29"/>
  <c r="AN242" i="29"/>
  <c r="AO242" i="29"/>
  <c r="AP242" i="29"/>
  <c r="AQ242" i="29"/>
  <c r="AR242" i="29"/>
  <c r="AS242" i="29"/>
  <c r="AT242" i="29"/>
  <c r="AU242" i="29"/>
  <c r="AV242" i="29"/>
  <c r="AW242" i="29"/>
  <c r="AX242" i="29"/>
  <c r="AY242" i="29"/>
  <c r="AZ242" i="29"/>
  <c r="BA242" i="29"/>
  <c r="BB242" i="29"/>
  <c r="BC242" i="29"/>
  <c r="BD242" i="29"/>
  <c r="BE242" i="29"/>
  <c r="BF242" i="29"/>
  <c r="BG242" i="29"/>
  <c r="AA243" i="29"/>
  <c r="AB243" i="29"/>
  <c r="AC243" i="29"/>
  <c r="AD243" i="29"/>
  <c r="AE243" i="29"/>
  <c r="AF243" i="29"/>
  <c r="AG243" i="29"/>
  <c r="AH243" i="29"/>
  <c r="AI243" i="29"/>
  <c r="AJ243" i="29"/>
  <c r="AK243" i="29"/>
  <c r="AL243" i="29"/>
  <c r="AM243" i="29"/>
  <c r="AN243" i="29"/>
  <c r="AO243" i="29"/>
  <c r="AP243" i="29"/>
  <c r="AQ243" i="29"/>
  <c r="AR243" i="29"/>
  <c r="AS243" i="29"/>
  <c r="AT243" i="29"/>
  <c r="AU243" i="29"/>
  <c r="AV243" i="29"/>
  <c r="AW243" i="29"/>
  <c r="AX243" i="29"/>
  <c r="AY243" i="29"/>
  <c r="AZ243" i="29"/>
  <c r="BA243" i="29"/>
  <c r="BB243" i="29"/>
  <c r="BC243" i="29"/>
  <c r="BD243" i="29"/>
  <c r="BE243" i="29"/>
  <c r="BF243" i="29"/>
  <c r="BG243" i="29"/>
  <c r="AA244" i="29"/>
  <c r="AB244" i="29"/>
  <c r="AC244" i="29"/>
  <c r="AD244" i="29"/>
  <c r="AE244" i="29"/>
  <c r="AF244" i="29"/>
  <c r="AG244" i="29"/>
  <c r="AH244" i="29"/>
  <c r="AI244" i="29"/>
  <c r="AJ244" i="29"/>
  <c r="AK244" i="29"/>
  <c r="AL244" i="29"/>
  <c r="AM244" i="29"/>
  <c r="AN244" i="29"/>
  <c r="AO244" i="29"/>
  <c r="AP244" i="29"/>
  <c r="AQ244" i="29"/>
  <c r="AR244" i="29"/>
  <c r="AS244" i="29"/>
  <c r="AT244" i="29"/>
  <c r="AU244" i="29"/>
  <c r="AV244" i="29"/>
  <c r="AW244" i="29"/>
  <c r="AX244" i="29"/>
  <c r="AY244" i="29"/>
  <c r="AZ244" i="29"/>
  <c r="BA244" i="29"/>
  <c r="BB244" i="29"/>
  <c r="BC244" i="29"/>
  <c r="BD244" i="29"/>
  <c r="BE244" i="29"/>
  <c r="BF244" i="29"/>
  <c r="BG244" i="29"/>
  <c r="AA245" i="29"/>
  <c r="AB245" i="29"/>
  <c r="AC245" i="29"/>
  <c r="AD245" i="29"/>
  <c r="AE245" i="29"/>
  <c r="AF245" i="29"/>
  <c r="AG245" i="29"/>
  <c r="AH245" i="29"/>
  <c r="AI245" i="29"/>
  <c r="AJ245" i="29"/>
  <c r="AK245" i="29"/>
  <c r="AL245" i="29"/>
  <c r="AM245" i="29"/>
  <c r="AN245" i="29"/>
  <c r="AO245" i="29"/>
  <c r="AP245" i="29"/>
  <c r="AQ245" i="29"/>
  <c r="AR245" i="29"/>
  <c r="AS245" i="29"/>
  <c r="AT245" i="29"/>
  <c r="AU245" i="29"/>
  <c r="AV245" i="29"/>
  <c r="AW245" i="29"/>
  <c r="AX245" i="29"/>
  <c r="AY245" i="29"/>
  <c r="AZ245" i="29"/>
  <c r="BA245" i="29"/>
  <c r="BB245" i="29"/>
  <c r="BC245" i="29"/>
  <c r="BD245" i="29"/>
  <c r="BE245" i="29"/>
  <c r="BF245" i="29"/>
  <c r="BG245" i="29"/>
  <c r="AA246" i="29"/>
  <c r="AB246" i="29"/>
  <c r="AC246" i="29"/>
  <c r="AD246" i="29"/>
  <c r="AE246" i="29"/>
  <c r="AF246" i="29"/>
  <c r="AG246" i="29"/>
  <c r="AH246" i="29"/>
  <c r="AI246" i="29"/>
  <c r="AJ246" i="29"/>
  <c r="AK246" i="29"/>
  <c r="AL246" i="29"/>
  <c r="AM246" i="29"/>
  <c r="AN246" i="29"/>
  <c r="AO246" i="29"/>
  <c r="AP246" i="29"/>
  <c r="AQ246" i="29"/>
  <c r="AR246" i="29"/>
  <c r="AS246" i="29"/>
  <c r="AT246" i="29"/>
  <c r="AU246" i="29"/>
  <c r="AV246" i="29"/>
  <c r="AW246" i="29"/>
  <c r="AX246" i="29"/>
  <c r="AY246" i="29"/>
  <c r="AZ246" i="29"/>
  <c r="BA246" i="29"/>
  <c r="BD246" i="29"/>
  <c r="BE246" i="29"/>
  <c r="BF246" i="29"/>
  <c r="BG246" i="29"/>
  <c r="AA247" i="29"/>
  <c r="AB247" i="29"/>
  <c r="AC247" i="29"/>
  <c r="AD247" i="29"/>
  <c r="AE247" i="29"/>
  <c r="AF247" i="29"/>
  <c r="AG247" i="29"/>
  <c r="AH247" i="29"/>
  <c r="AI247" i="29"/>
  <c r="AJ247" i="29"/>
  <c r="AK247" i="29"/>
  <c r="AL247" i="29"/>
  <c r="AM247" i="29"/>
  <c r="AN247" i="29"/>
  <c r="AO247" i="29"/>
  <c r="AP247" i="29"/>
  <c r="AQ247" i="29"/>
  <c r="AR247" i="29"/>
  <c r="AS247" i="29"/>
  <c r="AT247" i="29"/>
  <c r="AU247" i="29"/>
  <c r="AX247" i="29"/>
  <c r="AY247" i="29"/>
  <c r="AZ247" i="29"/>
  <c r="BA247" i="29"/>
  <c r="BB247" i="29"/>
  <c r="BC247" i="29"/>
  <c r="BD247" i="29"/>
  <c r="BE247" i="29"/>
  <c r="BF247" i="29"/>
  <c r="BG247" i="29"/>
  <c r="AA248" i="29"/>
  <c r="AB248" i="29"/>
  <c r="AC248" i="29"/>
  <c r="AF248" i="29"/>
  <c r="AG248" i="29"/>
  <c r="AH248" i="29"/>
  <c r="AI248" i="29"/>
  <c r="AL248" i="29"/>
  <c r="AM248" i="29"/>
  <c r="AN248" i="29"/>
  <c r="AO248" i="29"/>
  <c r="AP248" i="29"/>
  <c r="AQ248" i="29"/>
  <c r="AR248" i="29"/>
  <c r="AS248" i="29"/>
  <c r="AT248" i="29"/>
  <c r="AU248" i="29"/>
  <c r="AV248" i="29"/>
  <c r="AW248" i="29"/>
  <c r="AX248" i="29"/>
  <c r="AY248" i="29"/>
  <c r="AZ248" i="29"/>
  <c r="BA248" i="29"/>
  <c r="BB248" i="29"/>
  <c r="BC248" i="29"/>
  <c r="BD248" i="29"/>
  <c r="BE248" i="29"/>
  <c r="BF248" i="29"/>
  <c r="BG248" i="29"/>
  <c r="AA249" i="29"/>
  <c r="AB249" i="29"/>
  <c r="AC249" i="29"/>
  <c r="AD249" i="29"/>
  <c r="AE249" i="29"/>
  <c r="AF249" i="29"/>
  <c r="AG249" i="29"/>
  <c r="AH249" i="29"/>
  <c r="AI249" i="29"/>
  <c r="AJ249" i="29"/>
  <c r="AK249" i="29"/>
  <c r="AL249" i="29"/>
  <c r="AM249" i="29"/>
  <c r="AN249" i="29"/>
  <c r="AO249" i="29"/>
  <c r="AP249" i="29"/>
  <c r="AQ249" i="29"/>
  <c r="AT249" i="29"/>
  <c r="AU249" i="29"/>
  <c r="AX249" i="29"/>
  <c r="AY249" i="29"/>
  <c r="AZ249" i="29"/>
  <c r="BA249" i="29"/>
  <c r="BB249" i="29"/>
  <c r="BC249" i="29"/>
  <c r="BD249" i="29"/>
  <c r="BE249" i="29"/>
  <c r="BF249" i="29"/>
  <c r="BG249" i="29"/>
  <c r="AA250" i="29"/>
  <c r="AB250" i="29"/>
  <c r="AC250" i="29"/>
  <c r="AD250" i="29"/>
  <c r="AE250" i="29"/>
  <c r="AF250" i="29"/>
  <c r="AG250" i="29"/>
  <c r="AH250" i="29"/>
  <c r="AI250" i="29"/>
  <c r="AJ250" i="29"/>
  <c r="AK250" i="29"/>
  <c r="AL250" i="29"/>
  <c r="AM250" i="29"/>
  <c r="AP250" i="29"/>
  <c r="AQ250" i="29"/>
  <c r="AR250" i="29"/>
  <c r="AS250" i="29"/>
  <c r="AT250" i="29"/>
  <c r="AU250" i="29"/>
  <c r="AV250" i="29"/>
  <c r="AW250" i="29"/>
  <c r="AX250" i="29"/>
  <c r="AY250" i="29"/>
  <c r="AZ250" i="29"/>
  <c r="BA250" i="29"/>
  <c r="BB250" i="29"/>
  <c r="BC250" i="29"/>
  <c r="BD250" i="29"/>
  <c r="BE250" i="29"/>
  <c r="BF250" i="29"/>
  <c r="BG250" i="29"/>
  <c r="AA251" i="29"/>
  <c r="AD251" i="29"/>
  <c r="AE251" i="29"/>
  <c r="AF251" i="29"/>
  <c r="AG251" i="29"/>
  <c r="AH251" i="29"/>
  <c r="AI251" i="29"/>
  <c r="AJ251" i="29"/>
  <c r="AK251" i="29"/>
  <c r="AL251" i="29"/>
  <c r="AM251" i="29"/>
  <c r="AN251" i="29"/>
  <c r="AO251" i="29"/>
  <c r="AP251" i="29"/>
  <c r="AQ251" i="29"/>
  <c r="AR251" i="29"/>
  <c r="AS251" i="29"/>
  <c r="AT251" i="29"/>
  <c r="AU251" i="29"/>
  <c r="AV251" i="29"/>
  <c r="AW251" i="29"/>
  <c r="AX251" i="29"/>
  <c r="AY251" i="29"/>
  <c r="AZ251" i="29"/>
  <c r="BA251" i="29"/>
  <c r="BB251" i="29"/>
  <c r="BC251" i="29"/>
  <c r="BD251" i="29"/>
  <c r="BE251" i="29"/>
  <c r="BF251" i="29"/>
  <c r="BG251" i="29"/>
  <c r="AA252" i="29"/>
  <c r="AB252" i="29"/>
  <c r="AC252" i="29"/>
  <c r="AD252" i="29"/>
  <c r="AE252" i="29"/>
  <c r="AF252" i="29"/>
  <c r="AG252" i="29"/>
  <c r="AH252" i="29"/>
  <c r="AI252" i="29"/>
  <c r="AJ252" i="29"/>
  <c r="AK252" i="29"/>
  <c r="AL252" i="29"/>
  <c r="AM252" i="29"/>
  <c r="AN252" i="29"/>
  <c r="AO252" i="29"/>
  <c r="AP252" i="29"/>
  <c r="AQ252" i="29"/>
  <c r="AR252" i="29"/>
  <c r="AS252" i="29"/>
  <c r="AT252" i="29"/>
  <c r="AU252" i="29"/>
  <c r="AV252" i="29"/>
  <c r="AW252" i="29"/>
  <c r="AX252" i="29"/>
  <c r="AY252" i="29"/>
  <c r="AZ252" i="29"/>
  <c r="BA252" i="29"/>
  <c r="BB252" i="29"/>
  <c r="BC252" i="29"/>
  <c r="BD252" i="29"/>
  <c r="BE252" i="29"/>
  <c r="BF252" i="29"/>
  <c r="BG252" i="29"/>
  <c r="AA253" i="29"/>
  <c r="AB253" i="29"/>
  <c r="AC253" i="29"/>
  <c r="AD253" i="29"/>
  <c r="AE253" i="29"/>
  <c r="AH253" i="29"/>
  <c r="AI253" i="29"/>
  <c r="AJ253" i="29"/>
  <c r="AK253" i="29"/>
  <c r="AL253" i="29"/>
  <c r="AM253" i="29"/>
  <c r="AN253" i="29"/>
  <c r="AO253" i="29"/>
  <c r="AP253" i="29"/>
  <c r="AQ253" i="29"/>
  <c r="AR253" i="29"/>
  <c r="AS253" i="29"/>
  <c r="AT253" i="29"/>
  <c r="AU253" i="29"/>
  <c r="AV253" i="29"/>
  <c r="AW253" i="29"/>
  <c r="AX253" i="29"/>
  <c r="AY253" i="29"/>
  <c r="AZ253" i="29"/>
  <c r="BA253" i="29"/>
  <c r="BB253" i="29"/>
  <c r="BC253" i="29"/>
  <c r="BD253" i="29"/>
  <c r="BE253" i="29"/>
  <c r="BF253" i="29"/>
  <c r="BG253" i="29"/>
  <c r="AA254" i="29"/>
  <c r="AB254" i="29"/>
  <c r="AC254" i="29"/>
  <c r="AD254" i="29"/>
  <c r="AE254" i="29"/>
  <c r="AF254" i="29"/>
  <c r="AG254" i="29"/>
  <c r="AH254" i="29"/>
  <c r="AI254" i="29"/>
  <c r="AJ254" i="29"/>
  <c r="AK254" i="29"/>
  <c r="AL254" i="29"/>
  <c r="AM254" i="29"/>
  <c r="AN254" i="29"/>
  <c r="AO254" i="29"/>
  <c r="AP254" i="29"/>
  <c r="AQ254" i="29"/>
  <c r="AR254" i="29"/>
  <c r="AS254" i="29"/>
  <c r="AT254" i="29"/>
  <c r="AU254" i="29"/>
  <c r="AV254" i="29"/>
  <c r="AW254" i="29"/>
  <c r="AX254" i="29"/>
  <c r="AY254" i="29"/>
  <c r="AZ254" i="29"/>
  <c r="BA254" i="29"/>
  <c r="BB254" i="29"/>
  <c r="BC254" i="29"/>
  <c r="BD254" i="29"/>
  <c r="BE254" i="29"/>
  <c r="BF254" i="29"/>
  <c r="BG254" i="29"/>
  <c r="AA255" i="29"/>
  <c r="AB255" i="29"/>
  <c r="AC255" i="29"/>
  <c r="AD255" i="29"/>
  <c r="AE255" i="29"/>
  <c r="AF255" i="29"/>
  <c r="AG255" i="29"/>
  <c r="AH255" i="29"/>
  <c r="AI255" i="29"/>
  <c r="AJ255" i="29"/>
  <c r="AK255" i="29"/>
  <c r="AL255" i="29"/>
  <c r="AM255" i="29"/>
  <c r="AN255" i="29"/>
  <c r="AO255" i="29"/>
  <c r="AP255" i="29"/>
  <c r="AQ255" i="29"/>
  <c r="AR255" i="29"/>
  <c r="AS255" i="29"/>
  <c r="AT255" i="29"/>
  <c r="AU255" i="29"/>
  <c r="AV255" i="29"/>
  <c r="AW255" i="29"/>
  <c r="AX255" i="29"/>
  <c r="AY255" i="29"/>
  <c r="AZ255" i="29"/>
  <c r="BA255" i="29"/>
  <c r="BB255" i="29"/>
  <c r="BC255" i="29"/>
  <c r="BD255" i="29"/>
  <c r="BE255" i="29"/>
  <c r="BF255" i="29"/>
  <c r="BG255" i="29"/>
  <c r="AA256" i="29"/>
  <c r="AB256" i="29"/>
  <c r="AC256" i="29"/>
  <c r="AD256" i="29"/>
  <c r="AE256" i="29"/>
  <c r="AF256" i="29"/>
  <c r="AG256" i="29"/>
  <c r="AH256" i="29"/>
  <c r="AI256" i="29"/>
  <c r="AJ256" i="29"/>
  <c r="AK256" i="29"/>
  <c r="AL256" i="29"/>
  <c r="AM256" i="29"/>
  <c r="AP256" i="29"/>
  <c r="AQ256" i="29"/>
  <c r="AR256" i="29"/>
  <c r="AS256" i="29"/>
  <c r="AT256" i="29"/>
  <c r="AU256" i="29"/>
  <c r="AV256" i="29"/>
  <c r="AW256" i="29"/>
  <c r="AX256" i="29"/>
  <c r="AY256" i="29"/>
  <c r="AZ256" i="29"/>
  <c r="BA256" i="29"/>
  <c r="BB256" i="29"/>
  <c r="BC256" i="29"/>
  <c r="BD256" i="29"/>
  <c r="BE256" i="29"/>
  <c r="BF256" i="29"/>
  <c r="BG256" i="29"/>
  <c r="AA257" i="29"/>
  <c r="AB257" i="29"/>
  <c r="AC257" i="29"/>
  <c r="AD257" i="29"/>
  <c r="AE257" i="29"/>
  <c r="AF257" i="29"/>
  <c r="AG257" i="29"/>
  <c r="AH257" i="29"/>
  <c r="AI257" i="29"/>
  <c r="AJ257" i="29"/>
  <c r="AK257" i="29"/>
  <c r="AL257" i="29"/>
  <c r="AM257" i="29"/>
  <c r="AN257" i="29"/>
  <c r="AO257" i="29"/>
  <c r="AP257" i="29"/>
  <c r="AQ257" i="29"/>
  <c r="AR257" i="29"/>
  <c r="AS257" i="29"/>
  <c r="AT257" i="29"/>
  <c r="AU257" i="29"/>
  <c r="AX257" i="29"/>
  <c r="AY257" i="29"/>
  <c r="AZ257" i="29"/>
  <c r="BA257" i="29"/>
  <c r="BB257" i="29"/>
  <c r="BC257" i="29"/>
  <c r="BD257" i="29"/>
  <c r="BE257" i="29"/>
  <c r="BF257" i="29"/>
  <c r="BG257" i="29"/>
  <c r="AA258" i="29"/>
  <c r="AB258" i="29"/>
  <c r="AC258" i="29"/>
  <c r="AD258" i="29"/>
  <c r="AE258" i="29"/>
  <c r="AF258" i="29"/>
  <c r="AG258" i="29"/>
  <c r="AH258" i="29"/>
  <c r="AI258" i="29"/>
  <c r="AJ258" i="29"/>
  <c r="AK258" i="29"/>
  <c r="AL258" i="29"/>
  <c r="AM258" i="29"/>
  <c r="AN258" i="29"/>
  <c r="AO258" i="29"/>
  <c r="AP258" i="29"/>
  <c r="AQ258" i="29"/>
  <c r="AR258" i="29"/>
  <c r="AS258" i="29"/>
  <c r="AT258" i="29"/>
  <c r="AU258" i="29"/>
  <c r="AV258" i="29"/>
  <c r="AW258" i="29"/>
  <c r="AX258" i="29"/>
  <c r="AY258" i="29"/>
  <c r="AZ258" i="29"/>
  <c r="BA258" i="29"/>
  <c r="BB258" i="29"/>
  <c r="BC258" i="29"/>
  <c r="BD258" i="29"/>
  <c r="BE258" i="29"/>
  <c r="BF258" i="29"/>
  <c r="BG258" i="29"/>
  <c r="AA259" i="29"/>
  <c r="AB259" i="29"/>
  <c r="AC259" i="29"/>
  <c r="AD259" i="29"/>
  <c r="AE259" i="29"/>
  <c r="AF259" i="29"/>
  <c r="AG259" i="29"/>
  <c r="AH259" i="29"/>
  <c r="AI259" i="29"/>
  <c r="AJ259" i="29"/>
  <c r="AK259" i="29"/>
  <c r="AL259" i="29"/>
  <c r="AM259" i="29"/>
  <c r="AN259" i="29"/>
  <c r="AO259" i="29"/>
  <c r="AP259" i="29"/>
  <c r="AQ259" i="29"/>
  <c r="AR259" i="29"/>
  <c r="AS259" i="29"/>
  <c r="AT259" i="29"/>
  <c r="AU259" i="29"/>
  <c r="AV259" i="29"/>
  <c r="AW259" i="29"/>
  <c r="AX259" i="29"/>
  <c r="AY259" i="29"/>
  <c r="AZ259" i="29"/>
  <c r="BA259" i="29"/>
  <c r="BB259" i="29"/>
  <c r="BC259" i="29"/>
  <c r="BD259" i="29"/>
  <c r="BE259" i="29"/>
  <c r="BF259" i="29"/>
  <c r="BG259" i="29"/>
  <c r="AA260" i="29"/>
  <c r="AB260" i="29"/>
  <c r="AC260" i="29"/>
  <c r="AD260" i="29"/>
  <c r="AE260" i="29"/>
  <c r="AF260" i="29"/>
  <c r="AG260" i="29"/>
  <c r="AH260" i="29"/>
  <c r="AI260" i="29"/>
  <c r="AJ260" i="29"/>
  <c r="AK260" i="29"/>
  <c r="AL260" i="29"/>
  <c r="AM260" i="29"/>
  <c r="AN260" i="29"/>
  <c r="AO260" i="29"/>
  <c r="AP260" i="29"/>
  <c r="AQ260" i="29"/>
  <c r="AR260" i="29"/>
  <c r="AS260" i="29"/>
  <c r="AT260" i="29"/>
  <c r="AU260" i="29"/>
  <c r="AV260" i="29"/>
  <c r="AW260" i="29"/>
  <c r="AX260" i="29"/>
  <c r="AY260" i="29"/>
  <c r="AZ260" i="29"/>
  <c r="BA260" i="29"/>
  <c r="BB260" i="29"/>
  <c r="BC260" i="29"/>
  <c r="BD260" i="29"/>
  <c r="BE260" i="29"/>
  <c r="BF260" i="29"/>
  <c r="BG260" i="29"/>
  <c r="AA261" i="29"/>
  <c r="AD261" i="29"/>
  <c r="AE261" i="29"/>
  <c r="AF261" i="29"/>
  <c r="AG261" i="29"/>
  <c r="AH261" i="29"/>
  <c r="AI261" i="29"/>
  <c r="AJ261" i="29"/>
  <c r="AK261" i="29"/>
  <c r="AL261" i="29"/>
  <c r="AM261" i="29"/>
  <c r="AN261" i="29"/>
  <c r="AO261" i="29"/>
  <c r="AP261" i="29"/>
  <c r="AQ261" i="29"/>
  <c r="AR261" i="29"/>
  <c r="AS261" i="29"/>
  <c r="AT261" i="29"/>
  <c r="AU261" i="29"/>
  <c r="AV261" i="29"/>
  <c r="AW261" i="29"/>
  <c r="AX261" i="29"/>
  <c r="AY261" i="29"/>
  <c r="AZ261" i="29"/>
  <c r="BA261" i="29"/>
  <c r="BB261" i="29"/>
  <c r="BC261" i="29"/>
  <c r="BD261" i="29"/>
  <c r="BE261" i="29"/>
  <c r="BF261" i="29"/>
  <c r="BG261" i="29"/>
  <c r="AA262" i="29"/>
  <c r="AB262" i="29"/>
  <c r="AC262" i="29"/>
  <c r="AD262" i="29"/>
  <c r="AE262" i="29"/>
  <c r="AF262" i="29"/>
  <c r="AG262" i="29"/>
  <c r="AH262" i="29"/>
  <c r="AI262" i="29"/>
  <c r="AJ262" i="29"/>
  <c r="AK262" i="29"/>
  <c r="AL262" i="29"/>
  <c r="AM262" i="29"/>
  <c r="AN262" i="29"/>
  <c r="AO262" i="29"/>
  <c r="AP262" i="29"/>
  <c r="AQ262" i="29"/>
  <c r="AR262" i="29"/>
  <c r="AS262" i="29"/>
  <c r="AT262" i="29"/>
  <c r="AU262" i="29"/>
  <c r="AV262" i="29"/>
  <c r="AW262" i="29"/>
  <c r="AX262" i="29"/>
  <c r="AY262" i="29"/>
  <c r="AZ262" i="29"/>
  <c r="BA262" i="29"/>
  <c r="BD262" i="29"/>
  <c r="BE262" i="29"/>
  <c r="BF262" i="29"/>
  <c r="BG262" i="29"/>
  <c r="AA263" i="29"/>
  <c r="AB263" i="29"/>
  <c r="AC263" i="29"/>
  <c r="AD263" i="29"/>
  <c r="AE263" i="29"/>
  <c r="AF263" i="29"/>
  <c r="AG263" i="29"/>
  <c r="AJ263" i="29"/>
  <c r="AK263" i="29"/>
  <c r="AL263" i="29"/>
  <c r="AM263" i="29"/>
  <c r="AN263" i="29"/>
  <c r="AO263" i="29"/>
  <c r="AP263" i="29"/>
  <c r="AQ263" i="29"/>
  <c r="AR263" i="29"/>
  <c r="AS263" i="29"/>
  <c r="AT263" i="29"/>
  <c r="AU263" i="29"/>
  <c r="AV263" i="29"/>
  <c r="AW263" i="29"/>
  <c r="AX263" i="29"/>
  <c r="AY263" i="29"/>
  <c r="AZ263" i="29"/>
  <c r="BA263" i="29"/>
  <c r="BB263" i="29"/>
  <c r="BC263" i="29"/>
  <c r="BD263" i="29"/>
  <c r="BE263" i="29"/>
  <c r="BF263" i="29"/>
  <c r="BG263" i="29"/>
  <c r="AA264" i="29"/>
  <c r="AB264" i="29"/>
  <c r="AC264" i="29"/>
  <c r="AD264" i="29"/>
  <c r="AE264" i="29"/>
  <c r="AF264" i="29"/>
  <c r="AG264" i="29"/>
  <c r="AH264" i="29"/>
  <c r="AI264" i="29"/>
  <c r="AJ264" i="29"/>
  <c r="AK264" i="29"/>
  <c r="AL264" i="29"/>
  <c r="AM264" i="29"/>
  <c r="AN264" i="29"/>
  <c r="AO264" i="29"/>
  <c r="AP264" i="29"/>
  <c r="AQ264" i="29"/>
  <c r="AR264" i="29"/>
  <c r="AS264" i="29"/>
  <c r="AT264" i="29"/>
  <c r="AU264" i="29"/>
  <c r="AV264" i="29"/>
  <c r="AW264" i="29"/>
  <c r="AX264" i="29"/>
  <c r="AY264" i="29"/>
  <c r="AZ264" i="29"/>
  <c r="BA264" i="29"/>
  <c r="BB264" i="29"/>
  <c r="BC264" i="29"/>
  <c r="BD264" i="29"/>
  <c r="BE264" i="29"/>
  <c r="AA265" i="29"/>
  <c r="AB265" i="29"/>
  <c r="AC265" i="29"/>
  <c r="AD265" i="29"/>
  <c r="AE265" i="29"/>
  <c r="AF265" i="29"/>
  <c r="AG265" i="29"/>
  <c r="AH265" i="29"/>
  <c r="AI265" i="29"/>
  <c r="AL265" i="29"/>
  <c r="AM265" i="29"/>
  <c r="AN265" i="29"/>
  <c r="AO265" i="29"/>
  <c r="AP265" i="29"/>
  <c r="AQ265" i="29"/>
  <c r="AR265" i="29"/>
  <c r="AS265" i="29"/>
  <c r="AT265" i="29"/>
  <c r="AU265" i="29"/>
  <c r="AV265" i="29"/>
  <c r="AW265" i="29"/>
  <c r="AX265" i="29"/>
  <c r="AY265" i="29"/>
  <c r="AZ265" i="29"/>
  <c r="BA265" i="29"/>
  <c r="BB265" i="29"/>
  <c r="BC265" i="29"/>
  <c r="BD265" i="29"/>
  <c r="BE265" i="29"/>
  <c r="BF265" i="29"/>
  <c r="BG265" i="29"/>
  <c r="AA266" i="29"/>
  <c r="AB266" i="29"/>
  <c r="AC266" i="29"/>
  <c r="AD266" i="29"/>
  <c r="AE266" i="29"/>
  <c r="AF266" i="29"/>
  <c r="AG266" i="29"/>
  <c r="AH266" i="29"/>
  <c r="AI266" i="29"/>
  <c r="AJ266" i="29"/>
  <c r="AK266" i="29"/>
  <c r="AL266" i="29"/>
  <c r="AM266" i="29"/>
  <c r="AN266" i="29"/>
  <c r="AO266" i="29"/>
  <c r="AR266" i="29"/>
  <c r="AS266" i="29"/>
  <c r="AT266" i="29"/>
  <c r="AU266" i="29"/>
  <c r="AV266" i="29"/>
  <c r="AW266" i="29"/>
  <c r="AX266" i="29"/>
  <c r="AY266" i="29"/>
  <c r="AZ266" i="29"/>
  <c r="BA266" i="29"/>
  <c r="BB266" i="29"/>
  <c r="BC266" i="29"/>
  <c r="BD266" i="29"/>
  <c r="BE266" i="29"/>
  <c r="BF266" i="29"/>
  <c r="BG266" i="29"/>
  <c r="AA267" i="29"/>
  <c r="AB267" i="29"/>
  <c r="AC267" i="29"/>
  <c r="AD267" i="29"/>
  <c r="AE267" i="29"/>
  <c r="AF267" i="29"/>
  <c r="AG267" i="29"/>
  <c r="AH267" i="29"/>
  <c r="AI267" i="29"/>
  <c r="AJ267" i="29"/>
  <c r="AK267" i="29"/>
  <c r="AL267" i="29"/>
  <c r="AM267" i="29"/>
  <c r="AN267" i="29"/>
  <c r="AO267" i="29"/>
  <c r="AP267" i="29"/>
  <c r="AQ267" i="29"/>
  <c r="AR267" i="29"/>
  <c r="AS267" i="29"/>
  <c r="AT267" i="29"/>
  <c r="AU267" i="29"/>
  <c r="AV267" i="29"/>
  <c r="AW267" i="29"/>
  <c r="AX267" i="29"/>
  <c r="AY267" i="29"/>
  <c r="AZ267" i="29"/>
  <c r="BA267" i="29"/>
  <c r="BB267" i="29"/>
  <c r="BC267" i="29"/>
  <c r="BD267" i="29"/>
  <c r="BE267" i="29"/>
  <c r="BF267" i="29"/>
  <c r="BG267" i="29"/>
  <c r="AA268" i="29"/>
  <c r="AB268" i="29"/>
  <c r="AC268" i="29"/>
  <c r="AD268" i="29"/>
  <c r="AE268" i="29"/>
  <c r="AF268" i="29"/>
  <c r="AG268" i="29"/>
  <c r="AH268" i="29"/>
  <c r="AI268" i="29"/>
  <c r="AJ268" i="29"/>
  <c r="AK268" i="29"/>
  <c r="AL268" i="29"/>
  <c r="AM268" i="29"/>
  <c r="AN268" i="29"/>
  <c r="AO268" i="29"/>
  <c r="AP268" i="29"/>
  <c r="AQ268" i="29"/>
  <c r="AR268" i="29"/>
  <c r="AS268" i="29"/>
  <c r="AT268" i="29"/>
  <c r="AU268" i="29"/>
  <c r="AV268" i="29"/>
  <c r="AW268" i="29"/>
  <c r="AX268" i="29"/>
  <c r="AY268" i="29"/>
  <c r="AZ268" i="29"/>
  <c r="BA268" i="29"/>
  <c r="BB268" i="29"/>
  <c r="BC268" i="29"/>
  <c r="BF268" i="29"/>
  <c r="BG268" i="29"/>
  <c r="AA269" i="29"/>
  <c r="AB269" i="29"/>
  <c r="AC269" i="29"/>
  <c r="AD269" i="29"/>
  <c r="AE269" i="29"/>
  <c r="AF269" i="29"/>
  <c r="AG269" i="29"/>
  <c r="AH269" i="29"/>
  <c r="AI269" i="29"/>
  <c r="AJ269" i="29"/>
  <c r="AK269" i="29"/>
  <c r="AL269" i="29"/>
  <c r="AM269" i="29"/>
  <c r="AN269" i="29"/>
  <c r="AO269" i="29"/>
  <c r="AP269" i="29"/>
  <c r="AQ269" i="29"/>
  <c r="AR269" i="29"/>
  <c r="AS269" i="29"/>
  <c r="AT269" i="29"/>
  <c r="AU269" i="29"/>
  <c r="AV269" i="29"/>
  <c r="AW269" i="29"/>
  <c r="AX269" i="29"/>
  <c r="AY269" i="29"/>
  <c r="AZ269" i="29"/>
  <c r="BA269" i="29"/>
  <c r="BB269" i="29"/>
  <c r="BC269" i="29"/>
  <c r="BD269" i="29"/>
  <c r="BE269" i="29"/>
  <c r="BF269" i="29"/>
  <c r="BG269" i="29"/>
  <c r="AA270" i="29"/>
  <c r="AD270" i="29"/>
  <c r="AE270" i="29"/>
  <c r="AF270" i="29"/>
  <c r="AG270" i="29"/>
  <c r="AH270" i="29"/>
  <c r="AI270" i="29"/>
  <c r="AJ270" i="29"/>
  <c r="AK270" i="29"/>
  <c r="AL270" i="29"/>
  <c r="AM270" i="29"/>
  <c r="AN270" i="29"/>
  <c r="AO270" i="29"/>
  <c r="AP270" i="29"/>
  <c r="AQ270" i="29"/>
  <c r="AR270" i="29"/>
  <c r="AS270" i="29"/>
  <c r="AT270" i="29"/>
  <c r="AU270" i="29"/>
  <c r="AV270" i="29"/>
  <c r="AW270" i="29"/>
  <c r="AX270" i="29"/>
  <c r="AY270" i="29"/>
  <c r="AZ270" i="29"/>
  <c r="BA270" i="29"/>
  <c r="BB270" i="29"/>
  <c r="BC270" i="29"/>
  <c r="BD270" i="29"/>
  <c r="BE270" i="29"/>
  <c r="BF270" i="29"/>
  <c r="BG270" i="29"/>
  <c r="AB271" i="29"/>
  <c r="AC271" i="29"/>
  <c r="AD271" i="29"/>
  <c r="AE271" i="29"/>
  <c r="AF271" i="29"/>
  <c r="AG271" i="29"/>
  <c r="AH271" i="29"/>
  <c r="AI271" i="29"/>
  <c r="AJ271" i="29"/>
  <c r="AK271" i="29"/>
  <c r="AL271" i="29"/>
  <c r="AM271" i="29"/>
  <c r="AN271" i="29"/>
  <c r="AO271" i="29"/>
  <c r="AP271" i="29"/>
  <c r="AQ271" i="29"/>
  <c r="AR271" i="29"/>
  <c r="AS271" i="29"/>
  <c r="AT271" i="29"/>
  <c r="AU271" i="29"/>
  <c r="AV271" i="29"/>
  <c r="AW271" i="29"/>
  <c r="AX271" i="29"/>
  <c r="AY271" i="29"/>
  <c r="AZ271" i="29"/>
  <c r="BA271" i="29"/>
  <c r="BB271" i="29"/>
  <c r="BC271" i="29"/>
  <c r="BD271" i="29"/>
  <c r="BE271" i="29"/>
  <c r="BF271" i="29"/>
  <c r="BG271" i="29"/>
  <c r="AA272" i="29"/>
  <c r="AB272" i="29"/>
  <c r="AC272" i="29"/>
  <c r="AD272" i="29"/>
  <c r="AE272" i="29"/>
  <c r="AF272" i="29"/>
  <c r="AG272" i="29"/>
  <c r="AH272" i="29"/>
  <c r="AI272" i="29"/>
  <c r="AJ272" i="29"/>
  <c r="AK272" i="29"/>
  <c r="AL272" i="29"/>
  <c r="AM272" i="29"/>
  <c r="AN272" i="29"/>
  <c r="AO272" i="29"/>
  <c r="AP272" i="29"/>
  <c r="AQ272" i="29"/>
  <c r="AR272" i="29"/>
  <c r="AS272" i="29"/>
  <c r="AT272" i="29"/>
  <c r="AU272" i="29"/>
  <c r="AV272" i="29"/>
  <c r="AW272" i="29"/>
  <c r="AX272" i="29"/>
  <c r="AY272" i="29"/>
  <c r="AZ272" i="29"/>
  <c r="BA272" i="29"/>
  <c r="BD272" i="29"/>
  <c r="BE272" i="29"/>
  <c r="BF272" i="29"/>
  <c r="BG272" i="29"/>
  <c r="AA273" i="29"/>
  <c r="AB273" i="29"/>
  <c r="AC273" i="29"/>
  <c r="AD273" i="29"/>
  <c r="AE273" i="29"/>
  <c r="AH273" i="29"/>
  <c r="AI273" i="29"/>
  <c r="AJ273" i="29"/>
  <c r="AK273" i="29"/>
  <c r="AL273" i="29"/>
  <c r="AM273" i="29"/>
  <c r="AN273" i="29"/>
  <c r="AO273" i="29"/>
  <c r="AP273" i="29"/>
  <c r="AQ273" i="29"/>
  <c r="AR273" i="29"/>
  <c r="AS273" i="29"/>
  <c r="AT273" i="29"/>
  <c r="AU273" i="29"/>
  <c r="AV273" i="29"/>
  <c r="AW273" i="29"/>
  <c r="AX273" i="29"/>
  <c r="AY273" i="29"/>
  <c r="AZ273" i="29"/>
  <c r="BA273" i="29"/>
  <c r="BB273" i="29"/>
  <c r="BC273" i="29"/>
  <c r="BD273" i="29"/>
  <c r="BE273" i="29"/>
  <c r="BF273" i="29"/>
  <c r="BG273" i="29"/>
  <c r="AA274" i="29"/>
  <c r="AB274" i="29"/>
  <c r="AC274" i="29"/>
  <c r="AD274" i="29"/>
  <c r="AE274" i="29"/>
  <c r="AF274" i="29"/>
  <c r="AG274" i="29"/>
  <c r="AJ274" i="29"/>
  <c r="AK274" i="29"/>
  <c r="AL274" i="29"/>
  <c r="AM274" i="29"/>
  <c r="AN274" i="29"/>
  <c r="AO274" i="29"/>
  <c r="AP274" i="29"/>
  <c r="AQ274" i="29"/>
  <c r="AR274" i="29"/>
  <c r="AS274" i="29"/>
  <c r="AT274" i="29"/>
  <c r="AU274" i="29"/>
  <c r="AV274" i="29"/>
  <c r="AW274" i="29"/>
  <c r="AX274" i="29"/>
  <c r="AY274" i="29"/>
  <c r="AZ274" i="29"/>
  <c r="BA274" i="29"/>
  <c r="BB274" i="29"/>
  <c r="BC274" i="29"/>
  <c r="BD274" i="29"/>
  <c r="BE274" i="29"/>
  <c r="BF274" i="29"/>
  <c r="BG274" i="29"/>
  <c r="AA275" i="29"/>
  <c r="AB275" i="29"/>
  <c r="AC275" i="29"/>
  <c r="AD275" i="29"/>
  <c r="AE275" i="29"/>
  <c r="AF275" i="29"/>
  <c r="AG275" i="29"/>
  <c r="AH275" i="29"/>
  <c r="AI275" i="29"/>
  <c r="AJ275" i="29"/>
  <c r="AK275" i="29"/>
  <c r="AL275" i="29"/>
  <c r="AM275" i="29"/>
  <c r="AN275" i="29"/>
  <c r="AO275" i="29"/>
  <c r="AP275" i="29"/>
  <c r="AQ275" i="29"/>
  <c r="AR275" i="29"/>
  <c r="AS275" i="29"/>
  <c r="AT275" i="29"/>
  <c r="AU275" i="29"/>
  <c r="AV275" i="29"/>
  <c r="AW275" i="29"/>
  <c r="AX275" i="29"/>
  <c r="AY275" i="29"/>
  <c r="BB275" i="29"/>
  <c r="BC275" i="29"/>
  <c r="BD275" i="29"/>
  <c r="BE275" i="29"/>
  <c r="BF275" i="29"/>
  <c r="BG275" i="29"/>
  <c r="AA276" i="29"/>
  <c r="AB276" i="29"/>
  <c r="AC276" i="29"/>
  <c r="AD276" i="29"/>
  <c r="AE276" i="29"/>
  <c r="AF276" i="29"/>
  <c r="AG276" i="29"/>
  <c r="AH276" i="29"/>
  <c r="AI276" i="29"/>
  <c r="AJ276" i="29"/>
  <c r="AK276" i="29"/>
  <c r="AL276" i="29"/>
  <c r="AM276" i="29"/>
  <c r="AN276" i="29"/>
  <c r="AO276" i="29"/>
  <c r="AP276" i="29"/>
  <c r="AQ276" i="29"/>
  <c r="AR276" i="29"/>
  <c r="AS276" i="29"/>
  <c r="AT276" i="29"/>
  <c r="AU276" i="29"/>
  <c r="AX276" i="29"/>
  <c r="AY276" i="29"/>
  <c r="AZ276" i="29"/>
  <c r="BA276" i="29"/>
  <c r="BB276" i="29"/>
  <c r="BC276" i="29"/>
  <c r="BD276" i="29"/>
  <c r="BE276" i="29"/>
  <c r="BF276" i="29"/>
  <c r="BG276" i="29"/>
  <c r="AA277" i="29"/>
  <c r="AB277" i="29"/>
  <c r="AC277" i="29"/>
  <c r="AF277" i="29"/>
  <c r="AG277" i="29"/>
  <c r="AH277" i="29"/>
  <c r="AI277" i="29"/>
  <c r="AJ277" i="29"/>
  <c r="AK277" i="29"/>
  <c r="AL277" i="29"/>
  <c r="AM277" i="29"/>
  <c r="AN277" i="29"/>
  <c r="AO277" i="29"/>
  <c r="AP277" i="29"/>
  <c r="AQ277" i="29"/>
  <c r="AR277" i="29"/>
  <c r="AS277" i="29"/>
  <c r="AT277" i="29"/>
  <c r="AU277" i="29"/>
  <c r="AV277" i="29"/>
  <c r="AW277" i="29"/>
  <c r="AX277" i="29"/>
  <c r="AY277" i="29"/>
  <c r="AZ277" i="29"/>
  <c r="BA277" i="29"/>
  <c r="BD277" i="29"/>
  <c r="BE277" i="29"/>
  <c r="BF277" i="29"/>
  <c r="BG277" i="29"/>
  <c r="AA278" i="29"/>
  <c r="AB278" i="29"/>
  <c r="AC278" i="29"/>
  <c r="AD278" i="29"/>
  <c r="AE278" i="29"/>
  <c r="AF278" i="29"/>
  <c r="AG278" i="29"/>
  <c r="AH278" i="29"/>
  <c r="AI278" i="29"/>
  <c r="AJ278" i="29"/>
  <c r="AK278" i="29"/>
  <c r="AN278" i="29"/>
  <c r="AO278" i="29"/>
  <c r="AP278" i="29"/>
  <c r="AQ278" i="29"/>
  <c r="AR278" i="29"/>
  <c r="AS278" i="29"/>
  <c r="AT278" i="29"/>
  <c r="AU278" i="29"/>
  <c r="AV278" i="29"/>
  <c r="AW278" i="29"/>
  <c r="AX278" i="29"/>
  <c r="AY278" i="29"/>
  <c r="AZ278" i="29"/>
  <c r="BA278" i="29"/>
  <c r="BB278" i="29"/>
  <c r="BC278" i="29"/>
  <c r="BD278" i="29"/>
  <c r="BE278" i="29"/>
  <c r="BF278" i="29"/>
  <c r="BG278" i="29"/>
  <c r="AA279" i="29"/>
  <c r="AB279" i="29"/>
  <c r="AC279" i="29"/>
  <c r="AD279" i="29"/>
  <c r="AE279" i="29"/>
  <c r="AF279" i="29"/>
  <c r="AG279" i="29"/>
  <c r="AH279" i="29"/>
  <c r="AI279" i="29"/>
  <c r="AJ279" i="29"/>
  <c r="AK279" i="29"/>
  <c r="AL279" i="29"/>
  <c r="AM279" i="29"/>
  <c r="AN279" i="29"/>
  <c r="AO279" i="29"/>
  <c r="AP279" i="29"/>
  <c r="AQ279" i="29"/>
  <c r="AT279" i="29"/>
  <c r="AU279" i="29"/>
  <c r="AV279" i="29"/>
  <c r="AW279" i="29"/>
  <c r="AX279" i="29"/>
  <c r="AY279" i="29"/>
  <c r="AZ279" i="29"/>
  <c r="BA279" i="29"/>
  <c r="BD279" i="29"/>
  <c r="BE279" i="29"/>
  <c r="BF279" i="29"/>
  <c r="BG279" i="29"/>
  <c r="AA280" i="29"/>
  <c r="AB280" i="29"/>
  <c r="AC280" i="29"/>
  <c r="AD280" i="29"/>
  <c r="AE280" i="29"/>
  <c r="AF280" i="29"/>
  <c r="AG280" i="29"/>
  <c r="AH280" i="29"/>
  <c r="AI280" i="29"/>
  <c r="AJ280" i="29"/>
  <c r="AK280" i="29"/>
  <c r="AL280" i="29"/>
  <c r="AM280" i="29"/>
  <c r="AP280" i="29"/>
  <c r="AQ280" i="29"/>
  <c r="AR280" i="29"/>
  <c r="AS280" i="29"/>
  <c r="AT280" i="29"/>
  <c r="AU280" i="29"/>
  <c r="AV280" i="29"/>
  <c r="AW280" i="29"/>
  <c r="AX280" i="29"/>
  <c r="AY280" i="29"/>
  <c r="AZ280" i="29"/>
  <c r="BA280" i="29"/>
  <c r="BD280" i="29"/>
  <c r="BE280" i="29"/>
  <c r="BF280" i="29"/>
  <c r="BG280" i="29"/>
  <c r="AA282" i="29"/>
  <c r="AB282" i="29"/>
  <c r="AC282" i="29"/>
  <c r="AD282" i="29"/>
  <c r="AE282" i="29"/>
  <c r="AF282" i="29"/>
  <c r="AG282" i="29"/>
  <c r="AH282" i="29"/>
  <c r="AI282" i="29"/>
  <c r="AJ282" i="29"/>
  <c r="AK282" i="29"/>
  <c r="AL282" i="29"/>
  <c r="AM282" i="29"/>
  <c r="AN282" i="29"/>
  <c r="AO282" i="29"/>
  <c r="AP282" i="29"/>
  <c r="AQ282" i="29"/>
  <c r="AR282" i="29"/>
  <c r="AS282" i="29"/>
  <c r="AT282" i="29"/>
  <c r="AU282" i="29"/>
  <c r="AV282" i="29"/>
  <c r="AW282" i="29"/>
  <c r="AX282" i="29"/>
  <c r="AY282" i="29"/>
  <c r="AZ282" i="29"/>
  <c r="BA282" i="29"/>
  <c r="BD282" i="29"/>
  <c r="BE282" i="29"/>
  <c r="BF282" i="29"/>
  <c r="BG282" i="29"/>
  <c r="AA283" i="29"/>
  <c r="AB283" i="29"/>
  <c r="AC283" i="29"/>
  <c r="AD283" i="29"/>
  <c r="AE283" i="29"/>
  <c r="AF283" i="29"/>
  <c r="AG283" i="29"/>
  <c r="AH283" i="29"/>
  <c r="AI283" i="29"/>
  <c r="AJ283" i="29"/>
  <c r="AK283" i="29"/>
  <c r="AL283" i="29"/>
  <c r="AM283" i="29"/>
  <c r="AN283" i="29"/>
  <c r="AO283" i="29"/>
  <c r="AP283" i="29"/>
  <c r="AQ283" i="29"/>
  <c r="AR283" i="29"/>
  <c r="AS283" i="29"/>
  <c r="AT283" i="29"/>
  <c r="AU283" i="29"/>
  <c r="AV283" i="29"/>
  <c r="AW283" i="29"/>
  <c r="AX283" i="29"/>
  <c r="AY283" i="29"/>
  <c r="AZ283" i="29"/>
  <c r="BA283" i="29"/>
  <c r="BB283" i="29"/>
  <c r="BC283" i="29"/>
  <c r="BD283" i="29"/>
  <c r="BE283" i="29"/>
  <c r="BF283" i="29"/>
  <c r="BG283" i="29"/>
  <c r="AB284" i="29"/>
  <c r="AC284" i="29"/>
  <c r="AD284" i="29"/>
  <c r="AE284" i="29"/>
  <c r="AF284" i="29"/>
  <c r="AG284" i="29"/>
  <c r="AH284" i="29"/>
  <c r="AI284" i="29"/>
  <c r="AJ284" i="29"/>
  <c r="AK284" i="29"/>
  <c r="AL284" i="29"/>
  <c r="AM284" i="29"/>
  <c r="AN284" i="29"/>
  <c r="AO284" i="29"/>
  <c r="AP284" i="29"/>
  <c r="AQ284" i="29"/>
  <c r="AR284" i="29"/>
  <c r="AS284" i="29"/>
  <c r="AT284" i="29"/>
  <c r="AU284" i="29"/>
  <c r="AV284" i="29"/>
  <c r="AW284" i="29"/>
  <c r="AX284" i="29"/>
  <c r="AY284" i="29"/>
  <c r="AZ284" i="29"/>
  <c r="BA284" i="29"/>
  <c r="BB284" i="29"/>
  <c r="BC284" i="29"/>
  <c r="BD284" i="29"/>
  <c r="BE284" i="29"/>
  <c r="BF284" i="29"/>
  <c r="BG284" i="29"/>
  <c r="AA285" i="29"/>
  <c r="AB285" i="29"/>
  <c r="AC285" i="29"/>
  <c r="AD285" i="29"/>
  <c r="AE285" i="29"/>
  <c r="AF285" i="29"/>
  <c r="AG285" i="29"/>
  <c r="AH285" i="29"/>
  <c r="AI285" i="29"/>
  <c r="AJ285" i="29"/>
  <c r="AK285" i="29"/>
  <c r="AL285" i="29"/>
  <c r="AM285" i="29"/>
  <c r="AN285" i="29"/>
  <c r="AO285" i="29"/>
  <c r="AP285" i="29"/>
  <c r="AQ285" i="29"/>
  <c r="AR285" i="29"/>
  <c r="AS285" i="29"/>
  <c r="AT285" i="29"/>
  <c r="AU285" i="29"/>
  <c r="AV285" i="29"/>
  <c r="AW285" i="29"/>
  <c r="AX285" i="29"/>
  <c r="AY285" i="29"/>
  <c r="AZ285" i="29"/>
  <c r="BA285" i="29"/>
  <c r="BD285" i="29"/>
  <c r="BE285" i="29"/>
  <c r="BF285" i="29"/>
  <c r="BG285" i="29"/>
  <c r="AA286" i="29"/>
  <c r="AB286" i="29"/>
  <c r="AC286" i="29"/>
  <c r="AD286" i="29"/>
  <c r="AE286" i="29"/>
  <c r="AF286" i="29"/>
  <c r="AG286" i="29"/>
  <c r="AH286" i="29"/>
  <c r="AI286" i="29"/>
  <c r="AJ286" i="29"/>
  <c r="AK286" i="29"/>
  <c r="AL286" i="29"/>
  <c r="AM286" i="29"/>
  <c r="AN286" i="29"/>
  <c r="AO286" i="29"/>
  <c r="AP286" i="29"/>
  <c r="AQ286" i="29"/>
  <c r="AR286" i="29"/>
  <c r="AS286" i="29"/>
  <c r="AT286" i="29"/>
  <c r="AU286" i="29"/>
  <c r="AV286" i="29"/>
  <c r="AW286" i="29"/>
  <c r="AX286" i="29"/>
  <c r="AY286" i="29"/>
  <c r="AZ286" i="29"/>
  <c r="BA286" i="29"/>
  <c r="BD286" i="29"/>
  <c r="BE286" i="29"/>
  <c r="BF286" i="29"/>
  <c r="BG286" i="29"/>
  <c r="AA287" i="29"/>
  <c r="AB287" i="29"/>
  <c r="AC287" i="29"/>
  <c r="AD287" i="29"/>
  <c r="AE287" i="29"/>
  <c r="AF287" i="29"/>
  <c r="AG287" i="29"/>
  <c r="AH287" i="29"/>
  <c r="AI287" i="29"/>
  <c r="AJ287" i="29"/>
  <c r="AK287" i="29"/>
  <c r="AL287" i="29"/>
  <c r="AM287" i="29"/>
  <c r="AN287" i="29"/>
  <c r="AO287" i="29"/>
  <c r="AP287" i="29"/>
  <c r="AQ287" i="29"/>
  <c r="AR287" i="29"/>
  <c r="AS287" i="29"/>
  <c r="AT287" i="29"/>
  <c r="AU287" i="29"/>
  <c r="AV287" i="29"/>
  <c r="AW287" i="29"/>
  <c r="AX287" i="29"/>
  <c r="AY287" i="29"/>
  <c r="AZ287" i="29"/>
  <c r="BA287" i="29"/>
  <c r="BD287" i="29"/>
  <c r="BE287" i="29"/>
  <c r="BF287" i="29"/>
  <c r="BG287" i="29"/>
  <c r="AA288" i="29"/>
  <c r="AB288" i="29"/>
  <c r="AC288" i="29"/>
  <c r="AD288" i="29"/>
  <c r="AE288" i="29"/>
  <c r="AF288" i="29"/>
  <c r="AG288" i="29"/>
  <c r="AH288" i="29"/>
  <c r="AI288" i="29"/>
  <c r="AJ288" i="29"/>
  <c r="AK288" i="29"/>
  <c r="AL288" i="29"/>
  <c r="AM288" i="29"/>
  <c r="AN288" i="29"/>
  <c r="AO288" i="29"/>
  <c r="AP288" i="29"/>
  <c r="AQ288" i="29"/>
  <c r="AR288" i="29"/>
  <c r="AS288" i="29"/>
  <c r="AT288" i="29"/>
  <c r="AU288" i="29"/>
  <c r="AV288" i="29"/>
  <c r="AW288" i="29"/>
  <c r="AX288" i="29"/>
  <c r="AY288" i="29"/>
  <c r="AZ288" i="29"/>
  <c r="BA288" i="29"/>
  <c r="BB288" i="29"/>
  <c r="BC288" i="29"/>
  <c r="BD288" i="29"/>
  <c r="BE288" i="29"/>
  <c r="BF288" i="29"/>
  <c r="BG288" i="29"/>
  <c r="AA289" i="29"/>
  <c r="AB289" i="29"/>
  <c r="AC289" i="29"/>
  <c r="AD289" i="29"/>
  <c r="AE289" i="29"/>
  <c r="AF289" i="29"/>
  <c r="AG289" i="29"/>
  <c r="AJ289" i="29"/>
  <c r="AK289" i="29"/>
  <c r="AL289" i="29"/>
  <c r="AM289" i="29"/>
  <c r="AN289" i="29"/>
  <c r="AO289" i="29"/>
  <c r="AP289" i="29"/>
  <c r="AQ289" i="29"/>
  <c r="AR289" i="29"/>
  <c r="AS289" i="29"/>
  <c r="AT289" i="29"/>
  <c r="AU289" i="29"/>
  <c r="AV289" i="29"/>
  <c r="AW289" i="29"/>
  <c r="AX289" i="29"/>
  <c r="AY289" i="29"/>
  <c r="AZ289" i="29"/>
  <c r="BA289" i="29"/>
  <c r="BD289" i="29"/>
  <c r="BE289" i="29"/>
  <c r="BF289" i="29"/>
  <c r="BG289" i="29"/>
  <c r="AA290" i="29"/>
  <c r="AB290" i="29"/>
  <c r="AC290" i="29"/>
  <c r="AD290" i="29"/>
  <c r="AE290" i="29"/>
  <c r="AF290" i="29"/>
  <c r="AG290" i="29"/>
  <c r="AH290" i="29"/>
  <c r="AI290" i="29"/>
  <c r="AJ290" i="29"/>
  <c r="AK290" i="29"/>
  <c r="AL290" i="29"/>
  <c r="AM290" i="29"/>
  <c r="AN290" i="29"/>
  <c r="AO290" i="29"/>
  <c r="AP290" i="29"/>
  <c r="AQ290" i="29"/>
  <c r="AR290" i="29"/>
  <c r="AS290" i="29"/>
  <c r="AT290" i="29"/>
  <c r="AU290" i="29"/>
  <c r="AV290" i="29"/>
  <c r="AW290" i="29"/>
  <c r="AX290" i="29"/>
  <c r="AY290" i="29"/>
  <c r="AZ290" i="29"/>
  <c r="BA290" i="29"/>
  <c r="BB290" i="29"/>
  <c r="BC290" i="29"/>
  <c r="BD290" i="29"/>
  <c r="BE290" i="29"/>
  <c r="AA291" i="29"/>
  <c r="AB291" i="29"/>
  <c r="AC291" i="29"/>
  <c r="AD291" i="29"/>
  <c r="AE291" i="29"/>
  <c r="AF291" i="29"/>
  <c r="AG291" i="29"/>
  <c r="AH291" i="29"/>
  <c r="AI291" i="29"/>
  <c r="AJ291" i="29"/>
  <c r="AK291" i="29"/>
  <c r="AL291" i="29"/>
  <c r="AM291" i="29"/>
  <c r="AN291" i="29"/>
  <c r="AO291" i="29"/>
  <c r="AR291" i="29"/>
  <c r="AS291" i="29"/>
  <c r="AT291" i="29"/>
  <c r="AU291" i="29"/>
  <c r="AV291" i="29"/>
  <c r="AW291" i="29"/>
  <c r="AX291" i="29"/>
  <c r="AY291" i="29"/>
  <c r="AZ291" i="29"/>
  <c r="BA291" i="29"/>
  <c r="BB291" i="29"/>
  <c r="BC291" i="29"/>
  <c r="BD291" i="29"/>
  <c r="BE291" i="29"/>
  <c r="BF291" i="29"/>
  <c r="BG291" i="29"/>
  <c r="AA292" i="29"/>
  <c r="AB292" i="29"/>
  <c r="AC292" i="29"/>
  <c r="AD292" i="29"/>
  <c r="AE292" i="29"/>
  <c r="AF292" i="29"/>
  <c r="AG292" i="29"/>
  <c r="AH292" i="29"/>
  <c r="AI292" i="29"/>
  <c r="AJ292" i="29"/>
  <c r="AK292" i="29"/>
  <c r="AL292" i="29"/>
  <c r="AM292" i="29"/>
  <c r="AN292" i="29"/>
  <c r="AO292" i="29"/>
  <c r="AP292" i="29"/>
  <c r="AQ292" i="29"/>
  <c r="AR292" i="29"/>
  <c r="AS292" i="29"/>
  <c r="AT292" i="29"/>
  <c r="AU292" i="29"/>
  <c r="AV292" i="29"/>
  <c r="AW292" i="29"/>
  <c r="AX292" i="29"/>
  <c r="AY292" i="29"/>
  <c r="AZ292" i="29"/>
  <c r="BA292" i="29"/>
  <c r="BB292" i="29"/>
  <c r="BC292" i="29"/>
  <c r="BD292" i="29"/>
  <c r="BE292" i="29"/>
  <c r="BF292" i="29"/>
  <c r="BG292" i="29"/>
  <c r="AA293" i="29"/>
  <c r="AB293" i="29"/>
  <c r="AC293" i="29"/>
  <c r="AD293" i="29"/>
  <c r="AE293" i="29"/>
  <c r="AF293" i="29"/>
  <c r="AG293" i="29"/>
  <c r="AH293" i="29"/>
  <c r="AI293" i="29"/>
  <c r="AJ293" i="29"/>
  <c r="AK293" i="29"/>
  <c r="AL293" i="29"/>
  <c r="AM293" i="29"/>
  <c r="AN293" i="29"/>
  <c r="AO293" i="29"/>
  <c r="AP293" i="29"/>
  <c r="AQ293" i="29"/>
  <c r="AR293" i="29"/>
  <c r="AS293" i="29"/>
  <c r="AT293" i="29"/>
  <c r="AU293" i="29"/>
  <c r="AV293" i="29"/>
  <c r="AW293" i="29"/>
  <c r="AX293" i="29"/>
  <c r="AY293" i="29"/>
  <c r="AZ293" i="29"/>
  <c r="BA293" i="29"/>
  <c r="BD293" i="29"/>
  <c r="BE293" i="29"/>
  <c r="BF293" i="29"/>
  <c r="BG293" i="29"/>
  <c r="AA294" i="29"/>
  <c r="AB294" i="29"/>
  <c r="AC294" i="29"/>
  <c r="AD294" i="29"/>
  <c r="AE294" i="29"/>
  <c r="AH294" i="29"/>
  <c r="AI294" i="29"/>
  <c r="AJ294" i="29"/>
  <c r="AK294" i="29"/>
  <c r="AL294" i="29"/>
  <c r="AM294" i="29"/>
  <c r="AN294" i="29"/>
  <c r="AO294" i="29"/>
  <c r="AP294" i="29"/>
  <c r="AQ294" i="29"/>
  <c r="AR294" i="29"/>
  <c r="AS294" i="29"/>
  <c r="AT294" i="29"/>
  <c r="AU294" i="29"/>
  <c r="AV294" i="29"/>
  <c r="AW294" i="29"/>
  <c r="AX294" i="29"/>
  <c r="AY294" i="29"/>
  <c r="AZ294" i="29"/>
  <c r="BA294" i="29"/>
  <c r="BB294" i="29"/>
  <c r="BC294" i="29"/>
  <c r="BD294" i="29"/>
  <c r="BE294" i="29"/>
  <c r="BF294" i="29"/>
  <c r="BG294" i="29"/>
  <c r="AA295" i="29"/>
  <c r="AB295" i="29"/>
  <c r="AC295" i="29"/>
  <c r="AD295" i="29"/>
  <c r="AE295" i="29"/>
  <c r="AF295" i="29"/>
  <c r="AG295" i="29"/>
  <c r="AH295" i="29"/>
  <c r="AI295" i="29"/>
  <c r="AJ295" i="29"/>
  <c r="AK295" i="29"/>
  <c r="AL295" i="29"/>
  <c r="AM295" i="29"/>
  <c r="AP295" i="29"/>
  <c r="AQ295" i="29"/>
  <c r="AR295" i="29"/>
  <c r="AS295" i="29"/>
  <c r="AT295" i="29"/>
  <c r="AU295" i="29"/>
  <c r="AV295" i="29"/>
  <c r="AW295" i="29"/>
  <c r="AX295" i="29"/>
  <c r="AY295" i="29"/>
  <c r="AZ295" i="29"/>
  <c r="BA295" i="29"/>
  <c r="BB295" i="29"/>
  <c r="BC295" i="29"/>
  <c r="BD295" i="29"/>
  <c r="BE295" i="29"/>
  <c r="BF295" i="29"/>
  <c r="BG295" i="29"/>
  <c r="AA296" i="29"/>
  <c r="AB296" i="29"/>
  <c r="AC296" i="29"/>
  <c r="AD296" i="29"/>
  <c r="AE296" i="29"/>
  <c r="AF296" i="29"/>
  <c r="AG296" i="29"/>
  <c r="AH296" i="29"/>
  <c r="AI296" i="29"/>
  <c r="AJ296" i="29"/>
  <c r="AK296" i="29"/>
  <c r="AL296" i="29"/>
  <c r="AM296" i="29"/>
  <c r="AN296" i="29"/>
  <c r="AO296" i="29"/>
  <c r="AP296" i="29"/>
  <c r="AQ296" i="29"/>
  <c r="AR296" i="29"/>
  <c r="AS296" i="29"/>
  <c r="AT296" i="29"/>
  <c r="AU296" i="29"/>
  <c r="AV296" i="29"/>
  <c r="AW296" i="29"/>
  <c r="AX296" i="29"/>
  <c r="AY296" i="29"/>
  <c r="AZ296" i="29"/>
  <c r="BA296" i="29"/>
  <c r="BB296" i="29"/>
  <c r="BC296" i="29"/>
  <c r="BD296" i="29"/>
  <c r="BE296" i="29"/>
  <c r="BF296" i="29"/>
  <c r="BG296" i="29"/>
  <c r="AA297" i="29"/>
  <c r="AB297" i="29"/>
  <c r="AC297" i="29"/>
  <c r="AF297" i="29"/>
  <c r="AG297" i="29"/>
  <c r="AH297" i="29"/>
  <c r="AI297" i="29"/>
  <c r="AJ297" i="29"/>
  <c r="AK297" i="29"/>
  <c r="AL297" i="29"/>
  <c r="AM297" i="29"/>
  <c r="AN297" i="29"/>
  <c r="AO297" i="29"/>
  <c r="AP297" i="29"/>
  <c r="AQ297" i="29"/>
  <c r="AR297" i="29"/>
  <c r="AS297" i="29"/>
  <c r="AT297" i="29"/>
  <c r="AU297" i="29"/>
  <c r="AV297" i="29"/>
  <c r="AW297" i="29"/>
  <c r="AX297" i="29"/>
  <c r="AY297" i="29"/>
  <c r="AZ297" i="29"/>
  <c r="BA297" i="29"/>
  <c r="BB297" i="29"/>
  <c r="BC297" i="29"/>
  <c r="BD297" i="29"/>
  <c r="BE297" i="29"/>
  <c r="BF297" i="29"/>
  <c r="BG297" i="29"/>
  <c r="AA298" i="29"/>
  <c r="AB298" i="29"/>
  <c r="AC298" i="29"/>
  <c r="AD298" i="29"/>
  <c r="AE298" i="29"/>
  <c r="AF298" i="29"/>
  <c r="AG298" i="29"/>
  <c r="AH298" i="29"/>
  <c r="AI298" i="29"/>
  <c r="AJ298" i="29"/>
  <c r="AK298" i="29"/>
  <c r="AL298" i="29"/>
  <c r="AM298" i="29"/>
  <c r="AN298" i="29"/>
  <c r="AO298" i="29"/>
  <c r="AP298" i="29"/>
  <c r="AQ298" i="29"/>
  <c r="AR298" i="29"/>
  <c r="AS298" i="29"/>
  <c r="AT298" i="29"/>
  <c r="AU298" i="29"/>
  <c r="AV298" i="29"/>
  <c r="AW298" i="29"/>
  <c r="AX298" i="29"/>
  <c r="AY298" i="29"/>
  <c r="AZ298" i="29"/>
  <c r="BA298" i="29"/>
  <c r="BB298" i="29"/>
  <c r="BC298" i="29"/>
  <c r="BD298" i="29"/>
  <c r="BE298" i="29"/>
  <c r="BF298" i="29"/>
  <c r="BG298" i="29"/>
  <c r="AA299" i="29"/>
  <c r="AB299" i="29"/>
  <c r="AC299" i="29"/>
  <c r="AD299" i="29"/>
  <c r="AE299" i="29"/>
  <c r="AF299" i="29"/>
  <c r="AG299" i="29"/>
  <c r="AH299" i="29"/>
  <c r="AI299" i="29"/>
  <c r="AJ299" i="29"/>
  <c r="AK299" i="29"/>
  <c r="AL299" i="29"/>
  <c r="AM299" i="29"/>
  <c r="AN299" i="29"/>
  <c r="AO299" i="29"/>
  <c r="AP299" i="29"/>
  <c r="AQ299" i="29"/>
  <c r="AR299" i="29"/>
  <c r="AS299" i="29"/>
  <c r="AT299" i="29"/>
  <c r="AU299" i="29"/>
  <c r="AV299" i="29"/>
  <c r="AW299" i="29"/>
  <c r="AX299" i="29"/>
  <c r="AY299" i="29"/>
  <c r="AZ299" i="29"/>
  <c r="BA299" i="29"/>
  <c r="BD299" i="29"/>
  <c r="BE299" i="29"/>
  <c r="BF299" i="29"/>
  <c r="BG299" i="29"/>
  <c r="AA300" i="29"/>
  <c r="AB300" i="29"/>
  <c r="AC300" i="29"/>
  <c r="AD300" i="29"/>
  <c r="AE300" i="29"/>
  <c r="AF300" i="29"/>
  <c r="AG300" i="29"/>
  <c r="AH300" i="29"/>
  <c r="AI300" i="29"/>
  <c r="AJ300" i="29"/>
  <c r="AK300" i="29"/>
  <c r="AL300" i="29"/>
  <c r="AM300" i="29"/>
  <c r="AN300" i="29"/>
  <c r="AO300" i="29"/>
  <c r="AP300" i="29"/>
  <c r="AQ300" i="29"/>
  <c r="AR300" i="29"/>
  <c r="AS300" i="29"/>
  <c r="AT300" i="29"/>
  <c r="AU300" i="29"/>
  <c r="AX300" i="29"/>
  <c r="AY300" i="29"/>
  <c r="AZ300" i="29"/>
  <c r="BA300" i="29"/>
  <c r="BB300" i="29"/>
  <c r="BC300" i="29"/>
  <c r="BD300" i="29"/>
  <c r="BE300" i="29"/>
  <c r="BF300" i="29"/>
  <c r="BG300" i="29"/>
  <c r="AA301" i="29"/>
  <c r="AB301" i="29"/>
  <c r="AC301" i="29"/>
  <c r="AD301" i="29"/>
  <c r="AE301" i="29"/>
  <c r="AF301" i="29"/>
  <c r="AG301" i="29"/>
  <c r="AH301" i="29"/>
  <c r="AI301" i="29"/>
  <c r="AJ301" i="29"/>
  <c r="AK301" i="29"/>
  <c r="AL301" i="29"/>
  <c r="AM301" i="29"/>
  <c r="AN301" i="29"/>
  <c r="AO301" i="29"/>
  <c r="AP301" i="29"/>
  <c r="AQ301" i="29"/>
  <c r="AT301" i="29"/>
  <c r="AU301" i="29"/>
  <c r="AV301" i="29"/>
  <c r="AW301" i="29"/>
  <c r="AX301" i="29"/>
  <c r="AY301" i="29"/>
  <c r="AZ301" i="29"/>
  <c r="BA301" i="29"/>
  <c r="BB301" i="29"/>
  <c r="BC301" i="29"/>
  <c r="BD301" i="29"/>
  <c r="BE301" i="29"/>
  <c r="BF301" i="29"/>
  <c r="BG301" i="29"/>
  <c r="AA302" i="29"/>
  <c r="AB302" i="29"/>
  <c r="AC302" i="29"/>
  <c r="AD302" i="29"/>
  <c r="AE302" i="29"/>
  <c r="AF302" i="29"/>
  <c r="AG302" i="29"/>
  <c r="AH302" i="29"/>
  <c r="AI302" i="29"/>
  <c r="AJ302" i="29"/>
  <c r="AK302" i="29"/>
  <c r="AL302" i="29"/>
  <c r="AM302" i="29"/>
  <c r="AN302" i="29"/>
  <c r="AO302" i="29"/>
  <c r="AP302" i="29"/>
  <c r="AQ302" i="29"/>
  <c r="AR302" i="29"/>
  <c r="AS302" i="29"/>
  <c r="AT302" i="29"/>
  <c r="AU302" i="29"/>
  <c r="AV302" i="29"/>
  <c r="AW302" i="29"/>
  <c r="AX302" i="29"/>
  <c r="AY302" i="29"/>
  <c r="AZ302" i="29"/>
  <c r="BA302" i="29"/>
  <c r="BB302" i="29"/>
  <c r="BC302" i="29"/>
  <c r="BD302" i="29"/>
  <c r="BE302" i="29"/>
  <c r="BF302" i="29"/>
  <c r="BG302" i="29"/>
  <c r="AA304" i="29"/>
  <c r="AB304" i="29"/>
  <c r="AC304" i="29"/>
  <c r="AD304" i="29"/>
  <c r="AE304" i="29"/>
  <c r="AF304" i="29"/>
  <c r="AG304" i="29"/>
  <c r="AH304" i="29"/>
  <c r="AI304" i="29"/>
  <c r="AJ304" i="29"/>
  <c r="AK304" i="29"/>
  <c r="AL304" i="29"/>
  <c r="AM304" i="29"/>
  <c r="AN304" i="29"/>
  <c r="AO304" i="29"/>
  <c r="AP304" i="29"/>
  <c r="AQ304" i="29"/>
  <c r="AR304" i="29"/>
  <c r="AS304" i="29"/>
  <c r="AT304" i="29"/>
  <c r="AU304" i="29"/>
  <c r="AV304" i="29"/>
  <c r="AW304" i="29"/>
  <c r="AX304" i="29"/>
  <c r="AY304" i="29"/>
  <c r="AZ304" i="29"/>
  <c r="BA304" i="29"/>
  <c r="BB304" i="29"/>
  <c r="BC304" i="29"/>
  <c r="BD304" i="29"/>
  <c r="BE304" i="29"/>
  <c r="BF304" i="29"/>
  <c r="BG304" i="29"/>
  <c r="AA305" i="29"/>
  <c r="AB305" i="29"/>
  <c r="AC305" i="29"/>
  <c r="AD305" i="29"/>
  <c r="AE305" i="29"/>
  <c r="AF305" i="29"/>
  <c r="AG305" i="29"/>
  <c r="AH305" i="29"/>
  <c r="AI305" i="29"/>
  <c r="AJ305" i="29"/>
  <c r="AK305" i="29"/>
  <c r="AL305" i="29"/>
  <c r="AM305" i="29"/>
  <c r="AN305" i="29"/>
  <c r="AO305" i="29"/>
  <c r="AP305" i="29"/>
  <c r="AQ305" i="29"/>
  <c r="AR305" i="29"/>
  <c r="AS305" i="29"/>
  <c r="AT305" i="29"/>
  <c r="AU305" i="29"/>
  <c r="AX305" i="29"/>
  <c r="AY305" i="29"/>
  <c r="AZ305" i="29"/>
  <c r="BA305" i="29"/>
  <c r="BB305" i="29"/>
  <c r="BC305" i="29"/>
  <c r="BD305" i="29"/>
  <c r="BE305" i="29"/>
  <c r="BF305" i="29"/>
  <c r="BG305" i="29"/>
  <c r="AA306" i="29"/>
  <c r="AB306" i="29"/>
  <c r="AC306" i="29"/>
  <c r="AD306" i="29"/>
  <c r="AE306" i="29"/>
  <c r="AF306" i="29"/>
  <c r="AG306" i="29"/>
  <c r="AH306" i="29"/>
  <c r="AI306" i="29"/>
  <c r="AJ306" i="29"/>
  <c r="AK306" i="29"/>
  <c r="AL306" i="29"/>
  <c r="AM306" i="29"/>
  <c r="AN306" i="29"/>
  <c r="AO306" i="29"/>
  <c r="AP306" i="29"/>
  <c r="AQ306" i="29"/>
  <c r="AR306" i="29"/>
  <c r="AS306" i="29"/>
  <c r="AT306" i="29"/>
  <c r="AU306" i="29"/>
  <c r="AV306" i="29"/>
  <c r="AW306" i="29"/>
  <c r="AX306" i="29"/>
  <c r="AY306" i="29"/>
  <c r="AZ306" i="29"/>
  <c r="BA306" i="29"/>
  <c r="BB306" i="29"/>
  <c r="BC306" i="29"/>
  <c r="BD306" i="29"/>
  <c r="BE306" i="29"/>
  <c r="BF306" i="29"/>
  <c r="BG306" i="29"/>
  <c r="AA307" i="29"/>
  <c r="AB307" i="29"/>
  <c r="AC307" i="29"/>
  <c r="AD307" i="29"/>
  <c r="AE307" i="29"/>
  <c r="AF307" i="29"/>
  <c r="AG307" i="29"/>
  <c r="AJ307" i="29"/>
  <c r="AK307" i="29"/>
  <c r="AL307" i="29"/>
  <c r="AM307" i="29"/>
  <c r="AN307" i="29"/>
  <c r="AO307" i="29"/>
  <c r="AP307" i="29"/>
  <c r="AQ307" i="29"/>
  <c r="AR307" i="29"/>
  <c r="AS307" i="29"/>
  <c r="AT307" i="29"/>
  <c r="AU307" i="29"/>
  <c r="AV307" i="29"/>
  <c r="AW307" i="29"/>
  <c r="AX307" i="29"/>
  <c r="AY307" i="29"/>
  <c r="AZ307" i="29"/>
  <c r="BA307" i="29"/>
  <c r="BB307" i="29"/>
  <c r="BC307" i="29"/>
  <c r="BD307" i="29"/>
  <c r="BE307" i="29"/>
  <c r="BF307" i="29"/>
  <c r="BG307" i="29"/>
  <c r="AA308" i="29"/>
  <c r="AB308" i="29"/>
  <c r="AC308" i="29"/>
  <c r="AD308" i="29"/>
  <c r="AE308" i="29"/>
  <c r="AF308" i="29"/>
  <c r="AG308" i="29"/>
  <c r="AH308" i="29"/>
  <c r="AI308" i="29"/>
  <c r="AJ308" i="29"/>
  <c r="AK308" i="29"/>
  <c r="AL308" i="29"/>
  <c r="AM308" i="29"/>
  <c r="AP308" i="29"/>
  <c r="AQ308" i="29"/>
  <c r="AR308" i="29"/>
  <c r="AS308" i="29"/>
  <c r="AT308" i="29"/>
  <c r="AU308" i="29"/>
  <c r="AV308" i="29"/>
  <c r="AW308" i="29"/>
  <c r="AX308" i="29"/>
  <c r="AY308" i="29"/>
  <c r="AZ308" i="29"/>
  <c r="BA308" i="29"/>
  <c r="BB308" i="29"/>
  <c r="BC308" i="29"/>
  <c r="BD308" i="29"/>
  <c r="BE308" i="29"/>
  <c r="BF308" i="29"/>
  <c r="BG308" i="29"/>
  <c r="AA310" i="29"/>
  <c r="AB310" i="29"/>
  <c r="AC310" i="29"/>
  <c r="AD310" i="29"/>
  <c r="AE310" i="29"/>
  <c r="AF310" i="29"/>
  <c r="AG310" i="29"/>
  <c r="AH310" i="29"/>
  <c r="AI310" i="29"/>
  <c r="AJ310" i="29"/>
  <c r="AK310" i="29"/>
  <c r="AL310" i="29"/>
  <c r="AM310" i="29"/>
  <c r="AN310" i="29"/>
  <c r="AO310" i="29"/>
  <c r="AP310" i="29"/>
  <c r="AQ310" i="29"/>
  <c r="AR310" i="29"/>
  <c r="AS310" i="29"/>
  <c r="AT310" i="29"/>
  <c r="AU310" i="29"/>
  <c r="AV310" i="29"/>
  <c r="AW310" i="29"/>
  <c r="AX310" i="29"/>
  <c r="AY310" i="29"/>
  <c r="AZ310" i="29"/>
  <c r="BA310" i="29"/>
  <c r="BB310" i="29"/>
  <c r="BC310" i="29"/>
  <c r="BD310" i="29"/>
  <c r="BE310" i="29"/>
  <c r="BF310" i="29"/>
  <c r="BG310" i="29"/>
  <c r="AA311" i="29"/>
  <c r="AB311" i="29"/>
  <c r="AC311" i="29"/>
  <c r="AD311" i="29"/>
  <c r="AE311" i="29"/>
  <c r="AF311" i="29"/>
  <c r="AG311" i="29"/>
  <c r="AH311" i="29"/>
  <c r="AI311" i="29"/>
  <c r="AJ311" i="29"/>
  <c r="AK311" i="29"/>
  <c r="AL311" i="29"/>
  <c r="AM311" i="29"/>
  <c r="AN311" i="29"/>
  <c r="AO311" i="29"/>
  <c r="AP311" i="29"/>
  <c r="AQ311" i="29"/>
  <c r="AR311" i="29"/>
  <c r="AS311" i="29"/>
  <c r="AT311" i="29"/>
  <c r="AU311" i="29"/>
  <c r="AV311" i="29"/>
  <c r="AW311" i="29"/>
  <c r="AX311" i="29"/>
  <c r="AY311" i="29"/>
  <c r="AZ311" i="29"/>
  <c r="BA311" i="29"/>
  <c r="BB311" i="29"/>
  <c r="BC311" i="29"/>
  <c r="BD311" i="29"/>
  <c r="BE311" i="29"/>
  <c r="BF311" i="29"/>
  <c r="BG311" i="29"/>
  <c r="AA312" i="29"/>
  <c r="AB312" i="29"/>
  <c r="AC312" i="29"/>
  <c r="AD312" i="29"/>
  <c r="AE312" i="29"/>
  <c r="AF312" i="29"/>
  <c r="AG312" i="29"/>
  <c r="AH312" i="29"/>
  <c r="AI312" i="29"/>
  <c r="AL312" i="29"/>
  <c r="AM312" i="29"/>
  <c r="AN312" i="29"/>
  <c r="AO312" i="29"/>
  <c r="AP312" i="29"/>
  <c r="AQ312" i="29"/>
  <c r="AR312" i="29"/>
  <c r="AS312" i="29"/>
  <c r="AT312" i="29"/>
  <c r="AU312" i="29"/>
  <c r="AV312" i="29"/>
  <c r="AW312" i="29"/>
  <c r="AX312" i="29"/>
  <c r="AY312" i="29"/>
  <c r="AZ312" i="29"/>
  <c r="BA312" i="29"/>
  <c r="BB312" i="29"/>
  <c r="BC312" i="29"/>
  <c r="BD312" i="29"/>
  <c r="BE312" i="29"/>
  <c r="BF312" i="29"/>
  <c r="BG312" i="29"/>
  <c r="AA313" i="29"/>
  <c r="AB313" i="29"/>
  <c r="AC313" i="29"/>
  <c r="AD313" i="29"/>
  <c r="AE313" i="29"/>
  <c r="AF313" i="29"/>
  <c r="AG313" i="29"/>
  <c r="AH313" i="29"/>
  <c r="AI313" i="29"/>
  <c r="AJ313" i="29"/>
  <c r="AK313" i="29"/>
  <c r="AL313" i="29"/>
  <c r="AM313" i="29"/>
  <c r="AN313" i="29"/>
  <c r="AO313" i="29"/>
  <c r="AP313" i="29"/>
  <c r="AQ313" i="29"/>
  <c r="AR313" i="29"/>
  <c r="AS313" i="29"/>
  <c r="AT313" i="29"/>
  <c r="AU313" i="29"/>
  <c r="AV313" i="29"/>
  <c r="AW313" i="29"/>
  <c r="AX313" i="29"/>
  <c r="AY313" i="29"/>
  <c r="AZ313" i="29"/>
  <c r="BA313" i="29"/>
  <c r="BB313" i="29"/>
  <c r="BC313" i="29"/>
  <c r="BD313" i="29"/>
  <c r="BE313" i="29"/>
  <c r="BF313" i="29"/>
  <c r="BG313" i="29"/>
  <c r="AA314" i="29"/>
  <c r="AB314" i="29"/>
  <c r="AC314" i="29"/>
  <c r="AD314" i="29"/>
  <c r="AE314" i="29"/>
  <c r="AF314" i="29"/>
  <c r="AG314" i="29"/>
  <c r="AH314" i="29"/>
  <c r="AI314" i="29"/>
  <c r="AJ314" i="29"/>
  <c r="AK314" i="29"/>
  <c r="AL314" i="29"/>
  <c r="AM314" i="29"/>
  <c r="AN314" i="29"/>
  <c r="AO314" i="29"/>
  <c r="AP314" i="29"/>
  <c r="AQ314" i="29"/>
  <c r="AR314" i="29"/>
  <c r="AS314" i="29"/>
  <c r="AT314" i="29"/>
  <c r="AU314" i="29"/>
  <c r="AV314" i="29"/>
  <c r="AW314" i="29"/>
  <c r="AX314" i="29"/>
  <c r="AY314" i="29"/>
  <c r="AZ314" i="29"/>
  <c r="BA314" i="29"/>
  <c r="BD314" i="29"/>
  <c r="BE314" i="29"/>
  <c r="BF314" i="29"/>
  <c r="BG314" i="29"/>
  <c r="AA315" i="29"/>
  <c r="AB315" i="29"/>
  <c r="AC315" i="29"/>
  <c r="AD315" i="29"/>
  <c r="AE315" i="29"/>
  <c r="AH315" i="29"/>
  <c r="AI315" i="29"/>
  <c r="AJ315" i="29"/>
  <c r="AK315" i="29"/>
  <c r="AL315" i="29"/>
  <c r="AM315" i="29"/>
  <c r="AN315" i="29"/>
  <c r="AO315" i="29"/>
  <c r="AP315" i="29"/>
  <c r="AQ315" i="29"/>
  <c r="AR315" i="29"/>
  <c r="AS315" i="29"/>
  <c r="AT315" i="29"/>
  <c r="AU315" i="29"/>
  <c r="AV315" i="29"/>
  <c r="AW315" i="29"/>
  <c r="AX315" i="29"/>
  <c r="AY315" i="29"/>
  <c r="AZ315" i="29"/>
  <c r="BA315" i="29"/>
  <c r="BB315" i="29"/>
  <c r="BC315" i="29"/>
  <c r="BD315" i="29"/>
  <c r="BE315" i="29"/>
  <c r="BF315" i="29"/>
  <c r="BG315" i="29"/>
  <c r="AA316" i="29"/>
  <c r="AB316" i="29"/>
  <c r="AC316" i="29"/>
  <c r="AD316" i="29"/>
  <c r="AE316" i="29"/>
  <c r="AF316" i="29"/>
  <c r="AG316" i="29"/>
  <c r="AH316" i="29"/>
  <c r="AI316" i="29"/>
  <c r="AJ316" i="29"/>
  <c r="AK316" i="29"/>
  <c r="AL316" i="29"/>
  <c r="AM316" i="29"/>
  <c r="AN316" i="29"/>
  <c r="AO316" i="29"/>
  <c r="AP316" i="29"/>
  <c r="AQ316" i="29"/>
  <c r="AR316" i="29"/>
  <c r="AS316" i="29"/>
  <c r="AT316" i="29"/>
  <c r="AU316" i="29"/>
  <c r="AX316" i="29"/>
  <c r="AY316" i="29"/>
  <c r="AZ316" i="29"/>
  <c r="BA316" i="29"/>
  <c r="BB316" i="29"/>
  <c r="BC316" i="29"/>
  <c r="BD316" i="29"/>
  <c r="BE316" i="29"/>
  <c r="BF316" i="29"/>
  <c r="BG316" i="29"/>
  <c r="AA317" i="29"/>
  <c r="AB317" i="29"/>
  <c r="AC317" i="29"/>
  <c r="AF317" i="29"/>
  <c r="AG317" i="29"/>
  <c r="AH317" i="29"/>
  <c r="AI317" i="29"/>
  <c r="AJ317" i="29"/>
  <c r="AK317" i="29"/>
  <c r="AL317" i="29"/>
  <c r="AM317" i="29"/>
  <c r="AN317" i="29"/>
  <c r="AO317" i="29"/>
  <c r="AP317" i="29"/>
  <c r="AQ317" i="29"/>
  <c r="AR317" i="29"/>
  <c r="AS317" i="29"/>
  <c r="AT317" i="29"/>
  <c r="AU317" i="29"/>
  <c r="AV317" i="29"/>
  <c r="AW317" i="29"/>
  <c r="AX317" i="29"/>
  <c r="AY317" i="29"/>
  <c r="AZ317" i="29"/>
  <c r="BA317" i="29"/>
  <c r="BB317" i="29"/>
  <c r="BC317" i="29"/>
  <c r="BD317" i="29"/>
  <c r="BE317" i="29"/>
  <c r="BF317" i="29"/>
  <c r="BG317" i="29"/>
  <c r="AA318" i="29"/>
  <c r="AB318" i="29"/>
  <c r="AC318" i="29"/>
  <c r="AD318" i="29"/>
  <c r="AE318" i="29"/>
  <c r="AF318" i="29"/>
  <c r="AG318" i="29"/>
  <c r="AH318" i="29"/>
  <c r="AI318" i="29"/>
  <c r="AJ318" i="29"/>
  <c r="AK318" i="29"/>
  <c r="AL318" i="29"/>
  <c r="AM318" i="29"/>
  <c r="AP318" i="29"/>
  <c r="AQ318" i="29"/>
  <c r="AR318" i="29"/>
  <c r="AS318" i="29"/>
  <c r="AT318" i="29"/>
  <c r="AU318" i="29"/>
  <c r="AV318" i="29"/>
  <c r="AW318" i="29"/>
  <c r="AX318" i="29"/>
  <c r="AY318" i="29"/>
  <c r="AZ318" i="29"/>
  <c r="BA318" i="29"/>
  <c r="BB318" i="29"/>
  <c r="BC318" i="29"/>
  <c r="BD318" i="29"/>
  <c r="BE318" i="29"/>
  <c r="BF318" i="29"/>
  <c r="BG318" i="29"/>
  <c r="AA320" i="29"/>
  <c r="AB320" i="29"/>
  <c r="AC320" i="29"/>
  <c r="AD320" i="29"/>
  <c r="AE320" i="29"/>
  <c r="AF320" i="29"/>
  <c r="AG320" i="29"/>
  <c r="AH320" i="29"/>
  <c r="AI320" i="29"/>
  <c r="AJ320" i="29"/>
  <c r="AK320" i="29"/>
  <c r="AL320" i="29"/>
  <c r="AM320" i="29"/>
  <c r="AN320" i="29"/>
  <c r="AO320" i="29"/>
  <c r="AP320" i="29"/>
  <c r="AQ320" i="29"/>
  <c r="AR320" i="29"/>
  <c r="AS320" i="29"/>
  <c r="AT320" i="29"/>
  <c r="AU320" i="29"/>
  <c r="AV320" i="29"/>
  <c r="AW320" i="29"/>
  <c r="AX320" i="29"/>
  <c r="AY320" i="29"/>
  <c r="AZ320" i="29"/>
  <c r="BA320" i="29"/>
  <c r="BB320" i="29"/>
  <c r="BC320" i="29"/>
  <c r="BD320" i="29"/>
  <c r="BE320" i="29"/>
  <c r="BF320" i="29"/>
  <c r="BG320" i="29"/>
  <c r="AA323" i="29"/>
  <c r="AB323" i="29"/>
  <c r="AC323" i="29"/>
  <c r="AD323" i="29"/>
  <c r="AE323" i="29"/>
  <c r="AF323" i="29"/>
  <c r="AG323" i="29"/>
  <c r="AH323" i="29"/>
  <c r="AI323" i="29"/>
  <c r="AJ323" i="29"/>
  <c r="AK323" i="29"/>
  <c r="AL323" i="29"/>
  <c r="AM323" i="29"/>
  <c r="AN323" i="29"/>
  <c r="AO323" i="29"/>
  <c r="AP323" i="29"/>
  <c r="AQ323" i="29"/>
  <c r="AR323" i="29"/>
  <c r="AS323" i="29"/>
  <c r="AT323" i="29"/>
  <c r="AU323" i="29"/>
  <c r="AV323" i="29"/>
  <c r="AW323" i="29"/>
  <c r="AX323" i="29"/>
  <c r="AY323" i="29"/>
  <c r="AZ323" i="29"/>
  <c r="BA323" i="29"/>
  <c r="BB323" i="29"/>
  <c r="BC323" i="29"/>
  <c r="BD323" i="29"/>
  <c r="BE323" i="29"/>
  <c r="BF323" i="29"/>
  <c r="BG323" i="29"/>
  <c r="AA325" i="29"/>
  <c r="AB325" i="29"/>
  <c r="AC325" i="29"/>
  <c r="AD325" i="29"/>
  <c r="AE325" i="29"/>
  <c r="AF325" i="29"/>
  <c r="AG325" i="29"/>
  <c r="AH325" i="29"/>
  <c r="AI325" i="29"/>
  <c r="AJ325" i="29"/>
  <c r="AK325" i="29"/>
  <c r="AL325" i="29"/>
  <c r="AM325" i="29"/>
  <c r="AN325" i="29"/>
  <c r="AO325" i="29"/>
  <c r="AP325" i="29"/>
  <c r="AQ325" i="29"/>
  <c r="AR325" i="29"/>
  <c r="AS325" i="29"/>
  <c r="AT325" i="29"/>
  <c r="AU325" i="29"/>
  <c r="AV325" i="29"/>
  <c r="AW325" i="29"/>
  <c r="AX325" i="29"/>
  <c r="AY325" i="29"/>
  <c r="AZ325" i="29"/>
  <c r="BA325" i="29"/>
  <c r="BB325" i="29"/>
  <c r="BC325" i="29"/>
  <c r="BD325" i="29"/>
  <c r="BE325" i="29"/>
  <c r="BF325" i="29"/>
  <c r="BG325" i="29"/>
  <c r="AA326" i="29"/>
  <c r="AB326" i="29"/>
  <c r="AC326" i="29"/>
  <c r="AD326" i="29"/>
  <c r="AE326" i="29"/>
  <c r="AF326" i="29"/>
  <c r="AG326" i="29"/>
  <c r="AH326" i="29"/>
  <c r="AI326" i="29"/>
  <c r="AJ326" i="29"/>
  <c r="AK326" i="29"/>
  <c r="AL326" i="29"/>
  <c r="AM326" i="29"/>
  <c r="AN326" i="29"/>
  <c r="AO326" i="29"/>
  <c r="AP326" i="29"/>
  <c r="AQ326" i="29"/>
  <c r="AR326" i="29"/>
  <c r="AS326" i="29"/>
  <c r="AT326" i="29"/>
  <c r="AU326" i="29"/>
  <c r="AV326" i="29"/>
  <c r="AW326" i="29"/>
  <c r="AX326" i="29"/>
  <c r="AY326" i="29"/>
  <c r="AZ326" i="29"/>
  <c r="BA326" i="29"/>
  <c r="BB326" i="29"/>
  <c r="BC326" i="29"/>
  <c r="BD326" i="29"/>
  <c r="BE326" i="29"/>
  <c r="BF326" i="29"/>
  <c r="BG326" i="29"/>
  <c r="AA328" i="29"/>
  <c r="AB328" i="29"/>
  <c r="AC328" i="29"/>
  <c r="AD328" i="29"/>
  <c r="AE328" i="29"/>
  <c r="AF328" i="29"/>
  <c r="AG328" i="29"/>
  <c r="AH328" i="29"/>
  <c r="AI328" i="29"/>
  <c r="AJ328" i="29"/>
  <c r="AK328" i="29"/>
  <c r="AL328" i="29"/>
  <c r="AM328" i="29"/>
  <c r="AN328" i="29"/>
  <c r="AO328" i="29"/>
  <c r="AP328" i="29"/>
  <c r="AQ328" i="29"/>
  <c r="AR328" i="29"/>
  <c r="AS328" i="29"/>
  <c r="AT328" i="29"/>
  <c r="AU328" i="29"/>
  <c r="AV328" i="29"/>
  <c r="AW328" i="29"/>
  <c r="AX328" i="29"/>
  <c r="AY328" i="29"/>
  <c r="AZ328" i="29"/>
  <c r="BA328" i="29"/>
  <c r="BB328" i="29"/>
  <c r="BC328" i="29"/>
  <c r="BD328" i="29"/>
  <c r="BE328" i="29"/>
  <c r="BF328" i="29"/>
  <c r="BG328" i="29"/>
  <c r="AA329" i="29"/>
  <c r="AB329" i="29"/>
  <c r="AC329" i="29"/>
  <c r="AD329" i="29"/>
  <c r="AE329" i="29"/>
  <c r="AF329" i="29"/>
  <c r="AG329" i="29"/>
  <c r="AH329" i="29"/>
  <c r="AI329" i="29"/>
  <c r="AJ329" i="29"/>
  <c r="AK329" i="29"/>
  <c r="AL329" i="29"/>
  <c r="AM329" i="29"/>
  <c r="AN329" i="29"/>
  <c r="AO329" i="29"/>
  <c r="AP329" i="29"/>
  <c r="AQ329" i="29"/>
  <c r="AR329" i="29"/>
  <c r="AS329" i="29"/>
  <c r="AT329" i="29"/>
  <c r="AU329" i="29"/>
  <c r="AV329" i="29"/>
  <c r="AW329" i="29"/>
  <c r="AX329" i="29"/>
  <c r="AY329" i="29"/>
  <c r="AZ329" i="29"/>
  <c r="BA329" i="29"/>
  <c r="BB329" i="29"/>
  <c r="BC329" i="29"/>
  <c r="BD329" i="29"/>
  <c r="BE329" i="29"/>
  <c r="BF329" i="29"/>
  <c r="BG329" i="29"/>
  <c r="AA330" i="29"/>
  <c r="AD330" i="29"/>
  <c r="AE330" i="29"/>
  <c r="AF330" i="29"/>
  <c r="AG330" i="29"/>
  <c r="AH330" i="29"/>
  <c r="AI330" i="29"/>
  <c r="AJ330" i="29"/>
  <c r="AK330" i="29"/>
  <c r="AL330" i="29"/>
  <c r="AM330" i="29"/>
  <c r="AN330" i="29"/>
  <c r="AO330" i="29"/>
  <c r="AP330" i="29"/>
  <c r="AQ330" i="29"/>
  <c r="AR330" i="29"/>
  <c r="AS330" i="29"/>
  <c r="AT330" i="29"/>
  <c r="AU330" i="29"/>
  <c r="AV330" i="29"/>
  <c r="AW330" i="29"/>
  <c r="AX330" i="29"/>
  <c r="AY330" i="29"/>
  <c r="AZ330" i="29"/>
  <c r="BA330" i="29"/>
  <c r="BB330" i="29"/>
  <c r="BC330" i="29"/>
  <c r="BD330" i="29"/>
  <c r="BE330" i="29"/>
  <c r="BF330" i="29"/>
  <c r="BG330" i="29"/>
  <c r="AA331" i="29"/>
  <c r="AB331" i="29"/>
  <c r="AC331" i="29"/>
  <c r="AD331" i="29"/>
  <c r="AE331" i="29"/>
  <c r="AF331" i="29"/>
  <c r="AG331" i="29"/>
  <c r="AH331" i="29"/>
  <c r="AI331" i="29"/>
  <c r="AJ331" i="29"/>
  <c r="AK331" i="29"/>
  <c r="AL331" i="29"/>
  <c r="AM331" i="29"/>
  <c r="AN331" i="29"/>
  <c r="AO331" i="29"/>
  <c r="AP331" i="29"/>
  <c r="AQ331" i="29"/>
  <c r="AR331" i="29"/>
  <c r="AS331" i="29"/>
  <c r="AT331" i="29"/>
  <c r="AU331" i="29"/>
  <c r="AV331" i="29"/>
  <c r="AW331" i="29"/>
  <c r="AX331" i="29"/>
  <c r="AY331" i="29"/>
  <c r="AZ331" i="29"/>
  <c r="BA331" i="29"/>
  <c r="BB331" i="29"/>
  <c r="BC331" i="29"/>
  <c r="BD331" i="29"/>
  <c r="BE331" i="29"/>
  <c r="BF331" i="29"/>
  <c r="BG331" i="29"/>
  <c r="AA332" i="29"/>
  <c r="AB332" i="29"/>
  <c r="AC332" i="29"/>
  <c r="AD332" i="29"/>
  <c r="AE332" i="29"/>
  <c r="AF332" i="29"/>
  <c r="AG332" i="29"/>
  <c r="AH332" i="29"/>
  <c r="AI332" i="29"/>
  <c r="AJ332" i="29"/>
  <c r="AK332" i="29"/>
  <c r="AL332" i="29"/>
  <c r="AM332" i="29"/>
  <c r="AN332" i="29"/>
  <c r="AO332" i="29"/>
  <c r="AP332" i="29"/>
  <c r="AQ332" i="29"/>
  <c r="AR332" i="29"/>
  <c r="AS332" i="29"/>
  <c r="AT332" i="29"/>
  <c r="AU332" i="29"/>
  <c r="AV332" i="29"/>
  <c r="AW332" i="29"/>
  <c r="AX332" i="29"/>
  <c r="AY332" i="29"/>
  <c r="AZ332" i="29"/>
  <c r="BA332" i="29"/>
  <c r="BB332" i="29"/>
  <c r="BC332" i="29"/>
  <c r="BD332" i="29"/>
  <c r="BE332" i="29"/>
  <c r="BF332" i="29"/>
  <c r="BG332" i="29"/>
  <c r="AA333" i="29"/>
  <c r="AB333" i="29"/>
  <c r="AC333" i="29"/>
  <c r="AD333" i="29"/>
  <c r="AE333" i="29"/>
  <c r="AF333" i="29"/>
  <c r="AG333" i="29"/>
  <c r="AH333" i="29"/>
  <c r="AI333" i="29"/>
  <c r="AJ333" i="29"/>
  <c r="AK333" i="29"/>
  <c r="AL333" i="29"/>
  <c r="AM333" i="29"/>
  <c r="AN333" i="29"/>
  <c r="AO333" i="29"/>
  <c r="AP333" i="29"/>
  <c r="AQ333" i="29"/>
  <c r="AR333" i="29"/>
  <c r="AS333" i="29"/>
  <c r="AT333" i="29"/>
  <c r="AU333" i="29"/>
  <c r="AV333" i="29"/>
  <c r="AW333" i="29"/>
  <c r="AX333" i="29"/>
  <c r="AY333" i="29"/>
  <c r="AZ333" i="29"/>
  <c r="BA333" i="29"/>
  <c r="BB333" i="29"/>
  <c r="BC333" i="29"/>
  <c r="BD333" i="29"/>
  <c r="BE333" i="29"/>
  <c r="BF333" i="29"/>
  <c r="BG333" i="29"/>
  <c r="AA334" i="29"/>
  <c r="AB334" i="29"/>
  <c r="AC334" i="29"/>
  <c r="AF334" i="29"/>
  <c r="AG334" i="29"/>
  <c r="AH334" i="29"/>
  <c r="AI334" i="29"/>
  <c r="AJ334" i="29"/>
  <c r="AK334" i="29"/>
  <c r="AL334" i="29"/>
  <c r="AM334" i="29"/>
  <c r="AN334" i="29"/>
  <c r="AO334" i="29"/>
  <c r="AP334" i="29"/>
  <c r="AQ334" i="29"/>
  <c r="AR334" i="29"/>
  <c r="AS334" i="29"/>
  <c r="AT334" i="29"/>
  <c r="AU334" i="29"/>
  <c r="AV334" i="29"/>
  <c r="AW334" i="29"/>
  <c r="AX334" i="29"/>
  <c r="AY334" i="29"/>
  <c r="AZ334" i="29"/>
  <c r="BA334" i="29"/>
  <c r="BB334" i="29"/>
  <c r="BC334" i="29"/>
  <c r="BD334" i="29"/>
  <c r="BE334" i="29"/>
  <c r="BF334" i="29"/>
  <c r="BG334" i="29"/>
  <c r="AA335" i="29"/>
  <c r="AB335" i="29"/>
  <c r="AC335" i="29"/>
  <c r="AD335" i="29"/>
  <c r="AE335" i="29"/>
  <c r="AF335" i="29"/>
  <c r="AG335" i="29"/>
  <c r="AH335" i="29"/>
  <c r="AI335" i="29"/>
  <c r="AJ335" i="29"/>
  <c r="AK335" i="29"/>
  <c r="AN335" i="29"/>
  <c r="AO335" i="29"/>
  <c r="AP335" i="29"/>
  <c r="AQ335" i="29"/>
  <c r="AR335" i="29"/>
  <c r="AS335" i="29"/>
  <c r="AT335" i="29"/>
  <c r="AU335" i="29"/>
  <c r="AV335" i="29"/>
  <c r="AW335" i="29"/>
  <c r="AX335" i="29"/>
  <c r="AY335" i="29"/>
  <c r="AZ335" i="29"/>
  <c r="BA335" i="29"/>
  <c r="BB335" i="29"/>
  <c r="BC335" i="29"/>
  <c r="BD335" i="29"/>
  <c r="BE335" i="29"/>
  <c r="BF335" i="29"/>
  <c r="BG335" i="29"/>
  <c r="AA336" i="29"/>
  <c r="AB336" i="29"/>
  <c r="AC336" i="29"/>
  <c r="AD336" i="29"/>
  <c r="AE336" i="29"/>
  <c r="AF336" i="29"/>
  <c r="AG336" i="29"/>
  <c r="AH336" i="29"/>
  <c r="AI336" i="29"/>
  <c r="AJ336" i="29"/>
  <c r="AK336" i="29"/>
  <c r="AL336" i="29"/>
  <c r="AM336" i="29"/>
  <c r="AN336" i="29"/>
  <c r="AO336" i="29"/>
  <c r="AP336" i="29"/>
  <c r="AQ336" i="29"/>
  <c r="AT336" i="29"/>
  <c r="AU336" i="29"/>
  <c r="AV336" i="29"/>
  <c r="AW336" i="29"/>
  <c r="AX336" i="29"/>
  <c r="AY336" i="29"/>
  <c r="AZ336" i="29"/>
  <c r="BA336" i="29"/>
  <c r="BB336" i="29"/>
  <c r="BC336" i="29"/>
  <c r="BD336" i="29"/>
  <c r="BE336" i="29"/>
  <c r="BF336" i="29"/>
  <c r="BG336" i="29"/>
  <c r="AA337" i="29"/>
  <c r="AB337" i="29"/>
  <c r="AC337" i="29"/>
  <c r="AD337" i="29"/>
  <c r="AE337" i="29"/>
  <c r="AF337" i="29"/>
  <c r="AG337" i="29"/>
  <c r="AH337" i="29"/>
  <c r="AI337" i="29"/>
  <c r="AJ337" i="29"/>
  <c r="AK337" i="29"/>
  <c r="AL337" i="29"/>
  <c r="AM337" i="29"/>
  <c r="AP337" i="29"/>
  <c r="AQ337" i="29"/>
  <c r="AR337" i="29"/>
  <c r="AS337" i="29"/>
  <c r="AT337" i="29"/>
  <c r="AU337" i="29"/>
  <c r="AV337" i="29"/>
  <c r="AW337" i="29"/>
  <c r="AX337" i="29"/>
  <c r="AY337" i="29"/>
  <c r="AZ337" i="29"/>
  <c r="BA337" i="29"/>
  <c r="BB337" i="29"/>
  <c r="BC337" i="29"/>
  <c r="BD337" i="29"/>
  <c r="BE337" i="29"/>
  <c r="BF337" i="29"/>
  <c r="BG337" i="29"/>
  <c r="AA338" i="29"/>
  <c r="AB338" i="29"/>
  <c r="AC338" i="29"/>
  <c r="AD338" i="29"/>
  <c r="AE338" i="29"/>
  <c r="AF338" i="29"/>
  <c r="AG338" i="29"/>
  <c r="AH338" i="29"/>
  <c r="AI338" i="29"/>
  <c r="AJ338" i="29"/>
  <c r="AK338" i="29"/>
  <c r="AL338" i="29"/>
  <c r="AM338" i="29"/>
  <c r="AN338" i="29"/>
  <c r="AO338" i="29"/>
  <c r="AP338" i="29"/>
  <c r="AQ338" i="29"/>
  <c r="AR338" i="29"/>
  <c r="AS338" i="29"/>
  <c r="AT338" i="29"/>
  <c r="AU338" i="29"/>
  <c r="AV338" i="29"/>
  <c r="AW338" i="29"/>
  <c r="AX338" i="29"/>
  <c r="AY338" i="29"/>
  <c r="AZ338" i="29"/>
  <c r="BA338" i="29"/>
  <c r="BB338" i="29"/>
  <c r="BC338" i="29"/>
  <c r="BD338" i="29"/>
  <c r="BE338" i="29"/>
  <c r="AA339" i="29"/>
  <c r="AB339" i="29"/>
  <c r="AC339" i="29"/>
  <c r="AD339" i="29"/>
  <c r="AE339" i="29"/>
  <c r="AH339" i="29"/>
  <c r="AI339" i="29"/>
  <c r="AJ339" i="29"/>
  <c r="AK339" i="29"/>
  <c r="AL339" i="29"/>
  <c r="AM339" i="29"/>
  <c r="AN339" i="29"/>
  <c r="AO339" i="29"/>
  <c r="AP339" i="29"/>
  <c r="AQ339" i="29"/>
  <c r="AR339" i="29"/>
  <c r="AS339" i="29"/>
  <c r="AT339" i="29"/>
  <c r="AU339" i="29"/>
  <c r="AV339" i="29"/>
  <c r="AW339" i="29"/>
  <c r="AX339" i="29"/>
  <c r="AY339" i="29"/>
  <c r="AZ339" i="29"/>
  <c r="BA339" i="29"/>
  <c r="BB339" i="29"/>
  <c r="BC339" i="29"/>
  <c r="BD339" i="29"/>
  <c r="BE339" i="29"/>
  <c r="BF339" i="29"/>
  <c r="BG339" i="29"/>
  <c r="AA340" i="29"/>
  <c r="AB340" i="29"/>
  <c r="AC340" i="29"/>
  <c r="AD340" i="29"/>
  <c r="AE340" i="29"/>
  <c r="AF340" i="29"/>
  <c r="AG340" i="29"/>
  <c r="AJ340" i="29"/>
  <c r="AK340" i="29"/>
  <c r="AL340" i="29"/>
  <c r="AM340" i="29"/>
  <c r="AN340" i="29"/>
  <c r="AO340" i="29"/>
  <c r="AP340" i="29"/>
  <c r="AQ340" i="29"/>
  <c r="AR340" i="29"/>
  <c r="AS340" i="29"/>
  <c r="AT340" i="29"/>
  <c r="AU340" i="29"/>
  <c r="AV340" i="29"/>
  <c r="AW340" i="29"/>
  <c r="AX340" i="29"/>
  <c r="AY340" i="29"/>
  <c r="AZ340" i="29"/>
  <c r="BA340" i="29"/>
  <c r="BB340" i="29"/>
  <c r="BC340" i="29"/>
  <c r="BD340" i="29"/>
  <c r="BE340" i="29"/>
  <c r="BF340" i="29"/>
  <c r="BG340" i="29"/>
  <c r="AA341" i="29"/>
  <c r="AB341" i="29"/>
  <c r="AC341" i="29"/>
  <c r="AD341" i="29"/>
  <c r="AE341" i="29"/>
  <c r="AF341" i="29"/>
  <c r="AG341" i="29"/>
  <c r="AH341" i="29"/>
  <c r="AI341" i="29"/>
  <c r="AJ341" i="29"/>
  <c r="AK341" i="29"/>
  <c r="AL341" i="29"/>
  <c r="AM341" i="29"/>
  <c r="AN341" i="29"/>
  <c r="AO341" i="29"/>
  <c r="AP341" i="29"/>
  <c r="AQ341" i="29"/>
  <c r="AR341" i="29"/>
  <c r="AS341" i="29"/>
  <c r="AT341" i="29"/>
  <c r="AU341" i="29"/>
  <c r="AV341" i="29"/>
  <c r="AW341" i="29"/>
  <c r="AX341" i="29"/>
  <c r="AY341" i="29"/>
  <c r="BB341" i="29"/>
  <c r="BC341" i="29"/>
  <c r="BD341" i="29"/>
  <c r="BE341" i="29"/>
  <c r="BF341" i="29"/>
  <c r="BG341" i="29"/>
  <c r="AA342" i="29"/>
  <c r="AB342" i="29"/>
  <c r="AC342" i="29"/>
  <c r="AD342" i="29"/>
  <c r="AE342" i="29"/>
  <c r="AF342" i="29"/>
  <c r="AG342" i="29"/>
  <c r="AH342" i="29"/>
  <c r="AI342" i="29"/>
  <c r="AJ342" i="29"/>
  <c r="AK342" i="29"/>
  <c r="AL342" i="29"/>
  <c r="AM342" i="29"/>
  <c r="AN342" i="29"/>
  <c r="AO342" i="29"/>
  <c r="AP342" i="29"/>
  <c r="AQ342" i="29"/>
  <c r="AR342" i="29"/>
  <c r="AS342" i="29"/>
  <c r="AT342" i="29"/>
  <c r="AU342" i="29"/>
  <c r="AV342" i="29"/>
  <c r="AW342" i="29"/>
  <c r="AX342" i="29"/>
  <c r="AY342" i="29"/>
  <c r="AZ342" i="29"/>
  <c r="BA342" i="29"/>
  <c r="BB342" i="29"/>
  <c r="BC342" i="29"/>
  <c r="BD342" i="29"/>
  <c r="BE342" i="29"/>
  <c r="BF342" i="29"/>
  <c r="BG342" i="29"/>
  <c r="AA343" i="29"/>
  <c r="AB343" i="29"/>
  <c r="AC343" i="29"/>
  <c r="AD343" i="29"/>
  <c r="AE343" i="29"/>
  <c r="AF343" i="29"/>
  <c r="AG343" i="29"/>
  <c r="AH343" i="29"/>
  <c r="AI343" i="29"/>
  <c r="AL343" i="29"/>
  <c r="AM343" i="29"/>
  <c r="AN343" i="29"/>
  <c r="AO343" i="29"/>
  <c r="AP343" i="29"/>
  <c r="AQ343" i="29"/>
  <c r="AR343" i="29"/>
  <c r="AS343" i="29"/>
  <c r="AT343" i="29"/>
  <c r="AU343" i="29"/>
  <c r="AV343" i="29"/>
  <c r="AW343" i="29"/>
  <c r="AX343" i="29"/>
  <c r="AY343" i="29"/>
  <c r="AZ343" i="29"/>
  <c r="BA343" i="29"/>
  <c r="BB343" i="29"/>
  <c r="BC343" i="29"/>
  <c r="BD343" i="29"/>
  <c r="BE343" i="29"/>
  <c r="BF343" i="29"/>
  <c r="BG343" i="29"/>
  <c r="AA344" i="29"/>
  <c r="AB344" i="29"/>
  <c r="AC344" i="29"/>
  <c r="AD344" i="29"/>
  <c r="AE344" i="29"/>
  <c r="AF344" i="29"/>
  <c r="AG344" i="29"/>
  <c r="AH344" i="29"/>
  <c r="AI344" i="29"/>
  <c r="AJ344" i="29"/>
  <c r="AK344" i="29"/>
  <c r="AL344" i="29"/>
  <c r="AM344" i="29"/>
  <c r="AN344" i="29"/>
  <c r="AO344" i="29"/>
  <c r="AP344" i="29"/>
  <c r="AQ344" i="29"/>
  <c r="AR344" i="29"/>
  <c r="AS344" i="29"/>
  <c r="AT344" i="29"/>
  <c r="AU344" i="29"/>
  <c r="AV344" i="29"/>
  <c r="AW344" i="29"/>
  <c r="AZ344" i="29"/>
  <c r="BA344" i="29"/>
  <c r="BB344" i="29"/>
  <c r="BC344" i="29"/>
  <c r="BD344" i="29"/>
  <c r="BE344" i="29"/>
  <c r="BF344" i="29"/>
  <c r="BG344" i="29"/>
  <c r="AA345" i="29"/>
  <c r="AB345" i="29"/>
  <c r="AC345" i="29"/>
  <c r="AD345" i="29"/>
  <c r="AE345" i="29"/>
  <c r="AF345" i="29"/>
  <c r="AG345" i="29"/>
  <c r="AH345" i="29"/>
  <c r="AI345" i="29"/>
  <c r="AJ345" i="29"/>
  <c r="AK345" i="29"/>
  <c r="AL345" i="29"/>
  <c r="AM345" i="29"/>
  <c r="AN345" i="29"/>
  <c r="AO345" i="29"/>
  <c r="AP345" i="29"/>
  <c r="AQ345" i="29"/>
  <c r="AR345" i="29"/>
  <c r="AS345" i="29"/>
  <c r="AV345" i="29"/>
  <c r="AW345" i="29"/>
  <c r="AX345" i="29"/>
  <c r="AY345" i="29"/>
  <c r="AZ345" i="29"/>
  <c r="BA345" i="29"/>
  <c r="BB345" i="29"/>
  <c r="BC345" i="29"/>
  <c r="BD345" i="29"/>
  <c r="BE345" i="29"/>
  <c r="BF345" i="29"/>
  <c r="BG345" i="29"/>
  <c r="AA346" i="29"/>
  <c r="AD346" i="29"/>
  <c r="AE346" i="29"/>
  <c r="AF346" i="29"/>
  <c r="AG346" i="29"/>
  <c r="AH346" i="29"/>
  <c r="AI346" i="29"/>
  <c r="AJ346" i="29"/>
  <c r="AK346" i="29"/>
  <c r="AL346" i="29"/>
  <c r="AM346" i="29"/>
  <c r="AN346" i="29"/>
  <c r="AO346" i="29"/>
  <c r="AP346" i="29"/>
  <c r="AQ346" i="29"/>
  <c r="AR346" i="29"/>
  <c r="AS346" i="29"/>
  <c r="AT346" i="29"/>
  <c r="AU346" i="29"/>
  <c r="AV346" i="29"/>
  <c r="AW346" i="29"/>
  <c r="AX346" i="29"/>
  <c r="AY346" i="29"/>
  <c r="AZ346" i="29"/>
  <c r="BA346" i="29"/>
  <c r="BB346" i="29"/>
  <c r="BC346" i="29"/>
  <c r="BD346" i="29"/>
  <c r="BE346" i="29"/>
  <c r="BF346" i="29"/>
  <c r="BG346" i="29"/>
  <c r="AA347" i="29"/>
  <c r="AB347" i="29"/>
  <c r="AC347" i="29"/>
  <c r="AD347" i="29"/>
  <c r="AE347" i="29"/>
  <c r="AF347" i="29"/>
  <c r="AG347" i="29"/>
  <c r="AH347" i="29"/>
  <c r="AI347" i="29"/>
  <c r="AJ347" i="29"/>
  <c r="AK347" i="29"/>
  <c r="AL347" i="29"/>
  <c r="AM347" i="29"/>
  <c r="AN347" i="29"/>
  <c r="AO347" i="29"/>
  <c r="AP347" i="29"/>
  <c r="AQ347" i="29"/>
  <c r="AR347" i="29"/>
  <c r="AS347" i="29"/>
  <c r="AT347" i="29"/>
  <c r="AU347" i="29"/>
  <c r="AV347" i="29"/>
  <c r="AW347" i="29"/>
  <c r="AX347" i="29"/>
  <c r="AY347" i="29"/>
  <c r="AZ347" i="29"/>
  <c r="BA347" i="29"/>
  <c r="BB347" i="29"/>
  <c r="BC347" i="29"/>
  <c r="BF347" i="29"/>
  <c r="BG347" i="29"/>
  <c r="AA348" i="29"/>
  <c r="AB348" i="29"/>
  <c r="AC348" i="29"/>
  <c r="AD348" i="29"/>
  <c r="AE348" i="29"/>
  <c r="AF348" i="29"/>
  <c r="AG348" i="29"/>
  <c r="AH348" i="29"/>
  <c r="AI348" i="29"/>
  <c r="AJ348" i="29"/>
  <c r="AK348" i="29"/>
  <c r="AL348" i="29"/>
  <c r="AM348" i="29"/>
  <c r="AN348" i="29"/>
  <c r="AO348" i="29"/>
  <c r="AR348" i="29"/>
  <c r="AS348" i="29"/>
  <c r="AT348" i="29"/>
  <c r="AU348" i="29"/>
  <c r="AV348" i="29"/>
  <c r="AW348" i="29"/>
  <c r="AX348" i="29"/>
  <c r="AY348" i="29"/>
  <c r="AZ348" i="29"/>
  <c r="BA348" i="29"/>
  <c r="BB348" i="29"/>
  <c r="BC348" i="29"/>
  <c r="BD348" i="29"/>
  <c r="BE348" i="29"/>
  <c r="BF348" i="29"/>
  <c r="BG348" i="29"/>
  <c r="AA349" i="29"/>
  <c r="AB349" i="29"/>
  <c r="AC349" i="29"/>
  <c r="AD349" i="29"/>
  <c r="AE349" i="29"/>
  <c r="AF349" i="29"/>
  <c r="AG349" i="29"/>
  <c r="AH349" i="29"/>
  <c r="AI349" i="29"/>
  <c r="AJ349" i="29"/>
  <c r="AK349" i="29"/>
  <c r="AL349" i="29"/>
  <c r="AM349" i="29"/>
  <c r="AN349" i="29"/>
  <c r="AO349" i="29"/>
  <c r="AP349" i="29"/>
  <c r="AQ349" i="29"/>
  <c r="AR349" i="29"/>
  <c r="AS349" i="29"/>
  <c r="AT349" i="29"/>
  <c r="AU349" i="29"/>
  <c r="AV349" i="29"/>
  <c r="AW349" i="29"/>
  <c r="AX349" i="29"/>
  <c r="AY349" i="29"/>
  <c r="AZ349" i="29"/>
  <c r="BA349" i="29"/>
  <c r="BD349" i="29"/>
  <c r="BE349" i="29"/>
  <c r="BF349" i="29"/>
  <c r="BG349" i="29"/>
  <c r="AB350" i="29"/>
  <c r="AC350" i="29"/>
  <c r="AD350" i="29"/>
  <c r="AE350" i="29"/>
  <c r="AF350" i="29"/>
  <c r="AG350" i="29"/>
  <c r="AH350" i="29"/>
  <c r="AI350" i="29"/>
  <c r="AJ350" i="29"/>
  <c r="AK350" i="29"/>
  <c r="AL350" i="29"/>
  <c r="AM350" i="29"/>
  <c r="AN350" i="29"/>
  <c r="AO350" i="29"/>
  <c r="AP350" i="29"/>
  <c r="AQ350" i="29"/>
  <c r="AR350" i="29"/>
  <c r="AS350" i="29"/>
  <c r="AT350" i="29"/>
  <c r="AU350" i="29"/>
  <c r="AV350" i="29"/>
  <c r="AW350" i="29"/>
  <c r="AX350" i="29"/>
  <c r="AY350" i="29"/>
  <c r="AZ350" i="29"/>
  <c r="BA350" i="29"/>
  <c r="BB350" i="29"/>
  <c r="BC350" i="29"/>
  <c r="BD350" i="29"/>
  <c r="BE350" i="29"/>
  <c r="BF350" i="29"/>
  <c r="BG350" i="29"/>
  <c r="AA351" i="29"/>
  <c r="AB351" i="29"/>
  <c r="AC351" i="29"/>
  <c r="AD351" i="29"/>
  <c r="AE351" i="29"/>
  <c r="AF351" i="29"/>
  <c r="AG351" i="29"/>
  <c r="AH351" i="29"/>
  <c r="AI351" i="29"/>
  <c r="AJ351" i="29"/>
  <c r="AK351" i="29"/>
  <c r="AL351" i="29"/>
  <c r="AM351" i="29"/>
  <c r="AN351" i="29"/>
  <c r="AO351" i="29"/>
  <c r="AP351" i="29"/>
  <c r="AQ351" i="29"/>
  <c r="AR351" i="29"/>
  <c r="AS351" i="29"/>
  <c r="AT351" i="29"/>
  <c r="AU351" i="29"/>
  <c r="AX351" i="29"/>
  <c r="AY351" i="29"/>
  <c r="AZ351" i="29"/>
  <c r="BA351" i="29"/>
  <c r="BB351" i="29"/>
  <c r="BC351" i="29"/>
  <c r="BD351" i="29"/>
  <c r="BE351" i="29"/>
  <c r="BF351" i="29"/>
  <c r="BG351" i="29"/>
  <c r="AA352" i="29"/>
  <c r="AB352" i="29"/>
  <c r="AC352" i="29"/>
  <c r="AD352" i="29"/>
  <c r="AE352" i="29"/>
  <c r="AF352" i="29"/>
  <c r="AG352" i="29"/>
  <c r="AH352" i="29"/>
  <c r="AI352" i="29"/>
  <c r="AJ352" i="29"/>
  <c r="AK352" i="29"/>
  <c r="AL352" i="29"/>
  <c r="AM352" i="29"/>
  <c r="AN352" i="29"/>
  <c r="AO352" i="29"/>
  <c r="AP352" i="29"/>
  <c r="AQ352" i="29"/>
  <c r="AR352" i="29"/>
  <c r="AS352" i="29"/>
  <c r="AT352" i="29"/>
  <c r="AU352" i="29"/>
  <c r="AV352" i="29"/>
  <c r="AW352" i="29"/>
  <c r="AX352" i="29"/>
  <c r="AY352" i="29"/>
  <c r="AZ352" i="29"/>
  <c r="BA352" i="29"/>
  <c r="BB352" i="29"/>
  <c r="BC352" i="29"/>
  <c r="BD352" i="29"/>
  <c r="BE352" i="29"/>
  <c r="BF352" i="29"/>
  <c r="BG352" i="29"/>
  <c r="AA353" i="29"/>
  <c r="AB353" i="29"/>
  <c r="AC353" i="29"/>
  <c r="AD353" i="29"/>
  <c r="AE353" i="29"/>
  <c r="AF353" i="29"/>
  <c r="AG353" i="29"/>
  <c r="AH353" i="29"/>
  <c r="AI353" i="29"/>
  <c r="AJ353" i="29"/>
  <c r="AK353" i="29"/>
  <c r="AL353" i="29"/>
  <c r="AM353" i="29"/>
  <c r="AN353" i="29"/>
  <c r="AO353" i="29"/>
  <c r="AP353" i="29"/>
  <c r="AQ353" i="29"/>
  <c r="AR353" i="29"/>
  <c r="AS353" i="29"/>
  <c r="AT353" i="29"/>
  <c r="AU353" i="29"/>
  <c r="AV353" i="29"/>
  <c r="AW353" i="29"/>
  <c r="AX353" i="29"/>
  <c r="AY353" i="29"/>
  <c r="AZ353" i="29"/>
  <c r="BA353" i="29"/>
  <c r="BB353" i="29"/>
  <c r="BC353" i="29"/>
  <c r="BF353" i="29"/>
  <c r="BG353" i="29"/>
  <c r="AA355" i="29"/>
  <c r="AB355" i="29"/>
  <c r="AC355" i="29"/>
  <c r="AD355" i="29"/>
  <c r="AE355" i="29"/>
  <c r="AF355" i="29"/>
  <c r="AG355" i="29"/>
  <c r="AH355" i="29"/>
  <c r="AI355" i="29"/>
  <c r="AJ355" i="29"/>
  <c r="AK355" i="29"/>
  <c r="AL355" i="29"/>
  <c r="AM355" i="29"/>
  <c r="AN355" i="29"/>
  <c r="AO355" i="29"/>
  <c r="AP355" i="29"/>
  <c r="AQ355" i="29"/>
  <c r="AR355" i="29"/>
  <c r="AS355" i="29"/>
  <c r="AT355" i="29"/>
  <c r="AU355" i="29"/>
  <c r="AV355" i="29"/>
  <c r="AW355" i="29"/>
  <c r="AX355" i="29"/>
  <c r="AY355" i="29"/>
  <c r="AZ355" i="29"/>
  <c r="BA355" i="29"/>
  <c r="BD355" i="29"/>
  <c r="BE355" i="29"/>
  <c r="BF355" i="29"/>
  <c r="BG355" i="29"/>
  <c r="AA356" i="29"/>
  <c r="AB356" i="29"/>
  <c r="AC356" i="29"/>
  <c r="AD356" i="29"/>
  <c r="AE356" i="29"/>
  <c r="AF356" i="29"/>
  <c r="AG356" i="29"/>
  <c r="AH356" i="29"/>
  <c r="AI356" i="29"/>
  <c r="AJ356" i="29"/>
  <c r="AK356" i="29"/>
  <c r="AL356" i="29"/>
  <c r="AM356" i="29"/>
  <c r="AN356" i="29"/>
  <c r="AO356" i="29"/>
  <c r="AP356" i="29"/>
  <c r="AQ356" i="29"/>
  <c r="AR356" i="29"/>
  <c r="AS356" i="29"/>
  <c r="AT356" i="29"/>
  <c r="AU356" i="29"/>
  <c r="AX356" i="29"/>
  <c r="AY356" i="29"/>
  <c r="AZ356" i="29"/>
  <c r="BA356" i="29"/>
  <c r="BB356" i="29"/>
  <c r="BC356" i="29"/>
  <c r="BD356" i="29"/>
  <c r="BE356" i="29"/>
  <c r="BF356" i="29"/>
  <c r="BG356" i="29"/>
  <c r="AA357" i="29"/>
  <c r="AB357" i="29"/>
  <c r="AC357" i="29"/>
  <c r="AD357" i="29"/>
  <c r="AE357" i="29"/>
  <c r="AF357" i="29"/>
  <c r="AG357" i="29"/>
  <c r="AH357" i="29"/>
  <c r="AI357" i="29"/>
  <c r="AJ357" i="29"/>
  <c r="AK357" i="29"/>
  <c r="AL357" i="29"/>
  <c r="AM357" i="29"/>
  <c r="AN357" i="29"/>
  <c r="AO357" i="29"/>
  <c r="AR357" i="29"/>
  <c r="AS357" i="29"/>
  <c r="AT357" i="29"/>
  <c r="AU357" i="29"/>
  <c r="AV357" i="29"/>
  <c r="AW357" i="29"/>
  <c r="AX357" i="29"/>
  <c r="AY357" i="29"/>
  <c r="AZ357" i="29"/>
  <c r="BA357" i="29"/>
  <c r="BB357" i="29"/>
  <c r="BC357" i="29"/>
  <c r="BD357" i="29"/>
  <c r="BE357" i="29"/>
  <c r="BF357" i="29"/>
  <c r="BG357" i="29"/>
  <c r="AA358" i="29"/>
  <c r="AB358" i="29"/>
  <c r="AC358" i="29"/>
  <c r="AD358" i="29"/>
  <c r="AE358" i="29"/>
  <c r="AF358" i="29"/>
  <c r="AG358" i="29"/>
  <c r="AH358" i="29"/>
  <c r="AI358" i="29"/>
  <c r="AJ358" i="29"/>
  <c r="AK358" i="29"/>
  <c r="AL358" i="29"/>
  <c r="AM358" i="29"/>
  <c r="AN358" i="29"/>
  <c r="AO358" i="29"/>
  <c r="AP358" i="29"/>
  <c r="AQ358" i="29"/>
  <c r="AR358" i="29"/>
  <c r="AS358" i="29"/>
  <c r="AT358" i="29"/>
  <c r="AU358" i="29"/>
  <c r="AV358" i="29"/>
  <c r="AW358" i="29"/>
  <c r="AX358" i="29"/>
  <c r="AY358" i="29"/>
  <c r="AZ358" i="29"/>
  <c r="BA358" i="29"/>
  <c r="BD358" i="29"/>
  <c r="BE358" i="29"/>
  <c r="BF358" i="29"/>
  <c r="BG358" i="29"/>
  <c r="AA359" i="29"/>
  <c r="AB359" i="29"/>
  <c r="AC359" i="29"/>
  <c r="AD359" i="29"/>
  <c r="AE359" i="29"/>
  <c r="AF359" i="29"/>
  <c r="AG359" i="29"/>
  <c r="AH359" i="29"/>
  <c r="AI359" i="29"/>
  <c r="AJ359" i="29"/>
  <c r="AK359" i="29"/>
  <c r="AL359" i="29"/>
  <c r="AM359" i="29"/>
  <c r="AN359" i="29"/>
  <c r="AO359" i="29"/>
  <c r="AP359" i="29"/>
  <c r="AQ359" i="29"/>
  <c r="AR359" i="29"/>
  <c r="AS359" i="29"/>
  <c r="AT359" i="29"/>
  <c r="AU359" i="29"/>
  <c r="AV359" i="29"/>
  <c r="AW359" i="29"/>
  <c r="AX359" i="29"/>
  <c r="AY359" i="29"/>
  <c r="AZ359" i="29"/>
  <c r="BA359" i="29"/>
  <c r="BD359" i="29"/>
  <c r="BE359" i="29"/>
  <c r="BF359" i="29"/>
  <c r="BG359" i="29"/>
  <c r="AA360" i="29"/>
  <c r="AB360" i="29"/>
  <c r="AC360" i="29"/>
  <c r="AF360" i="29"/>
  <c r="AG360" i="29"/>
  <c r="AH360" i="29"/>
  <c r="AI360" i="29"/>
  <c r="AJ360" i="29"/>
  <c r="AK360" i="29"/>
  <c r="AL360" i="29"/>
  <c r="AM360" i="29"/>
  <c r="AP360" i="29"/>
  <c r="AQ360" i="29"/>
  <c r="AR360" i="29"/>
  <c r="AS360" i="29"/>
  <c r="AT360" i="29"/>
  <c r="AU360" i="29"/>
  <c r="AV360" i="29"/>
  <c r="AW360" i="29"/>
  <c r="AX360" i="29"/>
  <c r="AY360" i="29"/>
  <c r="AZ360" i="29"/>
  <c r="BA360" i="29"/>
  <c r="BB360" i="29"/>
  <c r="BC360" i="29"/>
  <c r="BD360" i="29"/>
  <c r="BE360" i="29"/>
  <c r="BF360" i="29"/>
  <c r="BG360" i="29"/>
  <c r="AA361" i="29"/>
  <c r="AB361" i="29"/>
  <c r="AC361" i="29"/>
  <c r="AD361" i="29"/>
  <c r="AE361" i="29"/>
  <c r="AF361" i="29"/>
  <c r="AG361" i="29"/>
  <c r="AH361" i="29"/>
  <c r="AI361" i="29"/>
  <c r="AJ361" i="29"/>
  <c r="AK361" i="29"/>
  <c r="AL361" i="29"/>
  <c r="AM361" i="29"/>
  <c r="AN361" i="29"/>
  <c r="AO361" i="29"/>
  <c r="AP361" i="29"/>
  <c r="AQ361" i="29"/>
  <c r="AT361" i="29"/>
  <c r="AU361" i="29"/>
  <c r="AX361" i="29"/>
  <c r="AY361" i="29"/>
  <c r="AZ361" i="29"/>
  <c r="BA361" i="29"/>
  <c r="BB361" i="29"/>
  <c r="BC361" i="29"/>
  <c r="BD361" i="29"/>
  <c r="BE361" i="29"/>
  <c r="BF361" i="29"/>
  <c r="BG361" i="29"/>
  <c r="AA362" i="29"/>
  <c r="AB362" i="29"/>
  <c r="AC362" i="29"/>
  <c r="AF362" i="29"/>
  <c r="AG362" i="29"/>
  <c r="AH362" i="29"/>
  <c r="AI362" i="29"/>
  <c r="AJ362" i="29"/>
  <c r="AK362" i="29"/>
  <c r="AN362" i="29"/>
  <c r="AO362" i="29"/>
  <c r="AP362" i="29"/>
  <c r="AQ362" i="29"/>
  <c r="AR362" i="29"/>
  <c r="AS362" i="29"/>
  <c r="AT362" i="29"/>
  <c r="AU362" i="29"/>
  <c r="AV362" i="29"/>
  <c r="AW362" i="29"/>
  <c r="AX362" i="29"/>
  <c r="AY362" i="29"/>
  <c r="AZ362" i="29"/>
  <c r="BA362" i="29"/>
  <c r="BB362" i="29"/>
  <c r="BC362" i="29"/>
  <c r="BD362" i="29"/>
  <c r="BE362" i="29"/>
  <c r="BF362" i="29"/>
  <c r="BG362" i="29"/>
  <c r="AA363" i="29"/>
  <c r="AB363" i="29"/>
  <c r="AC363" i="29"/>
  <c r="AD363" i="29"/>
  <c r="AE363" i="29"/>
  <c r="AF363" i="29"/>
  <c r="AG363" i="29"/>
  <c r="AH363" i="29"/>
  <c r="AI363" i="29"/>
  <c r="AJ363" i="29"/>
  <c r="AK363" i="29"/>
  <c r="AL363" i="29"/>
  <c r="AM363" i="29"/>
  <c r="AN363" i="29"/>
  <c r="AO363" i="29"/>
  <c r="AP363" i="29"/>
  <c r="AQ363" i="29"/>
  <c r="AR363" i="29"/>
  <c r="AS363" i="29"/>
  <c r="AT363" i="29"/>
  <c r="AU363" i="29"/>
  <c r="AV363" i="29"/>
  <c r="AW363" i="29"/>
  <c r="AX363" i="29"/>
  <c r="AY363" i="29"/>
  <c r="AZ363" i="29"/>
  <c r="BA363" i="29"/>
  <c r="BD363" i="29"/>
  <c r="BE363" i="29"/>
  <c r="BF363" i="29"/>
  <c r="BG363" i="29"/>
  <c r="AA364" i="29"/>
  <c r="AB364" i="29"/>
  <c r="AC364" i="29"/>
  <c r="AD364" i="29"/>
  <c r="AE364" i="29"/>
  <c r="AF364" i="29"/>
  <c r="AG364" i="29"/>
  <c r="AH364" i="29"/>
  <c r="AI364" i="29"/>
  <c r="AJ364" i="29"/>
  <c r="AK364" i="29"/>
  <c r="AL364" i="29"/>
  <c r="AM364" i="29"/>
  <c r="AN364" i="29"/>
  <c r="AO364" i="29"/>
  <c r="AP364" i="29"/>
  <c r="AQ364" i="29"/>
  <c r="AR364" i="29"/>
  <c r="AS364" i="29"/>
  <c r="AT364" i="29"/>
  <c r="AU364" i="29"/>
  <c r="AX364" i="29"/>
  <c r="AY364" i="29"/>
  <c r="AZ364" i="29"/>
  <c r="BA364" i="29"/>
  <c r="BD364" i="29"/>
  <c r="BE364" i="29"/>
  <c r="BF364" i="29"/>
  <c r="BG364" i="29"/>
  <c r="AA365" i="29"/>
  <c r="AB365" i="29"/>
  <c r="AC365" i="29"/>
  <c r="AD365" i="29"/>
  <c r="AE365" i="29"/>
  <c r="AF365" i="29"/>
  <c r="AG365" i="29"/>
  <c r="AH365" i="29"/>
  <c r="AI365" i="29"/>
  <c r="AJ365" i="29"/>
  <c r="AK365" i="29"/>
  <c r="AL365" i="29"/>
  <c r="AM365" i="29"/>
  <c r="AN365" i="29"/>
  <c r="AO365" i="29"/>
  <c r="AP365" i="29"/>
  <c r="AQ365" i="29"/>
  <c r="AR365" i="29"/>
  <c r="AS365" i="29"/>
  <c r="AT365" i="29"/>
  <c r="AU365" i="29"/>
  <c r="AV365" i="29"/>
  <c r="AW365" i="29"/>
  <c r="AX365" i="29"/>
  <c r="AY365" i="29"/>
  <c r="AZ365" i="29"/>
  <c r="BA365" i="29"/>
  <c r="BB365" i="29"/>
  <c r="BC365" i="29"/>
  <c r="BD365" i="29"/>
  <c r="BE365" i="29"/>
  <c r="BF365" i="29"/>
  <c r="BG365" i="29"/>
  <c r="AA366" i="29"/>
  <c r="AB366" i="29"/>
  <c r="AC366" i="29"/>
  <c r="AD366" i="29"/>
  <c r="AE366" i="29"/>
  <c r="AF366" i="29"/>
  <c r="AG366" i="29"/>
  <c r="AH366" i="29"/>
  <c r="AI366" i="29"/>
  <c r="AJ366" i="29"/>
  <c r="AK366" i="29"/>
  <c r="AL366" i="29"/>
  <c r="AM366" i="29"/>
  <c r="AN366" i="29"/>
  <c r="AO366" i="29"/>
  <c r="AP366" i="29"/>
  <c r="AQ366" i="29"/>
  <c r="AR366" i="29"/>
  <c r="AS366" i="29"/>
  <c r="AT366" i="29"/>
  <c r="AU366" i="29"/>
  <c r="AX366" i="29"/>
  <c r="AY366" i="29"/>
  <c r="AZ366" i="29"/>
  <c r="BA366" i="29"/>
  <c r="BB366" i="29"/>
  <c r="BC366" i="29"/>
  <c r="BD366" i="29"/>
  <c r="BE366" i="29"/>
  <c r="BF366" i="29"/>
  <c r="BG366" i="29"/>
  <c r="AA367" i="29"/>
  <c r="AB367" i="29"/>
  <c r="AC367" i="29"/>
  <c r="AD367" i="29"/>
  <c r="AE367" i="29"/>
  <c r="AF367" i="29"/>
  <c r="AG367" i="29"/>
  <c r="AH367" i="29"/>
  <c r="AI367" i="29"/>
  <c r="AJ367" i="29"/>
  <c r="AK367" i="29"/>
  <c r="AL367" i="29"/>
  <c r="AM367" i="29"/>
  <c r="AN367" i="29"/>
  <c r="AO367" i="29"/>
  <c r="AP367" i="29"/>
  <c r="AQ367" i="29"/>
  <c r="AR367" i="29"/>
  <c r="AS367" i="29"/>
  <c r="AT367" i="29"/>
  <c r="AU367" i="29"/>
  <c r="AV367" i="29"/>
  <c r="AW367" i="29"/>
  <c r="AX367" i="29"/>
  <c r="AY367" i="29"/>
  <c r="AZ367" i="29"/>
  <c r="BA367" i="29"/>
  <c r="BB367" i="29"/>
  <c r="BC367" i="29"/>
  <c r="BD367" i="29"/>
  <c r="BE367" i="29"/>
  <c r="BF367" i="29"/>
  <c r="BG367" i="29"/>
  <c r="AA368" i="29"/>
  <c r="AB368" i="29"/>
  <c r="AC368" i="29"/>
  <c r="AD368" i="29"/>
  <c r="AE368" i="29"/>
  <c r="AF368" i="29"/>
  <c r="AG368" i="29"/>
  <c r="AH368" i="29"/>
  <c r="AI368" i="29"/>
  <c r="AJ368" i="29"/>
  <c r="AK368" i="29"/>
  <c r="AL368" i="29"/>
  <c r="AM368" i="29"/>
  <c r="AN368" i="29"/>
  <c r="AO368" i="29"/>
  <c r="AP368" i="29"/>
  <c r="AQ368" i="29"/>
  <c r="AR368" i="29"/>
  <c r="AS368" i="29"/>
  <c r="AT368" i="29"/>
  <c r="AU368" i="29"/>
  <c r="AV368" i="29"/>
  <c r="AW368" i="29"/>
  <c r="AX368" i="29"/>
  <c r="AY368" i="29"/>
  <c r="AZ368" i="29"/>
  <c r="BA368" i="29"/>
  <c r="BB368" i="29"/>
  <c r="BC368" i="29"/>
  <c r="BD368" i="29"/>
  <c r="BE368" i="29"/>
  <c r="BF368" i="29"/>
  <c r="BG368" i="29"/>
  <c r="AA369" i="29"/>
  <c r="AB369" i="29"/>
  <c r="AC369" i="29"/>
  <c r="AD369" i="29"/>
  <c r="AE369" i="29"/>
  <c r="AF369" i="29"/>
  <c r="AG369" i="29"/>
  <c r="AH369" i="29"/>
  <c r="AI369" i="29"/>
  <c r="AJ369" i="29"/>
  <c r="AK369" i="29"/>
  <c r="AL369" i="29"/>
  <c r="AM369" i="29"/>
  <c r="AN369" i="29"/>
  <c r="AO369" i="29"/>
  <c r="AP369" i="29"/>
  <c r="AQ369" i="29"/>
  <c r="AR369" i="29"/>
  <c r="AS369" i="29"/>
  <c r="AT369" i="29"/>
  <c r="AU369" i="29"/>
  <c r="AV369" i="29"/>
  <c r="AW369" i="29"/>
  <c r="AX369" i="29"/>
  <c r="AY369" i="29"/>
  <c r="AZ369" i="29"/>
  <c r="BA369" i="29"/>
  <c r="BB369" i="29"/>
  <c r="BC369" i="29"/>
  <c r="BD369" i="29"/>
  <c r="BE369" i="29"/>
  <c r="BF369" i="29"/>
  <c r="BG369" i="29"/>
  <c r="AA370" i="29"/>
  <c r="AB370" i="29"/>
  <c r="AC370" i="29"/>
  <c r="AD370" i="29"/>
  <c r="AE370" i="29"/>
  <c r="AF370" i="29"/>
  <c r="AG370" i="29"/>
  <c r="AH370" i="29"/>
  <c r="AI370" i="29"/>
  <c r="AJ370" i="29"/>
  <c r="AK370" i="29"/>
  <c r="AL370" i="29"/>
  <c r="AM370" i="29"/>
  <c r="AP370" i="29"/>
  <c r="AQ370" i="29"/>
  <c r="AR370" i="29"/>
  <c r="AS370" i="29"/>
  <c r="AT370" i="29"/>
  <c r="AU370" i="29"/>
  <c r="AV370" i="29"/>
  <c r="AW370" i="29"/>
  <c r="AX370" i="29"/>
  <c r="AY370" i="29"/>
  <c r="AZ370" i="29"/>
  <c r="BA370" i="29"/>
  <c r="BB370" i="29"/>
  <c r="BC370" i="29"/>
  <c r="BD370" i="29"/>
  <c r="BE370" i="29"/>
  <c r="BF370" i="29"/>
  <c r="BG370" i="29"/>
  <c r="AA371" i="29"/>
  <c r="AB371" i="29"/>
  <c r="AC371" i="29"/>
  <c r="AD371" i="29"/>
  <c r="AE371" i="29"/>
  <c r="AF371" i="29"/>
  <c r="AG371" i="29"/>
  <c r="AH371" i="29"/>
  <c r="AI371" i="29"/>
  <c r="AJ371" i="29"/>
  <c r="AK371" i="29"/>
  <c r="AL371" i="29"/>
  <c r="AM371" i="29"/>
  <c r="AN371" i="29"/>
  <c r="AO371" i="29"/>
  <c r="AP371" i="29"/>
  <c r="AQ371" i="29"/>
  <c r="AR371" i="29"/>
  <c r="AS371" i="29"/>
  <c r="AT371" i="29"/>
  <c r="AU371" i="29"/>
  <c r="AV371" i="29"/>
  <c r="AW371" i="29"/>
  <c r="AX371" i="29"/>
  <c r="AY371" i="29"/>
  <c r="AZ371" i="29"/>
  <c r="BA371" i="29"/>
  <c r="BB371" i="29"/>
  <c r="BC371" i="29"/>
  <c r="BD371" i="29"/>
  <c r="BE371" i="29"/>
  <c r="AA372" i="29"/>
  <c r="AB372" i="29"/>
  <c r="AC372" i="29"/>
  <c r="AD372" i="29"/>
  <c r="AE372" i="29"/>
  <c r="AH372" i="29"/>
  <c r="AI372" i="29"/>
  <c r="AJ372" i="29"/>
  <c r="AK372" i="29"/>
  <c r="AL372" i="29"/>
  <c r="AM372" i="29"/>
  <c r="AN372" i="29"/>
  <c r="AO372" i="29"/>
  <c r="AP372" i="29"/>
  <c r="AQ372" i="29"/>
  <c r="AR372" i="29"/>
  <c r="AS372" i="29"/>
  <c r="AT372" i="29"/>
  <c r="AU372" i="29"/>
  <c r="AV372" i="29"/>
  <c r="AW372" i="29"/>
  <c r="AX372" i="29"/>
  <c r="AY372" i="29"/>
  <c r="AZ372" i="29"/>
  <c r="BA372" i="29"/>
  <c r="BB372" i="29"/>
  <c r="BC372" i="29"/>
  <c r="BD372" i="29"/>
  <c r="BE372" i="29"/>
  <c r="BF372" i="29"/>
  <c r="BG372" i="29"/>
  <c r="AA373" i="29"/>
  <c r="AB373" i="29"/>
  <c r="AC373" i="29"/>
  <c r="AD373" i="29"/>
  <c r="AE373" i="29"/>
  <c r="AF373" i="29"/>
  <c r="AG373" i="29"/>
  <c r="AJ373" i="29"/>
  <c r="AK373" i="29"/>
  <c r="AL373" i="29"/>
  <c r="AM373" i="29"/>
  <c r="AN373" i="29"/>
  <c r="AO373" i="29"/>
  <c r="AP373" i="29"/>
  <c r="AQ373" i="29"/>
  <c r="AR373" i="29"/>
  <c r="AS373" i="29"/>
  <c r="AT373" i="29"/>
  <c r="AU373" i="29"/>
  <c r="AV373" i="29"/>
  <c r="AW373" i="29"/>
  <c r="AX373" i="29"/>
  <c r="AY373" i="29"/>
  <c r="AZ373" i="29"/>
  <c r="BA373" i="29"/>
  <c r="BB373" i="29"/>
  <c r="BC373" i="29"/>
  <c r="BD373" i="29"/>
  <c r="BE373" i="29"/>
  <c r="BF373" i="29"/>
  <c r="BG373" i="29"/>
  <c r="AA374" i="29"/>
  <c r="AB374" i="29"/>
  <c r="AC374" i="29"/>
  <c r="AD374" i="29"/>
  <c r="AE374" i="29"/>
  <c r="AF374" i="29"/>
  <c r="AG374" i="29"/>
  <c r="AH374" i="29"/>
  <c r="AI374" i="29"/>
  <c r="AJ374" i="29"/>
  <c r="AK374" i="29"/>
  <c r="AL374" i="29"/>
  <c r="AM374" i="29"/>
  <c r="AN374" i="29"/>
  <c r="AO374" i="29"/>
  <c r="AP374" i="29"/>
  <c r="AQ374" i="29"/>
  <c r="AR374" i="29"/>
  <c r="AS374" i="29"/>
  <c r="AT374" i="29"/>
  <c r="AU374" i="29"/>
  <c r="AV374" i="29"/>
  <c r="AW374" i="29"/>
  <c r="AX374" i="29"/>
  <c r="AY374" i="29"/>
  <c r="BB374" i="29"/>
  <c r="BC374" i="29"/>
  <c r="BD374" i="29"/>
  <c r="BE374" i="29"/>
  <c r="BF374" i="29"/>
  <c r="BG374" i="29"/>
  <c r="AA375" i="29"/>
  <c r="AB375" i="29"/>
  <c r="AC375" i="29"/>
  <c r="AD375" i="29"/>
  <c r="AE375" i="29"/>
  <c r="AF375" i="29"/>
  <c r="AG375" i="29"/>
  <c r="AH375" i="29"/>
  <c r="AI375" i="29"/>
  <c r="AJ375" i="29"/>
  <c r="AK375" i="29"/>
  <c r="AL375" i="29"/>
  <c r="AM375" i="29"/>
  <c r="AN375" i="29"/>
  <c r="AO375" i="29"/>
  <c r="AP375" i="29"/>
  <c r="AQ375" i="29"/>
  <c r="AR375" i="29"/>
  <c r="AS375" i="29"/>
  <c r="AT375" i="29"/>
  <c r="AU375" i="29"/>
  <c r="AV375" i="29"/>
  <c r="AW375" i="29"/>
  <c r="AX375" i="29"/>
  <c r="AY375" i="29"/>
  <c r="AZ375" i="29"/>
  <c r="BA375" i="29"/>
  <c r="BB375" i="29"/>
  <c r="BC375" i="29"/>
  <c r="BD375" i="29"/>
  <c r="BE375" i="29"/>
  <c r="BF375" i="29"/>
  <c r="BG375" i="29"/>
  <c r="AA376" i="29"/>
  <c r="AB376" i="29"/>
  <c r="AC376" i="29"/>
  <c r="AD376" i="29"/>
  <c r="AE376" i="29"/>
  <c r="AF376" i="29"/>
  <c r="AG376" i="29"/>
  <c r="AH376" i="29"/>
  <c r="AI376" i="29"/>
  <c r="AL376" i="29"/>
  <c r="AM376" i="29"/>
  <c r="AN376" i="29"/>
  <c r="AO376" i="29"/>
  <c r="AP376" i="29"/>
  <c r="AQ376" i="29"/>
  <c r="AR376" i="29"/>
  <c r="AS376" i="29"/>
  <c r="AT376" i="29"/>
  <c r="AU376" i="29"/>
  <c r="AV376" i="29"/>
  <c r="AW376" i="29"/>
  <c r="AX376" i="29"/>
  <c r="AY376" i="29"/>
  <c r="AZ376" i="29"/>
  <c r="BA376" i="29"/>
  <c r="BB376" i="29"/>
  <c r="BC376" i="29"/>
  <c r="BD376" i="29"/>
  <c r="BE376" i="29"/>
  <c r="BF376" i="29"/>
  <c r="BG376" i="29"/>
  <c r="AA377" i="29"/>
  <c r="AB377" i="29"/>
  <c r="AC377" i="29"/>
  <c r="AD377" i="29"/>
  <c r="AE377" i="29"/>
  <c r="AF377" i="29"/>
  <c r="AG377" i="29"/>
  <c r="AH377" i="29"/>
  <c r="AI377" i="29"/>
  <c r="AJ377" i="29"/>
  <c r="AK377" i="29"/>
  <c r="AL377" i="29"/>
  <c r="AM377" i="29"/>
  <c r="AN377" i="29"/>
  <c r="AO377" i="29"/>
  <c r="AP377" i="29"/>
  <c r="AQ377" i="29"/>
  <c r="AR377" i="29"/>
  <c r="AS377" i="29"/>
  <c r="AT377" i="29"/>
  <c r="AU377" i="29"/>
  <c r="AV377" i="29"/>
  <c r="AW377" i="29"/>
  <c r="AZ377" i="29"/>
  <c r="BA377" i="29"/>
  <c r="BB377" i="29"/>
  <c r="BC377" i="29"/>
  <c r="BD377" i="29"/>
  <c r="BE377" i="29"/>
  <c r="BF377" i="29"/>
  <c r="BG377" i="29"/>
  <c r="AA378" i="29"/>
  <c r="AB378" i="29"/>
  <c r="AC378" i="29"/>
  <c r="AD378" i="29"/>
  <c r="AE378" i="29"/>
  <c r="AF378" i="29"/>
  <c r="AG378" i="29"/>
  <c r="AH378" i="29"/>
  <c r="AI378" i="29"/>
  <c r="AJ378" i="29"/>
  <c r="AK378" i="29"/>
  <c r="AL378" i="29"/>
  <c r="AM378" i="29"/>
  <c r="AN378" i="29"/>
  <c r="AO378" i="29"/>
  <c r="AP378" i="29"/>
  <c r="AQ378" i="29"/>
  <c r="AR378" i="29"/>
  <c r="AS378" i="29"/>
  <c r="AV378" i="29"/>
  <c r="AW378" i="29"/>
  <c r="AX378" i="29"/>
  <c r="AY378" i="29"/>
  <c r="AZ378" i="29"/>
  <c r="BA378" i="29"/>
  <c r="BB378" i="29"/>
  <c r="BC378" i="29"/>
  <c r="BD378" i="29"/>
  <c r="BE378" i="29"/>
  <c r="BF378" i="29"/>
  <c r="BG378" i="29"/>
  <c r="AA379" i="29"/>
  <c r="AD379" i="29"/>
  <c r="AE379" i="29"/>
  <c r="AF379" i="29"/>
  <c r="AG379" i="29"/>
  <c r="AH379" i="29"/>
  <c r="AI379" i="29"/>
  <c r="AJ379" i="29"/>
  <c r="AK379" i="29"/>
  <c r="AL379" i="29"/>
  <c r="AM379" i="29"/>
  <c r="AN379" i="29"/>
  <c r="AO379" i="29"/>
  <c r="AP379" i="29"/>
  <c r="AQ379" i="29"/>
  <c r="AR379" i="29"/>
  <c r="AS379" i="29"/>
  <c r="AT379" i="29"/>
  <c r="AU379" i="29"/>
  <c r="AV379" i="29"/>
  <c r="AW379" i="29"/>
  <c r="AX379" i="29"/>
  <c r="AY379" i="29"/>
  <c r="AZ379" i="29"/>
  <c r="BA379" i="29"/>
  <c r="BB379" i="29"/>
  <c r="BC379" i="29"/>
  <c r="BD379" i="29"/>
  <c r="BE379" i="29"/>
  <c r="BF379" i="29"/>
  <c r="BG379" i="29"/>
  <c r="AA380" i="29"/>
  <c r="AB380" i="29"/>
  <c r="AC380" i="29"/>
  <c r="AD380" i="29"/>
  <c r="AE380" i="29"/>
  <c r="AF380" i="29"/>
  <c r="AG380" i="29"/>
  <c r="AH380" i="29"/>
  <c r="AI380" i="29"/>
  <c r="AJ380" i="29"/>
  <c r="AK380" i="29"/>
  <c r="AL380" i="29"/>
  <c r="AM380" i="29"/>
  <c r="AN380" i="29"/>
  <c r="AO380" i="29"/>
  <c r="AP380" i="29"/>
  <c r="AQ380" i="29"/>
  <c r="AR380" i="29"/>
  <c r="AS380" i="29"/>
  <c r="AT380" i="29"/>
  <c r="AU380" i="29"/>
  <c r="AV380" i="29"/>
  <c r="AW380" i="29"/>
  <c r="AX380" i="29"/>
  <c r="AY380" i="29"/>
  <c r="AZ380" i="29"/>
  <c r="BA380" i="29"/>
  <c r="BB380" i="29"/>
  <c r="BC380" i="29"/>
  <c r="BF380" i="29"/>
  <c r="BG380" i="29"/>
  <c r="AA381" i="29"/>
  <c r="AB381" i="29"/>
  <c r="AC381" i="29"/>
  <c r="AD381" i="29"/>
  <c r="AE381" i="29"/>
  <c r="AF381" i="29"/>
  <c r="AG381" i="29"/>
  <c r="AH381" i="29"/>
  <c r="AI381" i="29"/>
  <c r="AJ381" i="29"/>
  <c r="AK381" i="29"/>
  <c r="AL381" i="29"/>
  <c r="AM381" i="29"/>
  <c r="AN381" i="29"/>
  <c r="AO381" i="29"/>
  <c r="AP381" i="29"/>
  <c r="AQ381" i="29"/>
  <c r="AR381" i="29"/>
  <c r="AS381" i="29"/>
  <c r="AT381" i="29"/>
  <c r="AU381" i="29"/>
  <c r="AV381" i="29"/>
  <c r="AW381" i="29"/>
  <c r="AX381" i="29"/>
  <c r="AY381" i="29"/>
  <c r="AZ381" i="29"/>
  <c r="BA381" i="29"/>
  <c r="BD381" i="29"/>
  <c r="BE381" i="29"/>
  <c r="BF381" i="29"/>
  <c r="BG381" i="29"/>
  <c r="AB382" i="29"/>
  <c r="AC382" i="29"/>
  <c r="AD382" i="29"/>
  <c r="AE382" i="29"/>
  <c r="AF382" i="29"/>
  <c r="AG382" i="29"/>
  <c r="AH382" i="29"/>
  <c r="AI382" i="29"/>
  <c r="AJ382" i="29"/>
  <c r="AK382" i="29"/>
  <c r="AL382" i="29"/>
  <c r="AM382" i="29"/>
  <c r="AN382" i="29"/>
  <c r="AO382" i="29"/>
  <c r="AP382" i="29"/>
  <c r="AQ382" i="29"/>
  <c r="AR382" i="29"/>
  <c r="AS382" i="29"/>
  <c r="AT382" i="29"/>
  <c r="AU382" i="29"/>
  <c r="AV382" i="29"/>
  <c r="AW382" i="29"/>
  <c r="AX382" i="29"/>
  <c r="AY382" i="29"/>
  <c r="AZ382" i="29"/>
  <c r="BA382" i="29"/>
  <c r="BB382" i="29"/>
  <c r="BC382" i="29"/>
  <c r="BD382" i="29"/>
  <c r="BE382" i="29"/>
  <c r="BF382" i="29"/>
  <c r="BG382" i="29"/>
  <c r="AA383" i="29"/>
  <c r="AB383" i="29"/>
  <c r="AC383" i="29"/>
  <c r="AD383" i="29"/>
  <c r="AE383" i="29"/>
  <c r="AF383" i="29"/>
  <c r="AG383" i="29"/>
  <c r="AH383" i="29"/>
  <c r="AI383" i="29"/>
  <c r="AJ383" i="29"/>
  <c r="AK383" i="29"/>
  <c r="AL383" i="29"/>
  <c r="AM383" i="29"/>
  <c r="AN383" i="29"/>
  <c r="AO383" i="29"/>
  <c r="AP383" i="29"/>
  <c r="AQ383" i="29"/>
  <c r="AR383" i="29"/>
  <c r="AS383" i="29"/>
  <c r="AT383" i="29"/>
  <c r="AU383" i="29"/>
  <c r="AX383" i="29"/>
  <c r="AY383" i="29"/>
  <c r="AZ383" i="29"/>
  <c r="BA383" i="29"/>
  <c r="BB383" i="29"/>
  <c r="BC383" i="29"/>
  <c r="BD383" i="29"/>
  <c r="BE383" i="29"/>
  <c r="BF383" i="29"/>
  <c r="BG383" i="29"/>
  <c r="AA384" i="29"/>
  <c r="AB384" i="29"/>
  <c r="AC384" i="29"/>
  <c r="AD384" i="29"/>
  <c r="AE384" i="29"/>
  <c r="AF384" i="29"/>
  <c r="AG384" i="29"/>
  <c r="AH384" i="29"/>
  <c r="AI384" i="29"/>
  <c r="AJ384" i="29"/>
  <c r="AK384" i="29"/>
  <c r="AL384" i="29"/>
  <c r="AM384" i="29"/>
  <c r="AP384" i="29"/>
  <c r="AQ384" i="29"/>
  <c r="AR384" i="29"/>
  <c r="AS384" i="29"/>
  <c r="AT384" i="29"/>
  <c r="AU384" i="29"/>
  <c r="AV384" i="29"/>
  <c r="AW384" i="29"/>
  <c r="AX384" i="29"/>
  <c r="AY384" i="29"/>
  <c r="AZ384" i="29"/>
  <c r="BA384" i="29"/>
  <c r="BB384" i="29"/>
  <c r="BC384" i="29"/>
  <c r="BD384" i="29"/>
  <c r="BE384" i="29"/>
  <c r="BF384" i="29"/>
  <c r="BG384" i="29"/>
  <c r="AA385" i="29"/>
  <c r="AB385" i="29"/>
  <c r="AC385" i="29"/>
  <c r="AD385" i="29"/>
  <c r="AE385" i="29"/>
  <c r="AF385" i="29"/>
  <c r="AG385" i="29"/>
  <c r="AH385" i="29"/>
  <c r="AI385" i="29"/>
  <c r="AJ385" i="29"/>
  <c r="AK385" i="29"/>
  <c r="AL385" i="29"/>
  <c r="AM385" i="29"/>
  <c r="AP385" i="29"/>
  <c r="AQ385" i="29"/>
  <c r="AR385" i="29"/>
  <c r="AS385" i="29"/>
  <c r="AT385" i="29"/>
  <c r="AU385" i="29"/>
  <c r="AV385" i="29"/>
  <c r="AW385" i="29"/>
  <c r="AX385" i="29"/>
  <c r="AY385" i="29"/>
  <c r="AZ385" i="29"/>
  <c r="BA385" i="29"/>
  <c r="BB385" i="29"/>
  <c r="BC385" i="29"/>
  <c r="BD385" i="29"/>
  <c r="BE385" i="29"/>
  <c r="BF385" i="29"/>
  <c r="BG385" i="29"/>
  <c r="AA386" i="29"/>
  <c r="AB386" i="29"/>
  <c r="AC386" i="29"/>
  <c r="AD386" i="29"/>
  <c r="AE386" i="29"/>
  <c r="AF386" i="29"/>
  <c r="AG386" i="29"/>
  <c r="AH386" i="29"/>
  <c r="AI386" i="29"/>
  <c r="AJ386" i="29"/>
  <c r="AK386" i="29"/>
  <c r="AL386" i="29"/>
  <c r="AM386" i="29"/>
  <c r="AN386" i="29"/>
  <c r="AO386" i="29"/>
  <c r="AP386" i="29"/>
  <c r="AQ386" i="29"/>
  <c r="AR386" i="29"/>
  <c r="AS386" i="29"/>
  <c r="AT386" i="29"/>
  <c r="AU386" i="29"/>
  <c r="AV386" i="29"/>
  <c r="AW386" i="29"/>
  <c r="AX386" i="29"/>
  <c r="AY386" i="29"/>
  <c r="AZ386" i="29"/>
  <c r="BA386" i="29"/>
  <c r="BB386" i="29"/>
  <c r="BC386" i="29"/>
  <c r="BD386" i="29"/>
  <c r="BE386" i="29"/>
  <c r="BF386" i="29"/>
  <c r="BG386" i="29"/>
  <c r="AA387" i="29"/>
  <c r="AB387" i="29"/>
  <c r="AC387" i="29"/>
  <c r="AD387" i="29"/>
  <c r="AE387" i="29"/>
  <c r="AF387" i="29"/>
  <c r="AG387" i="29"/>
  <c r="AH387" i="29"/>
  <c r="AI387" i="29"/>
  <c r="AJ387" i="29"/>
  <c r="AK387" i="29"/>
  <c r="AL387" i="29"/>
  <c r="AM387" i="29"/>
  <c r="AN387" i="29"/>
  <c r="AO387" i="29"/>
  <c r="AP387" i="29"/>
  <c r="AQ387" i="29"/>
  <c r="AR387" i="29"/>
  <c r="AS387" i="29"/>
  <c r="AT387" i="29"/>
  <c r="AU387" i="29"/>
  <c r="AV387" i="29"/>
  <c r="AW387" i="29"/>
  <c r="AX387" i="29"/>
  <c r="AY387" i="29"/>
  <c r="AZ387" i="29"/>
  <c r="BA387" i="29"/>
  <c r="BD387" i="29"/>
  <c r="BE387" i="29"/>
  <c r="BF387" i="29"/>
  <c r="BG387" i="29"/>
  <c r="AA388" i="29"/>
  <c r="AB388" i="29"/>
  <c r="AC388" i="29"/>
  <c r="AD388" i="29"/>
  <c r="AE388" i="29"/>
  <c r="AF388" i="29"/>
  <c r="AG388" i="29"/>
  <c r="AH388" i="29"/>
  <c r="AI388" i="29"/>
  <c r="AJ388" i="29"/>
  <c r="AK388" i="29"/>
  <c r="AL388" i="29"/>
  <c r="AM388" i="29"/>
  <c r="AN388" i="29"/>
  <c r="AO388" i="29"/>
  <c r="AP388" i="29"/>
  <c r="AQ388" i="29"/>
  <c r="AR388" i="29"/>
  <c r="AS388" i="29"/>
  <c r="AT388" i="29"/>
  <c r="AU388" i="29"/>
  <c r="AX388" i="29"/>
  <c r="AY388" i="29"/>
  <c r="AZ388" i="29"/>
  <c r="BA388" i="29"/>
  <c r="BB388" i="29"/>
  <c r="BC388" i="29"/>
  <c r="BD388" i="29"/>
  <c r="BE388" i="29"/>
  <c r="BF388" i="29"/>
  <c r="BG388" i="29"/>
  <c r="AA389" i="29"/>
  <c r="AB389" i="29"/>
  <c r="AC389" i="29"/>
  <c r="AD389" i="29"/>
  <c r="AE389" i="29"/>
  <c r="AF389" i="29"/>
  <c r="AG389" i="29"/>
  <c r="AH389" i="29"/>
  <c r="AI389" i="29"/>
  <c r="AJ389" i="29"/>
  <c r="AK389" i="29"/>
  <c r="AL389" i="29"/>
  <c r="AM389" i="29"/>
  <c r="AN389" i="29"/>
  <c r="AO389" i="29"/>
  <c r="AP389" i="29"/>
  <c r="AQ389" i="29"/>
  <c r="AR389" i="29"/>
  <c r="AS389" i="29"/>
  <c r="AT389" i="29"/>
  <c r="AU389" i="29"/>
  <c r="AV389" i="29"/>
  <c r="AW389" i="29"/>
  <c r="AX389" i="29"/>
  <c r="AY389" i="29"/>
  <c r="AZ389" i="29"/>
  <c r="BA389" i="29"/>
  <c r="BB389" i="29"/>
  <c r="BC389" i="29"/>
  <c r="BD389" i="29"/>
  <c r="BE389" i="29"/>
  <c r="BF389" i="29"/>
  <c r="BG389" i="29"/>
  <c r="AA390" i="29"/>
  <c r="AB390" i="29"/>
  <c r="AC390" i="29"/>
  <c r="AD390" i="29"/>
  <c r="AE390" i="29"/>
  <c r="AF390" i="29"/>
  <c r="AG390" i="29"/>
  <c r="AH390" i="29"/>
  <c r="AI390" i="29"/>
  <c r="AJ390" i="29"/>
  <c r="AK390" i="29"/>
  <c r="AL390" i="29"/>
  <c r="AM390" i="29"/>
  <c r="AN390" i="29"/>
  <c r="AO390" i="29"/>
  <c r="AP390" i="29"/>
  <c r="AQ390" i="29"/>
  <c r="AR390" i="29"/>
  <c r="AS390" i="29"/>
  <c r="AT390" i="29"/>
  <c r="AU390" i="29"/>
  <c r="AV390" i="29"/>
  <c r="AW390" i="29"/>
  <c r="AX390" i="29"/>
  <c r="AY390" i="29"/>
  <c r="AZ390" i="29"/>
  <c r="BA390" i="29"/>
  <c r="BB390" i="29"/>
  <c r="BC390" i="29"/>
  <c r="BD390" i="29"/>
  <c r="BE390" i="29"/>
  <c r="BF390" i="29"/>
  <c r="BG390" i="29"/>
  <c r="AA391" i="29"/>
  <c r="AB391" i="29"/>
  <c r="AC391" i="29"/>
  <c r="AD391" i="29"/>
  <c r="AE391" i="29"/>
  <c r="AF391" i="29"/>
  <c r="AG391" i="29"/>
  <c r="AH391" i="29"/>
  <c r="AI391" i="29"/>
  <c r="AJ391" i="29"/>
  <c r="AK391" i="29"/>
  <c r="AL391" i="29"/>
  <c r="AM391" i="29"/>
  <c r="AN391" i="29"/>
  <c r="AO391" i="29"/>
  <c r="AP391" i="29"/>
  <c r="AQ391" i="29"/>
  <c r="AR391" i="29"/>
  <c r="AS391" i="29"/>
  <c r="AT391" i="29"/>
  <c r="AU391" i="29"/>
  <c r="AV391" i="29"/>
  <c r="AW391" i="29"/>
  <c r="AX391" i="29"/>
  <c r="AY391" i="29"/>
  <c r="AZ391" i="29"/>
  <c r="BA391" i="29"/>
  <c r="BB391" i="29"/>
  <c r="BC391" i="29"/>
  <c r="BD391" i="29"/>
  <c r="BE391" i="29"/>
  <c r="BF391" i="29"/>
  <c r="BG391" i="29"/>
  <c r="AA392" i="29"/>
  <c r="AB392" i="29"/>
  <c r="AC392" i="29"/>
  <c r="AD392" i="29"/>
  <c r="AE392" i="29"/>
  <c r="AF392" i="29"/>
  <c r="AG392" i="29"/>
  <c r="AH392" i="29"/>
  <c r="AI392" i="29"/>
  <c r="AJ392" i="29"/>
  <c r="AK392" i="29"/>
  <c r="AL392" i="29"/>
  <c r="AM392" i="29"/>
  <c r="AN392" i="29"/>
  <c r="AO392" i="29"/>
  <c r="AP392" i="29"/>
  <c r="AQ392" i="29"/>
  <c r="AR392" i="29"/>
  <c r="AS392" i="29"/>
  <c r="AT392" i="29"/>
  <c r="AU392" i="29"/>
  <c r="AV392" i="29"/>
  <c r="AW392" i="29"/>
  <c r="AX392" i="29"/>
  <c r="AY392" i="29"/>
  <c r="AZ392" i="29"/>
  <c r="BA392" i="29"/>
  <c r="BB392" i="29"/>
  <c r="BC392" i="29"/>
  <c r="BD392" i="29"/>
  <c r="BE392" i="29"/>
  <c r="BF392" i="29"/>
  <c r="BG392" i="29"/>
  <c r="AA394" i="29"/>
  <c r="AB394" i="29"/>
  <c r="AC394" i="29"/>
  <c r="AD394" i="29"/>
  <c r="AE394" i="29"/>
  <c r="AF394" i="29"/>
  <c r="AG394" i="29"/>
  <c r="AH394" i="29"/>
  <c r="AI394" i="29"/>
  <c r="AJ394" i="29"/>
  <c r="AK394" i="29"/>
  <c r="AL394" i="29"/>
  <c r="AM394" i="29"/>
  <c r="AN394" i="29"/>
  <c r="AO394" i="29"/>
  <c r="AP394" i="29"/>
  <c r="AQ394" i="29"/>
  <c r="AR394" i="29"/>
  <c r="AS394" i="29"/>
  <c r="AT394" i="29"/>
  <c r="AU394" i="29"/>
  <c r="AV394" i="29"/>
  <c r="AW394" i="29"/>
  <c r="AX394" i="29"/>
  <c r="AY394" i="29"/>
  <c r="AZ394" i="29"/>
  <c r="BA394" i="29"/>
  <c r="BB394" i="29"/>
  <c r="BC394" i="29"/>
  <c r="BD394" i="29"/>
  <c r="BE394" i="29"/>
  <c r="BF394" i="29"/>
  <c r="BG394" i="29"/>
  <c r="AA395" i="29"/>
  <c r="AB395" i="29"/>
  <c r="AC395" i="29"/>
  <c r="AD395" i="29"/>
  <c r="AE395" i="29"/>
  <c r="AF395" i="29"/>
  <c r="AG395" i="29"/>
  <c r="AH395" i="29"/>
  <c r="AI395" i="29"/>
  <c r="AJ395" i="29"/>
  <c r="AK395" i="29"/>
  <c r="AL395" i="29"/>
  <c r="AM395" i="29"/>
  <c r="AN395" i="29"/>
  <c r="AO395" i="29"/>
  <c r="AP395" i="29"/>
  <c r="AQ395" i="29"/>
  <c r="AR395" i="29"/>
  <c r="AS395" i="29"/>
  <c r="AT395" i="29"/>
  <c r="AU395" i="29"/>
  <c r="AV395" i="29"/>
  <c r="AW395" i="29"/>
  <c r="AX395" i="29"/>
  <c r="AY395" i="29"/>
  <c r="AZ395" i="29"/>
  <c r="BA395" i="29"/>
  <c r="BB395" i="29"/>
  <c r="BC395" i="29"/>
  <c r="BD395" i="29"/>
  <c r="BE395" i="29"/>
  <c r="BF395" i="29"/>
  <c r="BG395" i="29"/>
  <c r="AA396" i="29"/>
  <c r="AB396" i="29"/>
  <c r="AC396" i="29"/>
  <c r="AD396" i="29"/>
  <c r="AE396" i="29"/>
  <c r="AF396" i="29"/>
  <c r="AG396" i="29"/>
  <c r="AH396" i="29"/>
  <c r="AI396" i="29"/>
  <c r="AL396" i="29"/>
  <c r="AM396" i="29"/>
  <c r="AN396" i="29"/>
  <c r="AO396" i="29"/>
  <c r="AP396" i="29"/>
  <c r="AQ396" i="29"/>
  <c r="AR396" i="29"/>
  <c r="AS396" i="29"/>
  <c r="AT396" i="29"/>
  <c r="AU396" i="29"/>
  <c r="AV396" i="29"/>
  <c r="AW396" i="29"/>
  <c r="AX396" i="29"/>
  <c r="AY396" i="29"/>
  <c r="AZ396" i="29"/>
  <c r="BA396" i="29"/>
  <c r="BB396" i="29"/>
  <c r="BC396" i="29"/>
  <c r="BD396" i="29"/>
  <c r="BE396" i="29"/>
  <c r="BF396" i="29"/>
  <c r="BG396" i="29"/>
  <c r="AA397" i="29"/>
  <c r="AB397" i="29"/>
  <c r="AC397" i="29"/>
  <c r="AD397" i="29"/>
  <c r="AE397" i="29"/>
  <c r="AF397" i="29"/>
  <c r="AG397" i="29"/>
  <c r="AH397" i="29"/>
  <c r="AI397" i="29"/>
  <c r="AJ397" i="29"/>
  <c r="AK397" i="29"/>
  <c r="AL397" i="29"/>
  <c r="AM397" i="29"/>
  <c r="AN397" i="29"/>
  <c r="AO397" i="29"/>
  <c r="AP397" i="29"/>
  <c r="AQ397" i="29"/>
  <c r="AR397" i="29"/>
  <c r="AS397" i="29"/>
  <c r="AT397" i="29"/>
  <c r="AU397" i="29"/>
  <c r="AV397" i="29"/>
  <c r="AW397" i="29"/>
  <c r="AX397" i="29"/>
  <c r="AY397" i="29"/>
  <c r="AZ397" i="29"/>
  <c r="BA397" i="29"/>
  <c r="BD397" i="29"/>
  <c r="BE397" i="29"/>
  <c r="BF397" i="29"/>
  <c r="BG397" i="29"/>
  <c r="AA399" i="29"/>
  <c r="AB399" i="29"/>
  <c r="AC399" i="29"/>
  <c r="AD399" i="29"/>
  <c r="AE399" i="29"/>
  <c r="AF399" i="29"/>
  <c r="AG399" i="29"/>
  <c r="AH399" i="29"/>
  <c r="AI399" i="29"/>
  <c r="AJ399" i="29"/>
  <c r="AK399" i="29"/>
  <c r="AL399" i="29"/>
  <c r="AM399" i="29"/>
  <c r="AN399" i="29"/>
  <c r="AO399" i="29"/>
  <c r="AP399" i="29"/>
  <c r="AQ399" i="29"/>
  <c r="AR399" i="29"/>
  <c r="AS399" i="29"/>
  <c r="AT399" i="29"/>
  <c r="AU399" i="29"/>
  <c r="AV399" i="29"/>
  <c r="AW399" i="29"/>
  <c r="AX399" i="29"/>
  <c r="AY399" i="29"/>
  <c r="BB399" i="29"/>
  <c r="BC399" i="29"/>
  <c r="BD399" i="29"/>
  <c r="BE399" i="29"/>
  <c r="AA400" i="29"/>
  <c r="AB400" i="29"/>
  <c r="AC400" i="29"/>
  <c r="AD400" i="29"/>
  <c r="AE400" i="29"/>
  <c r="AF400" i="29"/>
  <c r="AG400" i="29"/>
  <c r="AH400" i="29"/>
  <c r="AI400" i="29"/>
  <c r="AL400" i="29"/>
  <c r="AM400" i="29"/>
  <c r="AN400" i="29"/>
  <c r="AO400" i="29"/>
  <c r="AP400" i="29"/>
  <c r="AQ400" i="29"/>
  <c r="AR400" i="29"/>
  <c r="AS400" i="29"/>
  <c r="AT400" i="29"/>
  <c r="AU400" i="29"/>
  <c r="AX400" i="29"/>
  <c r="AY400" i="29"/>
  <c r="AZ400" i="29"/>
  <c r="BA400" i="29"/>
  <c r="BB400" i="29"/>
  <c r="BC400" i="29"/>
  <c r="BD400" i="29"/>
  <c r="BE400" i="29"/>
  <c r="BF400" i="29"/>
  <c r="BG400" i="29"/>
  <c r="AA401" i="29"/>
  <c r="AB401" i="29"/>
  <c r="AC401" i="29"/>
  <c r="AF401" i="29"/>
  <c r="AG401" i="29"/>
  <c r="AH401" i="29"/>
  <c r="AI401" i="29"/>
  <c r="AJ401" i="29"/>
  <c r="AK401" i="29"/>
  <c r="AL401" i="29"/>
  <c r="AM401" i="29"/>
  <c r="AN401" i="29"/>
  <c r="AO401" i="29"/>
  <c r="AR401" i="29"/>
  <c r="AS401" i="29"/>
  <c r="AT401" i="29"/>
  <c r="AU401" i="29"/>
  <c r="AV401" i="29"/>
  <c r="AW401" i="29"/>
  <c r="AX401" i="29"/>
  <c r="AY401" i="29"/>
  <c r="AZ401" i="29"/>
  <c r="BA401" i="29"/>
  <c r="BB401" i="29"/>
  <c r="BC401" i="29"/>
  <c r="BD401" i="29"/>
  <c r="BE401" i="29"/>
  <c r="BF401" i="29"/>
  <c r="BG401" i="29"/>
  <c r="AA402" i="29"/>
  <c r="AB402" i="29"/>
  <c r="AC402" i="29"/>
  <c r="AD402" i="29"/>
  <c r="AE402" i="29"/>
  <c r="AF402" i="29"/>
  <c r="AG402" i="29"/>
  <c r="AH402" i="29"/>
  <c r="AI402" i="29"/>
  <c r="AJ402" i="29"/>
  <c r="AK402" i="29"/>
  <c r="AL402" i="29"/>
  <c r="AM402" i="29"/>
  <c r="AP402" i="29"/>
  <c r="AQ402" i="29"/>
  <c r="AR402" i="29"/>
  <c r="AS402" i="29"/>
  <c r="AT402" i="29"/>
  <c r="AU402" i="29"/>
  <c r="AV402" i="29"/>
  <c r="AW402" i="29"/>
  <c r="AX402" i="29"/>
  <c r="AY402" i="29"/>
  <c r="AZ402" i="29"/>
  <c r="BA402" i="29"/>
  <c r="BB402" i="29"/>
  <c r="BC402" i="29"/>
  <c r="BD402" i="29"/>
  <c r="BE402" i="29"/>
  <c r="BF402" i="29"/>
  <c r="BG402" i="29"/>
  <c r="AA403" i="29"/>
  <c r="AB403" i="29"/>
  <c r="AC403" i="29"/>
  <c r="AD403" i="29"/>
  <c r="AE403" i="29"/>
  <c r="AF403" i="29"/>
  <c r="AG403" i="29"/>
  <c r="AH403" i="29"/>
  <c r="AI403" i="29"/>
  <c r="AJ403" i="29"/>
  <c r="AK403" i="29"/>
  <c r="AL403" i="29"/>
  <c r="AM403" i="29"/>
  <c r="AN403" i="29"/>
  <c r="AO403" i="29"/>
  <c r="AP403" i="29"/>
  <c r="AQ403" i="29"/>
  <c r="AR403" i="29"/>
  <c r="AS403" i="29"/>
  <c r="AT403" i="29"/>
  <c r="AU403" i="29"/>
  <c r="AV403" i="29"/>
  <c r="AW403" i="29"/>
  <c r="AX403" i="29"/>
  <c r="AY403" i="29"/>
  <c r="AZ403" i="29"/>
  <c r="BA403" i="29"/>
  <c r="BB403" i="29"/>
  <c r="BC403" i="29"/>
  <c r="BF403" i="29"/>
  <c r="BG403" i="29"/>
  <c r="AA404" i="29"/>
  <c r="AB404" i="29"/>
  <c r="AC404" i="29"/>
  <c r="AD404" i="29"/>
  <c r="AE404" i="29"/>
  <c r="AF404" i="29"/>
  <c r="AG404" i="29"/>
  <c r="AH404" i="29"/>
  <c r="AI404" i="29"/>
  <c r="AJ404" i="29"/>
  <c r="AK404" i="29"/>
  <c r="AL404" i="29"/>
  <c r="AM404" i="29"/>
  <c r="AN404" i="29"/>
  <c r="AO404" i="29"/>
  <c r="AP404" i="29"/>
  <c r="AQ404" i="29"/>
  <c r="AR404" i="29"/>
  <c r="AS404" i="29"/>
  <c r="AT404" i="29"/>
  <c r="AU404" i="29"/>
  <c r="AV404" i="29"/>
  <c r="AW404" i="29"/>
  <c r="AX404" i="29"/>
  <c r="AY404" i="29"/>
  <c r="AZ404" i="29"/>
  <c r="BA404" i="29"/>
  <c r="BB404" i="29"/>
  <c r="BC404" i="29"/>
  <c r="BD404" i="29"/>
  <c r="BE404" i="29"/>
  <c r="BF404" i="29"/>
  <c r="BG404" i="29"/>
  <c r="AA405" i="29"/>
  <c r="AD405" i="29"/>
  <c r="AE405" i="29"/>
  <c r="AF405" i="29"/>
  <c r="AG405" i="29"/>
  <c r="AH405" i="29"/>
  <c r="AI405" i="29"/>
  <c r="AJ405" i="29"/>
  <c r="AK405" i="29"/>
  <c r="AL405" i="29"/>
  <c r="AM405" i="29"/>
  <c r="AN405" i="29"/>
  <c r="AO405" i="29"/>
  <c r="AP405" i="29"/>
  <c r="AQ405" i="29"/>
  <c r="AR405" i="29"/>
  <c r="AS405" i="29"/>
  <c r="AT405" i="29"/>
  <c r="AU405" i="29"/>
  <c r="AV405" i="29"/>
  <c r="AW405" i="29"/>
  <c r="AX405" i="29"/>
  <c r="AY405" i="29"/>
  <c r="AZ405" i="29"/>
  <c r="BA405" i="29"/>
  <c r="BB405" i="29"/>
  <c r="BC405" i="29"/>
  <c r="BD405" i="29"/>
  <c r="BE405" i="29"/>
  <c r="BF405" i="29"/>
  <c r="BG405" i="29"/>
  <c r="AB406" i="29"/>
  <c r="AC406" i="29"/>
  <c r="AD406" i="29"/>
  <c r="AE406" i="29"/>
  <c r="AF406" i="29"/>
  <c r="AG406" i="29"/>
  <c r="AH406" i="29"/>
  <c r="AI406" i="29"/>
  <c r="AJ406" i="29"/>
  <c r="AK406" i="29"/>
  <c r="AL406" i="29"/>
  <c r="AM406" i="29"/>
  <c r="AN406" i="29"/>
  <c r="AO406" i="29"/>
  <c r="AP406" i="29"/>
  <c r="AQ406" i="29"/>
  <c r="AR406" i="29"/>
  <c r="AS406" i="29"/>
  <c r="AT406" i="29"/>
  <c r="AU406" i="29"/>
  <c r="AV406" i="29"/>
  <c r="AW406" i="29"/>
  <c r="AX406" i="29"/>
  <c r="AY406" i="29"/>
  <c r="AZ406" i="29"/>
  <c r="BA406" i="29"/>
  <c r="BB406" i="29"/>
  <c r="BC406" i="29"/>
  <c r="BD406" i="29"/>
  <c r="BE406" i="29"/>
  <c r="BF406" i="29"/>
  <c r="BG406" i="29"/>
  <c r="AA407" i="29"/>
  <c r="AB407" i="29"/>
  <c r="AC407" i="29"/>
  <c r="AD407" i="29"/>
  <c r="AE407" i="29"/>
  <c r="AF407" i="29"/>
  <c r="AG407" i="29"/>
  <c r="AH407" i="29"/>
  <c r="AI407" i="29"/>
  <c r="AJ407" i="29"/>
  <c r="AK407" i="29"/>
  <c r="AL407" i="29"/>
  <c r="AM407" i="29"/>
  <c r="AN407" i="29"/>
  <c r="AO407" i="29"/>
  <c r="AP407" i="29"/>
  <c r="AQ407" i="29"/>
  <c r="AR407" i="29"/>
  <c r="AS407" i="29"/>
  <c r="AT407" i="29"/>
  <c r="AU407" i="29"/>
  <c r="AV407" i="29"/>
  <c r="AW407" i="29"/>
  <c r="AX407" i="29"/>
  <c r="AY407" i="29"/>
  <c r="AZ407" i="29"/>
  <c r="BA407" i="29"/>
  <c r="BD407" i="29"/>
  <c r="BE407" i="29"/>
  <c r="BF407" i="29"/>
  <c r="BG407" i="29"/>
  <c r="AA408" i="29"/>
  <c r="AB408" i="29"/>
  <c r="AC408" i="29"/>
  <c r="AD408" i="29"/>
  <c r="AE408" i="29"/>
  <c r="AH408" i="29"/>
  <c r="AI408" i="29"/>
  <c r="AJ408" i="29"/>
  <c r="AK408" i="29"/>
  <c r="AL408" i="29"/>
  <c r="AM408" i="29"/>
  <c r="AN408" i="29"/>
  <c r="AO408" i="29"/>
  <c r="AP408" i="29"/>
  <c r="AQ408" i="29"/>
  <c r="AR408" i="29"/>
  <c r="AS408" i="29"/>
  <c r="AT408" i="29"/>
  <c r="AU408" i="29"/>
  <c r="AV408" i="29"/>
  <c r="AW408" i="29"/>
  <c r="AX408" i="29"/>
  <c r="AY408" i="29"/>
  <c r="AZ408" i="29"/>
  <c r="BA408" i="29"/>
  <c r="BB408" i="29"/>
  <c r="BC408" i="29"/>
  <c r="BD408" i="29"/>
  <c r="BE408" i="29"/>
  <c r="BF408" i="29"/>
  <c r="BG408" i="29"/>
  <c r="AA409" i="29"/>
  <c r="AB409" i="29"/>
  <c r="AC409" i="29"/>
  <c r="AD409" i="29"/>
  <c r="AE409" i="29"/>
  <c r="AF409" i="29"/>
  <c r="AG409" i="29"/>
  <c r="AJ409" i="29"/>
  <c r="AK409" i="29"/>
  <c r="AL409" i="29"/>
  <c r="AM409" i="29"/>
  <c r="AN409" i="29"/>
  <c r="AO409" i="29"/>
  <c r="AP409" i="29"/>
  <c r="AQ409" i="29"/>
  <c r="AR409" i="29"/>
  <c r="AS409" i="29"/>
  <c r="AT409" i="29"/>
  <c r="AU409" i="29"/>
  <c r="AV409" i="29"/>
  <c r="AW409" i="29"/>
  <c r="AX409" i="29"/>
  <c r="AY409" i="29"/>
  <c r="AZ409" i="29"/>
  <c r="BA409" i="29"/>
  <c r="BB409" i="29"/>
  <c r="BC409" i="29"/>
  <c r="BD409" i="29"/>
  <c r="BE409" i="29"/>
  <c r="BF409" i="29"/>
  <c r="BG409" i="29"/>
  <c r="AA410" i="29"/>
  <c r="AB410" i="29"/>
  <c r="AC410" i="29"/>
  <c r="AD410" i="29"/>
  <c r="AE410" i="29"/>
  <c r="AF410" i="29"/>
  <c r="AG410" i="29"/>
  <c r="AH410" i="29"/>
  <c r="AI410" i="29"/>
  <c r="AJ410" i="29"/>
  <c r="AK410" i="29"/>
  <c r="AL410" i="29"/>
  <c r="AM410" i="29"/>
  <c r="AN410" i="29"/>
  <c r="AO410" i="29"/>
  <c r="AP410" i="29"/>
  <c r="AQ410" i="29"/>
  <c r="AR410" i="29"/>
  <c r="AS410" i="29"/>
  <c r="AT410" i="29"/>
  <c r="AU410" i="29"/>
  <c r="AX410" i="29"/>
  <c r="AY410" i="29"/>
  <c r="AZ410" i="29"/>
  <c r="BA410" i="29"/>
  <c r="BB410" i="29"/>
  <c r="BC410" i="29"/>
  <c r="BD410" i="29"/>
  <c r="BE410" i="29"/>
  <c r="BF410" i="29"/>
  <c r="BG410" i="29"/>
  <c r="AA411" i="29"/>
  <c r="AB411" i="29"/>
  <c r="AC411" i="29"/>
  <c r="AF411" i="29"/>
  <c r="AG411" i="29"/>
  <c r="AH411" i="29"/>
  <c r="AI411" i="29"/>
  <c r="AJ411" i="29"/>
  <c r="AK411" i="29"/>
  <c r="AL411" i="29"/>
  <c r="AM411" i="29"/>
  <c r="AN411" i="29"/>
  <c r="AO411" i="29"/>
  <c r="AP411" i="29"/>
  <c r="AQ411" i="29"/>
  <c r="AR411" i="29"/>
  <c r="AS411" i="29"/>
  <c r="AT411" i="29"/>
  <c r="AU411" i="29"/>
  <c r="AV411" i="29"/>
  <c r="AW411" i="29"/>
  <c r="AX411" i="29"/>
  <c r="AY411" i="29"/>
  <c r="AZ411" i="29"/>
  <c r="BA411" i="29"/>
  <c r="BB411" i="29"/>
  <c r="BC411" i="29"/>
  <c r="BD411" i="29"/>
  <c r="BE411" i="29"/>
  <c r="BF411" i="29"/>
  <c r="BG411" i="29"/>
  <c r="AA412" i="29"/>
  <c r="AB412" i="29"/>
  <c r="AC412" i="29"/>
  <c r="AD412" i="29"/>
  <c r="AE412" i="29"/>
  <c r="AF412" i="29"/>
  <c r="AG412" i="29"/>
  <c r="AH412" i="29"/>
  <c r="AI412" i="29"/>
  <c r="AJ412" i="29"/>
  <c r="AK412" i="29"/>
  <c r="AL412" i="29"/>
  <c r="AM412" i="29"/>
  <c r="AN412" i="29"/>
  <c r="AO412" i="29"/>
  <c r="AP412" i="29"/>
  <c r="AQ412" i="29"/>
  <c r="AT412" i="29"/>
  <c r="AU412" i="29"/>
  <c r="AV412" i="29"/>
  <c r="AW412" i="29"/>
  <c r="AX412" i="29"/>
  <c r="AY412" i="29"/>
  <c r="AZ412" i="29"/>
  <c r="BA412" i="29"/>
  <c r="BB412" i="29"/>
  <c r="BC412" i="29"/>
  <c r="BD412" i="29"/>
  <c r="BE412" i="29"/>
  <c r="BF412" i="29"/>
  <c r="BG412" i="29"/>
  <c r="AA413" i="29"/>
  <c r="AB413" i="29"/>
  <c r="AC413" i="29"/>
  <c r="AD413" i="29"/>
  <c r="AE413" i="29"/>
  <c r="AF413" i="29"/>
  <c r="AG413" i="29"/>
  <c r="AH413" i="29"/>
  <c r="AI413" i="29"/>
  <c r="AJ413" i="29"/>
  <c r="AK413" i="29"/>
  <c r="AL413" i="29"/>
  <c r="AM413" i="29"/>
  <c r="AP413" i="29"/>
  <c r="AQ413" i="29"/>
  <c r="AR413" i="29"/>
  <c r="AS413" i="29"/>
  <c r="AT413" i="29"/>
  <c r="AU413" i="29"/>
  <c r="AV413" i="29"/>
  <c r="AW413" i="29"/>
  <c r="AX413" i="29"/>
  <c r="AY413" i="29"/>
  <c r="AZ413" i="29"/>
  <c r="BA413" i="29"/>
  <c r="BB413" i="29"/>
  <c r="BC413" i="29"/>
  <c r="BD413" i="29"/>
  <c r="BE413" i="29"/>
  <c r="BF413" i="29"/>
  <c r="BG413" i="29"/>
  <c r="AA414" i="29"/>
  <c r="AB414" i="29"/>
  <c r="AC414" i="29"/>
  <c r="AD414" i="29"/>
  <c r="AE414" i="29"/>
  <c r="AF414" i="29"/>
  <c r="AG414" i="29"/>
  <c r="AH414" i="29"/>
  <c r="AI414" i="29"/>
  <c r="AJ414" i="29"/>
  <c r="AK414" i="29"/>
  <c r="AL414" i="29"/>
  <c r="AM414" i="29"/>
  <c r="AN414" i="29"/>
  <c r="AO414" i="29"/>
  <c r="AP414" i="29"/>
  <c r="AQ414" i="29"/>
  <c r="AR414" i="29"/>
  <c r="AS414" i="29"/>
  <c r="AT414" i="29"/>
  <c r="AU414" i="29"/>
  <c r="AV414" i="29"/>
  <c r="AW414" i="29"/>
  <c r="AX414" i="29"/>
  <c r="AY414" i="29"/>
  <c r="AZ414" i="29"/>
  <c r="BA414" i="29"/>
  <c r="BB414" i="29"/>
  <c r="BC414" i="29"/>
  <c r="BD414" i="29"/>
  <c r="BE414" i="29"/>
  <c r="BF414" i="29"/>
  <c r="BG414" i="29"/>
  <c r="AA415" i="29"/>
  <c r="AB415" i="29"/>
  <c r="AC415" i="29"/>
  <c r="AD415" i="29"/>
  <c r="AE415" i="29"/>
  <c r="AF415" i="29"/>
  <c r="AG415" i="29"/>
  <c r="AH415" i="29"/>
  <c r="AI415" i="29"/>
  <c r="AJ415" i="29"/>
  <c r="AK415" i="29"/>
  <c r="AL415" i="29"/>
  <c r="AM415" i="29"/>
  <c r="AN415" i="29"/>
  <c r="AO415" i="29"/>
  <c r="AP415" i="29"/>
  <c r="AQ415" i="29"/>
  <c r="AR415" i="29"/>
  <c r="AS415" i="29"/>
  <c r="AT415" i="29"/>
  <c r="AU415" i="29"/>
  <c r="AV415" i="29"/>
  <c r="AW415" i="29"/>
  <c r="AX415" i="29"/>
  <c r="AY415" i="29"/>
  <c r="AZ415" i="29"/>
  <c r="BA415" i="29"/>
  <c r="BB415" i="29"/>
  <c r="BC415" i="29"/>
  <c r="BD415" i="29"/>
  <c r="BE415" i="29"/>
  <c r="BF415" i="29"/>
  <c r="BG415" i="29"/>
  <c r="AB416" i="29"/>
  <c r="AC416" i="29"/>
  <c r="AD416" i="29"/>
  <c r="AE416" i="29"/>
  <c r="AF416" i="29"/>
  <c r="AG416" i="29"/>
  <c r="AH416" i="29"/>
  <c r="AI416" i="29"/>
  <c r="AJ416" i="29"/>
  <c r="AK416" i="29"/>
  <c r="AL416" i="29"/>
  <c r="AM416" i="29"/>
  <c r="AN416" i="29"/>
  <c r="AO416" i="29"/>
  <c r="AP416" i="29"/>
  <c r="AQ416" i="29"/>
  <c r="AR416" i="29"/>
  <c r="AS416" i="29"/>
  <c r="AT416" i="29"/>
  <c r="AU416" i="29"/>
  <c r="AV416" i="29"/>
  <c r="AW416" i="29"/>
  <c r="AX416" i="29"/>
  <c r="AY416" i="29"/>
  <c r="BB416" i="29"/>
  <c r="BC416" i="29"/>
  <c r="BD416" i="29"/>
  <c r="BE416" i="29"/>
  <c r="BF416" i="29"/>
  <c r="BG416" i="29"/>
  <c r="AA417" i="29"/>
  <c r="AB417" i="29"/>
  <c r="AC417" i="29"/>
  <c r="AD417" i="29"/>
  <c r="AE417" i="29"/>
  <c r="AF417" i="29"/>
  <c r="AG417" i="29"/>
  <c r="AH417" i="29"/>
  <c r="AI417" i="29"/>
  <c r="AJ417" i="29"/>
  <c r="AK417" i="29"/>
  <c r="AL417" i="29"/>
  <c r="AM417" i="29"/>
  <c r="AN417" i="29"/>
  <c r="AO417" i="29"/>
  <c r="AP417" i="29"/>
  <c r="AQ417" i="29"/>
  <c r="AR417" i="29"/>
  <c r="AS417" i="29"/>
  <c r="AT417" i="29"/>
  <c r="AU417" i="29"/>
  <c r="AV417" i="29"/>
  <c r="AW417" i="29"/>
  <c r="AX417" i="29"/>
  <c r="AY417" i="29"/>
  <c r="AZ417" i="29"/>
  <c r="BA417" i="29"/>
  <c r="BB417" i="29"/>
  <c r="BC417" i="29"/>
  <c r="BD417" i="29"/>
  <c r="BE417" i="29"/>
  <c r="BF417" i="29"/>
  <c r="BG417" i="29"/>
  <c r="AA418" i="29"/>
  <c r="AB418" i="29"/>
  <c r="AC418" i="29"/>
  <c r="AF418" i="29"/>
  <c r="AG418" i="29"/>
  <c r="AH418" i="29"/>
  <c r="AI418" i="29"/>
  <c r="AJ418" i="29"/>
  <c r="AK418" i="29"/>
  <c r="AL418" i="29"/>
  <c r="AM418" i="29"/>
  <c r="AN418" i="29"/>
  <c r="AO418" i="29"/>
  <c r="AP418" i="29"/>
  <c r="AQ418" i="29"/>
  <c r="AR418" i="29"/>
  <c r="AS418" i="29"/>
  <c r="AT418" i="29"/>
  <c r="AU418" i="29"/>
  <c r="AV418" i="29"/>
  <c r="AW418" i="29"/>
  <c r="AX418" i="29"/>
  <c r="AY418" i="29"/>
  <c r="AZ418" i="29"/>
  <c r="BA418" i="29"/>
  <c r="BD418" i="29"/>
  <c r="BE418" i="29"/>
  <c r="BF418" i="29"/>
  <c r="BG418" i="29"/>
  <c r="AA419" i="29"/>
  <c r="AB419" i="29"/>
  <c r="AC419" i="29"/>
  <c r="AF419" i="29"/>
  <c r="AG419" i="29"/>
  <c r="AH419" i="29"/>
  <c r="AI419" i="29"/>
  <c r="AJ419" i="29"/>
  <c r="AK419" i="29"/>
  <c r="AL419" i="29"/>
  <c r="AM419" i="29"/>
  <c r="AN419" i="29"/>
  <c r="AO419" i="29"/>
  <c r="AP419" i="29"/>
  <c r="AQ419" i="29"/>
  <c r="AR419" i="29"/>
  <c r="AS419" i="29"/>
  <c r="AT419" i="29"/>
  <c r="AU419" i="29"/>
  <c r="AV419" i="29"/>
  <c r="AW419" i="29"/>
  <c r="AX419" i="29"/>
  <c r="AY419" i="29"/>
  <c r="AZ419" i="29"/>
  <c r="BA419" i="29"/>
  <c r="BB419" i="29"/>
  <c r="BC419" i="29"/>
  <c r="BD419" i="29"/>
  <c r="BE419" i="29"/>
  <c r="BF419" i="29"/>
  <c r="BG419" i="29"/>
  <c r="AA420" i="29"/>
  <c r="AB420" i="29"/>
  <c r="AC420" i="29"/>
  <c r="AF420" i="29"/>
  <c r="AG420" i="29"/>
  <c r="AH420" i="29"/>
  <c r="AI420" i="29"/>
  <c r="AJ420" i="29"/>
  <c r="AK420" i="29"/>
  <c r="AL420" i="29"/>
  <c r="AM420" i="29"/>
  <c r="AN420" i="29"/>
  <c r="AO420" i="29"/>
  <c r="AP420" i="29"/>
  <c r="AQ420" i="29"/>
  <c r="AR420" i="29"/>
  <c r="AS420" i="29"/>
  <c r="AT420" i="29"/>
  <c r="AU420" i="29"/>
  <c r="AV420" i="29"/>
  <c r="AW420" i="29"/>
  <c r="AX420" i="29"/>
  <c r="AY420" i="29"/>
  <c r="AZ420" i="29"/>
  <c r="BA420" i="29"/>
  <c r="BD420" i="29"/>
  <c r="BE420" i="29"/>
  <c r="BF420" i="29"/>
  <c r="BG420" i="29"/>
  <c r="AA421" i="29"/>
  <c r="AB421" i="29"/>
  <c r="AC421" i="29"/>
  <c r="AD421" i="29"/>
  <c r="AE421" i="29"/>
  <c r="AF421" i="29"/>
  <c r="AG421" i="29"/>
  <c r="AJ421" i="29"/>
  <c r="AK421" i="29"/>
  <c r="AL421" i="29"/>
  <c r="AM421" i="29"/>
  <c r="AN421" i="29"/>
  <c r="AO421" i="29"/>
  <c r="AP421" i="29"/>
  <c r="AQ421" i="29"/>
  <c r="AR421" i="29"/>
  <c r="AS421" i="29"/>
  <c r="AT421" i="29"/>
  <c r="AU421" i="29"/>
  <c r="AX421" i="29"/>
  <c r="AY421" i="29"/>
  <c r="AZ421" i="29"/>
  <c r="BA421" i="29"/>
  <c r="BB421" i="29"/>
  <c r="BC421" i="29"/>
  <c r="BD421" i="29"/>
  <c r="BE421" i="29"/>
  <c r="BF421" i="29"/>
  <c r="BG421" i="29"/>
  <c r="AA422" i="29"/>
  <c r="AB422" i="29"/>
  <c r="AC422" i="29"/>
  <c r="AD422" i="29"/>
  <c r="AE422" i="29"/>
  <c r="AF422" i="29"/>
  <c r="AG422" i="29"/>
  <c r="AH422" i="29"/>
  <c r="AI422" i="29"/>
  <c r="AJ422" i="29"/>
  <c r="AK422" i="29"/>
  <c r="AL422" i="29"/>
  <c r="AM422" i="29"/>
  <c r="AN422" i="29"/>
  <c r="AO422" i="29"/>
  <c r="AP422" i="29"/>
  <c r="AQ422" i="29"/>
  <c r="AR422" i="29"/>
  <c r="AS422" i="29"/>
  <c r="AT422" i="29"/>
  <c r="AU422" i="29"/>
  <c r="AX422" i="29"/>
  <c r="AY422" i="29"/>
  <c r="AZ422" i="29"/>
  <c r="BA422" i="29"/>
  <c r="BB422" i="29"/>
  <c r="BC422" i="29"/>
  <c r="BD422" i="29"/>
  <c r="BE422" i="29"/>
  <c r="BF422" i="29"/>
  <c r="BG422" i="29"/>
  <c r="AA423" i="29"/>
  <c r="AB423" i="29"/>
  <c r="AC423" i="29"/>
  <c r="AD423" i="29"/>
  <c r="AE423" i="29"/>
  <c r="AF423" i="29"/>
  <c r="AG423" i="29"/>
  <c r="AH423" i="29"/>
  <c r="AI423" i="29"/>
  <c r="AJ423" i="29"/>
  <c r="AK423" i="29"/>
  <c r="AL423" i="29"/>
  <c r="AM423" i="29"/>
  <c r="AN423" i="29"/>
  <c r="AO423" i="29"/>
  <c r="AP423" i="29"/>
  <c r="AQ423" i="29"/>
  <c r="AR423" i="29"/>
  <c r="AS423" i="29"/>
  <c r="AT423" i="29"/>
  <c r="AU423" i="29"/>
  <c r="AX423" i="29"/>
  <c r="AY423" i="29"/>
  <c r="AZ423" i="29"/>
  <c r="BA423" i="29"/>
  <c r="BB423" i="29"/>
  <c r="BC423" i="29"/>
  <c r="BD423" i="29"/>
  <c r="BE423" i="29"/>
  <c r="BF423" i="29"/>
  <c r="BG423" i="29"/>
  <c r="AA424" i="29"/>
  <c r="AB424" i="29"/>
  <c r="AC424" i="29"/>
  <c r="AD424" i="29"/>
  <c r="AE424" i="29"/>
  <c r="AF424" i="29"/>
  <c r="AG424" i="29"/>
  <c r="AH424" i="29"/>
  <c r="AI424" i="29"/>
  <c r="AJ424" i="29"/>
  <c r="AK424" i="29"/>
  <c r="AL424" i="29"/>
  <c r="AM424" i="29"/>
  <c r="AN424" i="29"/>
  <c r="AO424" i="29"/>
  <c r="AP424" i="29"/>
  <c r="AQ424" i="29"/>
  <c r="AR424" i="29"/>
  <c r="AS424" i="29"/>
  <c r="AT424" i="29"/>
  <c r="AU424" i="29"/>
  <c r="AX424" i="29"/>
  <c r="AY424" i="29"/>
  <c r="AZ424" i="29"/>
  <c r="BA424" i="29"/>
  <c r="BB424" i="29"/>
  <c r="BC424" i="29"/>
  <c r="BD424" i="29"/>
  <c r="BE424" i="29"/>
  <c r="BF424" i="29"/>
  <c r="BG424" i="29"/>
  <c r="AA425" i="29"/>
  <c r="AB425" i="29"/>
  <c r="AC425" i="29"/>
  <c r="AD425" i="29"/>
  <c r="AE425" i="29"/>
  <c r="AF425" i="29"/>
  <c r="AG425" i="29"/>
  <c r="AH425" i="29"/>
  <c r="AI425" i="29"/>
  <c r="AJ425" i="29"/>
  <c r="AK425" i="29"/>
  <c r="AL425" i="29"/>
  <c r="AM425" i="29"/>
  <c r="AN425" i="29"/>
  <c r="AO425" i="29"/>
  <c r="AP425" i="29"/>
  <c r="AQ425" i="29"/>
  <c r="AR425" i="29"/>
  <c r="AS425" i="29"/>
  <c r="AT425" i="29"/>
  <c r="AU425" i="29"/>
  <c r="AX425" i="29"/>
  <c r="AY425" i="29"/>
  <c r="AZ425" i="29"/>
  <c r="BA425" i="29"/>
  <c r="BD425" i="29"/>
  <c r="BE425" i="29"/>
  <c r="BF425" i="29"/>
  <c r="BG425" i="29"/>
  <c r="AA426" i="29"/>
  <c r="AB426" i="29"/>
  <c r="AC426" i="29"/>
  <c r="AD426" i="29"/>
  <c r="AE426" i="29"/>
  <c r="AF426" i="29"/>
  <c r="AG426" i="29"/>
  <c r="AH426" i="29"/>
  <c r="AI426" i="29"/>
  <c r="AJ426" i="29"/>
  <c r="AK426" i="29"/>
  <c r="AL426" i="29"/>
  <c r="AM426" i="29"/>
  <c r="AN426" i="29"/>
  <c r="AO426" i="29"/>
  <c r="AP426" i="29"/>
  <c r="AQ426" i="29"/>
  <c r="AR426" i="29"/>
  <c r="AS426" i="29"/>
  <c r="AT426" i="29"/>
  <c r="AU426" i="29"/>
  <c r="AX426" i="29"/>
  <c r="AY426" i="29"/>
  <c r="AZ426" i="29"/>
  <c r="BA426" i="29"/>
  <c r="BB426" i="29"/>
  <c r="BC426" i="29"/>
  <c r="BD426" i="29"/>
  <c r="BE426" i="29"/>
  <c r="BF426" i="29"/>
  <c r="BG426" i="29"/>
  <c r="AA427" i="29"/>
  <c r="AB427" i="29"/>
  <c r="AC427" i="29"/>
  <c r="AD427" i="29"/>
  <c r="AE427" i="29"/>
  <c r="AF427" i="29"/>
  <c r="AG427" i="29"/>
  <c r="AH427" i="29"/>
  <c r="AI427" i="29"/>
  <c r="AJ427" i="29"/>
  <c r="AK427" i="29"/>
  <c r="AL427" i="29"/>
  <c r="AM427" i="29"/>
  <c r="AN427" i="29"/>
  <c r="AO427" i="29"/>
  <c r="AP427" i="29"/>
  <c r="AQ427" i="29"/>
  <c r="AR427" i="29"/>
  <c r="AS427" i="29"/>
  <c r="AT427" i="29"/>
  <c r="AU427" i="29"/>
  <c r="AX427" i="29"/>
  <c r="AY427" i="29"/>
  <c r="AZ427" i="29"/>
  <c r="BA427" i="29"/>
  <c r="BB427" i="29"/>
  <c r="BC427" i="29"/>
  <c r="BD427" i="29"/>
  <c r="BE427" i="29"/>
  <c r="BF427" i="29"/>
  <c r="BG427" i="29"/>
  <c r="AA428" i="29"/>
  <c r="AB428" i="29"/>
  <c r="AC428" i="29"/>
  <c r="AD428" i="29"/>
  <c r="AE428" i="29"/>
  <c r="AF428" i="29"/>
  <c r="AG428" i="29"/>
  <c r="AH428" i="29"/>
  <c r="AI428" i="29"/>
  <c r="AJ428" i="29"/>
  <c r="AK428" i="29"/>
  <c r="AL428" i="29"/>
  <c r="AM428" i="29"/>
  <c r="AN428" i="29"/>
  <c r="AO428" i="29"/>
  <c r="AP428" i="29"/>
  <c r="AQ428" i="29"/>
  <c r="AR428" i="29"/>
  <c r="AS428" i="29"/>
  <c r="AT428" i="29"/>
  <c r="AU428" i="29"/>
  <c r="AX428" i="29"/>
  <c r="AY428" i="29"/>
  <c r="AZ428" i="29"/>
  <c r="BA428" i="29"/>
  <c r="BB428" i="29"/>
  <c r="BC428" i="29"/>
  <c r="BD428" i="29"/>
  <c r="BE428" i="29"/>
  <c r="BF428" i="29"/>
  <c r="BG428" i="29"/>
  <c r="AA429" i="29"/>
  <c r="AB429" i="29"/>
  <c r="AC429" i="29"/>
  <c r="AD429" i="29"/>
  <c r="AE429" i="29"/>
  <c r="AF429" i="29"/>
  <c r="AG429" i="29"/>
  <c r="AH429" i="29"/>
  <c r="AI429" i="29"/>
  <c r="AJ429" i="29"/>
  <c r="AK429" i="29"/>
  <c r="AL429" i="29"/>
  <c r="AM429" i="29"/>
  <c r="AN429" i="29"/>
  <c r="AO429" i="29"/>
  <c r="AP429" i="29"/>
  <c r="AQ429" i="29"/>
  <c r="AR429" i="29"/>
  <c r="AS429" i="29"/>
  <c r="AT429" i="29"/>
  <c r="AU429" i="29"/>
  <c r="AX429" i="29"/>
  <c r="AY429" i="29"/>
  <c r="AZ429" i="29"/>
  <c r="BA429" i="29"/>
  <c r="BB429" i="29"/>
  <c r="BC429" i="29"/>
  <c r="BD429" i="29"/>
  <c r="BE429" i="29"/>
  <c r="BF429" i="29"/>
  <c r="BG429" i="29"/>
  <c r="AB430" i="29"/>
  <c r="AC430" i="29"/>
  <c r="AD430" i="29"/>
  <c r="AE430" i="29"/>
  <c r="AF430" i="29"/>
  <c r="AG430" i="29"/>
  <c r="AH430" i="29"/>
  <c r="AI430" i="29"/>
  <c r="AJ430" i="29"/>
  <c r="AK430" i="29"/>
  <c r="AL430" i="29"/>
  <c r="AM430" i="29"/>
  <c r="AN430" i="29"/>
  <c r="AO430" i="29"/>
  <c r="AP430" i="29"/>
  <c r="AQ430" i="29"/>
  <c r="AR430" i="29"/>
  <c r="AS430" i="29"/>
  <c r="AT430" i="29"/>
  <c r="AU430" i="29"/>
  <c r="AX430" i="29"/>
  <c r="AY430" i="29"/>
  <c r="AZ430" i="29"/>
  <c r="BA430" i="29"/>
  <c r="BB430" i="29"/>
  <c r="BC430" i="29"/>
  <c r="BD430" i="29"/>
  <c r="BE430" i="29"/>
  <c r="BF430" i="29"/>
  <c r="BG430" i="29"/>
  <c r="AA431" i="29"/>
  <c r="AB431" i="29"/>
  <c r="AC431" i="29"/>
  <c r="AD431" i="29"/>
  <c r="AE431" i="29"/>
  <c r="AF431" i="29"/>
  <c r="AG431" i="29"/>
  <c r="AH431" i="29"/>
  <c r="AI431" i="29"/>
  <c r="AJ431" i="29"/>
  <c r="AK431" i="29"/>
  <c r="AL431" i="29"/>
  <c r="AM431" i="29"/>
  <c r="AN431" i="29"/>
  <c r="AO431" i="29"/>
  <c r="AP431" i="29"/>
  <c r="AQ431" i="29"/>
  <c r="AR431" i="29"/>
  <c r="AS431" i="29"/>
  <c r="AT431" i="29"/>
  <c r="AU431" i="29"/>
  <c r="AX431" i="29"/>
  <c r="AY431" i="29"/>
  <c r="AZ431" i="29"/>
  <c r="BA431" i="29"/>
  <c r="BB431" i="29"/>
  <c r="BC431" i="29"/>
  <c r="BD431" i="29"/>
  <c r="BE431" i="29"/>
  <c r="BF431" i="29"/>
  <c r="BG431" i="29"/>
  <c r="AB432" i="29"/>
  <c r="AC432" i="29"/>
  <c r="AD432" i="29"/>
  <c r="AE432" i="29"/>
  <c r="AF432" i="29"/>
  <c r="AG432" i="29"/>
  <c r="AH432" i="29"/>
  <c r="AI432" i="29"/>
  <c r="AJ432" i="29"/>
  <c r="AK432" i="29"/>
  <c r="AL432" i="29"/>
  <c r="AM432" i="29"/>
  <c r="AN432" i="29"/>
  <c r="AO432" i="29"/>
  <c r="AP432" i="29"/>
  <c r="AQ432" i="29"/>
  <c r="AR432" i="29"/>
  <c r="AS432" i="29"/>
  <c r="AT432" i="29"/>
  <c r="AU432" i="29"/>
  <c r="AX432" i="29"/>
  <c r="AY432" i="29"/>
  <c r="AZ432" i="29"/>
  <c r="BA432" i="29"/>
  <c r="BB432" i="29"/>
  <c r="BC432" i="29"/>
  <c r="BD432" i="29"/>
  <c r="BE432" i="29"/>
  <c r="BF432" i="29"/>
  <c r="BG432" i="29"/>
  <c r="AA433" i="29"/>
  <c r="AB433" i="29"/>
  <c r="AC433" i="29"/>
  <c r="AD433" i="29"/>
  <c r="AE433" i="29"/>
  <c r="AF433" i="29"/>
  <c r="AG433" i="29"/>
  <c r="AH433" i="29"/>
  <c r="AI433" i="29"/>
  <c r="AJ433" i="29"/>
  <c r="AK433" i="29"/>
  <c r="AL433" i="29"/>
  <c r="AM433" i="29"/>
  <c r="AN433" i="29"/>
  <c r="AO433" i="29"/>
  <c r="AR433" i="29"/>
  <c r="AS433" i="29"/>
  <c r="AT433" i="29"/>
  <c r="AU433" i="29"/>
  <c r="AX433" i="29"/>
  <c r="AY433" i="29"/>
  <c r="AZ433" i="29"/>
  <c r="BA433" i="29"/>
  <c r="BB433" i="29"/>
  <c r="BC433" i="29"/>
  <c r="BD433" i="29"/>
  <c r="BE433" i="29"/>
  <c r="BF433" i="29"/>
  <c r="BG433" i="29"/>
  <c r="AA434" i="29"/>
  <c r="AB434" i="29"/>
  <c r="AC434" i="29"/>
  <c r="AD434" i="29"/>
  <c r="AE434" i="29"/>
  <c r="AF434" i="29"/>
  <c r="AG434" i="29"/>
  <c r="AH434" i="29"/>
  <c r="AI434" i="29"/>
  <c r="AJ434" i="29"/>
  <c r="AK434" i="29"/>
  <c r="AL434" i="29"/>
  <c r="AM434" i="29"/>
  <c r="AN434" i="29"/>
  <c r="AO434" i="29"/>
  <c r="AP434" i="29"/>
  <c r="AQ434" i="29"/>
  <c r="AR434" i="29"/>
  <c r="AS434" i="29"/>
  <c r="AT434" i="29"/>
  <c r="AU434" i="29"/>
  <c r="AX434" i="29"/>
  <c r="AY434" i="29"/>
  <c r="AZ434" i="29"/>
  <c r="BA434" i="29"/>
  <c r="BB434" i="29"/>
  <c r="BC434" i="29"/>
  <c r="BD434" i="29"/>
  <c r="BE434" i="29"/>
  <c r="BF434" i="29"/>
  <c r="BG434" i="29"/>
  <c r="AA435" i="29"/>
  <c r="AB435" i="29"/>
  <c r="AC435" i="29"/>
  <c r="AD435" i="29"/>
  <c r="AE435" i="29"/>
  <c r="AH435" i="29"/>
  <c r="AI435" i="29"/>
  <c r="AJ435" i="29"/>
  <c r="AK435" i="29"/>
  <c r="AL435" i="29"/>
  <c r="AM435" i="29"/>
  <c r="AN435" i="29"/>
  <c r="AO435" i="29"/>
  <c r="AP435" i="29"/>
  <c r="AQ435" i="29"/>
  <c r="AR435" i="29"/>
  <c r="AS435" i="29"/>
  <c r="AT435" i="29"/>
  <c r="AU435" i="29"/>
  <c r="AX435" i="29"/>
  <c r="AY435" i="29"/>
  <c r="AZ435" i="29"/>
  <c r="BA435" i="29"/>
  <c r="BB435" i="29"/>
  <c r="BC435" i="29"/>
  <c r="BD435" i="29"/>
  <c r="BE435" i="29"/>
  <c r="BF435" i="29"/>
  <c r="BG435" i="29"/>
  <c r="AA436" i="29"/>
  <c r="AB436" i="29"/>
  <c r="AC436" i="29"/>
  <c r="AD436" i="29"/>
  <c r="AE436" i="29"/>
  <c r="AF436" i="29"/>
  <c r="AG436" i="29"/>
  <c r="AH436" i="29"/>
  <c r="AI436" i="29"/>
  <c r="AJ436" i="29"/>
  <c r="AK436" i="29"/>
  <c r="AL436" i="29"/>
  <c r="AM436" i="29"/>
  <c r="AN436" i="29"/>
  <c r="AO436" i="29"/>
  <c r="AP436" i="29"/>
  <c r="AQ436" i="29"/>
  <c r="AT436" i="29"/>
  <c r="AU436" i="29"/>
  <c r="AV436" i="29"/>
  <c r="AW436" i="29"/>
  <c r="AX436" i="29"/>
  <c r="AY436" i="29"/>
  <c r="AZ436" i="29"/>
  <c r="BA436" i="29"/>
  <c r="BB436" i="29"/>
  <c r="BC436" i="29"/>
  <c r="BD436" i="29"/>
  <c r="BE436" i="29"/>
  <c r="BF436" i="29"/>
  <c r="BG436" i="29"/>
  <c r="AA437" i="29"/>
  <c r="AB437" i="29"/>
  <c r="AC437" i="29"/>
  <c r="AD437" i="29"/>
  <c r="AE437" i="29"/>
  <c r="AF437" i="29"/>
  <c r="AG437" i="29"/>
  <c r="AH437" i="29"/>
  <c r="AI437" i="29"/>
  <c r="AJ437" i="29"/>
  <c r="AK437" i="29"/>
  <c r="AL437" i="29"/>
  <c r="AM437" i="29"/>
  <c r="AN437" i="29"/>
  <c r="AO437" i="29"/>
  <c r="AP437" i="29"/>
  <c r="AQ437" i="29"/>
  <c r="AR437" i="29"/>
  <c r="AS437" i="29"/>
  <c r="AT437" i="29"/>
  <c r="AU437" i="29"/>
  <c r="AV437" i="29"/>
  <c r="AW437" i="29"/>
  <c r="AX437" i="29"/>
  <c r="AY437" i="29"/>
  <c r="AZ437" i="29"/>
  <c r="BA437" i="29"/>
  <c r="BB437" i="29"/>
  <c r="BC437" i="29"/>
  <c r="BD437" i="29"/>
  <c r="BE437" i="29"/>
  <c r="BF437" i="29"/>
  <c r="BG437" i="29"/>
  <c r="AA438" i="29"/>
  <c r="AB438" i="29"/>
  <c r="AC438" i="29"/>
  <c r="AD438" i="29"/>
  <c r="AE438" i="29"/>
  <c r="AF438" i="29"/>
  <c r="AG438" i="29"/>
  <c r="AH438" i="29"/>
  <c r="AI438" i="29"/>
  <c r="AJ438" i="29"/>
  <c r="AK438" i="29"/>
  <c r="AL438" i="29"/>
  <c r="AM438" i="29"/>
  <c r="AN438" i="29"/>
  <c r="AO438" i="29"/>
  <c r="AR438" i="29"/>
  <c r="AS438" i="29"/>
  <c r="AT438" i="29"/>
  <c r="AU438" i="29"/>
  <c r="AV438" i="29"/>
  <c r="AW438" i="29"/>
  <c r="AX438" i="29"/>
  <c r="AY438" i="29"/>
  <c r="AZ438" i="29"/>
  <c r="BA438" i="29"/>
  <c r="BD438" i="29"/>
  <c r="BE438" i="29"/>
  <c r="BF438" i="29"/>
  <c r="BG438" i="29"/>
  <c r="AA439" i="29"/>
  <c r="AB439" i="29"/>
  <c r="AC439" i="29"/>
  <c r="AD439" i="29"/>
  <c r="AE439" i="29"/>
  <c r="AF439" i="29"/>
  <c r="AG439" i="29"/>
  <c r="AH439" i="29"/>
  <c r="AI439" i="29"/>
  <c r="AJ439" i="29"/>
  <c r="AK439" i="29"/>
  <c r="AL439" i="29"/>
  <c r="AM439" i="29"/>
  <c r="AN439" i="29"/>
  <c r="AO439" i="29"/>
  <c r="AP439" i="29"/>
  <c r="AQ439" i="29"/>
  <c r="AR439" i="29"/>
  <c r="AS439" i="29"/>
  <c r="AT439" i="29"/>
  <c r="AU439" i="29"/>
  <c r="AV439" i="29"/>
  <c r="AW439" i="29"/>
  <c r="AX439" i="29"/>
  <c r="AY439" i="29"/>
  <c r="AZ439" i="29"/>
  <c r="BA439" i="29"/>
  <c r="BB439" i="29"/>
  <c r="BC439" i="29"/>
  <c r="BD439" i="29"/>
  <c r="BE439" i="29"/>
  <c r="BF439" i="29"/>
  <c r="BG439" i="29"/>
  <c r="AA440" i="29"/>
  <c r="AB440" i="29"/>
  <c r="AC440" i="29"/>
  <c r="AD440" i="29"/>
  <c r="AE440" i="29"/>
  <c r="AF440" i="29"/>
  <c r="AG440" i="29"/>
  <c r="AH440" i="29"/>
  <c r="AI440" i="29"/>
  <c r="AJ440" i="29"/>
  <c r="AK440" i="29"/>
  <c r="AL440" i="29"/>
  <c r="AM440" i="29"/>
  <c r="AN440" i="29"/>
  <c r="AO440" i="29"/>
  <c r="AP440" i="29"/>
  <c r="AQ440" i="29"/>
  <c r="AR440" i="29"/>
  <c r="AS440" i="29"/>
  <c r="AT440" i="29"/>
  <c r="AU440" i="29"/>
  <c r="AV440" i="29"/>
  <c r="AW440" i="29"/>
  <c r="AX440" i="29"/>
  <c r="AY440" i="29"/>
  <c r="AZ440" i="29"/>
  <c r="BA440" i="29"/>
  <c r="BB440" i="29"/>
  <c r="BC440" i="29"/>
  <c r="BD440" i="29"/>
  <c r="BE440" i="29"/>
  <c r="BF440" i="29"/>
  <c r="BG440" i="29"/>
  <c r="AA441" i="29"/>
  <c r="AB441" i="29"/>
  <c r="AC441" i="29"/>
  <c r="AD441" i="29"/>
  <c r="AE441" i="29"/>
  <c r="AF441" i="29"/>
  <c r="AG441" i="29"/>
  <c r="AH441" i="29"/>
  <c r="AI441" i="29"/>
  <c r="AJ441" i="29"/>
  <c r="AK441" i="29"/>
  <c r="AL441" i="29"/>
  <c r="AM441" i="29"/>
  <c r="AN441" i="29"/>
  <c r="AO441" i="29"/>
  <c r="AP441" i="29"/>
  <c r="AQ441" i="29"/>
  <c r="AR441" i="29"/>
  <c r="AS441" i="29"/>
  <c r="AT441" i="29"/>
  <c r="AU441" i="29"/>
  <c r="AX441" i="29"/>
  <c r="AY441" i="29"/>
  <c r="AZ441" i="29"/>
  <c r="BA441" i="29"/>
  <c r="BB441" i="29"/>
  <c r="BC441" i="29"/>
  <c r="BD441" i="29"/>
  <c r="BE441" i="29"/>
  <c r="BF441" i="29"/>
  <c r="BG441" i="29"/>
  <c r="AA442" i="29"/>
  <c r="AB442" i="29"/>
  <c r="AC442" i="29"/>
  <c r="AD442" i="29"/>
  <c r="AE442" i="29"/>
  <c r="AF442" i="29"/>
  <c r="AG442" i="29"/>
  <c r="AH442" i="29"/>
  <c r="AI442" i="29"/>
  <c r="AL442" i="29"/>
  <c r="AM442" i="29"/>
  <c r="AN442" i="29"/>
  <c r="AO442" i="29"/>
  <c r="AP442" i="29"/>
  <c r="AQ442" i="29"/>
  <c r="AR442" i="29"/>
  <c r="AS442" i="29"/>
  <c r="AT442" i="29"/>
  <c r="AU442" i="29"/>
  <c r="AX442" i="29"/>
  <c r="AY442" i="29"/>
  <c r="AZ442" i="29"/>
  <c r="BA442" i="29"/>
  <c r="BB442" i="29"/>
  <c r="BC442" i="29"/>
  <c r="BD442" i="29"/>
  <c r="BE442" i="29"/>
  <c r="BF442" i="29"/>
  <c r="BG442" i="29"/>
  <c r="AA443" i="29"/>
  <c r="AB443" i="29"/>
  <c r="AC443" i="29"/>
  <c r="AD443" i="29"/>
  <c r="AE443" i="29"/>
  <c r="AF443" i="29"/>
  <c r="AG443" i="29"/>
  <c r="AH443" i="29"/>
  <c r="AI443" i="29"/>
  <c r="AJ443" i="29"/>
  <c r="AK443" i="29"/>
  <c r="AL443" i="29"/>
  <c r="AM443" i="29"/>
  <c r="AN443" i="29"/>
  <c r="AO443" i="29"/>
  <c r="AP443" i="29"/>
  <c r="AQ443" i="29"/>
  <c r="AR443" i="29"/>
  <c r="AS443" i="29"/>
  <c r="AT443" i="29"/>
  <c r="AU443" i="29"/>
  <c r="AX443" i="29"/>
  <c r="AY443" i="29"/>
  <c r="AZ443" i="29"/>
  <c r="BA443" i="29"/>
  <c r="BB443" i="29"/>
  <c r="BC443" i="29"/>
  <c r="BD443" i="29"/>
  <c r="BE443" i="29"/>
  <c r="BF443" i="29"/>
  <c r="BG443" i="29"/>
  <c r="AA444" i="29"/>
  <c r="AB444" i="29"/>
  <c r="AC444" i="29"/>
  <c r="AD444" i="29"/>
  <c r="AE444" i="29"/>
  <c r="AF444" i="29"/>
  <c r="AG444" i="29"/>
  <c r="AJ444" i="29"/>
  <c r="AK444" i="29"/>
  <c r="AL444" i="29"/>
  <c r="AM444" i="29"/>
  <c r="AN444" i="29"/>
  <c r="AO444" i="29"/>
  <c r="AP444" i="29"/>
  <c r="AQ444" i="29"/>
  <c r="AR444" i="29"/>
  <c r="AS444" i="29"/>
  <c r="AT444" i="29"/>
  <c r="AU444" i="29"/>
  <c r="AX444" i="29"/>
  <c r="AY444" i="29"/>
  <c r="AZ444" i="29"/>
  <c r="BA444" i="29"/>
  <c r="BB444" i="29"/>
  <c r="BC444" i="29"/>
  <c r="BD444" i="29"/>
  <c r="BE444" i="29"/>
  <c r="BF444" i="29"/>
  <c r="BG444" i="29"/>
  <c r="AA445" i="29"/>
  <c r="AB445" i="29"/>
  <c r="AC445" i="29"/>
  <c r="AD445" i="29"/>
  <c r="AE445" i="29"/>
  <c r="AF445" i="29"/>
  <c r="AG445" i="29"/>
  <c r="AH445" i="29"/>
  <c r="AI445" i="29"/>
  <c r="AL445" i="29"/>
  <c r="AM445" i="29"/>
  <c r="AN445" i="29"/>
  <c r="AO445" i="29"/>
  <c r="AP445" i="29"/>
  <c r="AQ445" i="29"/>
  <c r="AR445" i="29"/>
  <c r="AS445" i="29"/>
  <c r="AT445" i="29"/>
  <c r="AU445" i="29"/>
  <c r="AX445" i="29"/>
  <c r="AY445" i="29"/>
  <c r="AZ445" i="29"/>
  <c r="BA445" i="29"/>
  <c r="BB445" i="29"/>
  <c r="BC445" i="29"/>
  <c r="BD445" i="29"/>
  <c r="BE445" i="29"/>
  <c r="BF445" i="29"/>
  <c r="BG445" i="29"/>
  <c r="AA446" i="29"/>
  <c r="AB446" i="29"/>
  <c r="AC446" i="29"/>
  <c r="AD446" i="29"/>
  <c r="AE446" i="29"/>
  <c r="AF446" i="29"/>
  <c r="AG446" i="29"/>
  <c r="AH446" i="29"/>
  <c r="AI446" i="29"/>
  <c r="AJ446" i="29"/>
  <c r="AK446" i="29"/>
  <c r="AL446" i="29"/>
  <c r="AM446" i="29"/>
  <c r="AN446" i="29"/>
  <c r="AO446" i="29"/>
  <c r="AR446" i="29"/>
  <c r="AS446" i="29"/>
  <c r="AT446" i="29"/>
  <c r="AU446" i="29"/>
  <c r="AX446" i="29"/>
  <c r="AY446" i="29"/>
  <c r="AZ446" i="29"/>
  <c r="BA446" i="29"/>
  <c r="BB446" i="29"/>
  <c r="BC446" i="29"/>
  <c r="BD446" i="29"/>
  <c r="BE446" i="29"/>
  <c r="BF446" i="29"/>
  <c r="BG446" i="29"/>
  <c r="AA447" i="29"/>
  <c r="AB447" i="29"/>
  <c r="AC447" i="29"/>
  <c r="AD447" i="29"/>
  <c r="AE447" i="29"/>
  <c r="AF447" i="29"/>
  <c r="AG447" i="29"/>
  <c r="AH447" i="29"/>
  <c r="AI447" i="29"/>
  <c r="AJ447" i="29"/>
  <c r="AK447" i="29"/>
  <c r="AL447" i="29"/>
  <c r="AM447" i="29"/>
  <c r="AN447" i="29"/>
  <c r="AO447" i="29"/>
  <c r="AP447" i="29"/>
  <c r="AQ447" i="29"/>
  <c r="AR447" i="29"/>
  <c r="AS447" i="29"/>
  <c r="AT447" i="29"/>
  <c r="AU447" i="29"/>
  <c r="AX447" i="29"/>
  <c r="AY447" i="29"/>
  <c r="AZ447" i="29"/>
  <c r="BA447" i="29"/>
  <c r="BB447" i="29"/>
  <c r="BC447" i="29"/>
  <c r="BD447" i="29"/>
  <c r="BE447" i="29"/>
  <c r="BF447" i="29"/>
  <c r="BG447" i="29"/>
  <c r="AA448" i="29"/>
  <c r="AD448" i="29"/>
  <c r="AE448" i="29"/>
  <c r="AF448" i="29"/>
  <c r="AG448" i="29"/>
  <c r="AH448" i="29"/>
  <c r="AI448" i="29"/>
  <c r="AJ448" i="29"/>
  <c r="AK448" i="29"/>
  <c r="AL448" i="29"/>
  <c r="AM448" i="29"/>
  <c r="AN448" i="29"/>
  <c r="AO448" i="29"/>
  <c r="AP448" i="29"/>
  <c r="AQ448" i="29"/>
  <c r="AR448" i="29"/>
  <c r="AS448" i="29"/>
  <c r="AT448" i="29"/>
  <c r="AU448" i="29"/>
  <c r="AX448" i="29"/>
  <c r="AY448" i="29"/>
  <c r="AZ448" i="29"/>
  <c r="BA448" i="29"/>
  <c r="BB448" i="29"/>
  <c r="BC448" i="29"/>
  <c r="BD448" i="29"/>
  <c r="BE448" i="29"/>
  <c r="BF448" i="29"/>
  <c r="BG448" i="29"/>
  <c r="AA449" i="29"/>
  <c r="AB449" i="29"/>
  <c r="AC449" i="29"/>
  <c r="AD449" i="29"/>
  <c r="AE449" i="29"/>
  <c r="AF449" i="29"/>
  <c r="AG449" i="29"/>
  <c r="AH449" i="29"/>
  <c r="AI449" i="29"/>
  <c r="AJ449" i="29"/>
  <c r="AK449" i="29"/>
  <c r="AL449" i="29"/>
  <c r="AM449" i="29"/>
  <c r="AN449" i="29"/>
  <c r="AO449" i="29"/>
  <c r="AP449" i="29"/>
  <c r="AQ449" i="29"/>
  <c r="AR449" i="29"/>
  <c r="AS449" i="29"/>
  <c r="AT449" i="29"/>
  <c r="AU449" i="29"/>
  <c r="AX449" i="29"/>
  <c r="AY449" i="29"/>
  <c r="AZ449" i="29"/>
  <c r="BA449" i="29"/>
  <c r="BD449" i="29"/>
  <c r="BE449" i="29"/>
  <c r="BF449" i="29"/>
  <c r="BG449" i="29"/>
  <c r="AA450" i="29"/>
  <c r="AB450" i="29"/>
  <c r="AC450" i="29"/>
  <c r="AD450" i="29"/>
  <c r="AE450" i="29"/>
  <c r="AF450" i="29"/>
  <c r="AG450" i="29"/>
  <c r="AH450" i="29"/>
  <c r="AI450" i="29"/>
  <c r="AJ450" i="29"/>
  <c r="AK450" i="29"/>
  <c r="AL450" i="29"/>
  <c r="AM450" i="29"/>
  <c r="AN450" i="29"/>
  <c r="AO450" i="29"/>
  <c r="AP450" i="29"/>
  <c r="AQ450" i="29"/>
  <c r="AR450" i="29"/>
  <c r="AS450" i="29"/>
  <c r="AT450" i="29"/>
  <c r="AU450" i="29"/>
  <c r="AX450" i="29"/>
  <c r="AY450" i="29"/>
  <c r="AZ450" i="29"/>
  <c r="BA450" i="29"/>
  <c r="BB450" i="29"/>
  <c r="BC450" i="29"/>
  <c r="BD450" i="29"/>
  <c r="BE450" i="29"/>
  <c r="BF450" i="29"/>
  <c r="BG450" i="29"/>
  <c r="AA451" i="29"/>
  <c r="AB451" i="29"/>
  <c r="AC451" i="29"/>
  <c r="AD451" i="29"/>
  <c r="AE451" i="29"/>
  <c r="AF451" i="29"/>
  <c r="AG451" i="29"/>
  <c r="AH451" i="29"/>
  <c r="AI451" i="29"/>
  <c r="AJ451" i="29"/>
  <c r="AK451" i="29"/>
  <c r="AL451" i="29"/>
  <c r="AM451" i="29"/>
  <c r="AN451" i="29"/>
  <c r="AO451" i="29"/>
  <c r="AP451" i="29"/>
  <c r="AQ451" i="29"/>
  <c r="AR451" i="29"/>
  <c r="AS451" i="29"/>
  <c r="AT451" i="29"/>
  <c r="AU451" i="29"/>
  <c r="AX451" i="29"/>
  <c r="AY451" i="29"/>
  <c r="AZ451" i="29"/>
  <c r="BA451" i="29"/>
  <c r="BB451" i="29"/>
  <c r="BC451" i="29"/>
  <c r="BD451" i="29"/>
  <c r="BE451" i="29"/>
  <c r="BF451" i="29"/>
  <c r="BG451" i="29"/>
  <c r="AA452" i="29"/>
  <c r="AB452" i="29"/>
  <c r="AC452" i="29"/>
  <c r="AD452" i="29"/>
  <c r="AE452" i="29"/>
  <c r="AF452" i="29"/>
  <c r="AG452" i="29"/>
  <c r="AH452" i="29"/>
  <c r="AI452" i="29"/>
  <c r="AJ452" i="29"/>
  <c r="AK452" i="29"/>
  <c r="AL452" i="29"/>
  <c r="AM452" i="29"/>
  <c r="AN452" i="29"/>
  <c r="AO452" i="29"/>
  <c r="AP452" i="29"/>
  <c r="AQ452" i="29"/>
  <c r="AR452" i="29"/>
  <c r="AS452" i="29"/>
  <c r="AT452" i="29"/>
  <c r="AU452" i="29"/>
  <c r="AX452" i="29"/>
  <c r="AY452" i="29"/>
  <c r="AZ452" i="29"/>
  <c r="BA452" i="29"/>
  <c r="BB452" i="29"/>
  <c r="BC452" i="29"/>
  <c r="BD452" i="29"/>
  <c r="BE452" i="29"/>
  <c r="BF452" i="29"/>
  <c r="BG452" i="29"/>
  <c r="AA453" i="29"/>
  <c r="AB453" i="29"/>
  <c r="AC453" i="29"/>
  <c r="AD453" i="29"/>
  <c r="AE453" i="29"/>
  <c r="AF453" i="29"/>
  <c r="AG453" i="29"/>
  <c r="AH453" i="29"/>
  <c r="AI453" i="29"/>
  <c r="AJ453" i="29"/>
  <c r="AK453" i="29"/>
  <c r="AL453" i="29"/>
  <c r="AM453" i="29"/>
  <c r="AN453" i="29"/>
  <c r="AO453" i="29"/>
  <c r="AR453" i="29"/>
  <c r="AS453" i="29"/>
  <c r="AT453" i="29"/>
  <c r="AU453" i="29"/>
  <c r="AX453" i="29"/>
  <c r="AY453" i="29"/>
  <c r="AZ453" i="29"/>
  <c r="BA453" i="29"/>
  <c r="BB453" i="29"/>
  <c r="BC453" i="29"/>
  <c r="BD453" i="29"/>
  <c r="BE453" i="29"/>
  <c r="BF453" i="29"/>
  <c r="BG453" i="29"/>
  <c r="AA454" i="29"/>
  <c r="AB454" i="29"/>
  <c r="AC454" i="29"/>
  <c r="AD454" i="29"/>
  <c r="AE454" i="29"/>
  <c r="AF454" i="29"/>
  <c r="AG454" i="29"/>
  <c r="AH454" i="29"/>
  <c r="AI454" i="29"/>
  <c r="AJ454" i="29"/>
  <c r="AK454" i="29"/>
  <c r="AL454" i="29"/>
  <c r="AM454" i="29"/>
  <c r="AN454" i="29"/>
  <c r="AO454" i="29"/>
  <c r="AP454" i="29"/>
  <c r="AQ454" i="29"/>
  <c r="AR454" i="29"/>
  <c r="AS454" i="29"/>
  <c r="AT454" i="29"/>
  <c r="AU454" i="29"/>
  <c r="AX454" i="29"/>
  <c r="AY454" i="29"/>
  <c r="AZ454" i="29"/>
  <c r="BA454" i="29"/>
  <c r="BB454" i="29"/>
  <c r="BC454" i="29"/>
  <c r="BD454" i="29"/>
  <c r="BE454" i="29"/>
  <c r="BF454" i="29"/>
  <c r="BG454" i="29"/>
  <c r="AA455" i="29"/>
  <c r="AB455" i="29"/>
  <c r="AC455" i="29"/>
  <c r="AF455" i="29"/>
  <c r="AG455" i="29"/>
  <c r="AH455" i="29"/>
  <c r="AI455" i="29"/>
  <c r="AJ455" i="29"/>
  <c r="AK455" i="29"/>
  <c r="AL455" i="29"/>
  <c r="AM455" i="29"/>
  <c r="AN455" i="29"/>
  <c r="AO455" i="29"/>
  <c r="AP455" i="29"/>
  <c r="AQ455" i="29"/>
  <c r="AR455" i="29"/>
  <c r="AS455" i="29"/>
  <c r="AT455" i="29"/>
  <c r="AU455" i="29"/>
  <c r="AX455" i="29"/>
  <c r="AY455" i="29"/>
  <c r="AZ455" i="29"/>
  <c r="BA455" i="29"/>
  <c r="BB455" i="29"/>
  <c r="BC455" i="29"/>
  <c r="BD455" i="29"/>
  <c r="BE455" i="29"/>
  <c r="BF455" i="29"/>
  <c r="BG455" i="29"/>
  <c r="AA456" i="29"/>
  <c r="AB456" i="29"/>
  <c r="AC456" i="29"/>
  <c r="AD456" i="29"/>
  <c r="AE456" i="29"/>
  <c r="AF456" i="29"/>
  <c r="AG456" i="29"/>
  <c r="AH456" i="29"/>
  <c r="AI456" i="29"/>
  <c r="AJ456" i="29"/>
  <c r="AK456" i="29"/>
  <c r="AL456" i="29"/>
  <c r="AM456" i="29"/>
  <c r="AN456" i="29"/>
  <c r="AO456" i="29"/>
  <c r="AP456" i="29"/>
  <c r="AQ456" i="29"/>
  <c r="AT456" i="29"/>
  <c r="AU456" i="29"/>
  <c r="AX456" i="29"/>
  <c r="AY456" i="29"/>
  <c r="AZ456" i="29"/>
  <c r="BA456" i="29"/>
  <c r="BB456" i="29"/>
  <c r="BC456" i="29"/>
  <c r="BD456" i="29"/>
  <c r="BE456" i="29"/>
  <c r="BF456" i="29"/>
  <c r="BG456" i="29"/>
  <c r="AA457" i="29"/>
  <c r="AB457" i="29"/>
  <c r="AC457" i="29"/>
  <c r="AD457" i="29"/>
  <c r="AE457" i="29"/>
  <c r="AF457" i="29"/>
  <c r="AG457" i="29"/>
  <c r="AH457" i="29"/>
  <c r="AI457" i="29"/>
  <c r="AJ457" i="29"/>
  <c r="AK457" i="29"/>
  <c r="AL457" i="29"/>
  <c r="AM457" i="29"/>
  <c r="AN457" i="29"/>
  <c r="AO457" i="29"/>
  <c r="AP457" i="29"/>
  <c r="AQ457" i="29"/>
  <c r="AR457" i="29"/>
  <c r="AS457" i="29"/>
  <c r="AT457" i="29"/>
  <c r="AU457" i="29"/>
  <c r="AX457" i="29"/>
  <c r="AY457" i="29"/>
  <c r="AZ457" i="29"/>
  <c r="BA457" i="29"/>
  <c r="BB457" i="29"/>
  <c r="BC457" i="29"/>
  <c r="BD457" i="29"/>
  <c r="BE457" i="29"/>
  <c r="BF457" i="29"/>
  <c r="BG457" i="29"/>
  <c r="AA458" i="29"/>
  <c r="AB458" i="29"/>
  <c r="AC458" i="29"/>
  <c r="AD458" i="29"/>
  <c r="AE458" i="29"/>
  <c r="AF458" i="29"/>
  <c r="AG458" i="29"/>
  <c r="AH458" i="29"/>
  <c r="AI458" i="29"/>
  <c r="AJ458" i="29"/>
  <c r="AK458" i="29"/>
  <c r="AL458" i="29"/>
  <c r="AM458" i="29"/>
  <c r="AN458" i="29"/>
  <c r="AO458" i="29"/>
  <c r="AP458" i="29"/>
  <c r="AQ458" i="29"/>
  <c r="AR458" i="29"/>
  <c r="AS458" i="29"/>
  <c r="AT458" i="29"/>
  <c r="AU458" i="29"/>
  <c r="AX458" i="29"/>
  <c r="AY458" i="29"/>
  <c r="AZ458" i="29"/>
  <c r="BA458" i="29"/>
  <c r="BB458" i="29"/>
  <c r="BC458" i="29"/>
  <c r="BD458" i="29"/>
  <c r="BE458" i="29"/>
  <c r="BF458" i="29"/>
  <c r="BG458" i="29"/>
  <c r="AA459" i="29"/>
  <c r="AB459" i="29"/>
  <c r="AC459" i="29"/>
  <c r="AD459" i="29"/>
  <c r="AE459" i="29"/>
  <c r="AF459" i="29"/>
  <c r="AG459" i="29"/>
  <c r="AH459" i="29"/>
  <c r="AI459" i="29"/>
  <c r="AJ459" i="29"/>
  <c r="AK459" i="29"/>
  <c r="AL459" i="29"/>
  <c r="AM459" i="29"/>
  <c r="AN459" i="29"/>
  <c r="AO459" i="29"/>
  <c r="AP459" i="29"/>
  <c r="AQ459" i="29"/>
  <c r="AT459" i="29"/>
  <c r="AU459" i="29"/>
  <c r="AX459" i="29"/>
  <c r="AY459" i="29"/>
  <c r="AZ459" i="29"/>
  <c r="BA459" i="29"/>
  <c r="BB459" i="29"/>
  <c r="BC459" i="29"/>
  <c r="BD459" i="29"/>
  <c r="BE459" i="29"/>
  <c r="BF459" i="29"/>
  <c r="BG459" i="29"/>
  <c r="AA460" i="29"/>
  <c r="AB460" i="29"/>
  <c r="AC460" i="29"/>
  <c r="AD460" i="29"/>
  <c r="AE460" i="29"/>
  <c r="AF460" i="29"/>
  <c r="AG460" i="29"/>
  <c r="AH460" i="29"/>
  <c r="AI460" i="29"/>
  <c r="AJ460" i="29"/>
  <c r="AK460" i="29"/>
  <c r="AL460" i="29"/>
  <c r="AM460" i="29"/>
  <c r="AN460" i="29"/>
  <c r="AO460" i="29"/>
  <c r="AP460" i="29"/>
  <c r="AQ460" i="29"/>
  <c r="AR460" i="29"/>
  <c r="AS460" i="29"/>
  <c r="AT460" i="29"/>
  <c r="AU460" i="29"/>
  <c r="AX460" i="29"/>
  <c r="AY460" i="29"/>
  <c r="AZ460" i="29"/>
  <c r="BA460" i="29"/>
  <c r="BB460" i="29"/>
  <c r="BC460" i="29"/>
  <c r="BD460" i="29"/>
  <c r="BE460" i="29"/>
  <c r="BF460" i="29"/>
  <c r="BG460" i="29"/>
  <c r="AA461" i="29"/>
  <c r="AB461" i="29"/>
  <c r="AC461" i="29"/>
  <c r="AD461" i="29"/>
  <c r="AE461" i="29"/>
  <c r="AF461" i="29"/>
  <c r="AG461" i="29"/>
  <c r="AH461" i="29"/>
  <c r="AI461" i="29"/>
  <c r="AJ461" i="29"/>
  <c r="AK461" i="29"/>
  <c r="AL461" i="29"/>
  <c r="AM461" i="29"/>
  <c r="AN461" i="29"/>
  <c r="AO461" i="29"/>
  <c r="AP461" i="29"/>
  <c r="AQ461" i="29"/>
  <c r="AR461" i="29"/>
  <c r="AS461" i="29"/>
  <c r="AT461" i="29"/>
  <c r="AU461" i="29"/>
  <c r="AX461" i="29"/>
  <c r="AY461" i="29"/>
  <c r="AZ461" i="29"/>
  <c r="BA461" i="29"/>
  <c r="BB461" i="29"/>
  <c r="BC461" i="29"/>
  <c r="BD461" i="29"/>
  <c r="BE461" i="29"/>
  <c r="BF461" i="29"/>
  <c r="BG461" i="29"/>
  <c r="AA462" i="29"/>
  <c r="AB462" i="29"/>
  <c r="AC462" i="29"/>
  <c r="AD462" i="29"/>
  <c r="AE462" i="29"/>
  <c r="AF462" i="29"/>
  <c r="AG462" i="29"/>
  <c r="AH462" i="29"/>
  <c r="AI462" i="29"/>
  <c r="AJ462" i="29"/>
  <c r="AK462" i="29"/>
  <c r="AL462" i="29"/>
  <c r="AM462" i="29"/>
  <c r="AN462" i="29"/>
  <c r="AO462" i="29"/>
  <c r="AR462" i="29"/>
  <c r="AS462" i="29"/>
  <c r="AT462" i="29"/>
  <c r="AU462" i="29"/>
  <c r="AX462" i="29"/>
  <c r="AY462" i="29"/>
  <c r="AZ462" i="29"/>
  <c r="BA462" i="29"/>
  <c r="BB462" i="29"/>
  <c r="BC462" i="29"/>
  <c r="BD462" i="29"/>
  <c r="BE462" i="29"/>
  <c r="BF462" i="29"/>
  <c r="BG462" i="29"/>
  <c r="AA463" i="29"/>
  <c r="AB463" i="29"/>
  <c r="AC463" i="29"/>
  <c r="AD463" i="29"/>
  <c r="AE463" i="29"/>
  <c r="AF463" i="29"/>
  <c r="AG463" i="29"/>
  <c r="AH463" i="29"/>
  <c r="AI463" i="29"/>
  <c r="AJ463" i="29"/>
  <c r="AK463" i="29"/>
  <c r="AL463" i="29"/>
  <c r="AM463" i="29"/>
  <c r="AN463" i="29"/>
  <c r="AO463" i="29"/>
  <c r="AP463" i="29"/>
  <c r="AQ463" i="29"/>
  <c r="AR463" i="29"/>
  <c r="AS463" i="29"/>
  <c r="AT463" i="29"/>
  <c r="AU463" i="29"/>
  <c r="AX463" i="29"/>
  <c r="AY463" i="29"/>
  <c r="AZ463" i="29"/>
  <c r="BA463" i="29"/>
  <c r="BB463" i="29"/>
  <c r="BC463" i="29"/>
  <c r="BD463" i="29"/>
  <c r="BE463" i="29"/>
  <c r="BF463" i="29"/>
  <c r="BG463" i="29"/>
  <c r="AA464" i="29"/>
  <c r="AB464" i="29"/>
  <c r="AC464" i="29"/>
  <c r="AD464" i="29"/>
  <c r="AE464" i="29"/>
  <c r="AF464" i="29"/>
  <c r="AG464" i="29"/>
  <c r="AH464" i="29"/>
  <c r="AI464" i="29"/>
  <c r="AJ464" i="29"/>
  <c r="AK464" i="29"/>
  <c r="AL464" i="29"/>
  <c r="AM464" i="29"/>
  <c r="AN464" i="29"/>
  <c r="AO464" i="29"/>
  <c r="AP464" i="29"/>
  <c r="AQ464" i="29"/>
  <c r="AR464" i="29"/>
  <c r="AS464" i="29"/>
  <c r="AT464" i="29"/>
  <c r="AU464" i="29"/>
  <c r="AX464" i="29"/>
  <c r="AY464" i="29"/>
  <c r="AZ464" i="29"/>
  <c r="BA464" i="29"/>
  <c r="BD464" i="29"/>
  <c r="BE464" i="29"/>
  <c r="BF464" i="29"/>
  <c r="BG464" i="29"/>
  <c r="AA465" i="29"/>
  <c r="AB465" i="29"/>
  <c r="AC465" i="29"/>
  <c r="AD465" i="29"/>
  <c r="AE465" i="29"/>
  <c r="AF465" i="29"/>
  <c r="AG465" i="29"/>
  <c r="AH465" i="29"/>
  <c r="AI465" i="29"/>
  <c r="AJ465" i="29"/>
  <c r="AK465" i="29"/>
  <c r="AL465" i="29"/>
  <c r="AM465" i="29"/>
  <c r="AN465" i="29"/>
  <c r="AO465" i="29"/>
  <c r="AP465" i="29"/>
  <c r="AQ465" i="29"/>
  <c r="AR465" i="29"/>
  <c r="AS465" i="29"/>
  <c r="AT465" i="29"/>
  <c r="AU465" i="29"/>
  <c r="AX465" i="29"/>
  <c r="AY465" i="29"/>
  <c r="AZ465" i="29"/>
  <c r="BA465" i="29"/>
  <c r="BB465" i="29"/>
  <c r="BC465" i="29"/>
  <c r="BD465" i="29"/>
  <c r="BE465" i="29"/>
  <c r="BF465" i="29"/>
  <c r="BG465" i="29"/>
  <c r="AA466" i="29"/>
  <c r="AB466" i="29"/>
  <c r="AC466" i="29"/>
  <c r="AD466" i="29"/>
  <c r="AE466" i="29"/>
  <c r="AF466" i="29"/>
  <c r="AG466" i="29"/>
  <c r="AH466" i="29"/>
  <c r="AI466" i="29"/>
  <c r="AJ466" i="29"/>
  <c r="AK466" i="29"/>
  <c r="AL466" i="29"/>
  <c r="AM466" i="29"/>
  <c r="AN466" i="29"/>
  <c r="AO466" i="29"/>
  <c r="AP466" i="29"/>
  <c r="AQ466" i="29"/>
  <c r="AR466" i="29"/>
  <c r="AS466" i="29"/>
  <c r="AT466" i="29"/>
  <c r="AU466" i="29"/>
  <c r="AV466" i="29"/>
  <c r="AW466" i="29"/>
  <c r="AX466" i="29"/>
  <c r="AY466" i="29"/>
  <c r="AZ466" i="29"/>
  <c r="BA466" i="29"/>
  <c r="BD466" i="29"/>
  <c r="BE466" i="29"/>
  <c r="BF466" i="29"/>
  <c r="BG466" i="29"/>
  <c r="AA468" i="29"/>
  <c r="AB468" i="29"/>
  <c r="AC468" i="29"/>
  <c r="AD468" i="29"/>
  <c r="AE468" i="29"/>
  <c r="AF468" i="29"/>
  <c r="AG468" i="29"/>
  <c r="AH468" i="29"/>
  <c r="AI468" i="29"/>
  <c r="AJ468" i="29"/>
  <c r="AK468" i="29"/>
  <c r="AL468" i="29"/>
  <c r="AM468" i="29"/>
  <c r="AN468" i="29"/>
  <c r="AO468" i="29"/>
  <c r="AP468" i="29"/>
  <c r="AQ468" i="29"/>
  <c r="AR468" i="29"/>
  <c r="AS468" i="29"/>
  <c r="AT468" i="29"/>
  <c r="AU468" i="29"/>
  <c r="AV468" i="29"/>
  <c r="AW468" i="29"/>
  <c r="AX468" i="29"/>
  <c r="AY468" i="29"/>
  <c r="AZ468" i="29"/>
  <c r="BA468" i="29"/>
  <c r="BD468" i="29"/>
  <c r="BE468" i="29"/>
  <c r="BF468" i="29"/>
  <c r="BG468" i="29"/>
  <c r="AA469" i="29"/>
  <c r="AB469" i="29"/>
  <c r="AC469" i="29"/>
  <c r="AF469" i="29"/>
  <c r="AG469" i="29"/>
  <c r="AH469" i="29"/>
  <c r="AI469" i="29"/>
  <c r="AJ469" i="29"/>
  <c r="AK469" i="29"/>
  <c r="AL469" i="29"/>
  <c r="AM469" i="29"/>
  <c r="AN469" i="29"/>
  <c r="AO469" i="29"/>
  <c r="AP469" i="29"/>
  <c r="AQ469" i="29"/>
  <c r="AR469" i="29"/>
  <c r="AS469" i="29"/>
  <c r="AT469" i="29"/>
  <c r="AU469" i="29"/>
  <c r="AV469" i="29"/>
  <c r="AW469" i="29"/>
  <c r="AX469" i="29"/>
  <c r="AY469" i="29"/>
  <c r="AZ469" i="29"/>
  <c r="BA469" i="29"/>
  <c r="BD469" i="29"/>
  <c r="BE469" i="29"/>
  <c r="BF469" i="29"/>
  <c r="BG469" i="29"/>
  <c r="AA472" i="29"/>
  <c r="AB472" i="29"/>
  <c r="AC472" i="29"/>
  <c r="AD472" i="29"/>
  <c r="AE472" i="29"/>
  <c r="AF472" i="29"/>
  <c r="AG472" i="29"/>
  <c r="AH472" i="29"/>
  <c r="AI472" i="29"/>
  <c r="AJ472" i="29"/>
  <c r="AK472" i="29"/>
  <c r="AL472" i="29"/>
  <c r="AM472" i="29"/>
  <c r="AN472" i="29"/>
  <c r="AO472" i="29"/>
  <c r="AP472" i="29"/>
  <c r="AQ472" i="29"/>
  <c r="AR472" i="29"/>
  <c r="AS472" i="29"/>
  <c r="AT472" i="29"/>
  <c r="AU472" i="29"/>
  <c r="AX472" i="29"/>
  <c r="AY472" i="29"/>
  <c r="AZ472" i="29"/>
  <c r="BA472" i="29"/>
  <c r="BD472" i="29"/>
  <c r="BE472" i="29"/>
  <c r="BF472" i="29"/>
  <c r="BG472" i="29"/>
  <c r="AA473" i="29"/>
  <c r="AB473" i="29"/>
  <c r="AC473" i="29"/>
  <c r="AD473" i="29"/>
  <c r="AE473" i="29"/>
  <c r="AF473" i="29"/>
  <c r="AG473" i="29"/>
  <c r="AH473" i="29"/>
  <c r="AI473" i="29"/>
  <c r="AJ473" i="29"/>
  <c r="AK473" i="29"/>
  <c r="AL473" i="29"/>
  <c r="AM473" i="29"/>
  <c r="AP473" i="29"/>
  <c r="AQ473" i="29"/>
  <c r="AR473" i="29"/>
  <c r="AS473" i="29"/>
  <c r="AT473" i="29"/>
  <c r="AU473" i="29"/>
  <c r="AV473" i="29"/>
  <c r="AW473" i="29"/>
  <c r="AX473" i="29"/>
  <c r="AY473" i="29"/>
  <c r="AZ473" i="29"/>
  <c r="BA473" i="29"/>
  <c r="BB473" i="29"/>
  <c r="BC473" i="29"/>
  <c r="BD473" i="29"/>
  <c r="BE473" i="29"/>
  <c r="BF473" i="29"/>
  <c r="BG473" i="29"/>
  <c r="AA474" i="29"/>
  <c r="AB474" i="29"/>
  <c r="AC474" i="29"/>
  <c r="AD474" i="29"/>
  <c r="AE474" i="29"/>
  <c r="AF474" i="29"/>
  <c r="AG474" i="29"/>
  <c r="AH474" i="29"/>
  <c r="AI474" i="29"/>
  <c r="AJ474" i="29"/>
  <c r="AK474" i="29"/>
  <c r="AL474" i="29"/>
  <c r="AM474" i="29"/>
  <c r="AP474" i="29"/>
  <c r="AQ474" i="29"/>
  <c r="AR474" i="29"/>
  <c r="AS474" i="29"/>
  <c r="AT474" i="29"/>
  <c r="AU474" i="29"/>
  <c r="AV474" i="29"/>
  <c r="AW474" i="29"/>
  <c r="AX474" i="29"/>
  <c r="AY474" i="29"/>
  <c r="AZ474" i="29"/>
  <c r="BA474" i="29"/>
  <c r="BB474" i="29"/>
  <c r="BC474" i="29"/>
  <c r="BD474" i="29"/>
  <c r="BE474" i="29"/>
  <c r="BF474" i="29"/>
  <c r="BG474" i="29"/>
  <c r="AA475" i="29"/>
  <c r="AB475" i="29"/>
  <c r="AC475" i="29"/>
  <c r="AD475" i="29"/>
  <c r="AE475" i="29"/>
  <c r="AF475" i="29"/>
  <c r="AG475" i="29"/>
  <c r="AH475" i="29"/>
  <c r="AI475" i="29"/>
  <c r="AJ475" i="29"/>
  <c r="AK475" i="29"/>
  <c r="AL475" i="29"/>
  <c r="AM475" i="29"/>
  <c r="AP475" i="29"/>
  <c r="AQ475" i="29"/>
  <c r="AR475" i="29"/>
  <c r="AS475" i="29"/>
  <c r="AT475" i="29"/>
  <c r="AU475" i="29"/>
  <c r="AV475" i="29"/>
  <c r="AW475" i="29"/>
  <c r="AX475" i="29"/>
  <c r="AY475" i="29"/>
  <c r="AZ475" i="29"/>
  <c r="BA475" i="29"/>
  <c r="BB475" i="29"/>
  <c r="BC475" i="29"/>
  <c r="BD475" i="29"/>
  <c r="BE475" i="29"/>
  <c r="BF475" i="29"/>
  <c r="BG475" i="29"/>
  <c r="AA476" i="29"/>
  <c r="AB476" i="29"/>
  <c r="AC476" i="29"/>
  <c r="AF476" i="29"/>
  <c r="AG476" i="29"/>
  <c r="AH476" i="29"/>
  <c r="AI476" i="29"/>
  <c r="AJ476" i="29"/>
  <c r="AK476" i="29"/>
  <c r="AL476" i="29"/>
  <c r="AM476" i="29"/>
  <c r="AP476" i="29"/>
  <c r="AQ476" i="29"/>
  <c r="AR476" i="29"/>
  <c r="AS476" i="29"/>
  <c r="AT476" i="29"/>
  <c r="AU476" i="29"/>
  <c r="AV476" i="29"/>
  <c r="AW476" i="29"/>
  <c r="AX476" i="29"/>
  <c r="AY476" i="29"/>
  <c r="AZ476" i="29"/>
  <c r="BA476" i="29"/>
  <c r="BB476" i="29"/>
  <c r="BC476" i="29"/>
  <c r="BD476" i="29"/>
  <c r="BE476" i="29"/>
  <c r="BF476" i="29"/>
  <c r="BG476" i="29"/>
  <c r="AA477" i="29"/>
  <c r="AB477" i="29"/>
  <c r="AC477" i="29"/>
  <c r="AD477" i="29"/>
  <c r="AE477" i="29"/>
  <c r="AF477" i="29"/>
  <c r="AG477" i="29"/>
  <c r="AH477" i="29"/>
  <c r="AI477" i="29"/>
  <c r="AJ477" i="29"/>
  <c r="AK477" i="29"/>
  <c r="AL477" i="29"/>
  <c r="AM477" i="29"/>
  <c r="AP477" i="29"/>
  <c r="AQ477" i="29"/>
  <c r="AR477" i="29"/>
  <c r="AS477" i="29"/>
  <c r="AT477" i="29"/>
  <c r="AU477" i="29"/>
  <c r="AV477" i="29"/>
  <c r="AW477" i="29"/>
  <c r="AX477" i="29"/>
  <c r="AY477" i="29"/>
  <c r="AZ477" i="29"/>
  <c r="BA477" i="29"/>
  <c r="BB477" i="29"/>
  <c r="BC477" i="29"/>
  <c r="BD477" i="29"/>
  <c r="BE477" i="29"/>
  <c r="BF477" i="29"/>
  <c r="BG477" i="29"/>
  <c r="AA478" i="29"/>
  <c r="AB478" i="29"/>
  <c r="AC478" i="29"/>
  <c r="AD478" i="29"/>
  <c r="AE478" i="29"/>
  <c r="AF478" i="29"/>
  <c r="AG478" i="29"/>
  <c r="AH478" i="29"/>
  <c r="AI478" i="29"/>
  <c r="AJ478" i="29"/>
  <c r="AK478" i="29"/>
  <c r="AL478" i="29"/>
  <c r="AM478" i="29"/>
  <c r="AP478" i="29"/>
  <c r="AQ478" i="29"/>
  <c r="AR478" i="29"/>
  <c r="AS478" i="29"/>
  <c r="AT478" i="29"/>
  <c r="AU478" i="29"/>
  <c r="AV478" i="29"/>
  <c r="AW478" i="29"/>
  <c r="AX478" i="29"/>
  <c r="AY478" i="29"/>
  <c r="AZ478" i="29"/>
  <c r="BA478" i="29"/>
  <c r="BB478" i="29"/>
  <c r="BC478" i="29"/>
  <c r="BD478" i="29"/>
  <c r="BE478" i="29"/>
  <c r="BF478" i="29"/>
  <c r="BG478" i="29"/>
  <c r="AA479" i="29"/>
  <c r="AB479" i="29"/>
  <c r="AC479" i="29"/>
  <c r="AD479" i="29"/>
  <c r="AE479" i="29"/>
  <c r="AF479" i="29"/>
  <c r="AG479" i="29"/>
  <c r="AH479" i="29"/>
  <c r="AI479" i="29"/>
  <c r="AJ479" i="29"/>
  <c r="AK479" i="29"/>
  <c r="AL479" i="29"/>
  <c r="AM479" i="29"/>
  <c r="AP479" i="29"/>
  <c r="AQ479" i="29"/>
  <c r="AR479" i="29"/>
  <c r="AS479" i="29"/>
  <c r="AT479" i="29"/>
  <c r="AU479" i="29"/>
  <c r="AV479" i="29"/>
  <c r="AW479" i="29"/>
  <c r="AX479" i="29"/>
  <c r="AY479" i="29"/>
  <c r="AZ479" i="29"/>
  <c r="BA479" i="29"/>
  <c r="BB479" i="29"/>
  <c r="BC479" i="29"/>
  <c r="BD479" i="29"/>
  <c r="BE479" i="29"/>
  <c r="BF479" i="29"/>
  <c r="BG479" i="29"/>
  <c r="AA480" i="29"/>
  <c r="AB480" i="29"/>
  <c r="AC480" i="29"/>
  <c r="AD480" i="29"/>
  <c r="AE480" i="29"/>
  <c r="AF480" i="29"/>
  <c r="AG480" i="29"/>
  <c r="AH480" i="29"/>
  <c r="AI480" i="29"/>
  <c r="AJ480" i="29"/>
  <c r="AK480" i="29"/>
  <c r="AL480" i="29"/>
  <c r="AM480" i="29"/>
  <c r="AP480" i="29"/>
  <c r="AQ480" i="29"/>
  <c r="AR480" i="29"/>
  <c r="AS480" i="29"/>
  <c r="AT480" i="29"/>
  <c r="AU480" i="29"/>
  <c r="AV480" i="29"/>
  <c r="AW480" i="29"/>
  <c r="AX480" i="29"/>
  <c r="AY480" i="29"/>
  <c r="AZ480" i="29"/>
  <c r="BA480" i="29"/>
  <c r="BB480" i="29"/>
  <c r="BC480" i="29"/>
  <c r="BD480" i="29"/>
  <c r="BE480" i="29"/>
  <c r="BF480" i="29"/>
  <c r="BG480" i="29"/>
  <c r="AA481" i="29"/>
  <c r="AB481" i="29"/>
  <c r="AC481" i="29"/>
  <c r="AD481" i="29"/>
  <c r="AE481" i="29"/>
  <c r="AF481" i="29"/>
  <c r="AG481" i="29"/>
  <c r="AH481" i="29"/>
  <c r="AI481" i="29"/>
  <c r="AJ481" i="29"/>
  <c r="AK481" i="29"/>
  <c r="AL481" i="29"/>
  <c r="AM481" i="29"/>
  <c r="AP481" i="29"/>
  <c r="AQ481" i="29"/>
  <c r="AR481" i="29"/>
  <c r="AS481" i="29"/>
  <c r="AT481" i="29"/>
  <c r="AU481" i="29"/>
  <c r="AX481" i="29"/>
  <c r="AY481" i="29"/>
  <c r="AZ481" i="29"/>
  <c r="BA481" i="29"/>
  <c r="BB481" i="29"/>
  <c r="BC481" i="29"/>
  <c r="BD481" i="29"/>
  <c r="BE481" i="29"/>
  <c r="BF481" i="29"/>
  <c r="BG481" i="29"/>
  <c r="AA482" i="29"/>
  <c r="AB482" i="29"/>
  <c r="AC482" i="29"/>
  <c r="AD482" i="29"/>
  <c r="AE482" i="29"/>
  <c r="AF482" i="29"/>
  <c r="AG482" i="29"/>
  <c r="AH482" i="29"/>
  <c r="AI482" i="29"/>
  <c r="AJ482" i="29"/>
  <c r="AK482" i="29"/>
  <c r="AL482" i="29"/>
  <c r="AM482" i="29"/>
  <c r="AP482" i="29"/>
  <c r="AQ482" i="29"/>
  <c r="AR482" i="29"/>
  <c r="AS482" i="29"/>
  <c r="AT482" i="29"/>
  <c r="AU482" i="29"/>
  <c r="AV482" i="29"/>
  <c r="AW482" i="29"/>
  <c r="AX482" i="29"/>
  <c r="AY482" i="29"/>
  <c r="AZ482" i="29"/>
  <c r="BA482" i="29"/>
  <c r="BB482" i="29"/>
  <c r="BC482" i="29"/>
  <c r="BD482" i="29"/>
  <c r="BE482" i="29"/>
  <c r="BF482" i="29"/>
  <c r="BG482" i="29"/>
  <c r="AA483" i="29"/>
  <c r="AB483" i="29"/>
  <c r="AC483" i="29"/>
  <c r="AD483" i="29"/>
  <c r="AE483" i="29"/>
  <c r="AF483" i="29"/>
  <c r="AG483" i="29"/>
  <c r="AH483" i="29"/>
  <c r="AI483" i="29"/>
  <c r="AJ483" i="29"/>
  <c r="AK483" i="29"/>
  <c r="AL483" i="29"/>
  <c r="AM483" i="29"/>
  <c r="AP483" i="29"/>
  <c r="AQ483" i="29"/>
  <c r="AR483" i="29"/>
  <c r="AS483" i="29"/>
  <c r="AT483" i="29"/>
  <c r="AU483" i="29"/>
  <c r="AV483" i="29"/>
  <c r="AW483" i="29"/>
  <c r="AX483" i="29"/>
  <c r="AY483" i="29"/>
  <c r="AZ483" i="29"/>
  <c r="BA483" i="29"/>
  <c r="BB483" i="29"/>
  <c r="BC483" i="29"/>
  <c r="BD483" i="29"/>
  <c r="BE483" i="29"/>
  <c r="BF483" i="29"/>
  <c r="BG483" i="29"/>
  <c r="AA484" i="29"/>
  <c r="AB484" i="29"/>
  <c r="AC484" i="29"/>
  <c r="AD484" i="29"/>
  <c r="AE484" i="29"/>
  <c r="AF484" i="29"/>
  <c r="AG484" i="29"/>
  <c r="AH484" i="29"/>
  <c r="AI484" i="29"/>
  <c r="AJ484" i="29"/>
  <c r="AK484" i="29"/>
  <c r="AL484" i="29"/>
  <c r="AM484" i="29"/>
  <c r="AP484" i="29"/>
  <c r="AQ484" i="29"/>
  <c r="AR484" i="29"/>
  <c r="AS484" i="29"/>
  <c r="AT484" i="29"/>
  <c r="AU484" i="29"/>
  <c r="AV484" i="29"/>
  <c r="AW484" i="29"/>
  <c r="AX484" i="29"/>
  <c r="AY484" i="29"/>
  <c r="AZ484" i="29"/>
  <c r="BA484" i="29"/>
  <c r="BB484" i="29"/>
  <c r="BC484" i="29"/>
  <c r="BD484" i="29"/>
  <c r="BE484" i="29"/>
  <c r="BF484" i="29"/>
  <c r="BG484" i="29"/>
  <c r="AA485" i="29"/>
  <c r="AD485" i="29"/>
  <c r="AE485" i="29"/>
  <c r="AF485" i="29"/>
  <c r="AG485" i="29"/>
  <c r="AH485" i="29"/>
  <c r="AI485" i="29"/>
  <c r="AJ485" i="29"/>
  <c r="AK485" i="29"/>
  <c r="AL485" i="29"/>
  <c r="AM485" i="29"/>
  <c r="AP485" i="29"/>
  <c r="AQ485" i="29"/>
  <c r="AR485" i="29"/>
  <c r="AS485" i="29"/>
  <c r="AT485" i="29"/>
  <c r="AU485" i="29"/>
  <c r="AV485" i="29"/>
  <c r="AW485" i="29"/>
  <c r="AX485" i="29"/>
  <c r="AY485" i="29"/>
  <c r="AZ485" i="29"/>
  <c r="BA485" i="29"/>
  <c r="BB485" i="29"/>
  <c r="BC485" i="29"/>
  <c r="BD485" i="29"/>
  <c r="BE485" i="29"/>
  <c r="BF485" i="29"/>
  <c r="BG485" i="29"/>
  <c r="AA486" i="29"/>
  <c r="AB486" i="29"/>
  <c r="AC486" i="29"/>
  <c r="AD486" i="29"/>
  <c r="AE486" i="29"/>
  <c r="AF486" i="29"/>
  <c r="AG486" i="29"/>
  <c r="AH486" i="29"/>
  <c r="AI486" i="29"/>
  <c r="AJ486" i="29"/>
  <c r="AK486" i="29"/>
  <c r="AL486" i="29"/>
  <c r="AM486" i="29"/>
  <c r="AP486" i="29"/>
  <c r="AQ486" i="29"/>
  <c r="AR486" i="29"/>
  <c r="AS486" i="29"/>
  <c r="AT486" i="29"/>
  <c r="AU486" i="29"/>
  <c r="AV486" i="29"/>
  <c r="AW486" i="29"/>
  <c r="AX486" i="29"/>
  <c r="AY486" i="29"/>
  <c r="AZ486" i="29"/>
  <c r="BA486" i="29"/>
  <c r="BD486" i="29"/>
  <c r="BE486" i="29"/>
  <c r="BF486" i="29"/>
  <c r="BG486" i="29"/>
  <c r="AA487" i="29"/>
  <c r="AB487" i="29"/>
  <c r="AC487" i="29"/>
  <c r="AD487" i="29"/>
  <c r="AE487" i="29"/>
  <c r="AF487" i="29"/>
  <c r="AG487" i="29"/>
  <c r="AJ487" i="29"/>
  <c r="AK487" i="29"/>
  <c r="AL487" i="29"/>
  <c r="AM487" i="29"/>
  <c r="AP487" i="29"/>
  <c r="AQ487" i="29"/>
  <c r="AR487" i="29"/>
  <c r="AS487" i="29"/>
  <c r="AT487" i="29"/>
  <c r="AU487" i="29"/>
  <c r="AV487" i="29"/>
  <c r="AW487" i="29"/>
  <c r="AX487" i="29"/>
  <c r="AY487" i="29"/>
  <c r="AZ487" i="29"/>
  <c r="BA487" i="29"/>
  <c r="BB487" i="29"/>
  <c r="BC487" i="29"/>
  <c r="BD487" i="29"/>
  <c r="BE487" i="29"/>
  <c r="BF487" i="29"/>
  <c r="BG487" i="29"/>
  <c r="AA488" i="29"/>
  <c r="AB488" i="29"/>
  <c r="AC488" i="29"/>
  <c r="AD488" i="29"/>
  <c r="AE488" i="29"/>
  <c r="AF488" i="29"/>
  <c r="AG488" i="29"/>
  <c r="AH488" i="29"/>
  <c r="AI488" i="29"/>
  <c r="AJ488" i="29"/>
  <c r="AK488" i="29"/>
  <c r="AL488" i="29"/>
  <c r="AM488" i="29"/>
  <c r="AP488" i="29"/>
  <c r="AQ488" i="29"/>
  <c r="AR488" i="29"/>
  <c r="AS488" i="29"/>
  <c r="AT488" i="29"/>
  <c r="AU488" i="29"/>
  <c r="AV488" i="29"/>
  <c r="AW488" i="29"/>
  <c r="AX488" i="29"/>
  <c r="AY488" i="29"/>
  <c r="AZ488" i="29"/>
  <c r="BA488" i="29"/>
  <c r="BB488" i="29"/>
  <c r="BC488" i="29"/>
  <c r="BD488" i="29"/>
  <c r="BE488" i="29"/>
  <c r="AA489" i="29"/>
  <c r="AB489" i="29"/>
  <c r="AC489" i="29"/>
  <c r="AD489" i="29"/>
  <c r="AE489" i="29"/>
  <c r="AF489" i="29"/>
  <c r="AG489" i="29"/>
  <c r="AH489" i="29"/>
  <c r="AI489" i="29"/>
  <c r="AL489" i="29"/>
  <c r="AM489" i="29"/>
  <c r="AP489" i="29"/>
  <c r="AQ489" i="29"/>
  <c r="AR489" i="29"/>
  <c r="AS489" i="29"/>
  <c r="AT489" i="29"/>
  <c r="AU489" i="29"/>
  <c r="AV489" i="29"/>
  <c r="AW489" i="29"/>
  <c r="AX489" i="29"/>
  <c r="AY489" i="29"/>
  <c r="AZ489" i="29"/>
  <c r="BA489" i="29"/>
  <c r="BB489" i="29"/>
  <c r="BC489" i="29"/>
  <c r="BD489" i="29"/>
  <c r="BE489" i="29"/>
  <c r="BF489" i="29"/>
  <c r="BG489" i="29"/>
  <c r="AA490" i="29"/>
  <c r="AB490" i="29"/>
  <c r="AC490" i="29"/>
  <c r="AD490" i="29"/>
  <c r="AE490" i="29"/>
  <c r="AF490" i="29"/>
  <c r="AG490" i="29"/>
  <c r="AH490" i="29"/>
  <c r="AI490" i="29"/>
  <c r="AJ490" i="29"/>
  <c r="AK490" i="29"/>
  <c r="AL490" i="29"/>
  <c r="AM490" i="29"/>
  <c r="AR490" i="29"/>
  <c r="AS490" i="29"/>
  <c r="AT490" i="29"/>
  <c r="AU490" i="29"/>
  <c r="AV490" i="29"/>
  <c r="AW490" i="29"/>
  <c r="AX490" i="29"/>
  <c r="AY490" i="29"/>
  <c r="AZ490" i="29"/>
  <c r="BA490" i="29"/>
  <c r="BB490" i="29"/>
  <c r="BC490" i="29"/>
  <c r="BD490" i="29"/>
  <c r="BE490" i="29"/>
  <c r="BF490" i="29"/>
  <c r="BG490" i="29"/>
  <c r="AA491" i="29"/>
  <c r="AB491" i="29"/>
  <c r="AC491" i="29"/>
  <c r="AD491" i="29"/>
  <c r="AE491" i="29"/>
  <c r="AF491" i="29"/>
  <c r="AG491" i="29"/>
  <c r="AH491" i="29"/>
  <c r="AI491" i="29"/>
  <c r="AJ491" i="29"/>
  <c r="AK491" i="29"/>
  <c r="AL491" i="29"/>
  <c r="AM491" i="29"/>
  <c r="AP491" i="29"/>
  <c r="AQ491" i="29"/>
  <c r="AR491" i="29"/>
  <c r="AS491" i="29"/>
  <c r="AT491" i="29"/>
  <c r="AU491" i="29"/>
  <c r="AV491" i="29"/>
  <c r="AW491" i="29"/>
  <c r="AX491" i="29"/>
  <c r="AY491" i="29"/>
  <c r="AZ491" i="29"/>
  <c r="BA491" i="29"/>
  <c r="BB491" i="29"/>
  <c r="BC491" i="29"/>
  <c r="BD491" i="29"/>
  <c r="BE491" i="29"/>
  <c r="BF491" i="29"/>
  <c r="BG491" i="29"/>
  <c r="AA492" i="29"/>
  <c r="AB492" i="29"/>
  <c r="AC492" i="29"/>
  <c r="AD492" i="29"/>
  <c r="AE492" i="29"/>
  <c r="AF492" i="29"/>
  <c r="AG492" i="29"/>
  <c r="AH492" i="29"/>
  <c r="AI492" i="29"/>
  <c r="AJ492" i="29"/>
  <c r="AK492" i="29"/>
  <c r="AL492" i="29"/>
  <c r="AM492" i="29"/>
  <c r="AP492" i="29"/>
  <c r="AQ492" i="29"/>
  <c r="AR492" i="29"/>
  <c r="AS492" i="29"/>
  <c r="AT492" i="29"/>
  <c r="AU492" i="29"/>
  <c r="AV492" i="29"/>
  <c r="AW492" i="29"/>
  <c r="AX492" i="29"/>
  <c r="AY492" i="29"/>
  <c r="AZ492" i="29"/>
  <c r="BA492" i="29"/>
  <c r="BB492" i="29"/>
  <c r="BC492" i="29"/>
  <c r="BF492" i="29"/>
  <c r="BG492" i="29"/>
  <c r="AA493" i="29"/>
  <c r="AB493" i="29"/>
  <c r="AC493" i="29"/>
  <c r="AD493" i="29"/>
  <c r="AE493" i="29"/>
  <c r="AF493" i="29"/>
  <c r="AG493" i="29"/>
  <c r="AH493" i="29"/>
  <c r="AI493" i="29"/>
  <c r="AJ493" i="29"/>
  <c r="AK493" i="29"/>
  <c r="AL493" i="29"/>
  <c r="AM493" i="29"/>
  <c r="AP493" i="29"/>
  <c r="AQ493" i="29"/>
  <c r="AR493" i="29"/>
  <c r="AS493" i="29"/>
  <c r="AT493" i="29"/>
  <c r="AU493" i="29"/>
  <c r="AV493" i="29"/>
  <c r="AW493" i="29"/>
  <c r="AX493" i="29"/>
  <c r="AY493" i="29"/>
  <c r="AZ493" i="29"/>
  <c r="BA493" i="29"/>
  <c r="BB493" i="29"/>
  <c r="BC493" i="29"/>
  <c r="BD493" i="29"/>
  <c r="BE493" i="29"/>
  <c r="BF493" i="29"/>
  <c r="BG493" i="29"/>
  <c r="AA494" i="29"/>
  <c r="AD494" i="29"/>
  <c r="AE494" i="29"/>
  <c r="AF494" i="29"/>
  <c r="AG494" i="29"/>
  <c r="AH494" i="29"/>
  <c r="AI494" i="29"/>
  <c r="AJ494" i="29"/>
  <c r="AK494" i="29"/>
  <c r="AL494" i="29"/>
  <c r="AM494" i="29"/>
  <c r="AP494" i="29"/>
  <c r="AQ494" i="29"/>
  <c r="AR494" i="29"/>
  <c r="AS494" i="29"/>
  <c r="AT494" i="29"/>
  <c r="AU494" i="29"/>
  <c r="AV494" i="29"/>
  <c r="AW494" i="29"/>
  <c r="AX494" i="29"/>
  <c r="AY494" i="29"/>
  <c r="AZ494" i="29"/>
  <c r="BA494" i="29"/>
  <c r="BB494" i="29"/>
  <c r="BC494" i="29"/>
  <c r="BD494" i="29"/>
  <c r="BE494" i="29"/>
  <c r="BF494" i="29"/>
  <c r="BG494" i="29"/>
  <c r="AB495" i="29"/>
  <c r="AC495" i="29"/>
  <c r="AD495" i="29"/>
  <c r="AE495" i="29"/>
  <c r="AF495" i="29"/>
  <c r="AG495" i="29"/>
  <c r="AH495" i="29"/>
  <c r="AI495" i="29"/>
  <c r="AJ495" i="29"/>
  <c r="AK495" i="29"/>
  <c r="AL495" i="29"/>
  <c r="AM495" i="29"/>
  <c r="AP495" i="29"/>
  <c r="AQ495" i="29"/>
  <c r="AR495" i="29"/>
  <c r="AS495" i="29"/>
  <c r="AT495" i="29"/>
  <c r="AU495" i="29"/>
  <c r="AV495" i="29"/>
  <c r="AW495" i="29"/>
  <c r="AX495" i="29"/>
  <c r="AY495" i="29"/>
  <c r="AZ495" i="29"/>
  <c r="BA495" i="29"/>
  <c r="BB495" i="29"/>
  <c r="BC495" i="29"/>
  <c r="BD495" i="29"/>
  <c r="BE495" i="29"/>
  <c r="BF495" i="29"/>
  <c r="BG495" i="29"/>
  <c r="AA496" i="29"/>
  <c r="AB496" i="29"/>
  <c r="AC496" i="29"/>
  <c r="AD496" i="29"/>
  <c r="AE496" i="29"/>
  <c r="AF496" i="29"/>
  <c r="AG496" i="29"/>
  <c r="AH496" i="29"/>
  <c r="AI496" i="29"/>
  <c r="AJ496" i="29"/>
  <c r="AK496" i="29"/>
  <c r="AL496" i="29"/>
  <c r="AM496" i="29"/>
  <c r="AP496" i="29"/>
  <c r="AQ496" i="29"/>
  <c r="AR496" i="29"/>
  <c r="AS496" i="29"/>
  <c r="AT496" i="29"/>
  <c r="AU496" i="29"/>
  <c r="AV496" i="29"/>
  <c r="AW496" i="29"/>
  <c r="AX496" i="29"/>
  <c r="AY496" i="29"/>
  <c r="AZ496" i="29"/>
  <c r="BA496" i="29"/>
  <c r="BD496" i="29"/>
  <c r="BE496" i="29"/>
  <c r="BF496" i="29"/>
  <c r="BG496" i="29"/>
  <c r="AA497" i="29"/>
  <c r="AB497" i="29"/>
  <c r="AC497" i="29"/>
  <c r="AD497" i="29"/>
  <c r="AE497" i="29"/>
  <c r="AH497" i="29"/>
  <c r="AI497" i="29"/>
  <c r="AJ497" i="29"/>
  <c r="AK497" i="29"/>
  <c r="AL497" i="29"/>
  <c r="AM497" i="29"/>
  <c r="AN497" i="29"/>
  <c r="AO497" i="29"/>
  <c r="AP497" i="29"/>
  <c r="AQ497" i="29"/>
  <c r="AR497" i="29"/>
  <c r="AS497" i="29"/>
  <c r="AT497" i="29"/>
  <c r="AU497" i="29"/>
  <c r="AV497" i="29"/>
  <c r="AW497" i="29"/>
  <c r="AX497" i="29"/>
  <c r="AY497" i="29"/>
  <c r="AZ497" i="29"/>
  <c r="BA497" i="29"/>
  <c r="BD497" i="29"/>
  <c r="BE497" i="29"/>
  <c r="BF497" i="29"/>
  <c r="BG497" i="29"/>
  <c r="AA498" i="29"/>
  <c r="AB498" i="29"/>
  <c r="AC498" i="29"/>
  <c r="AD498" i="29"/>
  <c r="AE498" i="29"/>
  <c r="AF498" i="29"/>
  <c r="AG498" i="29"/>
  <c r="AJ498" i="29"/>
  <c r="AK498" i="29"/>
  <c r="AL498" i="29"/>
  <c r="AM498" i="29"/>
  <c r="AN498" i="29"/>
  <c r="AO498" i="29"/>
  <c r="AP498" i="29"/>
  <c r="AQ498" i="29"/>
  <c r="AR498" i="29"/>
  <c r="AS498" i="29"/>
  <c r="AT498" i="29"/>
  <c r="AU498" i="29"/>
  <c r="AV498" i="29"/>
  <c r="AW498" i="29"/>
  <c r="AX498" i="29"/>
  <c r="AY498" i="29"/>
  <c r="AZ498" i="29"/>
  <c r="BA498" i="29"/>
  <c r="BD498" i="29"/>
  <c r="BE498" i="29"/>
  <c r="BF498" i="29"/>
  <c r="BG498" i="29"/>
  <c r="AA499" i="29"/>
  <c r="AB499" i="29"/>
  <c r="AC499" i="29"/>
  <c r="AD499" i="29"/>
  <c r="AE499" i="29"/>
  <c r="AF499" i="29"/>
  <c r="AG499" i="29"/>
  <c r="AH499" i="29"/>
  <c r="AI499" i="29"/>
  <c r="AJ499" i="29"/>
  <c r="AK499" i="29"/>
  <c r="AL499" i="29"/>
  <c r="AM499" i="29"/>
  <c r="AP499" i="29"/>
  <c r="AQ499" i="29"/>
  <c r="AR499" i="29"/>
  <c r="AS499" i="29"/>
  <c r="AT499" i="29"/>
  <c r="AU499" i="29"/>
  <c r="AV499" i="29"/>
  <c r="AW499" i="29"/>
  <c r="AX499" i="29"/>
  <c r="AY499" i="29"/>
  <c r="BB499" i="29"/>
  <c r="BC499" i="29"/>
  <c r="BD499" i="29"/>
  <c r="BE499" i="29"/>
  <c r="BF499" i="29"/>
  <c r="BG499" i="29"/>
  <c r="AA500" i="29"/>
  <c r="AB500" i="29"/>
  <c r="AC500" i="29"/>
  <c r="AD500" i="29"/>
  <c r="AE500" i="29"/>
  <c r="AF500" i="29"/>
  <c r="AG500" i="29"/>
  <c r="AH500" i="29"/>
  <c r="AI500" i="29"/>
  <c r="AJ500" i="29"/>
  <c r="AK500" i="29"/>
  <c r="AL500" i="29"/>
  <c r="AM500" i="29"/>
  <c r="AP500" i="29"/>
  <c r="AQ500" i="29"/>
  <c r="AR500" i="29"/>
  <c r="AS500" i="29"/>
  <c r="AT500" i="29"/>
  <c r="AU500" i="29"/>
  <c r="AX500" i="29"/>
  <c r="AY500" i="29"/>
  <c r="AZ500" i="29"/>
  <c r="BA500" i="29"/>
  <c r="BB500" i="29"/>
  <c r="BC500" i="29"/>
  <c r="BD500" i="29"/>
  <c r="BE500" i="29"/>
  <c r="BF500" i="29"/>
  <c r="BG500" i="29"/>
  <c r="AA501" i="29"/>
  <c r="AB501" i="29"/>
  <c r="AC501" i="29"/>
  <c r="AF501" i="29"/>
  <c r="AG501" i="29"/>
  <c r="AH501" i="29"/>
  <c r="AI501" i="29"/>
  <c r="AJ501" i="29"/>
  <c r="AK501" i="29"/>
  <c r="AL501" i="29"/>
  <c r="AM501" i="29"/>
  <c r="AN501" i="29"/>
  <c r="AO501" i="29"/>
  <c r="AP501" i="29"/>
  <c r="AQ501" i="29"/>
  <c r="AR501" i="29"/>
  <c r="AS501" i="29"/>
  <c r="AT501" i="29"/>
  <c r="AU501" i="29"/>
  <c r="AV501" i="29"/>
  <c r="AW501" i="29"/>
  <c r="AX501" i="29"/>
  <c r="AY501" i="29"/>
  <c r="AZ501" i="29"/>
  <c r="BA501" i="29"/>
  <c r="BD501" i="29"/>
  <c r="BE501" i="29"/>
  <c r="BF501" i="29"/>
  <c r="BG501" i="29"/>
  <c r="AA502" i="29"/>
  <c r="AB502" i="29"/>
  <c r="AC502" i="29"/>
  <c r="AD502" i="29"/>
  <c r="AE502" i="29"/>
  <c r="AF502" i="29"/>
  <c r="AG502" i="29"/>
  <c r="AH502" i="29"/>
  <c r="AI502" i="29"/>
  <c r="AJ502" i="29"/>
  <c r="AK502" i="29"/>
  <c r="AN502" i="29"/>
  <c r="AO502" i="29"/>
  <c r="AP502" i="29"/>
  <c r="AQ502" i="29"/>
  <c r="AR502" i="29"/>
  <c r="AS502" i="29"/>
  <c r="AT502" i="29"/>
  <c r="AU502" i="29"/>
  <c r="AV502" i="29"/>
  <c r="AW502" i="29"/>
  <c r="AX502" i="29"/>
  <c r="AY502" i="29"/>
  <c r="AZ502" i="29"/>
  <c r="BA502" i="29"/>
  <c r="BD502" i="29"/>
  <c r="BE502" i="29"/>
  <c r="BF502" i="29"/>
  <c r="BG502" i="29"/>
  <c r="AA504" i="29"/>
  <c r="AB504" i="29"/>
  <c r="AC504" i="29"/>
  <c r="AD504" i="29"/>
  <c r="AE504" i="29"/>
  <c r="AF504" i="29"/>
  <c r="AG504" i="29"/>
  <c r="AH504" i="29"/>
  <c r="AI504" i="29"/>
  <c r="AJ504" i="29"/>
  <c r="AK504" i="29"/>
  <c r="AL504" i="29"/>
  <c r="AM504" i="29"/>
  <c r="AP504" i="29"/>
  <c r="AQ504" i="29"/>
  <c r="AR504" i="29"/>
  <c r="AS504" i="29"/>
  <c r="AT504" i="29"/>
  <c r="AU504" i="29"/>
  <c r="AV504" i="29"/>
  <c r="AW504" i="29"/>
  <c r="AX504" i="29"/>
  <c r="AY504" i="29"/>
  <c r="AZ504" i="29"/>
  <c r="BA504" i="29"/>
  <c r="BB504" i="29"/>
  <c r="BC504" i="29"/>
  <c r="BD504" i="29"/>
  <c r="BE504" i="29"/>
  <c r="BF504" i="29"/>
  <c r="BG504" i="29"/>
  <c r="AA505" i="29"/>
  <c r="AB505" i="29"/>
  <c r="AC505" i="29"/>
  <c r="AF505" i="29"/>
  <c r="AG505" i="29"/>
  <c r="AH505" i="29"/>
  <c r="AI505" i="29"/>
  <c r="AJ505" i="29"/>
  <c r="AK505" i="29"/>
  <c r="AL505" i="29"/>
  <c r="AM505" i="29"/>
  <c r="AN505" i="29"/>
  <c r="AO505" i="29"/>
  <c r="AP505" i="29"/>
  <c r="AQ505" i="29"/>
  <c r="AR505" i="29"/>
  <c r="AS505" i="29"/>
  <c r="AT505" i="29"/>
  <c r="AU505" i="29"/>
  <c r="AV505" i="29"/>
  <c r="AW505" i="29"/>
  <c r="AX505" i="29"/>
  <c r="AY505" i="29"/>
  <c r="AZ505" i="29"/>
  <c r="BA505" i="29"/>
  <c r="BB505" i="29"/>
  <c r="BC505" i="29"/>
  <c r="BD505" i="29"/>
  <c r="BE505" i="29"/>
  <c r="BF505" i="29"/>
  <c r="BG505" i="29"/>
  <c r="AA506" i="29"/>
  <c r="AB506" i="29"/>
  <c r="AC506" i="29"/>
  <c r="AD506" i="29"/>
  <c r="AE506" i="29"/>
  <c r="AF506" i="29"/>
  <c r="AG506" i="29"/>
  <c r="AH506" i="29"/>
  <c r="AI506" i="29"/>
  <c r="AJ506" i="29"/>
  <c r="AK506" i="29"/>
  <c r="AL506" i="29"/>
  <c r="AM506" i="29"/>
  <c r="AN506" i="29"/>
  <c r="AO506" i="29"/>
  <c r="AP506" i="29"/>
  <c r="AQ506" i="29"/>
  <c r="AR506" i="29"/>
  <c r="AS506" i="29"/>
  <c r="AT506" i="29"/>
  <c r="AU506" i="29"/>
  <c r="AX506" i="29"/>
  <c r="AY506" i="29"/>
  <c r="AZ506" i="29"/>
  <c r="BA506" i="29"/>
  <c r="BB506" i="29"/>
  <c r="BC506" i="29"/>
  <c r="BD506" i="29"/>
  <c r="BE506" i="29"/>
  <c r="BF506" i="29"/>
  <c r="BG506" i="29"/>
  <c r="AA507" i="29"/>
  <c r="AB507" i="29"/>
  <c r="AC507" i="29"/>
  <c r="AD507" i="29"/>
  <c r="AE507" i="29"/>
  <c r="AF507" i="29"/>
  <c r="AG507" i="29"/>
  <c r="AH507" i="29"/>
  <c r="AI507" i="29"/>
  <c r="AJ507" i="29"/>
  <c r="AK507" i="29"/>
  <c r="AL507" i="29"/>
  <c r="AM507" i="29"/>
  <c r="AN507" i="29"/>
  <c r="AO507" i="29"/>
  <c r="AP507" i="29"/>
  <c r="AQ507" i="29"/>
  <c r="AR507" i="29"/>
  <c r="AS507" i="29"/>
  <c r="AT507" i="29"/>
  <c r="AU507" i="29"/>
  <c r="AV507" i="29"/>
  <c r="AW507" i="29"/>
  <c r="AX507" i="29"/>
  <c r="AY507" i="29"/>
  <c r="AZ507" i="29"/>
  <c r="BA507" i="29"/>
  <c r="BB507" i="29"/>
  <c r="BC507" i="29"/>
  <c r="BD507" i="29"/>
  <c r="BE507" i="29"/>
  <c r="BF507" i="29"/>
  <c r="BG507" i="29"/>
  <c r="AB508" i="29"/>
  <c r="AC508" i="29"/>
  <c r="AD508" i="29"/>
  <c r="AE508" i="29"/>
  <c r="AF508" i="29"/>
  <c r="AG508" i="29"/>
  <c r="AH508" i="29"/>
  <c r="AI508" i="29"/>
  <c r="AJ508" i="29"/>
  <c r="AK508" i="29"/>
  <c r="AL508" i="29"/>
  <c r="AM508" i="29"/>
  <c r="AN508" i="29"/>
  <c r="AO508" i="29"/>
  <c r="AP508" i="29"/>
  <c r="AQ508" i="29"/>
  <c r="AR508" i="29"/>
  <c r="AS508" i="29"/>
  <c r="AT508" i="29"/>
  <c r="AU508" i="29"/>
  <c r="AV508" i="29"/>
  <c r="AW508" i="29"/>
  <c r="AX508" i="29"/>
  <c r="AY508" i="29"/>
  <c r="AZ508" i="29"/>
  <c r="BA508" i="29"/>
  <c r="BB508" i="29"/>
  <c r="BC508" i="29"/>
  <c r="BD508" i="29"/>
  <c r="BE508" i="29"/>
  <c r="BF508" i="29"/>
  <c r="BG508" i="29"/>
  <c r="AA509" i="29"/>
  <c r="AB509" i="29"/>
  <c r="AC509" i="29"/>
  <c r="AD509" i="29"/>
  <c r="AE509" i="29"/>
  <c r="AF509" i="29"/>
  <c r="AG509" i="29"/>
  <c r="AH509" i="29"/>
  <c r="AI509" i="29"/>
  <c r="AJ509" i="29"/>
  <c r="AK509" i="29"/>
  <c r="AL509" i="29"/>
  <c r="AM509" i="29"/>
  <c r="AN509" i="29"/>
  <c r="AO509" i="29"/>
  <c r="AP509" i="29"/>
  <c r="AQ509" i="29"/>
  <c r="AR509" i="29"/>
  <c r="AS509" i="29"/>
  <c r="AT509" i="29"/>
  <c r="AU509" i="29"/>
  <c r="AV509" i="29"/>
  <c r="AW509" i="29"/>
  <c r="AX509" i="29"/>
  <c r="AY509" i="29"/>
  <c r="AZ509" i="29"/>
  <c r="BA509" i="29"/>
  <c r="BB509" i="29"/>
  <c r="BC509" i="29"/>
  <c r="BD509" i="29"/>
  <c r="BE509" i="29"/>
  <c r="BF509" i="29"/>
  <c r="BG509" i="29"/>
  <c r="AA513" i="29"/>
  <c r="AB513" i="29"/>
  <c r="AC513" i="29"/>
  <c r="AD513" i="29"/>
  <c r="AE513" i="29"/>
  <c r="AF513" i="29"/>
  <c r="AG513" i="29"/>
  <c r="AH513" i="29"/>
  <c r="AI513" i="29"/>
  <c r="AJ513" i="29"/>
  <c r="AK513" i="29"/>
  <c r="AL513" i="29"/>
  <c r="AM513" i="29"/>
  <c r="AN513" i="29"/>
  <c r="AO513" i="29"/>
  <c r="AP513" i="29"/>
  <c r="AQ513" i="29"/>
  <c r="AR513" i="29"/>
  <c r="AS513" i="29"/>
  <c r="AT513" i="29"/>
  <c r="AU513" i="29"/>
  <c r="AV513" i="29"/>
  <c r="AW513" i="29"/>
  <c r="AX513" i="29"/>
  <c r="AY513" i="29"/>
  <c r="AZ513" i="29"/>
  <c r="BA513" i="29"/>
  <c r="BD513" i="29"/>
  <c r="BE513" i="29"/>
  <c r="BF513" i="29"/>
  <c r="BG513" i="29"/>
  <c r="AA514" i="29"/>
  <c r="AB514" i="29"/>
  <c r="AC514" i="29"/>
  <c r="AD514" i="29"/>
  <c r="AE514" i="29"/>
  <c r="AF514" i="29"/>
  <c r="AG514" i="29"/>
  <c r="AH514" i="29"/>
  <c r="AI514" i="29"/>
  <c r="AJ514" i="29"/>
  <c r="AK514" i="29"/>
  <c r="AL514" i="29"/>
  <c r="AM514" i="29"/>
  <c r="AN514" i="29"/>
  <c r="AO514" i="29"/>
  <c r="AP514" i="29"/>
  <c r="AQ514" i="29"/>
  <c r="AR514" i="29"/>
  <c r="AS514" i="29"/>
  <c r="AT514" i="29"/>
  <c r="AU514" i="29"/>
  <c r="AX514" i="29"/>
  <c r="AY514" i="29"/>
  <c r="AZ514" i="29"/>
  <c r="BA514" i="29"/>
  <c r="BD514" i="29"/>
  <c r="BE514" i="29"/>
  <c r="BF514" i="29"/>
  <c r="BG514" i="29"/>
  <c r="AA515" i="29"/>
  <c r="AB515" i="29"/>
  <c r="AC515" i="29"/>
  <c r="AD515" i="29"/>
  <c r="AE515" i="29"/>
  <c r="AF515" i="29"/>
  <c r="AG515" i="29"/>
  <c r="AH515" i="29"/>
  <c r="AI515" i="29"/>
  <c r="AJ515" i="29"/>
  <c r="AK515" i="29"/>
  <c r="AL515" i="29"/>
  <c r="AM515" i="29"/>
  <c r="AN515" i="29"/>
  <c r="AO515" i="29"/>
  <c r="AP515" i="29"/>
  <c r="AQ515" i="29"/>
  <c r="AT515" i="29"/>
  <c r="AU515" i="29"/>
  <c r="AV515" i="29"/>
  <c r="AW515" i="29"/>
  <c r="AX515" i="29"/>
  <c r="AY515" i="29"/>
  <c r="AZ515" i="29"/>
  <c r="BA515" i="29"/>
  <c r="BB515" i="29"/>
  <c r="BC515" i="29"/>
  <c r="BD515" i="29"/>
  <c r="BE515" i="29"/>
  <c r="BF515" i="29"/>
  <c r="BG515" i="29"/>
  <c r="AA516" i="29"/>
  <c r="AB516" i="29"/>
  <c r="AC516" i="29"/>
  <c r="AF516" i="29"/>
  <c r="AG516" i="29"/>
  <c r="AH516" i="29"/>
  <c r="AI516" i="29"/>
  <c r="AJ516" i="29"/>
  <c r="AK516" i="29"/>
  <c r="AL516" i="29"/>
  <c r="AM516" i="29"/>
  <c r="AP516" i="29"/>
  <c r="AQ516" i="29"/>
  <c r="AR516" i="29"/>
  <c r="AS516" i="29"/>
  <c r="AT516" i="29"/>
  <c r="AU516" i="29"/>
  <c r="AV516" i="29"/>
  <c r="AW516" i="29"/>
  <c r="AX516" i="29"/>
  <c r="AY516" i="29"/>
  <c r="AZ516" i="29"/>
  <c r="BA516" i="29"/>
  <c r="BB516" i="29"/>
  <c r="BC516" i="29"/>
  <c r="BD516" i="29"/>
  <c r="BE516" i="29"/>
  <c r="BF516" i="29"/>
  <c r="BG516" i="29"/>
  <c r="AA517" i="29"/>
  <c r="AB517" i="29"/>
  <c r="AC517" i="29"/>
  <c r="AD517" i="29"/>
  <c r="AE517" i="29"/>
  <c r="AF517" i="29"/>
  <c r="AG517" i="29"/>
  <c r="AH517" i="29"/>
  <c r="AI517" i="29"/>
  <c r="AJ517" i="29"/>
  <c r="AK517" i="29"/>
  <c r="AL517" i="29"/>
  <c r="AM517" i="29"/>
  <c r="AN517" i="29"/>
  <c r="AO517" i="29"/>
  <c r="AP517" i="29"/>
  <c r="AQ517" i="29"/>
  <c r="AR517" i="29"/>
  <c r="AS517" i="29"/>
  <c r="AT517" i="29"/>
  <c r="AU517" i="29"/>
  <c r="AV517" i="29"/>
  <c r="AW517" i="29"/>
  <c r="AX517" i="29"/>
  <c r="AY517" i="29"/>
  <c r="AZ517" i="29"/>
  <c r="BA517" i="29"/>
  <c r="BD517" i="29"/>
  <c r="BE517" i="29"/>
  <c r="BF517" i="29"/>
  <c r="BG517" i="29"/>
  <c r="AA518" i="29"/>
  <c r="AB518" i="29"/>
  <c r="AC518" i="29"/>
  <c r="AD518" i="29"/>
  <c r="AE518" i="29"/>
  <c r="AF518" i="29"/>
  <c r="AG518" i="29"/>
  <c r="AH518" i="29"/>
  <c r="AI518" i="29"/>
  <c r="AJ518" i="29"/>
  <c r="AK518" i="29"/>
  <c r="AL518" i="29"/>
  <c r="AM518" i="29"/>
  <c r="AN518" i="29"/>
  <c r="AO518" i="29"/>
  <c r="AP518" i="29"/>
  <c r="AQ518" i="29"/>
  <c r="AR518" i="29"/>
  <c r="AS518" i="29"/>
  <c r="AT518" i="29"/>
  <c r="AU518" i="29"/>
  <c r="AV518" i="29"/>
  <c r="AW518" i="29"/>
  <c r="AX518" i="29"/>
  <c r="AY518" i="29"/>
  <c r="AZ518" i="29"/>
  <c r="BA518" i="29"/>
  <c r="BB518" i="29"/>
  <c r="BC518" i="29"/>
  <c r="BD518" i="29"/>
  <c r="BE518" i="29"/>
  <c r="BF518" i="29"/>
  <c r="BG518" i="29"/>
  <c r="AA519" i="29"/>
  <c r="AB519" i="29"/>
  <c r="AC519" i="29"/>
  <c r="AD519" i="29"/>
  <c r="AE519" i="29"/>
  <c r="AF519" i="29"/>
  <c r="AG519" i="29"/>
  <c r="AH519" i="29"/>
  <c r="AI519" i="29"/>
  <c r="AJ519" i="29"/>
  <c r="AK519" i="29"/>
  <c r="AL519" i="29"/>
  <c r="AM519" i="29"/>
  <c r="AN519" i="29"/>
  <c r="AO519" i="29"/>
  <c r="AP519" i="29"/>
  <c r="AQ519" i="29"/>
  <c r="AR519" i="29"/>
  <c r="AS519" i="29"/>
  <c r="AT519" i="29"/>
  <c r="AU519" i="29"/>
  <c r="AV519" i="29"/>
  <c r="AW519" i="29"/>
  <c r="AX519" i="29"/>
  <c r="AY519" i="29"/>
  <c r="AZ519" i="29"/>
  <c r="BA519" i="29"/>
  <c r="BB519" i="29"/>
  <c r="BC519" i="29"/>
  <c r="BD519" i="29"/>
  <c r="BE519" i="29"/>
  <c r="BF519" i="29"/>
  <c r="BG519" i="29"/>
  <c r="AA520" i="29"/>
  <c r="AB520" i="29"/>
  <c r="AC520" i="29"/>
  <c r="AD520" i="29"/>
  <c r="AE520" i="29"/>
  <c r="AF520" i="29"/>
  <c r="AG520" i="29"/>
  <c r="AH520" i="29"/>
  <c r="AI520" i="29"/>
  <c r="AJ520" i="29"/>
  <c r="AK520" i="29"/>
  <c r="AL520" i="29"/>
  <c r="AM520" i="29"/>
  <c r="AN520" i="29"/>
  <c r="AO520" i="29"/>
  <c r="AP520" i="29"/>
  <c r="AQ520" i="29"/>
  <c r="AR520" i="29"/>
  <c r="AS520" i="29"/>
  <c r="AT520" i="29"/>
  <c r="AU520" i="29"/>
  <c r="AV520" i="29"/>
  <c r="AW520" i="29"/>
  <c r="AX520" i="29"/>
  <c r="AY520" i="29"/>
  <c r="AZ520" i="29"/>
  <c r="BA520" i="29"/>
  <c r="BB520" i="29"/>
  <c r="BC520" i="29"/>
  <c r="BD520" i="29"/>
  <c r="BE520" i="29"/>
  <c r="BF520" i="29"/>
  <c r="BG520" i="29"/>
  <c r="AA521" i="29"/>
  <c r="AB521" i="29"/>
  <c r="AC521" i="29"/>
  <c r="AD521" i="29"/>
  <c r="AE521" i="29"/>
  <c r="AF521" i="29"/>
  <c r="AG521" i="29"/>
  <c r="AH521" i="29"/>
  <c r="AI521" i="29"/>
  <c r="AJ521" i="29"/>
  <c r="AK521" i="29"/>
  <c r="AL521" i="29"/>
  <c r="AM521" i="29"/>
  <c r="AN521" i="29"/>
  <c r="AO521" i="29"/>
  <c r="AP521" i="29"/>
  <c r="AQ521" i="29"/>
  <c r="AR521" i="29"/>
  <c r="AS521" i="29"/>
  <c r="AT521" i="29"/>
  <c r="AU521" i="29"/>
  <c r="AV521" i="29"/>
  <c r="AW521" i="29"/>
  <c r="AX521" i="29"/>
  <c r="AY521" i="29"/>
  <c r="AZ521" i="29"/>
  <c r="BA521" i="29"/>
  <c r="BB521" i="29"/>
  <c r="BC521" i="29"/>
  <c r="BD521" i="29"/>
  <c r="BE521" i="29"/>
  <c r="BF521" i="29"/>
  <c r="BG521" i="29"/>
  <c r="AA522" i="29"/>
  <c r="AB522" i="29"/>
  <c r="AC522" i="29"/>
  <c r="AD522" i="29"/>
  <c r="AE522" i="29"/>
  <c r="AF522" i="29"/>
  <c r="AG522" i="29"/>
  <c r="AH522" i="29"/>
  <c r="AI522" i="29"/>
  <c r="AJ522" i="29"/>
  <c r="AK522" i="29"/>
  <c r="AL522" i="29"/>
  <c r="AM522" i="29"/>
  <c r="AN522" i="29"/>
  <c r="AO522" i="29"/>
  <c r="AR522" i="29"/>
  <c r="AS522" i="29"/>
  <c r="AT522" i="29"/>
  <c r="AU522" i="29"/>
  <c r="AV522" i="29"/>
  <c r="AW522" i="29"/>
  <c r="AX522" i="29"/>
  <c r="AY522" i="29"/>
  <c r="AZ522" i="29"/>
  <c r="BA522" i="29"/>
  <c r="BB522" i="29"/>
  <c r="BC522" i="29"/>
  <c r="BD522" i="29"/>
  <c r="BE522" i="29"/>
  <c r="BF522" i="29"/>
  <c r="BG522" i="29"/>
  <c r="BG9" i="29"/>
  <c r="BF9" i="29"/>
  <c r="BE9" i="29"/>
  <c r="BD9" i="29"/>
  <c r="BC9" i="29"/>
  <c r="BB9" i="29"/>
  <c r="BA9" i="29"/>
  <c r="AZ9" i="29"/>
  <c r="AX9" i="29"/>
  <c r="AY9" i="29"/>
  <c r="AW9" i="29"/>
  <c r="AV9" i="29"/>
  <c r="AU9" i="29"/>
  <c r="AT9" i="29"/>
  <c r="AS9" i="29"/>
  <c r="AR9" i="29"/>
  <c r="AQ9" i="29"/>
  <c r="AP9" i="29"/>
  <c r="AO9" i="29"/>
  <c r="AN9" i="29"/>
  <c r="AM9" i="29"/>
  <c r="AL9" i="29"/>
  <c r="AK9" i="29"/>
  <c r="AJ9" i="29"/>
  <c r="AI9" i="29"/>
  <c r="AH9" i="29"/>
  <c r="AG9" i="29"/>
  <c r="AF9" i="29"/>
  <c r="AE9" i="29"/>
  <c r="AC9" i="29"/>
  <c r="AB9" i="29"/>
  <c r="Z10" i="29"/>
  <c r="Z11" i="29"/>
  <c r="Z14" i="29"/>
  <c r="Z15" i="29"/>
  <c r="Z16" i="29"/>
  <c r="Z17" i="29"/>
  <c r="Z18" i="29"/>
  <c r="Z19" i="29"/>
  <c r="Z20" i="29"/>
  <c r="Z21" i="29"/>
  <c r="Z22" i="29"/>
  <c r="Z23" i="29"/>
  <c r="Z24" i="29"/>
  <c r="Z25" i="29"/>
  <c r="Z26" i="29"/>
  <c r="Z27" i="29"/>
  <c r="Z28" i="29"/>
  <c r="Z31" i="29"/>
  <c r="Z34" i="29"/>
  <c r="Z35" i="29"/>
  <c r="Z36" i="29"/>
  <c r="Z37" i="29"/>
  <c r="Z38" i="29"/>
  <c r="Z39" i="29"/>
  <c r="Z40" i="29"/>
  <c r="Z41" i="29"/>
  <c r="Z42" i="29"/>
  <c r="Z43" i="29"/>
  <c r="Z44" i="29"/>
  <c r="Z45" i="29"/>
  <c r="Z46" i="29"/>
  <c r="Z47" i="29"/>
  <c r="Z48" i="29"/>
  <c r="Z49" i="29"/>
  <c r="Z50" i="29"/>
  <c r="Z51" i="29"/>
  <c r="Z52" i="29"/>
  <c r="Z53" i="29"/>
  <c r="Z54" i="29"/>
  <c r="Z55" i="29"/>
  <c r="Z56" i="29"/>
  <c r="Z57" i="29"/>
  <c r="Z58" i="29"/>
  <c r="Z59" i="29"/>
  <c r="Z60" i="29"/>
  <c r="Z61" i="29"/>
  <c r="Z62" i="29"/>
  <c r="Z63" i="29"/>
  <c r="Z64" i="29"/>
  <c r="Z65" i="29"/>
  <c r="Z66" i="29"/>
  <c r="Z67" i="29"/>
  <c r="Z68" i="29"/>
  <c r="Z69" i="29"/>
  <c r="Z70" i="29"/>
  <c r="Z72" i="29"/>
  <c r="Z73" i="29"/>
  <c r="Z74" i="29"/>
  <c r="Z75" i="29"/>
  <c r="Z76" i="29"/>
  <c r="Z77" i="29"/>
  <c r="Z78" i="29"/>
  <c r="Z80" i="29"/>
  <c r="Z81" i="29"/>
  <c r="Z82" i="29"/>
  <c r="Z83" i="29"/>
  <c r="Z84" i="29"/>
  <c r="Z85" i="29"/>
  <c r="Z86" i="29"/>
  <c r="Z88" i="29"/>
  <c r="Z90" i="29"/>
  <c r="Z91" i="29"/>
  <c r="Z92" i="29"/>
  <c r="Z93" i="29"/>
  <c r="Z95" i="29"/>
  <c r="Z96" i="29"/>
  <c r="Z97" i="29"/>
  <c r="Z98" i="29"/>
  <c r="Z99" i="29"/>
  <c r="Z100" i="29"/>
  <c r="Z101" i="29"/>
  <c r="Z102" i="29"/>
  <c r="Z103" i="29"/>
  <c r="Z104" i="29"/>
  <c r="Z105" i="29"/>
  <c r="Z106" i="29"/>
  <c r="Z107" i="29"/>
  <c r="Z108" i="29"/>
  <c r="Z109" i="29"/>
  <c r="Z110" i="29"/>
  <c r="Z111" i="29"/>
  <c r="Z113" i="29"/>
  <c r="Z114" i="29"/>
  <c r="Z115" i="29"/>
  <c r="Z117" i="29"/>
  <c r="Z118" i="29"/>
  <c r="Z119" i="29"/>
  <c r="Z120" i="29"/>
  <c r="Z121" i="29"/>
  <c r="Z122" i="29"/>
  <c r="Z123" i="29"/>
  <c r="Z124" i="29"/>
  <c r="Z125" i="29"/>
  <c r="Z126" i="29"/>
  <c r="Z127" i="29"/>
  <c r="Z128" i="29"/>
  <c r="Z129" i="29"/>
  <c r="Z130" i="29"/>
  <c r="Z131" i="29"/>
  <c r="Z132" i="29"/>
  <c r="Z133" i="29"/>
  <c r="Z134" i="29"/>
  <c r="Z135" i="29"/>
  <c r="Z136" i="29"/>
  <c r="Z137" i="29"/>
  <c r="Z138" i="29"/>
  <c r="Z139" i="29"/>
  <c r="Z140" i="29"/>
  <c r="Z141" i="29"/>
  <c r="Z142" i="29"/>
  <c r="Z143" i="29"/>
  <c r="Z144" i="29"/>
  <c r="Z145" i="29"/>
  <c r="Z146" i="29"/>
  <c r="Z147" i="29"/>
  <c r="Z148" i="29"/>
  <c r="Z149" i="29"/>
  <c r="Z150" i="29"/>
  <c r="Z151" i="29"/>
  <c r="Z152" i="29"/>
  <c r="Z153" i="29"/>
  <c r="Z154" i="29"/>
  <c r="Z155" i="29"/>
  <c r="Z156" i="29"/>
  <c r="Z157" i="29"/>
  <c r="Z158" i="29"/>
  <c r="Z159" i="29"/>
  <c r="Z160" i="29"/>
  <c r="Z161" i="29"/>
  <c r="Z162" i="29"/>
  <c r="Z163" i="29"/>
  <c r="Z164" i="29"/>
  <c r="Z165" i="29"/>
  <c r="Z166" i="29"/>
  <c r="Z167" i="29"/>
  <c r="Z168" i="29"/>
  <c r="Z169" i="29"/>
  <c r="Z170" i="29"/>
  <c r="Z171" i="29"/>
  <c r="Z172" i="29"/>
  <c r="Z173" i="29"/>
  <c r="Z174" i="29"/>
  <c r="Z175" i="29"/>
  <c r="Z176" i="29"/>
  <c r="Z177" i="29"/>
  <c r="Z178" i="29"/>
  <c r="Z179" i="29"/>
  <c r="Z180" i="29"/>
  <c r="Z181" i="29"/>
  <c r="Z182" i="29"/>
  <c r="Z183" i="29"/>
  <c r="Z184" i="29"/>
  <c r="Z186" i="29"/>
  <c r="Z187" i="29"/>
  <c r="Z188" i="29"/>
  <c r="Z189" i="29"/>
  <c r="Z190" i="29"/>
  <c r="Z192" i="29"/>
  <c r="Z193" i="29"/>
  <c r="Z194" i="29"/>
  <c r="Z195" i="29"/>
  <c r="Z196" i="29"/>
  <c r="Z197" i="29"/>
  <c r="Z198" i="29"/>
  <c r="Z199" i="29"/>
  <c r="Z200" i="29"/>
  <c r="Z201" i="29"/>
  <c r="Z203" i="29"/>
  <c r="Z204" i="29"/>
  <c r="Z205" i="29"/>
  <c r="Z206" i="29"/>
  <c r="Z207" i="29"/>
  <c r="Z208" i="29"/>
  <c r="Z209" i="29"/>
  <c r="Z210" i="29"/>
  <c r="Z211" i="29"/>
  <c r="Z212" i="29"/>
  <c r="Z213" i="29"/>
  <c r="Z214" i="29"/>
  <c r="Z215" i="29"/>
  <c r="Z216" i="29"/>
  <c r="Z217" i="29"/>
  <c r="Z219" i="29"/>
  <c r="Z220" i="29"/>
  <c r="Z221" i="29"/>
  <c r="Z222" i="29"/>
  <c r="Z223" i="29"/>
  <c r="Z224" i="29"/>
  <c r="Z225" i="29"/>
  <c r="Z226" i="29"/>
  <c r="Z227" i="29"/>
  <c r="Z229" i="29"/>
  <c r="Z230" i="29"/>
  <c r="Z231" i="29"/>
  <c r="Z232" i="29"/>
  <c r="Z234" i="29"/>
  <c r="Z235" i="29"/>
  <c r="Z236" i="29"/>
  <c r="Z237" i="29"/>
  <c r="Z238" i="29"/>
  <c r="Z239" i="29"/>
  <c r="Z240" i="29"/>
  <c r="Z241" i="29"/>
  <c r="Z242" i="29"/>
  <c r="Z243" i="29"/>
  <c r="Z244" i="29"/>
  <c r="Z245" i="29"/>
  <c r="Z246" i="29"/>
  <c r="Z247" i="29"/>
  <c r="Z248" i="29"/>
  <c r="Z249" i="29"/>
  <c r="Z250" i="29"/>
  <c r="Z251" i="29"/>
  <c r="Z252" i="29"/>
  <c r="Z253" i="29"/>
  <c r="Z254" i="29"/>
  <c r="Z255" i="29"/>
  <c r="Z256" i="29"/>
  <c r="Z257" i="29"/>
  <c r="Z258" i="29"/>
  <c r="Z259" i="29"/>
  <c r="Z260" i="29"/>
  <c r="Z261" i="29"/>
  <c r="Z262" i="29"/>
  <c r="Z263" i="29"/>
  <c r="Z264" i="29"/>
  <c r="Z265" i="29"/>
  <c r="Z266" i="29"/>
  <c r="Z267" i="29"/>
  <c r="Z268" i="29"/>
  <c r="Z269" i="29"/>
  <c r="Z270" i="29"/>
  <c r="Z272" i="29"/>
  <c r="Z273" i="29"/>
  <c r="Z274" i="29"/>
  <c r="Z275" i="29"/>
  <c r="Z276" i="29"/>
  <c r="Z277" i="29"/>
  <c r="Z278" i="29"/>
  <c r="Z279" i="29"/>
  <c r="Z280" i="29"/>
  <c r="Z282" i="29"/>
  <c r="Z283" i="29"/>
  <c r="Z285" i="29"/>
  <c r="Z286" i="29"/>
  <c r="Z287" i="29"/>
  <c r="Z288" i="29"/>
  <c r="Z289" i="29"/>
  <c r="Z290" i="29"/>
  <c r="Z291" i="29"/>
  <c r="Z292" i="29"/>
  <c r="Z293" i="29"/>
  <c r="Z294" i="29"/>
  <c r="Z295" i="29"/>
  <c r="Z296" i="29"/>
  <c r="Z297" i="29"/>
  <c r="Z298" i="29"/>
  <c r="Z299" i="29"/>
  <c r="Z300" i="29"/>
  <c r="Z301" i="29"/>
  <c r="Z302" i="29"/>
  <c r="Z304" i="29"/>
  <c r="Z305" i="29"/>
  <c r="Z306" i="29"/>
  <c r="Z307" i="29"/>
  <c r="Z308" i="29"/>
  <c r="Z310" i="29"/>
  <c r="Z311" i="29"/>
  <c r="Z312" i="29"/>
  <c r="Z313" i="29"/>
  <c r="Z314" i="29"/>
  <c r="Z315" i="29"/>
  <c r="Z316" i="29"/>
  <c r="Z317" i="29"/>
  <c r="Z318" i="29"/>
  <c r="Z320" i="29"/>
  <c r="Z323" i="29"/>
  <c r="Z325" i="29"/>
  <c r="Z326" i="29"/>
  <c r="Z328" i="29"/>
  <c r="Z329" i="29"/>
  <c r="Z330" i="29"/>
  <c r="Z331" i="29"/>
  <c r="Z332" i="29"/>
  <c r="Z333" i="29"/>
  <c r="Z334" i="29"/>
  <c r="Z335" i="29"/>
  <c r="Z336" i="29"/>
  <c r="Z337" i="29"/>
  <c r="Z338" i="29"/>
  <c r="Z339" i="29"/>
  <c r="Z340" i="29"/>
  <c r="Z341" i="29"/>
  <c r="Z342" i="29"/>
  <c r="Z343" i="29"/>
  <c r="Z344" i="29"/>
  <c r="Z345" i="29"/>
  <c r="Z346" i="29"/>
  <c r="Z347" i="29"/>
  <c r="Z348" i="29"/>
  <c r="Z349" i="29"/>
  <c r="Z351" i="29"/>
  <c r="Z352" i="29"/>
  <c r="Z353" i="29"/>
  <c r="Z355" i="29"/>
  <c r="Z356" i="29"/>
  <c r="Z357" i="29"/>
  <c r="Z358" i="29"/>
  <c r="Z359" i="29"/>
  <c r="Z360" i="29"/>
  <c r="Z361" i="29"/>
  <c r="Z362" i="29"/>
  <c r="Z363" i="29"/>
  <c r="Z364" i="29"/>
  <c r="Z365" i="29"/>
  <c r="Z366" i="29"/>
  <c r="Z367" i="29"/>
  <c r="Z368" i="29"/>
  <c r="Z369" i="29"/>
  <c r="Z370" i="29"/>
  <c r="Z371" i="29"/>
  <c r="Z372" i="29"/>
  <c r="Z373" i="29"/>
  <c r="Z374" i="29"/>
  <c r="Z375" i="29"/>
  <c r="Z376" i="29"/>
  <c r="Z377" i="29"/>
  <c r="Z378" i="29"/>
  <c r="Z379" i="29"/>
  <c r="Z380" i="29"/>
  <c r="Z381" i="29"/>
  <c r="Z383" i="29"/>
  <c r="Z384" i="29"/>
  <c r="Z385" i="29"/>
  <c r="Z386" i="29"/>
  <c r="Z387" i="29"/>
  <c r="Z388" i="29"/>
  <c r="Z389" i="29"/>
  <c r="Z390" i="29"/>
  <c r="Z391" i="29"/>
  <c r="Z392" i="29"/>
  <c r="Z394" i="29"/>
  <c r="Z395" i="29"/>
  <c r="Z396" i="29"/>
  <c r="Z397" i="29"/>
  <c r="Z399" i="29"/>
  <c r="Z400" i="29"/>
  <c r="Z401" i="29"/>
  <c r="Z402" i="29"/>
  <c r="Z403" i="29"/>
  <c r="Z404" i="29"/>
  <c r="Z405" i="29"/>
  <c r="Z407" i="29"/>
  <c r="Z408" i="29"/>
  <c r="Z409" i="29"/>
  <c r="Z410" i="29"/>
  <c r="Z411" i="29"/>
  <c r="Z412" i="29"/>
  <c r="Z413" i="29"/>
  <c r="Z414" i="29"/>
  <c r="Z415" i="29"/>
  <c r="Z417" i="29"/>
  <c r="Z418" i="29"/>
  <c r="Z419" i="29"/>
  <c r="Z420" i="29"/>
  <c r="Z421" i="29"/>
  <c r="Z422" i="29"/>
  <c r="Z423" i="29"/>
  <c r="Z424" i="29"/>
  <c r="Z425" i="29"/>
  <c r="Z426" i="29"/>
  <c r="Z427" i="29"/>
  <c r="Z428" i="29"/>
  <c r="Z429" i="29"/>
  <c r="Z431" i="29"/>
  <c r="Z433" i="29"/>
  <c r="Z434" i="29"/>
  <c r="Z435" i="29"/>
  <c r="Z436" i="29"/>
  <c r="Z437" i="29"/>
  <c r="Z438" i="29"/>
  <c r="Z439" i="29"/>
  <c r="Z440" i="29"/>
  <c r="Z441" i="29"/>
  <c r="Z442" i="29"/>
  <c r="Z443" i="29"/>
  <c r="Z444" i="29"/>
  <c r="Z445" i="29"/>
  <c r="Z446" i="29"/>
  <c r="Z447" i="29"/>
  <c r="Z448" i="29"/>
  <c r="Z449" i="29"/>
  <c r="Z450" i="29"/>
  <c r="Z451" i="29"/>
  <c r="Z452" i="29"/>
  <c r="Z453" i="29"/>
  <c r="Z454" i="29"/>
  <c r="Z455" i="29"/>
  <c r="Z456" i="29"/>
  <c r="Z457" i="29"/>
  <c r="Z458" i="29"/>
  <c r="Z459" i="29"/>
  <c r="Z460" i="29"/>
  <c r="Z461" i="29"/>
  <c r="Z462" i="29"/>
  <c r="Z463" i="29"/>
  <c r="Z464" i="29"/>
  <c r="Z465" i="29"/>
  <c r="Z466" i="29"/>
  <c r="Z468" i="29"/>
  <c r="Z469" i="29"/>
  <c r="Z472" i="29"/>
  <c r="Z473" i="29"/>
  <c r="Z474" i="29"/>
  <c r="Z475" i="29"/>
  <c r="Z476" i="29"/>
  <c r="Z477" i="29"/>
  <c r="Z478" i="29"/>
  <c r="Z479" i="29"/>
  <c r="Z480" i="29"/>
  <c r="Z481" i="29"/>
  <c r="Z482" i="29"/>
  <c r="Z483" i="29"/>
  <c r="Z484" i="29"/>
  <c r="Z485" i="29"/>
  <c r="Z486" i="29"/>
  <c r="Z487" i="29"/>
  <c r="Z488" i="29"/>
  <c r="Z489" i="29"/>
  <c r="Z490" i="29"/>
  <c r="Z491" i="29"/>
  <c r="Z492" i="29"/>
  <c r="Z493" i="29"/>
  <c r="Z494" i="29"/>
  <c r="Z496" i="29"/>
  <c r="Z497" i="29"/>
  <c r="Z498" i="29"/>
  <c r="Z499" i="29"/>
  <c r="Z500" i="29"/>
  <c r="Z501" i="29"/>
  <c r="Z502" i="29"/>
  <c r="Z504" i="29"/>
  <c r="Z505" i="29"/>
  <c r="Z506" i="29"/>
  <c r="Z507" i="29"/>
  <c r="Z509" i="29"/>
  <c r="Z513" i="29"/>
  <c r="Z514" i="29"/>
  <c r="Z515" i="29"/>
  <c r="Z516" i="29"/>
  <c r="Z517" i="29"/>
  <c r="Z518" i="29"/>
  <c r="Z519" i="29"/>
  <c r="Z520" i="29"/>
  <c r="Z521" i="29"/>
  <c r="Z522" i="29"/>
  <c r="AA9" i="29"/>
  <c r="Z9" i="29"/>
  <c r="X10" i="29"/>
  <c r="Y10" i="29"/>
  <c r="X13" i="29"/>
  <c r="Y13" i="29"/>
  <c r="X14" i="29"/>
  <c r="Y14" i="29"/>
  <c r="X15" i="29"/>
  <c r="Y15" i="29"/>
  <c r="X16" i="29"/>
  <c r="Y16" i="29"/>
  <c r="X17" i="29"/>
  <c r="Y17" i="29"/>
  <c r="X18" i="29"/>
  <c r="Y18" i="29"/>
  <c r="X19" i="29"/>
  <c r="Y19" i="29"/>
  <c r="X20" i="29"/>
  <c r="Y20" i="29"/>
  <c r="X21" i="29"/>
  <c r="Y21" i="29"/>
  <c r="X22" i="29"/>
  <c r="Y22" i="29"/>
  <c r="X23" i="29"/>
  <c r="Y23" i="29"/>
  <c r="X24" i="29"/>
  <c r="Y24" i="29"/>
  <c r="X25" i="29"/>
  <c r="Y25" i="29"/>
  <c r="X26" i="29"/>
  <c r="Y26" i="29"/>
  <c r="X27" i="29"/>
  <c r="Y27" i="29"/>
  <c r="X28" i="29"/>
  <c r="Y28" i="29"/>
  <c r="X29" i="29"/>
  <c r="Y29" i="29"/>
  <c r="X30" i="29"/>
  <c r="Y30" i="29"/>
  <c r="X31" i="29"/>
  <c r="Y31" i="29"/>
  <c r="X34" i="29"/>
  <c r="Y34" i="29"/>
  <c r="X35" i="29"/>
  <c r="Y35" i="29"/>
  <c r="X36" i="29"/>
  <c r="Y36" i="29"/>
  <c r="X37" i="29"/>
  <c r="Y37" i="29"/>
  <c r="X38" i="29"/>
  <c r="Y38" i="29"/>
  <c r="X39" i="29"/>
  <c r="Y39" i="29"/>
  <c r="X40" i="29"/>
  <c r="Y40" i="29"/>
  <c r="X41" i="29"/>
  <c r="Y41" i="29"/>
  <c r="X42" i="29"/>
  <c r="Y42" i="29"/>
  <c r="X43" i="29"/>
  <c r="Y43" i="29"/>
  <c r="X44" i="29"/>
  <c r="Y44" i="29"/>
  <c r="X45" i="29"/>
  <c r="Y45" i="29"/>
  <c r="X46" i="29"/>
  <c r="Y46" i="29"/>
  <c r="X47" i="29"/>
  <c r="Y47" i="29"/>
  <c r="X48" i="29"/>
  <c r="Y48" i="29"/>
  <c r="X49" i="29"/>
  <c r="Y49" i="29"/>
  <c r="X51" i="29"/>
  <c r="Y51" i="29"/>
  <c r="X53" i="29"/>
  <c r="Y53" i="29"/>
  <c r="X54" i="29"/>
  <c r="Y54" i="29"/>
  <c r="X55" i="29"/>
  <c r="Y55" i="29"/>
  <c r="X56" i="29"/>
  <c r="Y56" i="29"/>
  <c r="X58" i="29"/>
  <c r="Y58" i="29"/>
  <c r="X59" i="29"/>
  <c r="Y59" i="29"/>
  <c r="X60" i="29"/>
  <c r="Y60" i="29"/>
  <c r="X61" i="29"/>
  <c r="Y61" i="29"/>
  <c r="X62" i="29"/>
  <c r="Y62" i="29"/>
  <c r="X63" i="29"/>
  <c r="Y63" i="29"/>
  <c r="X64" i="29"/>
  <c r="Y64" i="29"/>
  <c r="X65" i="29"/>
  <c r="Y65" i="29"/>
  <c r="X66" i="29"/>
  <c r="Y66" i="29"/>
  <c r="X67" i="29"/>
  <c r="Y67" i="29"/>
  <c r="X68" i="29"/>
  <c r="Y68" i="29"/>
  <c r="X69" i="29"/>
  <c r="Y69" i="29"/>
  <c r="X70" i="29"/>
  <c r="Y70" i="29"/>
  <c r="X72" i="29"/>
  <c r="Y72" i="29"/>
  <c r="X73" i="29"/>
  <c r="Y73" i="29"/>
  <c r="X74" i="29"/>
  <c r="Y74" i="29"/>
  <c r="X75" i="29"/>
  <c r="Y75" i="29"/>
  <c r="X76" i="29"/>
  <c r="Y76" i="29"/>
  <c r="X78" i="29"/>
  <c r="Y78" i="29"/>
  <c r="X79" i="29"/>
  <c r="Y79" i="29"/>
  <c r="X80" i="29"/>
  <c r="Y80" i="29"/>
  <c r="X81" i="29"/>
  <c r="Y81" i="29"/>
  <c r="X82" i="29"/>
  <c r="Y82" i="29"/>
  <c r="X83" i="29"/>
  <c r="Y83" i="29"/>
  <c r="X84" i="29"/>
  <c r="Y84" i="29"/>
  <c r="X85" i="29"/>
  <c r="Y85" i="29"/>
  <c r="X86" i="29"/>
  <c r="Y86" i="29"/>
  <c r="X88" i="29"/>
  <c r="Y88" i="29"/>
  <c r="X89" i="29"/>
  <c r="Y89" i="29"/>
  <c r="X90" i="29"/>
  <c r="Y90" i="29"/>
  <c r="X91" i="29"/>
  <c r="Y91" i="29"/>
  <c r="X92" i="29"/>
  <c r="Y92" i="29"/>
  <c r="X93" i="29"/>
  <c r="Y93" i="29"/>
  <c r="X94" i="29"/>
  <c r="Y94" i="29"/>
  <c r="X95" i="29"/>
  <c r="Y95" i="29"/>
  <c r="X96" i="29"/>
  <c r="Y96" i="29"/>
  <c r="X97" i="29"/>
  <c r="Y97" i="29"/>
  <c r="X99" i="29"/>
  <c r="Y99" i="29"/>
  <c r="X100" i="29"/>
  <c r="Y100" i="29"/>
  <c r="X101" i="29"/>
  <c r="Y101" i="29"/>
  <c r="X102" i="29"/>
  <c r="Y102" i="29"/>
  <c r="X103" i="29"/>
  <c r="Y103" i="29"/>
  <c r="X104" i="29"/>
  <c r="Y104" i="29"/>
  <c r="X106" i="29"/>
  <c r="Y106" i="29"/>
  <c r="X107" i="29"/>
  <c r="Y107" i="29"/>
  <c r="X108" i="29"/>
  <c r="Y108" i="29"/>
  <c r="X109" i="29"/>
  <c r="Y109" i="29"/>
  <c r="X110" i="29"/>
  <c r="Y110" i="29"/>
  <c r="X111" i="29"/>
  <c r="Y111" i="29"/>
  <c r="X112" i="29"/>
  <c r="Y112" i="29"/>
  <c r="X113" i="29"/>
  <c r="Y113" i="29"/>
  <c r="X114" i="29"/>
  <c r="Y114" i="29"/>
  <c r="X115" i="29"/>
  <c r="Y115" i="29"/>
  <c r="X116" i="29"/>
  <c r="Y116" i="29"/>
  <c r="X117" i="29"/>
  <c r="Y117" i="29"/>
  <c r="X118" i="29"/>
  <c r="Y118" i="29"/>
  <c r="X119" i="29"/>
  <c r="Y119" i="29"/>
  <c r="X120" i="29"/>
  <c r="Y120" i="29"/>
  <c r="X121" i="29"/>
  <c r="Y121" i="29"/>
  <c r="X122" i="29"/>
  <c r="Y122" i="29"/>
  <c r="X123" i="29"/>
  <c r="Y123" i="29"/>
  <c r="X124" i="29"/>
  <c r="Y124" i="29"/>
  <c r="X125" i="29"/>
  <c r="Y125" i="29"/>
  <c r="X126" i="29"/>
  <c r="Y126" i="29"/>
  <c r="X127" i="29"/>
  <c r="Y127" i="29"/>
  <c r="X128" i="29"/>
  <c r="Y128" i="29"/>
  <c r="X129" i="29"/>
  <c r="Y129" i="29"/>
  <c r="X130" i="29"/>
  <c r="Y130" i="29"/>
  <c r="X131" i="29"/>
  <c r="Y131" i="29"/>
  <c r="X132" i="29"/>
  <c r="Y132" i="29"/>
  <c r="X133" i="29"/>
  <c r="Y133" i="29"/>
  <c r="X134" i="29"/>
  <c r="Y134" i="29"/>
  <c r="X135" i="29"/>
  <c r="Y135" i="29"/>
  <c r="X136" i="29"/>
  <c r="Y136" i="29"/>
  <c r="X137" i="29"/>
  <c r="Y137" i="29"/>
  <c r="X138" i="29"/>
  <c r="Y138" i="29"/>
  <c r="X139" i="29"/>
  <c r="Y139" i="29"/>
  <c r="X140" i="29"/>
  <c r="Y140" i="29"/>
  <c r="X141" i="29"/>
  <c r="Y141" i="29"/>
  <c r="X142" i="29"/>
  <c r="Y142" i="29"/>
  <c r="X143" i="29"/>
  <c r="Y143" i="29"/>
  <c r="X144" i="29"/>
  <c r="Y144" i="29"/>
  <c r="X145" i="29"/>
  <c r="Y145" i="29"/>
  <c r="X146" i="29"/>
  <c r="Y146" i="29"/>
  <c r="X147" i="29"/>
  <c r="Y147" i="29"/>
  <c r="X148" i="29"/>
  <c r="Y148" i="29"/>
  <c r="X149" i="29"/>
  <c r="Y149" i="29"/>
  <c r="X150" i="29"/>
  <c r="Y150" i="29"/>
  <c r="X151" i="29"/>
  <c r="Y151" i="29"/>
  <c r="X152" i="29"/>
  <c r="Y152" i="29"/>
  <c r="X153" i="29"/>
  <c r="Y153" i="29"/>
  <c r="X154" i="29"/>
  <c r="Y154" i="29"/>
  <c r="X155" i="29"/>
  <c r="Y155" i="29"/>
  <c r="X156" i="29"/>
  <c r="Y156" i="29"/>
  <c r="X157" i="29"/>
  <c r="Y157" i="29"/>
  <c r="X158" i="29"/>
  <c r="Y158" i="29"/>
  <c r="X159" i="29"/>
  <c r="Y159" i="29"/>
  <c r="X160" i="29"/>
  <c r="Y160" i="29"/>
  <c r="X161" i="29"/>
  <c r="Y161" i="29"/>
  <c r="X162" i="29"/>
  <c r="Y162" i="29"/>
  <c r="X163" i="29"/>
  <c r="Y163" i="29"/>
  <c r="X164" i="29"/>
  <c r="Y164" i="29"/>
  <c r="X165" i="29"/>
  <c r="Y165" i="29"/>
  <c r="X166" i="29"/>
  <c r="Y166" i="29"/>
  <c r="X167" i="29"/>
  <c r="Y167" i="29"/>
  <c r="X168" i="29"/>
  <c r="Y168" i="29"/>
  <c r="X169" i="29"/>
  <c r="Y169" i="29"/>
  <c r="X170" i="29"/>
  <c r="Y170" i="29"/>
  <c r="X171" i="29"/>
  <c r="Y171" i="29"/>
  <c r="X172" i="29"/>
  <c r="Y172" i="29"/>
  <c r="X173" i="29"/>
  <c r="Y173" i="29"/>
  <c r="X174" i="29"/>
  <c r="Y174" i="29"/>
  <c r="X175" i="29"/>
  <c r="Y175" i="29"/>
  <c r="X176" i="29"/>
  <c r="Y176" i="29"/>
  <c r="X177" i="29"/>
  <c r="Y177" i="29"/>
  <c r="X178" i="29"/>
  <c r="Y178" i="29"/>
  <c r="X179" i="29"/>
  <c r="Y179" i="29"/>
  <c r="X180" i="29"/>
  <c r="Y180" i="29"/>
  <c r="X181" i="29"/>
  <c r="Y181" i="29"/>
  <c r="X182" i="29"/>
  <c r="Y182" i="29"/>
  <c r="X183" i="29"/>
  <c r="Y183" i="29"/>
  <c r="X184" i="29"/>
  <c r="Y184" i="29"/>
  <c r="X185" i="29"/>
  <c r="Y185" i="29"/>
  <c r="X186" i="29"/>
  <c r="Y186" i="29"/>
  <c r="X187" i="29"/>
  <c r="Y187" i="29"/>
  <c r="X188" i="29"/>
  <c r="Y188" i="29"/>
  <c r="X189" i="29"/>
  <c r="Y189" i="29"/>
  <c r="X190" i="29"/>
  <c r="Y190" i="29"/>
  <c r="X192" i="29"/>
  <c r="Y192" i="29"/>
  <c r="X193" i="29"/>
  <c r="Y193" i="29"/>
  <c r="X194" i="29"/>
  <c r="Y194" i="29"/>
  <c r="X195" i="29"/>
  <c r="Y195" i="29"/>
  <c r="X196" i="29"/>
  <c r="Y196" i="29"/>
  <c r="X197" i="29"/>
  <c r="Y197" i="29"/>
  <c r="X198" i="29"/>
  <c r="Y198" i="29"/>
  <c r="X199" i="29"/>
  <c r="Y199" i="29"/>
  <c r="X200" i="29"/>
  <c r="Y200" i="29"/>
  <c r="X201" i="29"/>
  <c r="Y201" i="29"/>
  <c r="X203" i="29"/>
  <c r="Y203" i="29"/>
  <c r="X204" i="29"/>
  <c r="Y204" i="29"/>
  <c r="X205" i="29"/>
  <c r="Y205" i="29"/>
  <c r="X207" i="29"/>
  <c r="Y207" i="29"/>
  <c r="X208" i="29"/>
  <c r="Y208" i="29"/>
  <c r="X209" i="29"/>
  <c r="Y209" i="29"/>
  <c r="X210" i="29"/>
  <c r="Y210" i="29"/>
  <c r="X211" i="29"/>
  <c r="Y211" i="29"/>
  <c r="X212" i="29"/>
  <c r="Y212" i="29"/>
  <c r="X213" i="29"/>
  <c r="Y213" i="29"/>
  <c r="X214" i="29"/>
  <c r="Y214" i="29"/>
  <c r="X215" i="29"/>
  <c r="Y215" i="29"/>
  <c r="X216" i="29"/>
  <c r="Y216" i="29"/>
  <c r="X217" i="29"/>
  <c r="Y217" i="29"/>
  <c r="X219" i="29"/>
  <c r="Y219" i="29"/>
  <c r="X220" i="29"/>
  <c r="Y220" i="29"/>
  <c r="X221" i="29"/>
  <c r="Y221" i="29"/>
  <c r="X222" i="29"/>
  <c r="Y222" i="29"/>
  <c r="X223" i="29"/>
  <c r="Y223" i="29"/>
  <c r="X224" i="29"/>
  <c r="Y224" i="29"/>
  <c r="X225" i="29"/>
  <c r="Y225" i="29"/>
  <c r="X226" i="29"/>
  <c r="Y226" i="29"/>
  <c r="X227" i="29"/>
  <c r="Y227" i="29"/>
  <c r="X229" i="29"/>
  <c r="Y229" i="29"/>
  <c r="X230" i="29"/>
  <c r="Y230" i="29"/>
  <c r="X231" i="29"/>
  <c r="Y231" i="29"/>
  <c r="X232" i="29"/>
  <c r="Y232" i="29"/>
  <c r="X234" i="29"/>
  <c r="Y234" i="29"/>
  <c r="X235" i="29"/>
  <c r="Y235" i="29"/>
  <c r="X236" i="29"/>
  <c r="Y236" i="29"/>
  <c r="X237" i="29"/>
  <c r="Y237" i="29"/>
  <c r="X238" i="29"/>
  <c r="Y238" i="29"/>
  <c r="X239" i="29"/>
  <c r="Y239" i="29"/>
  <c r="X240" i="29"/>
  <c r="Y240" i="29"/>
  <c r="X241" i="29"/>
  <c r="Y241" i="29"/>
  <c r="X242" i="29"/>
  <c r="Y242" i="29"/>
  <c r="X243" i="29"/>
  <c r="Y243" i="29"/>
  <c r="X244" i="29"/>
  <c r="Y244" i="29"/>
  <c r="X245" i="29"/>
  <c r="Y245" i="29"/>
  <c r="X246" i="29"/>
  <c r="Y246" i="29"/>
  <c r="X247" i="29"/>
  <c r="Y247" i="29"/>
  <c r="X248" i="29"/>
  <c r="Y248" i="29"/>
  <c r="X249" i="29"/>
  <c r="Y249" i="29"/>
  <c r="X250" i="29"/>
  <c r="Y250" i="29"/>
  <c r="X251" i="29"/>
  <c r="Y251" i="29"/>
  <c r="X252" i="29"/>
  <c r="Y252" i="29"/>
  <c r="X253" i="29"/>
  <c r="Y253" i="29"/>
  <c r="X254" i="29"/>
  <c r="Y254" i="29"/>
  <c r="X255" i="29"/>
  <c r="Y255" i="29"/>
  <c r="X256" i="29"/>
  <c r="Y256" i="29"/>
  <c r="X257" i="29"/>
  <c r="Y257" i="29"/>
  <c r="X258" i="29"/>
  <c r="Y258" i="29"/>
  <c r="X259" i="29"/>
  <c r="Y259" i="29"/>
  <c r="X260" i="29"/>
  <c r="Y260" i="29"/>
  <c r="X261" i="29"/>
  <c r="Y261" i="29"/>
  <c r="X262" i="29"/>
  <c r="Y262" i="29"/>
  <c r="X263" i="29"/>
  <c r="Y263" i="29"/>
  <c r="X264" i="29"/>
  <c r="Y264" i="29"/>
  <c r="X265" i="29"/>
  <c r="Y265" i="29"/>
  <c r="X266" i="29"/>
  <c r="Y266" i="29"/>
  <c r="X267" i="29"/>
  <c r="Y267" i="29"/>
  <c r="X268" i="29"/>
  <c r="Y268" i="29"/>
  <c r="X270" i="29"/>
  <c r="Y270" i="29"/>
  <c r="X271" i="29"/>
  <c r="Y271" i="29"/>
  <c r="X272" i="29"/>
  <c r="Y272" i="29"/>
  <c r="X273" i="29"/>
  <c r="Y273" i="29"/>
  <c r="X274" i="29"/>
  <c r="Y274" i="29"/>
  <c r="X275" i="29"/>
  <c r="Y275" i="29"/>
  <c r="X276" i="29"/>
  <c r="Y276" i="29"/>
  <c r="X277" i="29"/>
  <c r="Y277" i="29"/>
  <c r="X278" i="29"/>
  <c r="Y278" i="29"/>
  <c r="X279" i="29"/>
  <c r="Y279" i="29"/>
  <c r="X280" i="29"/>
  <c r="Y280" i="29"/>
  <c r="X282" i="29"/>
  <c r="Y282" i="29"/>
  <c r="X283" i="29"/>
  <c r="Y283" i="29"/>
  <c r="X284" i="29"/>
  <c r="Y284" i="29"/>
  <c r="X285" i="29"/>
  <c r="Y285" i="29"/>
  <c r="X286" i="29"/>
  <c r="Y286" i="29"/>
  <c r="X287" i="29"/>
  <c r="Y287" i="29"/>
  <c r="X288" i="29"/>
  <c r="Y288" i="29"/>
  <c r="X289" i="29"/>
  <c r="Y289" i="29"/>
  <c r="X290" i="29"/>
  <c r="Y290" i="29"/>
  <c r="X291" i="29"/>
  <c r="Y291" i="29"/>
  <c r="X292" i="29"/>
  <c r="Y292" i="29"/>
  <c r="X293" i="29"/>
  <c r="Y293" i="29"/>
  <c r="X294" i="29"/>
  <c r="Y294" i="29"/>
  <c r="X295" i="29"/>
  <c r="Y295" i="29"/>
  <c r="X296" i="29"/>
  <c r="Y296" i="29"/>
  <c r="X297" i="29"/>
  <c r="Y297" i="29"/>
  <c r="X298" i="29"/>
  <c r="Y298" i="29"/>
  <c r="X299" i="29"/>
  <c r="Y299" i="29"/>
  <c r="X300" i="29"/>
  <c r="Y300" i="29"/>
  <c r="X301" i="29"/>
  <c r="Y301" i="29"/>
  <c r="X302" i="29"/>
  <c r="Y302" i="29"/>
  <c r="X304" i="29"/>
  <c r="Y304" i="29"/>
  <c r="X305" i="29"/>
  <c r="Y305" i="29"/>
  <c r="X306" i="29"/>
  <c r="Y306" i="29"/>
  <c r="X307" i="29"/>
  <c r="Y307" i="29"/>
  <c r="X308" i="29"/>
  <c r="Y308" i="29"/>
  <c r="X310" i="29"/>
  <c r="Y310" i="29"/>
  <c r="X311" i="29"/>
  <c r="Y311" i="29"/>
  <c r="X312" i="29"/>
  <c r="Y312" i="29"/>
  <c r="X313" i="29"/>
  <c r="Y313" i="29"/>
  <c r="X314" i="29"/>
  <c r="Y314" i="29"/>
  <c r="X315" i="29"/>
  <c r="Y315" i="29"/>
  <c r="X316" i="29"/>
  <c r="Y316" i="29"/>
  <c r="X317" i="29"/>
  <c r="Y317" i="29"/>
  <c r="X318" i="29"/>
  <c r="Y318" i="29"/>
  <c r="X320" i="29"/>
  <c r="Y320" i="29"/>
  <c r="X323" i="29"/>
  <c r="Y323" i="29"/>
  <c r="X325" i="29"/>
  <c r="Y325" i="29"/>
  <c r="X326" i="29"/>
  <c r="Y326" i="29"/>
  <c r="X328" i="29"/>
  <c r="Y328" i="29"/>
  <c r="X329" i="29"/>
  <c r="Y329" i="29"/>
  <c r="X330" i="29"/>
  <c r="Y330" i="29"/>
  <c r="X331" i="29"/>
  <c r="Y331" i="29"/>
  <c r="X332" i="29"/>
  <c r="Y332" i="29"/>
  <c r="X333" i="29"/>
  <c r="Y333" i="29"/>
  <c r="X334" i="29"/>
  <c r="Y334" i="29"/>
  <c r="X335" i="29"/>
  <c r="Y335" i="29"/>
  <c r="X336" i="29"/>
  <c r="Y336" i="29"/>
  <c r="X337" i="29"/>
  <c r="Y337" i="29"/>
  <c r="X338" i="29"/>
  <c r="Y338" i="29"/>
  <c r="X339" i="29"/>
  <c r="Y339" i="29"/>
  <c r="X340" i="29"/>
  <c r="Y340" i="29"/>
  <c r="X341" i="29"/>
  <c r="Y341" i="29"/>
  <c r="X343" i="29"/>
  <c r="Y343" i="29"/>
  <c r="X344" i="29"/>
  <c r="Y344" i="29"/>
  <c r="X345" i="29"/>
  <c r="Y345" i="29"/>
  <c r="X346" i="29"/>
  <c r="Y346" i="29"/>
  <c r="X347" i="29"/>
  <c r="Y347" i="29"/>
  <c r="X348" i="29"/>
  <c r="Y348" i="29"/>
  <c r="X349" i="29"/>
  <c r="Y349" i="29"/>
  <c r="X350" i="29"/>
  <c r="Y350" i="29"/>
  <c r="X351" i="29"/>
  <c r="Y351" i="29"/>
  <c r="X352" i="29"/>
  <c r="Y352" i="29"/>
  <c r="X353" i="29"/>
  <c r="Y353" i="29"/>
  <c r="X355" i="29"/>
  <c r="Y355" i="29"/>
  <c r="X356" i="29"/>
  <c r="Y356" i="29"/>
  <c r="X357" i="29"/>
  <c r="Y357" i="29"/>
  <c r="X358" i="29"/>
  <c r="Y358" i="29"/>
  <c r="X359" i="29"/>
  <c r="Y359" i="29"/>
  <c r="X360" i="29"/>
  <c r="Y360" i="29"/>
  <c r="X361" i="29"/>
  <c r="Y361" i="29"/>
  <c r="X362" i="29"/>
  <c r="Y362" i="29"/>
  <c r="X363" i="29"/>
  <c r="Y363" i="29"/>
  <c r="X364" i="29"/>
  <c r="Y364" i="29"/>
  <c r="X365" i="29"/>
  <c r="Y365" i="29"/>
  <c r="X366" i="29"/>
  <c r="Y366" i="29"/>
  <c r="X367" i="29"/>
  <c r="Y367" i="29"/>
  <c r="X368" i="29"/>
  <c r="Y368" i="29"/>
  <c r="X369" i="29"/>
  <c r="Y369" i="29"/>
  <c r="X370" i="29"/>
  <c r="Y370" i="29"/>
  <c r="X371" i="29"/>
  <c r="Y371" i="29"/>
  <c r="X372" i="29"/>
  <c r="Y372" i="29"/>
  <c r="X373" i="29"/>
  <c r="Y373" i="29"/>
  <c r="X374" i="29"/>
  <c r="Y374" i="29"/>
  <c r="X376" i="29"/>
  <c r="Y376" i="29"/>
  <c r="X377" i="29"/>
  <c r="Y377" i="29"/>
  <c r="X378" i="29"/>
  <c r="Y378" i="29"/>
  <c r="X379" i="29"/>
  <c r="Y379" i="29"/>
  <c r="X380" i="29"/>
  <c r="Y380" i="29"/>
  <c r="X381" i="29"/>
  <c r="Y381" i="29"/>
  <c r="X382" i="29"/>
  <c r="Y382" i="29"/>
  <c r="X383" i="29"/>
  <c r="Y383" i="29"/>
  <c r="X384" i="29"/>
  <c r="Y384" i="29"/>
  <c r="X385" i="29"/>
  <c r="Y385" i="29"/>
  <c r="X386" i="29"/>
  <c r="Y386" i="29"/>
  <c r="X387" i="29"/>
  <c r="Y387" i="29"/>
  <c r="X388" i="29"/>
  <c r="Y388" i="29"/>
  <c r="X389" i="29"/>
  <c r="Y389" i="29"/>
  <c r="X390" i="29"/>
  <c r="Y390" i="29"/>
  <c r="X391" i="29"/>
  <c r="Y391" i="29"/>
  <c r="X392" i="29"/>
  <c r="Y392" i="29"/>
  <c r="X394" i="29"/>
  <c r="Y394" i="29"/>
  <c r="X395" i="29"/>
  <c r="Y395" i="29"/>
  <c r="X396" i="29"/>
  <c r="Y396" i="29"/>
  <c r="X397" i="29"/>
  <c r="Y397" i="29"/>
  <c r="X399" i="29"/>
  <c r="Y399" i="29"/>
  <c r="X400" i="29"/>
  <c r="Y400" i="29"/>
  <c r="X401" i="29"/>
  <c r="Y401" i="29"/>
  <c r="X402" i="29"/>
  <c r="Y402" i="29"/>
  <c r="X403" i="29"/>
  <c r="Y403" i="29"/>
  <c r="X405" i="29"/>
  <c r="Y405" i="29"/>
  <c r="X406" i="29"/>
  <c r="Y406" i="29"/>
  <c r="X407" i="29"/>
  <c r="Y407" i="29"/>
  <c r="X408" i="29"/>
  <c r="Y408" i="29"/>
  <c r="X409" i="29"/>
  <c r="Y409" i="29"/>
  <c r="X410" i="29"/>
  <c r="Y410" i="29"/>
  <c r="X411" i="29"/>
  <c r="Y411" i="29"/>
  <c r="X412" i="29"/>
  <c r="Y412" i="29"/>
  <c r="X413" i="29"/>
  <c r="Y413" i="29"/>
  <c r="X414" i="29"/>
  <c r="Y414" i="29"/>
  <c r="X415" i="29"/>
  <c r="Y415" i="29"/>
  <c r="X416" i="29"/>
  <c r="Y416" i="29"/>
  <c r="X417" i="29"/>
  <c r="Y417" i="29"/>
  <c r="X418" i="29"/>
  <c r="Y418" i="29"/>
  <c r="X419" i="29"/>
  <c r="Y419" i="29"/>
  <c r="X420" i="29"/>
  <c r="Y420" i="29"/>
  <c r="X421" i="29"/>
  <c r="Y421" i="29"/>
  <c r="X422" i="29"/>
  <c r="Y422" i="29"/>
  <c r="X423" i="29"/>
  <c r="Y423" i="29"/>
  <c r="X425" i="29"/>
  <c r="Y425" i="29"/>
  <c r="X426" i="29"/>
  <c r="Y426" i="29"/>
  <c r="X427" i="29"/>
  <c r="Y427" i="29"/>
  <c r="X428" i="29"/>
  <c r="Y428" i="29"/>
  <c r="X429" i="29"/>
  <c r="Y429" i="29"/>
  <c r="X430" i="29"/>
  <c r="Y430" i="29"/>
  <c r="X431" i="29"/>
  <c r="Y431" i="29"/>
  <c r="X432" i="29"/>
  <c r="Y432" i="29"/>
  <c r="X433" i="29"/>
  <c r="Y433" i="29"/>
  <c r="X434" i="29"/>
  <c r="Y434" i="29"/>
  <c r="X435" i="29"/>
  <c r="Y435" i="29"/>
  <c r="X436" i="29"/>
  <c r="Y436" i="29"/>
  <c r="X437" i="29"/>
  <c r="Y437" i="29"/>
  <c r="X438" i="29"/>
  <c r="Y438" i="29"/>
  <c r="X439" i="29"/>
  <c r="Y439" i="29"/>
  <c r="X440" i="29"/>
  <c r="Y440" i="29"/>
  <c r="X441" i="29"/>
  <c r="Y441" i="29"/>
  <c r="X442" i="29"/>
  <c r="Y442" i="29"/>
  <c r="X443" i="29"/>
  <c r="Y443" i="29"/>
  <c r="X444" i="29"/>
  <c r="Y444" i="29"/>
  <c r="X445" i="29"/>
  <c r="Y445" i="29"/>
  <c r="X446" i="29"/>
  <c r="Y446" i="29"/>
  <c r="X447" i="29"/>
  <c r="Y447" i="29"/>
  <c r="X448" i="29"/>
  <c r="Y448" i="29"/>
  <c r="X449" i="29"/>
  <c r="Y449" i="29"/>
  <c r="X450" i="29"/>
  <c r="Y450" i="29"/>
  <c r="X451" i="29"/>
  <c r="Y451" i="29"/>
  <c r="X452" i="29"/>
  <c r="Y452" i="29"/>
  <c r="X453" i="29"/>
  <c r="Y453" i="29"/>
  <c r="X454" i="29"/>
  <c r="Y454" i="29"/>
  <c r="X455" i="29"/>
  <c r="Y455" i="29"/>
  <c r="X456" i="29"/>
  <c r="Y456" i="29"/>
  <c r="X457" i="29"/>
  <c r="Y457" i="29"/>
  <c r="X458" i="29"/>
  <c r="Y458" i="29"/>
  <c r="X459" i="29"/>
  <c r="Y459" i="29"/>
  <c r="X460" i="29"/>
  <c r="Y460" i="29"/>
  <c r="X461" i="29"/>
  <c r="Y461" i="29"/>
  <c r="X462" i="29"/>
  <c r="Y462" i="29"/>
  <c r="X463" i="29"/>
  <c r="Y463" i="29"/>
  <c r="X464" i="29"/>
  <c r="Y464" i="29"/>
  <c r="X465" i="29"/>
  <c r="Y465" i="29"/>
  <c r="X466" i="29"/>
  <c r="Y466" i="29"/>
  <c r="X468" i="29"/>
  <c r="Y468" i="29"/>
  <c r="X469" i="29"/>
  <c r="Y469" i="29"/>
  <c r="X472" i="29"/>
  <c r="Y472" i="29"/>
  <c r="X473" i="29"/>
  <c r="Y473" i="29"/>
  <c r="X474" i="29"/>
  <c r="Y474" i="29"/>
  <c r="X475" i="29"/>
  <c r="Y475" i="29"/>
  <c r="X476" i="29"/>
  <c r="Y476" i="29"/>
  <c r="X477" i="29"/>
  <c r="Y477" i="29"/>
  <c r="X478" i="29"/>
  <c r="Y478" i="29"/>
  <c r="X479" i="29"/>
  <c r="Y479" i="29"/>
  <c r="X480" i="29"/>
  <c r="Y480" i="29"/>
  <c r="X481" i="29"/>
  <c r="Y481" i="29"/>
  <c r="X482" i="29"/>
  <c r="Y482" i="29"/>
  <c r="X483" i="29"/>
  <c r="Y483" i="29"/>
  <c r="X484" i="29"/>
  <c r="Y484" i="29"/>
  <c r="X485" i="29"/>
  <c r="Y485" i="29"/>
  <c r="X486" i="29"/>
  <c r="Y486" i="29"/>
  <c r="X487" i="29"/>
  <c r="Y487" i="29"/>
  <c r="X488" i="29"/>
  <c r="Y488" i="29"/>
  <c r="X489" i="29"/>
  <c r="Y489" i="29"/>
  <c r="X490" i="29"/>
  <c r="Y490" i="29"/>
  <c r="X491" i="29"/>
  <c r="Y491" i="29"/>
  <c r="X492" i="29"/>
  <c r="Y492" i="29"/>
  <c r="X494" i="29"/>
  <c r="Y494" i="29"/>
  <c r="X495" i="29"/>
  <c r="Y495" i="29"/>
  <c r="X496" i="29"/>
  <c r="Y496" i="29"/>
  <c r="X497" i="29"/>
  <c r="Y497" i="29"/>
  <c r="X498" i="29"/>
  <c r="Y498" i="29"/>
  <c r="X499" i="29"/>
  <c r="Y499" i="29"/>
  <c r="X500" i="29"/>
  <c r="Y500" i="29"/>
  <c r="X501" i="29"/>
  <c r="Y501" i="29"/>
  <c r="X502" i="29"/>
  <c r="Y502" i="29"/>
  <c r="X504" i="29"/>
  <c r="Y504" i="29"/>
  <c r="X505" i="29"/>
  <c r="Y505" i="29"/>
  <c r="X506" i="29"/>
  <c r="Y506" i="29"/>
  <c r="X507" i="29"/>
  <c r="Y507" i="29"/>
  <c r="X508" i="29"/>
  <c r="Y508" i="29"/>
  <c r="X509" i="29"/>
  <c r="Y509" i="29"/>
  <c r="X513" i="29"/>
  <c r="Y513" i="29"/>
  <c r="X514" i="29"/>
  <c r="Y514" i="29"/>
  <c r="X515" i="29"/>
  <c r="Y515" i="29"/>
  <c r="X516" i="29"/>
  <c r="Y516" i="29"/>
  <c r="X517" i="29"/>
  <c r="Y517" i="29"/>
  <c r="X518" i="29"/>
  <c r="Y518" i="29"/>
  <c r="X519" i="29"/>
  <c r="Y519" i="29"/>
  <c r="X520" i="29"/>
  <c r="Y520" i="29"/>
  <c r="X521" i="29"/>
  <c r="Y521" i="29"/>
  <c r="X522" i="29"/>
  <c r="Y522" i="29"/>
  <c r="Y9" i="29"/>
  <c r="X9" i="29"/>
  <c r="V12" i="29"/>
  <c r="W12" i="29"/>
  <c r="V19" i="29"/>
  <c r="W19" i="29"/>
  <c r="V22" i="29"/>
  <c r="W22" i="29"/>
  <c r="V23" i="29"/>
  <c r="W23" i="29"/>
  <c r="V26" i="29"/>
  <c r="W26" i="29"/>
  <c r="V27" i="29"/>
  <c r="W27" i="29"/>
  <c r="V30" i="29"/>
  <c r="W30" i="29"/>
  <c r="V35" i="29"/>
  <c r="W35" i="29"/>
  <c r="V37" i="29"/>
  <c r="W37" i="29"/>
  <c r="V38" i="29"/>
  <c r="W38" i="29"/>
  <c r="V39" i="29"/>
  <c r="W39" i="29"/>
  <c r="V41" i="29"/>
  <c r="W41" i="29"/>
  <c r="V51" i="29"/>
  <c r="W51" i="29"/>
  <c r="V52" i="29"/>
  <c r="W52" i="29"/>
  <c r="V53" i="29"/>
  <c r="W53" i="29"/>
  <c r="V54" i="29"/>
  <c r="W54" i="29"/>
  <c r="V55" i="29"/>
  <c r="W55" i="29"/>
  <c r="V57" i="29"/>
  <c r="W57" i="29"/>
  <c r="V58" i="29"/>
  <c r="W58" i="29"/>
  <c r="V61" i="29"/>
  <c r="W61" i="29"/>
  <c r="V62" i="29"/>
  <c r="W62" i="29"/>
  <c r="V63" i="29"/>
  <c r="W63" i="29"/>
  <c r="V68" i="29"/>
  <c r="W68" i="29"/>
  <c r="V69" i="29"/>
  <c r="W69" i="29"/>
  <c r="V70" i="29"/>
  <c r="W70" i="29"/>
  <c r="V72" i="29"/>
  <c r="W72" i="29"/>
  <c r="V74" i="29"/>
  <c r="W74" i="29"/>
  <c r="V76" i="29"/>
  <c r="W76" i="29"/>
  <c r="V78" i="29"/>
  <c r="W78" i="29"/>
  <c r="V79" i="29"/>
  <c r="W79" i="29"/>
  <c r="V80" i="29"/>
  <c r="W80" i="29"/>
  <c r="V81" i="29"/>
  <c r="W81" i="29"/>
  <c r="V82" i="29"/>
  <c r="W82" i="29"/>
  <c r="V83" i="29"/>
  <c r="W83" i="29"/>
  <c r="V84" i="29"/>
  <c r="W84" i="29"/>
  <c r="V85" i="29"/>
  <c r="W85" i="29"/>
  <c r="V86" i="29"/>
  <c r="W86" i="29"/>
  <c r="V89" i="29"/>
  <c r="W89" i="29"/>
  <c r="V91" i="29"/>
  <c r="W91" i="29"/>
  <c r="V94" i="29"/>
  <c r="W94" i="29"/>
  <c r="V98" i="29"/>
  <c r="W98" i="29"/>
  <c r="V99" i="29"/>
  <c r="W99" i="29"/>
  <c r="V103" i="29"/>
  <c r="W103" i="29"/>
  <c r="V105" i="29"/>
  <c r="W105" i="29"/>
  <c r="V109" i="29"/>
  <c r="W109" i="29"/>
  <c r="V112" i="29"/>
  <c r="W112" i="29"/>
  <c r="V113" i="29"/>
  <c r="W113" i="29"/>
  <c r="V135" i="29"/>
  <c r="W135" i="29"/>
  <c r="V139" i="29"/>
  <c r="W139" i="29"/>
  <c r="V144" i="29"/>
  <c r="W144" i="29"/>
  <c r="V146" i="29"/>
  <c r="W146" i="29"/>
  <c r="V148" i="29"/>
  <c r="W148" i="29"/>
  <c r="V150" i="29"/>
  <c r="W150" i="29"/>
  <c r="V151" i="29"/>
  <c r="W151" i="29"/>
  <c r="V155" i="29"/>
  <c r="W155" i="29"/>
  <c r="V158" i="29"/>
  <c r="W158" i="29"/>
  <c r="V166" i="29"/>
  <c r="W166" i="29"/>
  <c r="V167" i="29"/>
  <c r="W167" i="29"/>
  <c r="V171" i="29"/>
  <c r="W171" i="29"/>
  <c r="V173" i="29"/>
  <c r="W173" i="29"/>
  <c r="V174" i="29"/>
  <c r="W174" i="29"/>
  <c r="V178" i="29"/>
  <c r="W178" i="29"/>
  <c r="V181" i="29"/>
  <c r="W181" i="29"/>
  <c r="V185" i="29"/>
  <c r="W185" i="29"/>
  <c r="V187" i="29"/>
  <c r="W187" i="29"/>
  <c r="V188" i="29"/>
  <c r="W188" i="29"/>
  <c r="V197" i="29"/>
  <c r="W197" i="29"/>
  <c r="V201" i="29"/>
  <c r="W201" i="29"/>
  <c r="V205" i="29"/>
  <c r="W205" i="29"/>
  <c r="V207" i="29"/>
  <c r="W207" i="29"/>
  <c r="V248" i="29"/>
  <c r="W248" i="29"/>
  <c r="V249" i="29"/>
  <c r="W249" i="29"/>
  <c r="V251" i="29"/>
  <c r="W251" i="29"/>
  <c r="V262" i="29"/>
  <c r="W262" i="29"/>
  <c r="V263" i="29"/>
  <c r="W263" i="29"/>
  <c r="V264" i="29"/>
  <c r="W264" i="29"/>
  <c r="V277" i="29"/>
  <c r="W277" i="29"/>
  <c r="V279" i="29"/>
  <c r="W279" i="29"/>
  <c r="V280" i="29"/>
  <c r="W280" i="29"/>
  <c r="V289" i="29"/>
  <c r="W289" i="29"/>
  <c r="V305" i="29"/>
  <c r="W305" i="29"/>
  <c r="V307" i="29"/>
  <c r="W307" i="29"/>
  <c r="V308" i="29"/>
  <c r="W308" i="29"/>
  <c r="V312" i="29"/>
  <c r="W312" i="29"/>
  <c r="V314" i="29"/>
  <c r="W314" i="29"/>
  <c r="V315" i="29"/>
  <c r="W315" i="29"/>
  <c r="V316" i="29"/>
  <c r="W316" i="29"/>
  <c r="V317" i="29"/>
  <c r="W317" i="29"/>
  <c r="V318" i="29"/>
  <c r="W318" i="29"/>
  <c r="V330" i="29"/>
  <c r="W330" i="29"/>
  <c r="V334" i="29"/>
  <c r="W334" i="29"/>
  <c r="V358" i="29"/>
  <c r="W358" i="29"/>
  <c r="V360" i="29"/>
  <c r="W360" i="29"/>
  <c r="V361" i="29"/>
  <c r="W361" i="29"/>
  <c r="V362" i="29"/>
  <c r="W362" i="29"/>
  <c r="V363" i="29"/>
  <c r="W363" i="29"/>
  <c r="V364" i="29"/>
  <c r="W364" i="29"/>
  <c r="V399" i="29"/>
  <c r="W399" i="29"/>
  <c r="V400" i="29"/>
  <c r="W400" i="29"/>
  <c r="V401" i="29"/>
  <c r="W401" i="29"/>
  <c r="V416" i="29"/>
  <c r="W416" i="29"/>
  <c r="V418" i="29"/>
  <c r="W418" i="29"/>
  <c r="V420" i="29"/>
  <c r="W420" i="29"/>
  <c r="V421" i="29"/>
  <c r="W421" i="29"/>
  <c r="V424" i="29"/>
  <c r="W424" i="29"/>
  <c r="V425" i="29"/>
  <c r="W425" i="29"/>
  <c r="V430" i="29"/>
  <c r="W430" i="29"/>
  <c r="V432" i="29"/>
  <c r="W432" i="29"/>
  <c r="V433" i="29"/>
  <c r="W433" i="29"/>
  <c r="V435" i="29"/>
  <c r="W435" i="29"/>
  <c r="V438" i="29"/>
  <c r="W438" i="29"/>
  <c r="V442" i="29"/>
  <c r="W442" i="29"/>
  <c r="V444" i="29"/>
  <c r="W444" i="29"/>
  <c r="V445" i="29"/>
  <c r="W445" i="29"/>
  <c r="V446" i="29"/>
  <c r="W446" i="29"/>
  <c r="V448" i="29"/>
  <c r="W448" i="29"/>
  <c r="V449" i="29"/>
  <c r="W449" i="29"/>
  <c r="V453" i="29"/>
  <c r="W453" i="29"/>
  <c r="V455" i="29"/>
  <c r="W455" i="29"/>
  <c r="V456" i="29"/>
  <c r="W456" i="29"/>
  <c r="V459" i="29"/>
  <c r="W459" i="29"/>
  <c r="V462" i="29"/>
  <c r="W462" i="29"/>
  <c r="V464" i="29"/>
  <c r="W464" i="29"/>
  <c r="V465" i="29"/>
  <c r="W465" i="29"/>
  <c r="V469" i="29"/>
  <c r="W469" i="29"/>
  <c r="V472" i="29"/>
  <c r="W472" i="29"/>
  <c r="V476" i="29"/>
  <c r="W476" i="29"/>
  <c r="V479" i="29"/>
  <c r="W479" i="29"/>
  <c r="V481" i="29"/>
  <c r="W481" i="29"/>
  <c r="V485" i="29"/>
  <c r="W485" i="29"/>
  <c r="V486" i="29"/>
  <c r="W486" i="29"/>
  <c r="V487" i="29"/>
  <c r="W487" i="29"/>
  <c r="V488" i="29"/>
  <c r="W488" i="29"/>
  <c r="V489" i="29"/>
  <c r="W489" i="29"/>
  <c r="V490" i="29"/>
  <c r="W490" i="29"/>
  <c r="V492" i="29"/>
  <c r="W492" i="29"/>
  <c r="V493" i="29"/>
  <c r="W493" i="29"/>
  <c r="V494" i="29"/>
  <c r="W494" i="29"/>
  <c r="V495" i="29"/>
  <c r="W495" i="29"/>
  <c r="V496" i="29"/>
  <c r="W496" i="29"/>
  <c r="V497" i="29"/>
  <c r="W497" i="29"/>
  <c r="V498" i="29"/>
  <c r="W498" i="29"/>
  <c r="V499" i="29"/>
  <c r="W499" i="29"/>
  <c r="V500" i="29"/>
  <c r="W500" i="29"/>
  <c r="V501" i="29"/>
  <c r="W501" i="29"/>
  <c r="V502" i="29"/>
  <c r="W502" i="29"/>
  <c r="V505" i="29"/>
  <c r="W505" i="29"/>
  <c r="V514" i="29"/>
  <c r="W514" i="29"/>
  <c r="V516" i="29"/>
  <c r="W516" i="29"/>
  <c r="V522" i="29"/>
  <c r="W522" i="29"/>
  <c r="M12" i="10" l="1"/>
  <c r="M15" i="10" s="1"/>
  <c r="M112" i="10"/>
  <c r="M113" i="10"/>
  <c r="M111" i="10"/>
  <c r="M132" i="10" l="1"/>
  <c r="M135" i="10"/>
  <c r="M207" i="10"/>
  <c r="M191" i="10"/>
  <c r="H15" i="7" l="1"/>
  <c r="E28" i="23"/>
  <c r="M149" i="10"/>
  <c r="M148" i="10"/>
  <c r="M154" i="10"/>
  <c r="M151" i="10"/>
  <c r="M142" i="10"/>
  <c r="M143" i="10"/>
  <c r="M164" i="10"/>
  <c r="M146" i="10"/>
  <c r="M144" i="10"/>
  <c r="M150" i="10"/>
  <c r="M165" i="10"/>
  <c r="M145" i="10"/>
  <c r="M38" i="10"/>
  <c r="K9" i="5"/>
  <c r="AA73" i="10" l="1"/>
  <c r="M76" i="10"/>
  <c r="L30" i="4" s="1"/>
  <c r="M47" i="10"/>
  <c r="Q499" i="29"/>
  <c r="R499" i="29"/>
  <c r="Q500" i="29"/>
  <c r="R500" i="29"/>
  <c r="Q501" i="29"/>
  <c r="R501" i="29"/>
  <c r="Q502" i="29"/>
  <c r="R502" i="29"/>
  <c r="Q504" i="29"/>
  <c r="R504" i="29"/>
  <c r="Q505" i="29"/>
  <c r="AD505" i="29" s="1"/>
  <c r="R505" i="29"/>
  <c r="AE505" i="29" s="1"/>
  <c r="Q506" i="29"/>
  <c r="J267" i="34" s="1"/>
  <c r="N267" i="34" s="1"/>
  <c r="R506" i="29"/>
  <c r="K267" i="34" s="1"/>
  <c r="O267" i="34" s="1"/>
  <c r="Q507" i="29"/>
  <c r="R507" i="29"/>
  <c r="Q508" i="29"/>
  <c r="R508" i="29"/>
  <c r="Q509" i="29"/>
  <c r="R509" i="29"/>
  <c r="Q513" i="29"/>
  <c r="R513" i="29"/>
  <c r="Q514" i="29"/>
  <c r="R514" i="29"/>
  <c r="Q515" i="29"/>
  <c r="R515" i="29"/>
  <c r="Q516" i="29"/>
  <c r="R516" i="29"/>
  <c r="Q517" i="29"/>
  <c r="R517" i="29"/>
  <c r="Q518" i="29"/>
  <c r="R518" i="29"/>
  <c r="Q519" i="29"/>
  <c r="V519" i="29" s="1"/>
  <c r="R519" i="29"/>
  <c r="W519" i="29" s="1"/>
  <c r="Q520" i="29"/>
  <c r="R520" i="29"/>
  <c r="Q521" i="29"/>
  <c r="V521" i="29" s="1"/>
  <c r="R521" i="29"/>
  <c r="W521" i="29" s="1"/>
  <c r="Q522" i="29"/>
  <c r="AP522" i="29" s="1"/>
  <c r="R522" i="29"/>
  <c r="AQ522" i="29" s="1"/>
  <c r="P267" i="34" l="1"/>
  <c r="AA39" i="10"/>
  <c r="L16" i="4"/>
  <c r="W520" i="29"/>
  <c r="O182" i="34"/>
  <c r="O181" i="34"/>
  <c r="K180" i="34"/>
  <c r="O180" i="34" s="1"/>
  <c r="W518" i="29"/>
  <c r="O178" i="34"/>
  <c r="K177" i="34"/>
  <c r="O177" i="34" s="1"/>
  <c r="O179" i="34"/>
  <c r="W509" i="29"/>
  <c r="K270" i="34"/>
  <c r="O270" i="34" s="1"/>
  <c r="W507" i="29"/>
  <c r="K268" i="34"/>
  <c r="O268" i="34" s="1"/>
  <c r="O269" i="34"/>
  <c r="V520" i="29"/>
  <c r="N182" i="34"/>
  <c r="P182" i="34" s="1"/>
  <c r="J180" i="34"/>
  <c r="N180" i="34" s="1"/>
  <c r="P180" i="34" s="1"/>
  <c r="N181" i="34"/>
  <c r="P181" i="34" s="1"/>
  <c r="V518" i="29"/>
  <c r="N178" i="34"/>
  <c r="N179" i="34"/>
  <c r="J177" i="34"/>
  <c r="N177" i="34" s="1"/>
  <c r="V509" i="29"/>
  <c r="J270" i="34"/>
  <c r="N270" i="34" s="1"/>
  <c r="V507" i="29"/>
  <c r="J268" i="34"/>
  <c r="N268" i="34" s="1"/>
  <c r="P268" i="34" s="1"/>
  <c r="J269" i="34"/>
  <c r="N269" i="34" s="1"/>
  <c r="P269" i="34" s="1"/>
  <c r="AW506" i="29"/>
  <c r="W506" i="29"/>
  <c r="BC502" i="29"/>
  <c r="AM502" i="29"/>
  <c r="AO499" i="29"/>
  <c r="BA499" i="29"/>
  <c r="V504" i="29"/>
  <c r="AN504" i="29"/>
  <c r="AN499" i="29"/>
  <c r="AZ499" i="29"/>
  <c r="W515" i="29"/>
  <c r="AS515" i="29"/>
  <c r="V515" i="29"/>
  <c r="AR515" i="29"/>
  <c r="BC501" i="29"/>
  <c r="AE501" i="29"/>
  <c r="V513" i="29"/>
  <c r="BB513" i="29"/>
  <c r="AV506" i="29"/>
  <c r="V506" i="29"/>
  <c r="V517" i="29"/>
  <c r="BB517" i="29"/>
  <c r="BB514" i="29"/>
  <c r="AV514" i="29"/>
  <c r="V508" i="29"/>
  <c r="Z508" i="29"/>
  <c r="BB501" i="29"/>
  <c r="AD501" i="29"/>
  <c r="AD516" i="29"/>
  <c r="AN516" i="29"/>
  <c r="AN500" i="29"/>
  <c r="AV500" i="29"/>
  <c r="BB502" i="29"/>
  <c r="AL502" i="29"/>
  <c r="W517" i="29"/>
  <c r="BC517" i="29"/>
  <c r="BC514" i="29"/>
  <c r="AW514" i="29"/>
  <c r="W508" i="29"/>
  <c r="AA508" i="29"/>
  <c r="AE516" i="29"/>
  <c r="AO516" i="29"/>
  <c r="W513" i="29"/>
  <c r="BC513" i="29"/>
  <c r="W504" i="29"/>
  <c r="AO504" i="29"/>
  <c r="AO500" i="29"/>
  <c r="AW500" i="29"/>
  <c r="S521" i="29"/>
  <c r="S519" i="29"/>
  <c r="S517" i="29"/>
  <c r="S515" i="29"/>
  <c r="S513" i="29"/>
  <c r="S520" i="29"/>
  <c r="S516" i="29"/>
  <c r="S514" i="29"/>
  <c r="S509" i="29"/>
  <c r="S507" i="29"/>
  <c r="S504" i="29"/>
  <c r="S501" i="29"/>
  <c r="S499" i="29"/>
  <c r="S522" i="29"/>
  <c r="S518" i="29"/>
  <c r="S508" i="29"/>
  <c r="S506" i="29"/>
  <c r="S505" i="29"/>
  <c r="S502" i="29"/>
  <c r="S500" i="29"/>
  <c r="P178" i="34" l="1"/>
  <c r="P179" i="34"/>
  <c r="P177" i="34"/>
  <c r="P270" i="34"/>
  <c r="Q243" i="29"/>
  <c r="Q170" i="29"/>
  <c r="R10" i="29"/>
  <c r="R14" i="29"/>
  <c r="R18" i="29"/>
  <c r="K16" i="34" s="1"/>
  <c r="O16" i="34" s="1"/>
  <c r="R22" i="29"/>
  <c r="R26" i="29"/>
  <c r="R30" i="29"/>
  <c r="R36" i="29"/>
  <c r="K34" i="34" s="1"/>
  <c r="O34" i="34" s="1"/>
  <c r="R40" i="29"/>
  <c r="R44" i="29"/>
  <c r="R48" i="29"/>
  <c r="R52" i="29"/>
  <c r="R56" i="29"/>
  <c r="R60" i="29"/>
  <c r="R64" i="29"/>
  <c r="K91" i="34" s="1"/>
  <c r="O91" i="34" s="1"/>
  <c r="R68" i="29"/>
  <c r="R73" i="29"/>
  <c r="R77" i="29"/>
  <c r="R81" i="29"/>
  <c r="K123" i="34" s="1"/>
  <c r="O123" i="34" s="1"/>
  <c r="R85" i="29"/>
  <c r="K129" i="34" s="1"/>
  <c r="O129" i="34" s="1"/>
  <c r="R90" i="29"/>
  <c r="K133" i="34" s="1"/>
  <c r="O133" i="34" s="1"/>
  <c r="R94" i="29"/>
  <c r="R98" i="29"/>
  <c r="R102" i="29"/>
  <c r="R106" i="29"/>
  <c r="R110" i="29"/>
  <c r="R114" i="29"/>
  <c r="R118" i="29"/>
  <c r="K208" i="34" s="1"/>
  <c r="O208" i="34" s="1"/>
  <c r="R122" i="29"/>
  <c r="K212" i="34" s="1"/>
  <c r="O212" i="34" s="1"/>
  <c r="R126" i="29"/>
  <c r="K216" i="34" s="1"/>
  <c r="O216" i="34" s="1"/>
  <c r="R130" i="29"/>
  <c r="K219" i="34" s="1"/>
  <c r="O219" i="34" s="1"/>
  <c r="R134" i="29"/>
  <c r="R138" i="29"/>
  <c r="K227" i="34" s="1"/>
  <c r="O227" i="34" s="1"/>
  <c r="R142" i="29"/>
  <c r="R146" i="29"/>
  <c r="K237" i="34" s="1"/>
  <c r="O237" i="34" s="1"/>
  <c r="R150" i="29"/>
  <c r="K241" i="34" s="1"/>
  <c r="O241" i="34" s="1"/>
  <c r="R154" i="29"/>
  <c r="R158" i="29"/>
  <c r="R162" i="29"/>
  <c r="R166" i="29"/>
  <c r="R170" i="29"/>
  <c r="R174" i="29"/>
  <c r="R178" i="29"/>
  <c r="AE178" i="29" s="1"/>
  <c r="R182" i="29"/>
  <c r="R186" i="29"/>
  <c r="R190" i="29"/>
  <c r="R195" i="29"/>
  <c r="K318" i="34" s="1"/>
  <c r="O318" i="34" s="1"/>
  <c r="R199" i="29"/>
  <c r="O322" i="34" s="1"/>
  <c r="R204" i="29"/>
  <c r="R208" i="29"/>
  <c r="R212" i="29"/>
  <c r="O326" i="34" s="1"/>
  <c r="R216" i="29"/>
  <c r="R221" i="29"/>
  <c r="R225" i="29"/>
  <c r="R230" i="29"/>
  <c r="R235" i="29"/>
  <c r="R239" i="29"/>
  <c r="R243" i="29"/>
  <c r="R247" i="29"/>
  <c r="R251" i="29"/>
  <c r="AC251" i="29" s="1"/>
  <c r="R255" i="29"/>
  <c r="R259" i="29"/>
  <c r="W259" i="29" s="1"/>
  <c r="R263" i="29"/>
  <c r="AI263" i="29" s="1"/>
  <c r="R267" i="29"/>
  <c r="W267" i="29" s="1"/>
  <c r="R271" i="29"/>
  <c r="R275" i="29"/>
  <c r="R279" i="29"/>
  <c r="R284" i="29"/>
  <c r="R288" i="29"/>
  <c r="W288" i="29" s="1"/>
  <c r="R292" i="29"/>
  <c r="W292" i="29" s="1"/>
  <c r="R296" i="29"/>
  <c r="W296" i="29" s="1"/>
  <c r="R300" i="29"/>
  <c r="O370" i="34" s="1"/>
  <c r="R305" i="29"/>
  <c r="AW305" i="29" s="1"/>
  <c r="R310" i="29"/>
  <c r="W310" i="29" s="1"/>
  <c r="R314" i="29"/>
  <c r="BC314" i="29" s="1"/>
  <c r="R318" i="29"/>
  <c r="R326" i="29"/>
  <c r="W326" i="29" s="1"/>
  <c r="R331" i="29"/>
  <c r="W331" i="29" s="1"/>
  <c r="R335" i="29"/>
  <c r="R339" i="29"/>
  <c r="R343" i="29"/>
  <c r="R347" i="29"/>
  <c r="R351" i="29"/>
  <c r="R356" i="29"/>
  <c r="R360" i="29"/>
  <c r="R364" i="29"/>
  <c r="R11" i="29"/>
  <c r="K9" i="34" s="1"/>
  <c r="O9" i="34" s="1"/>
  <c r="R19" i="29"/>
  <c r="R23" i="29"/>
  <c r="R27" i="29"/>
  <c r="R31" i="29"/>
  <c r="R37" i="29"/>
  <c r="R41" i="29"/>
  <c r="R45" i="29"/>
  <c r="R49" i="29"/>
  <c r="R53" i="29"/>
  <c r="R57" i="29"/>
  <c r="R61" i="29"/>
  <c r="R65" i="29"/>
  <c r="K97" i="34" s="1"/>
  <c r="O97" i="34" s="1"/>
  <c r="R69" i="29"/>
  <c r="K103" i="34" s="1"/>
  <c r="O103" i="34" s="1"/>
  <c r="R74" i="29"/>
  <c r="R78" i="29"/>
  <c r="R82" i="29"/>
  <c r="K124" i="34" s="1"/>
  <c r="O124" i="34" s="1"/>
  <c r="R86" i="29"/>
  <c r="R91" i="29"/>
  <c r="K134" i="34" s="1"/>
  <c r="O134" i="34" s="1"/>
  <c r="R95" i="29"/>
  <c r="R99" i="29"/>
  <c r="R103" i="29"/>
  <c r="BC103" i="29" s="1"/>
  <c r="R107" i="29"/>
  <c r="R111" i="29"/>
  <c r="R115" i="29"/>
  <c r="W115" i="29" s="1"/>
  <c r="R119" i="29"/>
  <c r="K209" i="34" s="1"/>
  <c r="O209" i="34" s="1"/>
  <c r="R123" i="29"/>
  <c r="K213" i="34" s="1"/>
  <c r="O213" i="34" s="1"/>
  <c r="R127" i="29"/>
  <c r="K217" i="34" s="1"/>
  <c r="O217" i="34" s="1"/>
  <c r="R131" i="29"/>
  <c r="K220" i="34" s="1"/>
  <c r="O220" i="34" s="1"/>
  <c r="R135" i="29"/>
  <c r="R139" i="29"/>
  <c r="AG139" i="29" s="1"/>
  <c r="R143" i="29"/>
  <c r="R147" i="29"/>
  <c r="K238" i="34" s="1"/>
  <c r="O238" i="34" s="1"/>
  <c r="R151" i="29"/>
  <c r="K242" i="34" s="1"/>
  <c r="O242" i="34" s="1"/>
  <c r="R155" i="29"/>
  <c r="R159" i="29"/>
  <c r="R163" i="29"/>
  <c r="K287" i="34" s="1"/>
  <c r="O287" i="34" s="1"/>
  <c r="R167" i="29"/>
  <c r="AW167" i="29" s="1"/>
  <c r="R171" i="29"/>
  <c r="R175" i="29"/>
  <c r="R179" i="29"/>
  <c r="W179" i="29" s="1"/>
  <c r="R183" i="29"/>
  <c r="R187" i="29"/>
  <c r="BE187" i="29" s="1"/>
  <c r="R192" i="29"/>
  <c r="W192" i="29" s="1"/>
  <c r="R196" i="29"/>
  <c r="K319" i="34" s="1"/>
  <c r="O319" i="34" s="1"/>
  <c r="R200" i="29"/>
  <c r="O323" i="34" s="1"/>
  <c r="R205" i="29"/>
  <c r="R209" i="29"/>
  <c r="R213" i="29"/>
  <c r="R217" i="29"/>
  <c r="R222" i="29"/>
  <c r="W222" i="29" s="1"/>
  <c r="R226" i="29"/>
  <c r="R231" i="29"/>
  <c r="R236" i="29"/>
  <c r="W236" i="29" s="1"/>
  <c r="R240" i="29"/>
  <c r="R244" i="29"/>
  <c r="R248" i="29"/>
  <c r="R252" i="29"/>
  <c r="W252" i="29" s="1"/>
  <c r="R256" i="29"/>
  <c r="O358" i="34" s="1"/>
  <c r="R260" i="29"/>
  <c r="R264" i="29"/>
  <c r="BG264" i="29" s="1"/>
  <c r="R268" i="29"/>
  <c r="R272" i="29"/>
  <c r="O366" i="34" s="1"/>
  <c r="R276" i="29"/>
  <c r="O369" i="34" s="1"/>
  <c r="R280" i="29"/>
  <c r="R285" i="29"/>
  <c r="R289" i="29"/>
  <c r="R293" i="29"/>
  <c r="R297" i="29"/>
  <c r="R301" i="29"/>
  <c r="R306" i="29"/>
  <c r="R311" i="29"/>
  <c r="W311" i="29" s="1"/>
  <c r="R315" i="29"/>
  <c r="AG315" i="29" s="1"/>
  <c r="R320" i="29"/>
  <c r="R328" i="29"/>
  <c r="R332" i="29"/>
  <c r="W332" i="29" s="1"/>
  <c r="R336" i="29"/>
  <c r="R340" i="29"/>
  <c r="R344" i="29"/>
  <c r="R348" i="29"/>
  <c r="R352" i="29"/>
  <c r="W352" i="29" s="1"/>
  <c r="R357" i="29"/>
  <c r="R12" i="29"/>
  <c r="R16" i="29"/>
  <c r="R20" i="29"/>
  <c r="R24" i="29"/>
  <c r="R28" i="29"/>
  <c r="R34" i="29"/>
  <c r="W34" i="29" s="1"/>
  <c r="R38" i="29"/>
  <c r="R42" i="29"/>
  <c r="R46" i="29"/>
  <c r="K49" i="34" s="1"/>
  <c r="O49" i="34" s="1"/>
  <c r="R50" i="29"/>
  <c r="R54" i="29"/>
  <c r="AW54" i="29" s="1"/>
  <c r="R58" i="29"/>
  <c r="R62" i="29"/>
  <c r="R66" i="29"/>
  <c r="K98" i="34" s="1"/>
  <c r="O98" i="34" s="1"/>
  <c r="R70" i="29"/>
  <c r="R75" i="29"/>
  <c r="R79" i="29"/>
  <c r="R83" i="29"/>
  <c r="K127" i="34" s="1"/>
  <c r="O127" i="34" s="1"/>
  <c r="R88" i="29"/>
  <c r="R92" i="29"/>
  <c r="K135" i="34" s="1"/>
  <c r="O135" i="34" s="1"/>
  <c r="R96" i="29"/>
  <c r="R100" i="29"/>
  <c r="W100" i="29" s="1"/>
  <c r="R104" i="29"/>
  <c r="R108" i="29"/>
  <c r="W108" i="29" s="1"/>
  <c r="R112" i="29"/>
  <c r="AA112" i="29" s="1"/>
  <c r="R116" i="29"/>
  <c r="K206" i="34" s="1"/>
  <c r="O206" i="34" s="1"/>
  <c r="R120" i="29"/>
  <c r="R124" i="29"/>
  <c r="K214" i="34" s="1"/>
  <c r="O214" i="34" s="1"/>
  <c r="R128" i="29"/>
  <c r="R132" i="29"/>
  <c r="R136" i="29"/>
  <c r="K225" i="34" s="1"/>
  <c r="O225" i="34" s="1"/>
  <c r="R140" i="29"/>
  <c r="K228" i="34" s="1"/>
  <c r="O228" i="34" s="1"/>
  <c r="R144" i="29"/>
  <c r="R148" i="29"/>
  <c r="K239" i="34" s="1"/>
  <c r="O239" i="34" s="1"/>
  <c r="R152" i="29"/>
  <c r="R156" i="29"/>
  <c r="R160" i="29"/>
  <c r="R164" i="29"/>
  <c r="R168" i="29"/>
  <c r="R172" i="29"/>
  <c r="W172" i="29" s="1"/>
  <c r="R176" i="29"/>
  <c r="R180" i="29"/>
  <c r="R184" i="29"/>
  <c r="W184" i="29" s="1"/>
  <c r="R188" i="29"/>
  <c r="R193" i="29"/>
  <c r="K316" i="34" s="1"/>
  <c r="O316" i="34" s="1"/>
  <c r="R197" i="29"/>
  <c r="R201" i="29"/>
  <c r="R206" i="29"/>
  <c r="R210" i="29"/>
  <c r="R214" i="29"/>
  <c r="R219" i="29"/>
  <c r="R223" i="29"/>
  <c r="R227" i="29"/>
  <c r="R232" i="29"/>
  <c r="R237" i="29"/>
  <c r="W237" i="29" s="1"/>
  <c r="R241" i="29"/>
  <c r="R245" i="29"/>
  <c r="R249" i="29"/>
  <c r="R253" i="29"/>
  <c r="O355" i="34" s="1"/>
  <c r="R257" i="29"/>
  <c r="O359" i="34" s="1"/>
  <c r="R261" i="29"/>
  <c r="R265" i="29"/>
  <c r="O363" i="34" s="1"/>
  <c r="R269" i="29"/>
  <c r="O365" i="34" s="1"/>
  <c r="R273" i="29"/>
  <c r="O368" i="34" s="1"/>
  <c r="R277" i="29"/>
  <c r="R282" i="29"/>
  <c r="R286" i="29"/>
  <c r="R290" i="29"/>
  <c r="R294" i="29"/>
  <c r="R298" i="29"/>
  <c r="W298" i="29" s="1"/>
  <c r="R302" i="29"/>
  <c r="W302" i="29" s="1"/>
  <c r="R307" i="29"/>
  <c r="AI307" i="29" s="1"/>
  <c r="R312" i="29"/>
  <c r="AK312" i="29" s="1"/>
  <c r="R316" i="29"/>
  <c r="R323" i="29"/>
  <c r="R329" i="29"/>
  <c r="W329" i="29" s="1"/>
  <c r="R333" i="29"/>
  <c r="W333" i="29" s="1"/>
  <c r="R337" i="29"/>
  <c r="R341" i="29"/>
  <c r="R345" i="29"/>
  <c r="R349" i="29"/>
  <c r="R353" i="29"/>
  <c r="R13" i="29"/>
  <c r="R17" i="29"/>
  <c r="R21" i="29"/>
  <c r="R25" i="29"/>
  <c r="R29" i="29"/>
  <c r="R35" i="29"/>
  <c r="AU35" i="29" s="1"/>
  <c r="R39" i="29"/>
  <c r="R43" i="29"/>
  <c r="R47" i="29"/>
  <c r="R51" i="29"/>
  <c r="R55" i="29"/>
  <c r="R59" i="29"/>
  <c r="K68" i="34" s="1"/>
  <c r="O68" i="34" s="1"/>
  <c r="R63" i="29"/>
  <c r="R67" i="29"/>
  <c r="R72" i="29"/>
  <c r="R76" i="29"/>
  <c r="R80" i="29"/>
  <c r="R84" i="29"/>
  <c r="K128" i="34" s="1"/>
  <c r="O128" i="34" s="1"/>
  <c r="R89" i="29"/>
  <c r="AA89" i="29" s="1"/>
  <c r="R93" i="29"/>
  <c r="R97" i="29"/>
  <c r="R101" i="29"/>
  <c r="W101" i="29" s="1"/>
  <c r="R105" i="29"/>
  <c r="R109" i="29"/>
  <c r="AK109" i="29" s="1"/>
  <c r="R113" i="29"/>
  <c r="AQ113" i="29" s="1"/>
  <c r="R117" i="29"/>
  <c r="K207" i="34" s="1"/>
  <c r="O207" i="34" s="1"/>
  <c r="R121" i="29"/>
  <c r="K211" i="34" s="1"/>
  <c r="O211" i="34" s="1"/>
  <c r="R125" i="29"/>
  <c r="R129" i="29"/>
  <c r="R133" i="29"/>
  <c r="K222" i="34" s="1"/>
  <c r="O222" i="34" s="1"/>
  <c r="R137" i="29"/>
  <c r="R141" i="29"/>
  <c r="K229" i="34" s="1"/>
  <c r="O229" i="34" s="1"/>
  <c r="R145" i="29"/>
  <c r="R149" i="29"/>
  <c r="R153" i="29"/>
  <c r="R157" i="29"/>
  <c r="R161" i="29"/>
  <c r="K285" i="34" s="1"/>
  <c r="O285" i="34" s="1"/>
  <c r="R165" i="29"/>
  <c r="R169" i="29"/>
  <c r="R173" i="29"/>
  <c r="R177" i="29"/>
  <c r="R181" i="29"/>
  <c r="R185" i="29"/>
  <c r="AA185" i="29" s="1"/>
  <c r="R189" i="29"/>
  <c r="K312" i="34" s="1"/>
  <c r="O312" i="34" s="1"/>
  <c r="R194" i="29"/>
  <c r="K317" i="34" s="1"/>
  <c r="O317" i="34" s="1"/>
  <c r="R198" i="29"/>
  <c r="R203" i="29"/>
  <c r="R207" i="29"/>
  <c r="R211" i="29"/>
  <c r="R215" i="29"/>
  <c r="W215" i="29" s="1"/>
  <c r="R220" i="29"/>
  <c r="O331" i="34" s="1"/>
  <c r="R224" i="29"/>
  <c r="W224" i="29" s="1"/>
  <c r="R229" i="29"/>
  <c r="R234" i="29"/>
  <c r="R238" i="29"/>
  <c r="O345" i="34" s="1"/>
  <c r="R242" i="29"/>
  <c r="W242" i="29" s="1"/>
  <c r="R246" i="29"/>
  <c r="R250" i="29"/>
  <c r="R254" i="29"/>
  <c r="R258" i="29"/>
  <c r="W258" i="29" s="1"/>
  <c r="R262" i="29"/>
  <c r="BC262" i="29" s="1"/>
  <c r="R266" i="29"/>
  <c r="O364" i="34" s="1"/>
  <c r="R270" i="29"/>
  <c r="R274" i="29"/>
  <c r="R278" i="29"/>
  <c r="R283" i="29"/>
  <c r="W283" i="29" s="1"/>
  <c r="R287" i="29"/>
  <c r="R291" i="29"/>
  <c r="R295" i="29"/>
  <c r="R299" i="29"/>
  <c r="R304" i="29"/>
  <c r="W304" i="29" s="1"/>
  <c r="R308" i="29"/>
  <c r="R313" i="29"/>
  <c r="W313" i="29" s="1"/>
  <c r="R317" i="29"/>
  <c r="R325" i="29"/>
  <c r="R330" i="29"/>
  <c r="AC330" i="29" s="1"/>
  <c r="R334" i="29"/>
  <c r="AE334" i="29" s="1"/>
  <c r="R338" i="29"/>
  <c r="R342" i="29"/>
  <c r="R346" i="29"/>
  <c r="R350" i="29"/>
  <c r="R355" i="29"/>
  <c r="R359" i="29"/>
  <c r="R363" i="29"/>
  <c r="BC363" i="29" s="1"/>
  <c r="R367" i="29"/>
  <c r="W367" i="29" s="1"/>
  <c r="R358" i="29"/>
  <c r="BC358" i="29" s="1"/>
  <c r="R366" i="29"/>
  <c r="R371" i="29"/>
  <c r="R375" i="29"/>
  <c r="R379" i="29"/>
  <c r="R383" i="29"/>
  <c r="R387" i="29"/>
  <c r="R391" i="29"/>
  <c r="W391" i="29" s="1"/>
  <c r="R396" i="29"/>
  <c r="R401" i="29"/>
  <c r="R405" i="29"/>
  <c r="R409" i="29"/>
  <c r="R413" i="29"/>
  <c r="R417" i="29"/>
  <c r="R421" i="29"/>
  <c r="R425" i="29"/>
  <c r="R429" i="29"/>
  <c r="K102" i="34" s="1"/>
  <c r="O102" i="34" s="1"/>
  <c r="R433" i="29"/>
  <c r="R437" i="29"/>
  <c r="R441" i="29"/>
  <c r="K137" i="34" s="1"/>
  <c r="O137" i="34" s="1"/>
  <c r="R445" i="29"/>
  <c r="R449" i="29"/>
  <c r="R453" i="29"/>
  <c r="R457" i="29"/>
  <c r="K153" i="34" s="1"/>
  <c r="O153" i="34" s="1"/>
  <c r="R461" i="29"/>
  <c r="K157" i="34" s="1"/>
  <c r="O157" i="34" s="1"/>
  <c r="R465" i="29"/>
  <c r="AW465" i="29" s="1"/>
  <c r="R472" i="29"/>
  <c r="R476" i="29"/>
  <c r="R480" i="29"/>
  <c r="R484" i="29"/>
  <c r="R488" i="29"/>
  <c r="R492" i="29"/>
  <c r="R496" i="29"/>
  <c r="Q11" i="29"/>
  <c r="J9" i="34" s="1"/>
  <c r="N9" i="34" s="1"/>
  <c r="P9" i="34" s="1"/>
  <c r="Q15" i="29"/>
  <c r="Q19" i="29"/>
  <c r="Q23" i="29"/>
  <c r="Q27" i="29"/>
  <c r="Q31" i="29"/>
  <c r="Q37" i="29"/>
  <c r="Q41" i="29"/>
  <c r="Q45" i="29"/>
  <c r="Q49" i="29"/>
  <c r="Q53" i="29"/>
  <c r="Q57" i="29"/>
  <c r="Q61" i="29"/>
  <c r="Q65" i="29"/>
  <c r="J97" i="34" s="1"/>
  <c r="N97" i="34" s="1"/>
  <c r="P97" i="34" s="1"/>
  <c r="Q69" i="29"/>
  <c r="J103" i="34" s="1"/>
  <c r="N103" i="34" s="1"/>
  <c r="P103" i="34" s="1"/>
  <c r="Q74" i="29"/>
  <c r="Q78" i="29"/>
  <c r="Q82" i="29"/>
  <c r="N124" i="34" s="1"/>
  <c r="P124" i="34" s="1"/>
  <c r="Q86" i="29"/>
  <c r="Q91" i="29"/>
  <c r="N134" i="34" s="1"/>
  <c r="P134" i="34" s="1"/>
  <c r="Q95" i="29"/>
  <c r="Q99" i="29"/>
  <c r="Q103" i="29"/>
  <c r="BB103" i="29" s="1"/>
  <c r="Q107" i="29"/>
  <c r="Q111" i="29"/>
  <c r="Q115" i="29"/>
  <c r="V115" i="29" s="1"/>
  <c r="Q119" i="29"/>
  <c r="J209" i="34" s="1"/>
  <c r="N209" i="34" s="1"/>
  <c r="P209" i="34" s="1"/>
  <c r="Q123" i="29"/>
  <c r="J213" i="34" s="1"/>
  <c r="N213" i="34" s="1"/>
  <c r="P213" i="34" s="1"/>
  <c r="Q127" i="29"/>
  <c r="J217" i="34" s="1"/>
  <c r="N217" i="34" s="1"/>
  <c r="P217" i="34" s="1"/>
  <c r="Q131" i="29"/>
  <c r="J220" i="34" s="1"/>
  <c r="N220" i="34" s="1"/>
  <c r="P220" i="34" s="1"/>
  <c r="Q135" i="29"/>
  <c r="Q139" i="29"/>
  <c r="AF139" i="29" s="1"/>
  <c r="Q143" i="29"/>
  <c r="Q147" i="29"/>
  <c r="J238" i="34" s="1"/>
  <c r="N238" i="34" s="1"/>
  <c r="P238" i="34" s="1"/>
  <c r="Q151" i="29"/>
  <c r="J242" i="34" s="1"/>
  <c r="N242" i="34" s="1"/>
  <c r="P242" i="34" s="1"/>
  <c r="Q155" i="29"/>
  <c r="Q159" i="29"/>
  <c r="Q163" i="29"/>
  <c r="J287" i="34" s="1"/>
  <c r="N287" i="34" s="1"/>
  <c r="P287" i="34" s="1"/>
  <c r="Q167" i="29"/>
  <c r="AV167" i="29" s="1"/>
  <c r="Q171" i="29"/>
  <c r="Q175" i="29"/>
  <c r="Q179" i="29"/>
  <c r="V179" i="29" s="1"/>
  <c r="Q183" i="29"/>
  <c r="Q187" i="29"/>
  <c r="BD187" i="29" s="1"/>
  <c r="Q192" i="29"/>
  <c r="V192" i="29" s="1"/>
  <c r="Q196" i="29"/>
  <c r="J319" i="34" s="1"/>
  <c r="N319" i="34" s="1"/>
  <c r="Q200" i="29"/>
  <c r="N323" i="34" s="1"/>
  <c r="Q205" i="29"/>
  <c r="Q209" i="29"/>
  <c r="Q213" i="29"/>
  <c r="Q217" i="29"/>
  <c r="Q222" i="29"/>
  <c r="V222" i="29" s="1"/>
  <c r="Q226" i="29"/>
  <c r="Q231" i="29"/>
  <c r="R361" i="29"/>
  <c r="R368" i="29"/>
  <c r="W368" i="29" s="1"/>
  <c r="R372" i="29"/>
  <c r="R376" i="29"/>
  <c r="R380" i="29"/>
  <c r="R384" i="29"/>
  <c r="R388" i="29"/>
  <c r="R392" i="29"/>
  <c r="W392" i="29" s="1"/>
  <c r="R397" i="29"/>
  <c r="R402" i="29"/>
  <c r="R406" i="29"/>
  <c r="R410" i="29"/>
  <c r="R414" i="29"/>
  <c r="W414" i="29" s="1"/>
  <c r="R418" i="29"/>
  <c r="R422" i="29"/>
  <c r="K92" i="34" s="1"/>
  <c r="O92" i="34" s="1"/>
  <c r="R426" i="29"/>
  <c r="K96" i="34" s="1"/>
  <c r="O96" i="34" s="1"/>
  <c r="R430" i="29"/>
  <c r="K106" i="34" s="1"/>
  <c r="O106" i="34" s="1"/>
  <c r="R434" i="29"/>
  <c r="R438" i="29"/>
  <c r="R442" i="29"/>
  <c r="R446" i="29"/>
  <c r="R450" i="29"/>
  <c r="K146" i="34" s="1"/>
  <c r="O146" i="34" s="1"/>
  <c r="R454" i="29"/>
  <c r="R458" i="29"/>
  <c r="R362" i="29"/>
  <c r="R369" i="29"/>
  <c r="W369" i="29" s="1"/>
  <c r="R373" i="29"/>
  <c r="R377" i="29"/>
  <c r="R381" i="29"/>
  <c r="R385" i="29"/>
  <c r="R389" i="29"/>
  <c r="W389" i="29" s="1"/>
  <c r="R394" i="29"/>
  <c r="R399" i="29"/>
  <c r="R403" i="29"/>
  <c r="R407" i="29"/>
  <c r="R411" i="29"/>
  <c r="R415" i="29"/>
  <c r="R419" i="29"/>
  <c r="R423" i="29"/>
  <c r="R427" i="29"/>
  <c r="K101" i="34" s="1"/>
  <c r="O101" i="34" s="1"/>
  <c r="R431" i="29"/>
  <c r="R435" i="29"/>
  <c r="R439" i="29"/>
  <c r="W439" i="29" s="1"/>
  <c r="R443" i="29"/>
  <c r="R447" i="29"/>
  <c r="R451" i="29"/>
  <c r="K147" i="34" s="1"/>
  <c r="O147" i="34" s="1"/>
  <c r="R455" i="29"/>
  <c r="R459" i="29"/>
  <c r="R463" i="29"/>
  <c r="R468" i="29"/>
  <c r="R474" i="29"/>
  <c r="R478" i="29"/>
  <c r="R482" i="29"/>
  <c r="K230" i="34" s="1"/>
  <c r="O230" i="34" s="1"/>
  <c r="R486" i="29"/>
  <c r="R490" i="29"/>
  <c r="R494" i="29"/>
  <c r="R498" i="29"/>
  <c r="Q13" i="29"/>
  <c r="Q17" i="29"/>
  <c r="Q21" i="29"/>
  <c r="Q25" i="29"/>
  <c r="Q29" i="29"/>
  <c r="Q35" i="29"/>
  <c r="AT35" i="29" s="1"/>
  <c r="Q39" i="29"/>
  <c r="Q43" i="29"/>
  <c r="Q47" i="29"/>
  <c r="Q51" i="29"/>
  <c r="Q55" i="29"/>
  <c r="Q59" i="29"/>
  <c r="J68" i="34" s="1"/>
  <c r="N68" i="34" s="1"/>
  <c r="Q63" i="29"/>
  <c r="Q67" i="29"/>
  <c r="Q72" i="29"/>
  <c r="Q76" i="29"/>
  <c r="J113" i="34" s="1"/>
  <c r="Q80" i="29"/>
  <c r="Q84" i="29"/>
  <c r="N128" i="34" s="1"/>
  <c r="Q89" i="29"/>
  <c r="Z89" i="29" s="1"/>
  <c r="Q93" i="29"/>
  <c r="Q97" i="29"/>
  <c r="Q101" i="29"/>
  <c r="V101" i="29" s="1"/>
  <c r="Q105" i="29"/>
  <c r="Q109" i="29"/>
  <c r="AJ109" i="29" s="1"/>
  <c r="Q113" i="29"/>
  <c r="AP113" i="29" s="1"/>
  <c r="Q117" i="29"/>
  <c r="J207" i="34" s="1"/>
  <c r="N207" i="34" s="1"/>
  <c r="Q121" i="29"/>
  <c r="J211" i="34" s="1"/>
  <c r="N211" i="34" s="1"/>
  <c r="Q125" i="29"/>
  <c r="Q129" i="29"/>
  <c r="Q133" i="29"/>
  <c r="J222" i="34" s="1"/>
  <c r="N222" i="34" s="1"/>
  <c r="Q137" i="29"/>
  <c r="Q141" i="29"/>
  <c r="J229" i="34" s="1"/>
  <c r="N229" i="34" s="1"/>
  <c r="Q145" i="29"/>
  <c r="Q149" i="29"/>
  <c r="Q153" i="29"/>
  <c r="Q157" i="29"/>
  <c r="Q161" i="29"/>
  <c r="J285" i="34" s="1"/>
  <c r="N285" i="34" s="1"/>
  <c r="Q165" i="29"/>
  <c r="Q169" i="29"/>
  <c r="Q173" i="29"/>
  <c r="Q177" i="29"/>
  <c r="Q181" i="29"/>
  <c r="Q185" i="29"/>
  <c r="Z185" i="29" s="1"/>
  <c r="Q189" i="29"/>
  <c r="J312" i="34" s="1"/>
  <c r="N312" i="34" s="1"/>
  <c r="P312" i="34" s="1"/>
  <c r="Q194" i="29"/>
  <c r="J317" i="34" s="1"/>
  <c r="N317" i="34" s="1"/>
  <c r="P317" i="34" s="1"/>
  <c r="Q198" i="29"/>
  <c r="Q203" i="29"/>
  <c r="Q207" i="29"/>
  <c r="Q211" i="29"/>
  <c r="Q215" i="29"/>
  <c r="V215" i="29" s="1"/>
  <c r="Q220" i="29"/>
  <c r="N331" i="34" s="1"/>
  <c r="P331" i="34" s="1"/>
  <c r="Q224" i="29"/>
  <c r="V224" i="29" s="1"/>
  <c r="R365" i="29"/>
  <c r="W365" i="29" s="1"/>
  <c r="R382" i="29"/>
  <c r="R400" i="29"/>
  <c r="R416" i="29"/>
  <c r="R432" i="29"/>
  <c r="R448" i="29"/>
  <c r="R462" i="29"/>
  <c r="R473" i="29"/>
  <c r="K169" i="34" s="1"/>
  <c r="O169" i="34" s="1"/>
  <c r="R481" i="29"/>
  <c r="R489" i="29"/>
  <c r="R497" i="29"/>
  <c r="Q16" i="29"/>
  <c r="Q24" i="29"/>
  <c r="Q34" i="29"/>
  <c r="V34" i="29" s="1"/>
  <c r="Q42" i="29"/>
  <c r="Q50" i="29"/>
  <c r="Q58" i="29"/>
  <c r="AN58" i="29" s="1"/>
  <c r="Q66" i="29"/>
  <c r="J98" i="34" s="1"/>
  <c r="N98" i="34" s="1"/>
  <c r="P98" i="34" s="1"/>
  <c r="Q75" i="29"/>
  <c r="Q83" i="29"/>
  <c r="J127" i="34" s="1"/>
  <c r="N127" i="34" s="1"/>
  <c r="P127" i="34" s="1"/>
  <c r="Q92" i="29"/>
  <c r="Q100" i="29"/>
  <c r="V100" i="29" s="1"/>
  <c r="Q108" i="29"/>
  <c r="V108" i="29" s="1"/>
  <c r="Q116" i="29"/>
  <c r="J206" i="34" s="1"/>
  <c r="N206" i="34" s="1"/>
  <c r="P206" i="34" s="1"/>
  <c r="Q124" i="29"/>
  <c r="Q132" i="29"/>
  <c r="Q140" i="29"/>
  <c r="J228" i="34" s="1"/>
  <c r="N228" i="34" s="1"/>
  <c r="P228" i="34" s="1"/>
  <c r="Q148" i="29"/>
  <c r="J239" i="34" s="1"/>
  <c r="N239" i="34" s="1"/>
  <c r="P239" i="34" s="1"/>
  <c r="Q156" i="29"/>
  <c r="AP156" i="29" s="1"/>
  <c r="Q164" i="29"/>
  <c r="Q172" i="29"/>
  <c r="V172" i="29" s="1"/>
  <c r="Q180" i="29"/>
  <c r="Q188" i="29"/>
  <c r="J311" i="34" s="1"/>
  <c r="N311" i="34" s="1"/>
  <c r="Q197" i="29"/>
  <c r="Q206" i="29"/>
  <c r="Q214" i="29"/>
  <c r="Q223" i="29"/>
  <c r="N333" i="34" s="1"/>
  <c r="Q230" i="29"/>
  <c r="Q236" i="29"/>
  <c r="V236" i="29" s="1"/>
  <c r="Q240" i="29"/>
  <c r="Q248" i="29"/>
  <c r="Q252" i="29"/>
  <c r="V252" i="29" s="1"/>
  <c r="Q256" i="29"/>
  <c r="N358" i="34" s="1"/>
  <c r="P358" i="34" s="1"/>
  <c r="Q260" i="29"/>
  <c r="Q264" i="29"/>
  <c r="BF264" i="29" s="1"/>
  <c r="Q268" i="29"/>
  <c r="Q272" i="29"/>
  <c r="N366" i="34" s="1"/>
  <c r="Q276" i="29"/>
  <c r="N369" i="34" s="1"/>
  <c r="Q280" i="29"/>
  <c r="Q285" i="29"/>
  <c r="Q289" i="29"/>
  <c r="Q293" i="29"/>
  <c r="Q297" i="29"/>
  <c r="Q301" i="29"/>
  <c r="Q306" i="29"/>
  <c r="Q311" i="29"/>
  <c r="V311" i="29" s="1"/>
  <c r="Q315" i="29"/>
  <c r="AF315" i="29" s="1"/>
  <c r="Q320" i="29"/>
  <c r="Q328" i="29"/>
  <c r="Q336" i="29"/>
  <c r="Q340" i="29"/>
  <c r="Q344" i="29"/>
  <c r="V344" i="29" s="1"/>
  <c r="Q348" i="29"/>
  <c r="Q352" i="29"/>
  <c r="V352" i="29" s="1"/>
  <c r="Q357" i="29"/>
  <c r="Q361" i="29"/>
  <c r="AR361" i="29" s="1"/>
  <c r="Q365" i="29"/>
  <c r="V365" i="29" s="1"/>
  <c r="Q369" i="29"/>
  <c r="V369" i="29" s="1"/>
  <c r="Q373" i="29"/>
  <c r="Q377" i="29"/>
  <c r="Q381" i="29"/>
  <c r="Q385" i="29"/>
  <c r="Q389" i="29"/>
  <c r="V389" i="29" s="1"/>
  <c r="Q394" i="29"/>
  <c r="Q399" i="29"/>
  <c r="Q403" i="29"/>
  <c r="Q407" i="29"/>
  <c r="Q415" i="29"/>
  <c r="Q419" i="29"/>
  <c r="Q423" i="29"/>
  <c r="Q427" i="29"/>
  <c r="J101" i="34" s="1"/>
  <c r="N101" i="34" s="1"/>
  <c r="Q431" i="29"/>
  <c r="Q435" i="29"/>
  <c r="R370" i="29"/>
  <c r="R386" i="29"/>
  <c r="W386" i="29" s="1"/>
  <c r="R404" i="29"/>
  <c r="R420" i="29"/>
  <c r="R436" i="29"/>
  <c r="R452" i="29"/>
  <c r="K148" i="34" s="1"/>
  <c r="O148" i="34" s="1"/>
  <c r="R464" i="29"/>
  <c r="R475" i="29"/>
  <c r="R483" i="29"/>
  <c r="R491" i="29"/>
  <c r="Q18" i="29"/>
  <c r="J16" i="34" s="1"/>
  <c r="N16" i="34" s="1"/>
  <c r="P16" i="34" s="1"/>
  <c r="Q26" i="29"/>
  <c r="AL26" i="29" s="1"/>
  <c r="Q36" i="29"/>
  <c r="Q44" i="29"/>
  <c r="V44" i="29" s="1"/>
  <c r="Q52" i="29"/>
  <c r="Q60" i="29"/>
  <c r="Q68" i="29"/>
  <c r="AF68" i="29" s="1"/>
  <c r="Q77" i="29"/>
  <c r="V77" i="29" s="1"/>
  <c r="Q85" i="29"/>
  <c r="N129" i="34" s="1"/>
  <c r="P129" i="34" s="1"/>
  <c r="Q94" i="29"/>
  <c r="Z94" i="29" s="1"/>
  <c r="Q102" i="29"/>
  <c r="Q110" i="29"/>
  <c r="Q118" i="29"/>
  <c r="J208" i="34" s="1"/>
  <c r="N208" i="34" s="1"/>
  <c r="Q126" i="29"/>
  <c r="Q134" i="29"/>
  <c r="Q142" i="29"/>
  <c r="J231" i="34" s="1"/>
  <c r="N231" i="34" s="1"/>
  <c r="Q150" i="29"/>
  <c r="J241" i="34" s="1"/>
  <c r="N241" i="34" s="1"/>
  <c r="Q158" i="29"/>
  <c r="BB158" i="29" s="1"/>
  <c r="Q166" i="29"/>
  <c r="AN166" i="29" s="1"/>
  <c r="Q174" i="29"/>
  <c r="BB174" i="29" s="1"/>
  <c r="Q182" i="29"/>
  <c r="Q190" i="29"/>
  <c r="Q199" i="29"/>
  <c r="Q208" i="29"/>
  <c r="N324" i="34" s="1"/>
  <c r="Q216" i="29"/>
  <c r="Q225" i="29"/>
  <c r="N334" i="34" s="1"/>
  <c r="Q232" i="29"/>
  <c r="Q237" i="29"/>
  <c r="V237" i="29" s="1"/>
  <c r="Q241" i="29"/>
  <c r="Q245" i="29"/>
  <c r="Q249" i="29"/>
  <c r="Q253" i="29"/>
  <c r="N355" i="34" s="1"/>
  <c r="Q257" i="29"/>
  <c r="N359" i="34" s="1"/>
  <c r="Q261" i="29"/>
  <c r="Q265" i="29"/>
  <c r="N363" i="34" s="1"/>
  <c r="Q269" i="29"/>
  <c r="N365" i="34" s="1"/>
  <c r="Q273" i="29"/>
  <c r="N368" i="34" s="1"/>
  <c r="Q277" i="29"/>
  <c r="Q282" i="29"/>
  <c r="Q286" i="29"/>
  <c r="Q290" i="29"/>
  <c r="Q294" i="29"/>
  <c r="Q298" i="29"/>
  <c r="V298" i="29" s="1"/>
  <c r="Q302" i="29"/>
  <c r="V302" i="29" s="1"/>
  <c r="Q307" i="29"/>
  <c r="AH307" i="29" s="1"/>
  <c r="Q312" i="29"/>
  <c r="AJ312" i="29" s="1"/>
  <c r="Q316" i="29"/>
  <c r="Q323" i="29"/>
  <c r="Q329" i="29"/>
  <c r="V329" i="29" s="1"/>
  <c r="Q333" i="29"/>
  <c r="V333" i="29" s="1"/>
  <c r="Q337" i="29"/>
  <c r="Q341" i="29"/>
  <c r="Q345" i="29"/>
  <c r="Q349" i="29"/>
  <c r="Q353" i="29"/>
  <c r="Q358" i="29"/>
  <c r="BB358" i="29" s="1"/>
  <c r="Q362" i="29"/>
  <c r="Q366" i="29"/>
  <c r="Q370" i="29"/>
  <c r="Q374" i="29"/>
  <c r="Q378" i="29"/>
  <c r="Q382" i="29"/>
  <c r="Q386" i="29"/>
  <c r="V386" i="29" s="1"/>
  <c r="Q395" i="29"/>
  <c r="Q400" i="29"/>
  <c r="Q404" i="29"/>
  <c r="Q408" i="29"/>
  <c r="Q412" i="29"/>
  <c r="Q416" i="29"/>
  <c r="Q420" i="29"/>
  <c r="Q424" i="29"/>
  <c r="Q428" i="29"/>
  <c r="Q432" i="29"/>
  <c r="R374" i="29"/>
  <c r="R408" i="29"/>
  <c r="R440" i="29"/>
  <c r="R466" i="29"/>
  <c r="K162" i="34" s="1"/>
  <c r="O162" i="34" s="1"/>
  <c r="R485" i="29"/>
  <c r="Q28" i="29"/>
  <c r="Q46" i="29"/>
  <c r="Q62" i="29"/>
  <c r="AF62" i="29" s="1"/>
  <c r="Q79" i="29"/>
  <c r="AF79" i="29" s="1"/>
  <c r="Q96" i="29"/>
  <c r="BD96" i="29" s="1"/>
  <c r="Q112" i="29"/>
  <c r="Q128" i="29"/>
  <c r="J218" i="34" s="1"/>
  <c r="N218" i="34" s="1"/>
  <c r="Q144" i="29"/>
  <c r="AV144" i="29" s="1"/>
  <c r="Q160" i="29"/>
  <c r="Q176" i="29"/>
  <c r="AV176" i="29" s="1"/>
  <c r="Q193" i="29"/>
  <c r="Q210" i="29"/>
  <c r="V210" i="29" s="1"/>
  <c r="Q227" i="29"/>
  <c r="Q238" i="29"/>
  <c r="N345" i="34" s="1"/>
  <c r="Q246" i="29"/>
  <c r="BB246" i="29" s="1"/>
  <c r="Q254" i="29"/>
  <c r="Q262" i="29"/>
  <c r="BB262" i="29" s="1"/>
  <c r="Q270" i="29"/>
  <c r="Q278" i="29"/>
  <c r="V278" i="29" s="1"/>
  <c r="Q287" i="29"/>
  <c r="Q295" i="29"/>
  <c r="Q304" i="29"/>
  <c r="V304" i="29" s="1"/>
  <c r="Q313" i="29"/>
  <c r="Q325" i="29"/>
  <c r="Q334" i="29"/>
  <c r="AD334" i="29" s="1"/>
  <c r="Q342" i="29"/>
  <c r="Q350" i="29"/>
  <c r="V350" i="29" s="1"/>
  <c r="Q359" i="29"/>
  <c r="Q367" i="29"/>
  <c r="V367" i="29" s="1"/>
  <c r="Q375" i="29"/>
  <c r="Q383" i="29"/>
  <c r="Q391" i="29"/>
  <c r="V391" i="29" s="1"/>
  <c r="Q401" i="29"/>
  <c r="Q409" i="29"/>
  <c r="Q417" i="29"/>
  <c r="Q425" i="29"/>
  <c r="Q433" i="29"/>
  <c r="Q438" i="29"/>
  <c r="Q442" i="29"/>
  <c r="Q446" i="29"/>
  <c r="Q450" i="29"/>
  <c r="J146" i="34" s="1"/>
  <c r="N146" i="34" s="1"/>
  <c r="Q454" i="29"/>
  <c r="Q458" i="29"/>
  <c r="Q462" i="29"/>
  <c r="Q466" i="29"/>
  <c r="J162" i="34" s="1"/>
  <c r="N162" i="34" s="1"/>
  <c r="P162" i="34" s="1"/>
  <c r="Q473" i="29"/>
  <c r="J169" i="34" s="1"/>
  <c r="N169" i="34" s="1"/>
  <c r="Q477" i="29"/>
  <c r="J172" i="34" s="1"/>
  <c r="N172" i="34" s="1"/>
  <c r="Q481" i="29"/>
  <c r="Q485" i="29"/>
  <c r="Q489" i="29"/>
  <c r="Q493" i="29"/>
  <c r="Q497" i="29"/>
  <c r="R428" i="29"/>
  <c r="R460" i="29"/>
  <c r="K156" i="34" s="1"/>
  <c r="O156" i="34" s="1"/>
  <c r="R479" i="29"/>
  <c r="AO479" i="29" s="1"/>
  <c r="R495" i="29"/>
  <c r="Q22" i="29"/>
  <c r="Q40" i="29"/>
  <c r="Q56" i="29"/>
  <c r="Q73" i="29"/>
  <c r="V73" i="29" s="1"/>
  <c r="Q90" i="29"/>
  <c r="J133" i="34" s="1"/>
  <c r="N133" i="34" s="1"/>
  <c r="Q106" i="29"/>
  <c r="Q122" i="29"/>
  <c r="J212" i="34" s="1"/>
  <c r="N212" i="34" s="1"/>
  <c r="R378" i="29"/>
  <c r="R412" i="29"/>
  <c r="R444" i="29"/>
  <c r="R469" i="29"/>
  <c r="R487" i="29"/>
  <c r="Q14" i="29"/>
  <c r="Q30" i="29"/>
  <c r="Q48" i="29"/>
  <c r="Q64" i="29"/>
  <c r="J91" i="34" s="1"/>
  <c r="N91" i="34" s="1"/>
  <c r="Q81" i="29"/>
  <c r="J123" i="34" s="1"/>
  <c r="N123" i="34" s="1"/>
  <c r="Q98" i="29"/>
  <c r="Q114" i="29"/>
  <c r="Q130" i="29"/>
  <c r="J219" i="34" s="1"/>
  <c r="N219" i="34" s="1"/>
  <c r="Q146" i="29"/>
  <c r="J237" i="34" s="1"/>
  <c r="N237" i="34" s="1"/>
  <c r="Q162" i="29"/>
  <c r="Q178" i="29"/>
  <c r="AD178" i="29" s="1"/>
  <c r="Q195" i="29"/>
  <c r="N318" i="34" s="1"/>
  <c r="Q212" i="29"/>
  <c r="N326" i="34" s="1"/>
  <c r="Q229" i="29"/>
  <c r="Q239" i="29"/>
  <c r="Q247" i="29"/>
  <c r="Q255" i="29"/>
  <c r="Q263" i="29"/>
  <c r="AH263" i="29" s="1"/>
  <c r="Q271" i="29"/>
  <c r="Q279" i="29"/>
  <c r="Q288" i="29"/>
  <c r="V288" i="29" s="1"/>
  <c r="Q296" i="29"/>
  <c r="V296" i="29" s="1"/>
  <c r="Q305" i="29"/>
  <c r="AV305" i="29" s="1"/>
  <c r="Q314" i="29"/>
  <c r="BB314" i="29" s="1"/>
  <c r="Q326" i="29"/>
  <c r="V326" i="29" s="1"/>
  <c r="Q335" i="29"/>
  <c r="Q343" i="29"/>
  <c r="Q351" i="29"/>
  <c r="Q360" i="29"/>
  <c r="Q368" i="29"/>
  <c r="V368" i="29" s="1"/>
  <c r="Q376" i="29"/>
  <c r="Q384" i="29"/>
  <c r="Q392" i="29"/>
  <c r="V392" i="29" s="1"/>
  <c r="Q402" i="29"/>
  <c r="Q410" i="29"/>
  <c r="Q418" i="29"/>
  <c r="Q426" i="29"/>
  <c r="J96" i="34" s="1"/>
  <c r="N96" i="34" s="1"/>
  <c r="P96" i="34" s="1"/>
  <c r="Q434" i="29"/>
  <c r="Q439" i="29"/>
  <c r="V439" i="29" s="1"/>
  <c r="Q443" i="29"/>
  <c r="Q447" i="29"/>
  <c r="Q451" i="29"/>
  <c r="J147" i="34" s="1"/>
  <c r="N147" i="34" s="1"/>
  <c r="P147" i="34" s="1"/>
  <c r="Q455" i="29"/>
  <c r="Q459" i="29"/>
  <c r="Q463" i="29"/>
  <c r="Q468" i="29"/>
  <c r="Q474" i="29"/>
  <c r="Q478" i="29"/>
  <c r="Q482" i="29"/>
  <c r="J230" i="34" s="1"/>
  <c r="N230" i="34" s="1"/>
  <c r="P230" i="34" s="1"/>
  <c r="Q486" i="29"/>
  <c r="Q490" i="29"/>
  <c r="Q494" i="29"/>
  <c r="Q498" i="29"/>
  <c r="R424" i="29"/>
  <c r="R456" i="29"/>
  <c r="R477" i="29"/>
  <c r="K172" i="34" s="1"/>
  <c r="O172" i="34" s="1"/>
  <c r="R493" i="29"/>
  <c r="Q20" i="29"/>
  <c r="AD20" i="29" s="1"/>
  <c r="Q38" i="29"/>
  <c r="AV38" i="29" s="1"/>
  <c r="Q54" i="29"/>
  <c r="AV54" i="29" s="1"/>
  <c r="Q70" i="29"/>
  <c r="Q88" i="29"/>
  <c r="AF88" i="29" s="1"/>
  <c r="Q104" i="29"/>
  <c r="AZ104" i="29" s="1"/>
  <c r="Q120" i="29"/>
  <c r="Q136" i="29"/>
  <c r="J225" i="34" s="1"/>
  <c r="N225" i="34" s="1"/>
  <c r="P225" i="34" s="1"/>
  <c r="Q152" i="29"/>
  <c r="J243" i="34" s="1"/>
  <c r="N243" i="34" s="1"/>
  <c r="Q168" i="29"/>
  <c r="J292" i="34" s="1"/>
  <c r="N292" i="34" s="1"/>
  <c r="Q184" i="29"/>
  <c r="V184" i="29" s="1"/>
  <c r="Q201" i="29"/>
  <c r="Q219" i="29"/>
  <c r="N330" i="34" s="1"/>
  <c r="Q234" i="29"/>
  <c r="N343" i="34" s="1"/>
  <c r="Q242" i="29"/>
  <c r="V242" i="29" s="1"/>
  <c r="Q250" i="29"/>
  <c r="Q258" i="29"/>
  <c r="V258" i="29" s="1"/>
  <c r="Q266" i="29"/>
  <c r="Q274" i="29"/>
  <c r="Q283" i="29"/>
  <c r="V283" i="29" s="1"/>
  <c r="Q291" i="29"/>
  <c r="Q299" i="29"/>
  <c r="V299" i="29" s="1"/>
  <c r="Q308" i="29"/>
  <c r="Q317" i="29"/>
  <c r="Q330" i="29"/>
  <c r="AB330" i="29" s="1"/>
  <c r="Q338" i="29"/>
  <c r="V338" i="29" s="1"/>
  <c r="Q346" i="29"/>
  <c r="Q355" i="29"/>
  <c r="Q363" i="29"/>
  <c r="BB363" i="29" s="1"/>
  <c r="Q371" i="29"/>
  <c r="Q379" i="29"/>
  <c r="Q387" i="29"/>
  <c r="Q396" i="29"/>
  <c r="Q405" i="29"/>
  <c r="Q413" i="29"/>
  <c r="Q421" i="29"/>
  <c r="Q429" i="29"/>
  <c r="J102" i="34" s="1"/>
  <c r="N102" i="34" s="1"/>
  <c r="P102" i="34" s="1"/>
  <c r="Q436" i="29"/>
  <c r="Q440" i="29"/>
  <c r="J136" i="34" s="1"/>
  <c r="N136" i="34" s="1"/>
  <c r="Q444" i="29"/>
  <c r="AH444" i="29" s="1"/>
  <c r="Q448" i="29"/>
  <c r="Q452" i="29"/>
  <c r="J148" i="34" s="1"/>
  <c r="N148" i="34" s="1"/>
  <c r="Q456" i="29"/>
  <c r="Q460" i="29"/>
  <c r="Q464" i="29"/>
  <c r="Q469" i="29"/>
  <c r="Q475" i="29"/>
  <c r="Q479" i="29"/>
  <c r="AN479" i="29" s="1"/>
  <c r="Q483" i="29"/>
  <c r="Q487" i="29"/>
  <c r="AH487" i="29" s="1"/>
  <c r="Q491" i="29"/>
  <c r="Q495" i="29"/>
  <c r="Q484" i="29"/>
  <c r="Q465" i="29"/>
  <c r="Q449" i="29"/>
  <c r="BB449" i="29" s="1"/>
  <c r="Q430" i="29"/>
  <c r="Q397" i="29"/>
  <c r="Q364" i="29"/>
  <c r="AV364" i="29" s="1"/>
  <c r="Q331" i="29"/>
  <c r="Q292" i="29"/>
  <c r="Q259" i="29"/>
  <c r="Q221" i="29"/>
  <c r="Q154" i="29"/>
  <c r="Q488" i="29"/>
  <c r="Q472" i="29"/>
  <c r="Q453" i="29"/>
  <c r="Q437" i="29"/>
  <c r="Q406" i="29"/>
  <c r="Q372" i="29"/>
  <c r="AF372" i="29" s="1"/>
  <c r="Q339" i="29"/>
  <c r="Q300" i="29"/>
  <c r="Q267" i="29"/>
  <c r="Q235" i="29"/>
  <c r="N344" i="34" s="1"/>
  <c r="Q496" i="29"/>
  <c r="Q480" i="29"/>
  <c r="Q461" i="29"/>
  <c r="Q445" i="29"/>
  <c r="Q422" i="29"/>
  <c r="J92" i="34" s="1"/>
  <c r="N92" i="34" s="1"/>
  <c r="Q388" i="29"/>
  <c r="Q356" i="29"/>
  <c r="AV356" i="29" s="1"/>
  <c r="Q318" i="29"/>
  <c r="Q284" i="29"/>
  <c r="Q251" i="29"/>
  <c r="Q204" i="29"/>
  <c r="AR204" i="29" s="1"/>
  <c r="Q138" i="29"/>
  <c r="J227" i="34" s="1"/>
  <c r="N227" i="34" s="1"/>
  <c r="Q492" i="29"/>
  <c r="Q476" i="29"/>
  <c r="AD476" i="29" s="1"/>
  <c r="Q457" i="29"/>
  <c r="Q441" i="29"/>
  <c r="J137" i="34" s="1"/>
  <c r="N137" i="34" s="1"/>
  <c r="Q414" i="29"/>
  <c r="V414" i="29" s="1"/>
  <c r="Q380" i="29"/>
  <c r="BD380" i="29" s="1"/>
  <c r="Q347" i="29"/>
  <c r="V347" i="29" s="1"/>
  <c r="Q310" i="29"/>
  <c r="Q275" i="29"/>
  <c r="V275" i="29" s="1"/>
  <c r="Q186" i="29"/>
  <c r="R395" i="29"/>
  <c r="P319" i="34" l="1"/>
  <c r="P323" i="34"/>
  <c r="P68" i="34"/>
  <c r="P128" i="34"/>
  <c r="P207" i="34"/>
  <c r="P211" i="34"/>
  <c r="P222" i="34"/>
  <c r="P229" i="34"/>
  <c r="P285" i="34"/>
  <c r="P366" i="34"/>
  <c r="P369" i="34"/>
  <c r="P101" i="34"/>
  <c r="P208" i="34"/>
  <c r="P241" i="34"/>
  <c r="P355" i="34"/>
  <c r="P359" i="34"/>
  <c r="P363" i="34"/>
  <c r="P365" i="34"/>
  <c r="P368" i="34"/>
  <c r="P345" i="34"/>
  <c r="P146" i="34"/>
  <c r="P169" i="34"/>
  <c r="P123" i="34"/>
  <c r="P237" i="34"/>
  <c r="P172" i="34"/>
  <c r="P133" i="34"/>
  <c r="P212" i="34"/>
  <c r="P91" i="34"/>
  <c r="P219" i="34"/>
  <c r="P318" i="34"/>
  <c r="P326" i="34"/>
  <c r="P148" i="34"/>
  <c r="P92" i="34"/>
  <c r="P227" i="34"/>
  <c r="P137" i="34"/>
  <c r="N142" i="34"/>
  <c r="N143" i="34"/>
  <c r="N144" i="34"/>
  <c r="J141" i="34"/>
  <c r="N141" i="34" s="1"/>
  <c r="N145" i="34"/>
  <c r="V229" i="29"/>
  <c r="N338" i="34"/>
  <c r="P338" i="34" s="1"/>
  <c r="V106" i="29"/>
  <c r="J195" i="34"/>
  <c r="N195" i="34" s="1"/>
  <c r="W395" i="29"/>
  <c r="K45" i="34"/>
  <c r="O45" i="34" s="1"/>
  <c r="V457" i="29"/>
  <c r="J153" i="34"/>
  <c r="N153" i="34" s="1"/>
  <c r="P153" i="34" s="1"/>
  <c r="V461" i="29"/>
  <c r="J157" i="34"/>
  <c r="N157" i="34" s="1"/>
  <c r="P157" i="34" s="1"/>
  <c r="Z430" i="29"/>
  <c r="J106" i="34"/>
  <c r="N106" i="34" s="1"/>
  <c r="P106" i="34" s="1"/>
  <c r="V460" i="29"/>
  <c r="J156" i="34"/>
  <c r="N156" i="34" s="1"/>
  <c r="P156" i="34" s="1"/>
  <c r="AD317" i="29"/>
  <c r="N389" i="34"/>
  <c r="N104" i="34"/>
  <c r="N105" i="34"/>
  <c r="V227" i="29"/>
  <c r="N336" i="34"/>
  <c r="AP28" i="29"/>
  <c r="J26" i="34"/>
  <c r="N26" i="34" s="1"/>
  <c r="N27" i="34"/>
  <c r="N28" i="34"/>
  <c r="N29" i="34"/>
  <c r="AV316" i="29"/>
  <c r="N388" i="34"/>
  <c r="V199" i="29"/>
  <c r="N322" i="34"/>
  <c r="P322" i="34" s="1"/>
  <c r="V260" i="29"/>
  <c r="N360" i="34"/>
  <c r="V240" i="29"/>
  <c r="N347" i="34"/>
  <c r="V214" i="29"/>
  <c r="N327" i="34"/>
  <c r="V180" i="29"/>
  <c r="J303" i="34"/>
  <c r="N303" i="34" s="1"/>
  <c r="N304" i="34"/>
  <c r="V16" i="29"/>
  <c r="J14" i="34"/>
  <c r="N14" i="34" s="1"/>
  <c r="V125" i="29"/>
  <c r="J215" i="34"/>
  <c r="N215" i="34" s="1"/>
  <c r="P215" i="34" s="1"/>
  <c r="J183" i="34"/>
  <c r="N183" i="34" s="1"/>
  <c r="P183" i="34" s="1"/>
  <c r="N184" i="34"/>
  <c r="P184" i="34" s="1"/>
  <c r="N114" i="34"/>
  <c r="P114" i="34" s="1"/>
  <c r="N115" i="34"/>
  <c r="N116" i="34"/>
  <c r="N117" i="34"/>
  <c r="P117" i="34" s="1"/>
  <c r="N113" i="34"/>
  <c r="P113" i="34" s="1"/>
  <c r="J43" i="34"/>
  <c r="N43" i="34" s="1"/>
  <c r="N44" i="34"/>
  <c r="K110" i="34"/>
  <c r="O110" i="34" s="1"/>
  <c r="K109" i="34"/>
  <c r="O109" i="34" s="1"/>
  <c r="W415" i="29"/>
  <c r="K85" i="34"/>
  <c r="O85" i="34" s="1"/>
  <c r="K84" i="34"/>
  <c r="O84" i="34" s="1"/>
  <c r="K82" i="34"/>
  <c r="O82" i="34" s="1"/>
  <c r="K78" i="34"/>
  <c r="O78" i="34" s="1"/>
  <c r="K74" i="34"/>
  <c r="O74" i="34" s="1"/>
  <c r="K81" i="34"/>
  <c r="O81" i="34" s="1"/>
  <c r="K77" i="34"/>
  <c r="O77" i="34" s="1"/>
  <c r="K73" i="34"/>
  <c r="O73" i="34" s="1"/>
  <c r="K80" i="34"/>
  <c r="O80" i="34" s="1"/>
  <c r="K76" i="34"/>
  <c r="O76" i="34" s="1"/>
  <c r="K83" i="34"/>
  <c r="O83" i="34" s="1"/>
  <c r="K79" i="34"/>
  <c r="O79" i="34" s="1"/>
  <c r="K75" i="34"/>
  <c r="O75" i="34" s="1"/>
  <c r="V217" i="29"/>
  <c r="N328" i="34"/>
  <c r="N307" i="34"/>
  <c r="J306" i="34"/>
  <c r="N306" i="34" s="1"/>
  <c r="N308" i="34"/>
  <c r="J130" i="34"/>
  <c r="N130" i="34" s="1"/>
  <c r="J131" i="34"/>
  <c r="N131" i="34" s="1"/>
  <c r="J132" i="34"/>
  <c r="N132" i="34" s="1"/>
  <c r="J35" i="34"/>
  <c r="N35" i="34" s="1"/>
  <c r="N36" i="34"/>
  <c r="N18" i="34"/>
  <c r="J17" i="34"/>
  <c r="N17" i="34" s="1"/>
  <c r="W229" i="29"/>
  <c r="O338" i="34"/>
  <c r="W145" i="29"/>
  <c r="K236" i="34"/>
  <c r="O236" i="34" s="1"/>
  <c r="O54" i="34"/>
  <c r="O53" i="34"/>
  <c r="O56" i="34"/>
  <c r="O52" i="34"/>
  <c r="K51" i="34"/>
  <c r="O51" i="34" s="1"/>
  <c r="O55" i="34"/>
  <c r="W323" i="29"/>
  <c r="O396" i="34"/>
  <c r="O395" i="34"/>
  <c r="W219" i="29"/>
  <c r="O330" i="34"/>
  <c r="P330" i="34" s="1"/>
  <c r="W168" i="29"/>
  <c r="K292" i="34"/>
  <c r="O292" i="34" s="1"/>
  <c r="P292" i="34" s="1"/>
  <c r="W152" i="29"/>
  <c r="K243" i="34"/>
  <c r="O243" i="34" s="1"/>
  <c r="P243" i="34" s="1"/>
  <c r="W120" i="29"/>
  <c r="K210" i="34"/>
  <c r="O210" i="34" s="1"/>
  <c r="K105" i="34"/>
  <c r="O105" i="34" s="1"/>
  <c r="K104" i="34"/>
  <c r="O104" i="34" s="1"/>
  <c r="W231" i="29"/>
  <c r="O340" i="34"/>
  <c r="W230" i="29"/>
  <c r="O339" i="34"/>
  <c r="W162" i="29"/>
  <c r="K286" i="34"/>
  <c r="O286" i="34" s="1"/>
  <c r="W114" i="29"/>
  <c r="O204" i="34"/>
  <c r="K203" i="34"/>
  <c r="O203" i="34" s="1"/>
  <c r="O205" i="34"/>
  <c r="K66" i="34"/>
  <c r="O66" i="34" s="1"/>
  <c r="K62" i="34"/>
  <c r="O62" i="34" s="1"/>
  <c r="K58" i="34"/>
  <c r="O58" i="34" s="1"/>
  <c r="K65" i="34"/>
  <c r="O65" i="34" s="1"/>
  <c r="K61" i="34"/>
  <c r="O61" i="34" s="1"/>
  <c r="K57" i="34"/>
  <c r="O57" i="34" s="1"/>
  <c r="K64" i="34"/>
  <c r="O64" i="34" s="1"/>
  <c r="K60" i="34"/>
  <c r="O60" i="34" s="1"/>
  <c r="K67" i="34"/>
  <c r="O67" i="34" s="1"/>
  <c r="K63" i="34"/>
  <c r="O63" i="34" s="1"/>
  <c r="K59" i="34"/>
  <c r="O59" i="34" s="1"/>
  <c r="W14" i="29"/>
  <c r="K12" i="34"/>
  <c r="O12" i="34" s="1"/>
  <c r="V484" i="29"/>
  <c r="J247" i="34"/>
  <c r="N247" i="34" s="1"/>
  <c r="J244" i="34"/>
  <c r="N244" i="34" s="1"/>
  <c r="J245" i="34"/>
  <c r="N245" i="34" s="1"/>
  <c r="J246" i="34"/>
  <c r="N246" i="34" s="1"/>
  <c r="J232" i="34"/>
  <c r="N232" i="34" s="1"/>
  <c r="J233" i="34"/>
  <c r="N233" i="34" s="1"/>
  <c r="J164" i="34"/>
  <c r="N164" i="34" s="1"/>
  <c r="J165" i="34"/>
  <c r="N165" i="34" s="1"/>
  <c r="V162" i="29"/>
  <c r="J286" i="34"/>
  <c r="N286" i="34" s="1"/>
  <c r="P286" i="34" s="1"/>
  <c r="V14" i="29"/>
  <c r="J12" i="34"/>
  <c r="N12" i="34" s="1"/>
  <c r="P12" i="34" s="1"/>
  <c r="V232" i="29"/>
  <c r="N341" i="34"/>
  <c r="P341" i="34" s="1"/>
  <c r="V134" i="29"/>
  <c r="J223" i="34"/>
  <c r="N223" i="34" s="1"/>
  <c r="J224" i="34"/>
  <c r="N224" i="34" s="1"/>
  <c r="V102" i="29"/>
  <c r="N194" i="34"/>
  <c r="J191" i="34"/>
  <c r="N191" i="34" s="1"/>
  <c r="J192" i="34"/>
  <c r="N192" i="34" s="1"/>
  <c r="N193" i="34"/>
  <c r="V36" i="29"/>
  <c r="J34" i="34"/>
  <c r="N34" i="34" s="1"/>
  <c r="P34" i="34" s="1"/>
  <c r="K232" i="34"/>
  <c r="O232" i="34" s="1"/>
  <c r="K233" i="34"/>
  <c r="O233" i="34" s="1"/>
  <c r="N94" i="34"/>
  <c r="N95" i="34"/>
  <c r="J93" i="34"/>
  <c r="N93" i="34" s="1"/>
  <c r="V186" i="29"/>
  <c r="J309" i="34"/>
  <c r="N309" i="34" s="1"/>
  <c r="N310" i="34"/>
  <c r="J175" i="34"/>
  <c r="N175" i="34" s="1"/>
  <c r="N176" i="34"/>
  <c r="V300" i="29"/>
  <c r="N370" i="34"/>
  <c r="P370" i="34" s="1"/>
  <c r="V437" i="29"/>
  <c r="J122" i="34"/>
  <c r="N122" i="34" s="1"/>
  <c r="P122" i="34" s="1"/>
  <c r="J170" i="34"/>
  <c r="N170" i="34" s="1"/>
  <c r="N171" i="34"/>
  <c r="AN308" i="29"/>
  <c r="N387" i="34"/>
  <c r="P387" i="34" s="1"/>
  <c r="V120" i="29"/>
  <c r="J210" i="34"/>
  <c r="N210" i="34" s="1"/>
  <c r="P210" i="34" s="1"/>
  <c r="N174" i="34"/>
  <c r="J173" i="34"/>
  <c r="N173" i="34" s="1"/>
  <c r="J158" i="34"/>
  <c r="N158" i="34" s="1"/>
  <c r="N159" i="34"/>
  <c r="N160" i="34"/>
  <c r="N161" i="34"/>
  <c r="V325" i="29"/>
  <c r="N397" i="34"/>
  <c r="V254" i="29"/>
  <c r="N356" i="34"/>
  <c r="N362" i="34"/>
  <c r="N361" i="34"/>
  <c r="V245" i="29"/>
  <c r="N354" i="34"/>
  <c r="N353" i="34"/>
  <c r="V190" i="29"/>
  <c r="N315" i="34"/>
  <c r="P315" i="34" s="1"/>
  <c r="J313" i="34"/>
  <c r="N313" i="34" s="1"/>
  <c r="P313" i="34" s="1"/>
  <c r="N314" i="34"/>
  <c r="P314" i="34" s="1"/>
  <c r="V126" i="29"/>
  <c r="J216" i="34"/>
  <c r="N216" i="34" s="1"/>
  <c r="P216" i="34" s="1"/>
  <c r="V60" i="29"/>
  <c r="N70" i="34"/>
  <c r="P70" i="34" s="1"/>
  <c r="N71" i="34"/>
  <c r="P71" i="34" s="1"/>
  <c r="N72" i="34"/>
  <c r="P72" i="34" s="1"/>
  <c r="J69" i="34"/>
  <c r="N69" i="34" s="1"/>
  <c r="P69" i="34" s="1"/>
  <c r="K170" i="34"/>
  <c r="O170" i="34" s="1"/>
  <c r="K171" i="34"/>
  <c r="O171" i="34" s="1"/>
  <c r="N90" i="34"/>
  <c r="J88" i="34"/>
  <c r="N88" i="34" s="1"/>
  <c r="N89" i="34"/>
  <c r="N74" i="34"/>
  <c r="P74" i="34" s="1"/>
  <c r="N78" i="34"/>
  <c r="P78" i="34" s="1"/>
  <c r="N82" i="34"/>
  <c r="P82" i="34" s="1"/>
  <c r="N75" i="34"/>
  <c r="P75" i="34" s="1"/>
  <c r="N79" i="34"/>
  <c r="P79" i="34" s="1"/>
  <c r="N83" i="34"/>
  <c r="P83" i="34" s="1"/>
  <c r="N76" i="34"/>
  <c r="P76" i="34" s="1"/>
  <c r="N80" i="34"/>
  <c r="P80" i="34" s="1"/>
  <c r="J73" i="34"/>
  <c r="N73" i="34" s="1"/>
  <c r="P73" i="34" s="1"/>
  <c r="N77" i="34"/>
  <c r="P77" i="34" s="1"/>
  <c r="N81" i="34"/>
  <c r="P81" i="34" s="1"/>
  <c r="V328" i="29"/>
  <c r="N399" i="34"/>
  <c r="V306" i="29"/>
  <c r="N385" i="34"/>
  <c r="N386" i="34"/>
  <c r="K158" i="34"/>
  <c r="O158" i="34" s="1"/>
  <c r="K161" i="34"/>
  <c r="O161" i="34" s="1"/>
  <c r="K160" i="34"/>
  <c r="O160" i="34" s="1"/>
  <c r="K159" i="34"/>
  <c r="O159" i="34" s="1"/>
  <c r="V169" i="29"/>
  <c r="J293" i="34"/>
  <c r="N293" i="34" s="1"/>
  <c r="V153" i="29"/>
  <c r="J271" i="34"/>
  <c r="N271" i="34" s="1"/>
  <c r="J272" i="34"/>
  <c r="N272" i="34" s="1"/>
  <c r="V137" i="29"/>
  <c r="J226" i="34"/>
  <c r="N226" i="34" s="1"/>
  <c r="J107" i="34"/>
  <c r="N107" i="34" s="1"/>
  <c r="N108" i="34"/>
  <c r="N38" i="34"/>
  <c r="P38" i="34" s="1"/>
  <c r="J37" i="34"/>
  <c r="N37" i="34" s="1"/>
  <c r="P37" i="34" s="1"/>
  <c r="J19" i="34"/>
  <c r="N19" i="34" s="1"/>
  <c r="P19" i="34" s="1"/>
  <c r="N20" i="34"/>
  <c r="P20" i="34" s="1"/>
  <c r="J21" i="34"/>
  <c r="N21" i="34" s="1"/>
  <c r="P21" i="34" s="1"/>
  <c r="O174" i="34"/>
  <c r="K173" i="34"/>
  <c r="O173" i="34" s="1"/>
  <c r="W394" i="29"/>
  <c r="K42" i="34"/>
  <c r="O42" i="34" s="1"/>
  <c r="K154" i="34"/>
  <c r="O154" i="34" s="1"/>
  <c r="K155" i="34"/>
  <c r="O155" i="34" s="1"/>
  <c r="K138" i="34"/>
  <c r="O138" i="34" s="1"/>
  <c r="K140" i="34"/>
  <c r="O140" i="34" s="1"/>
  <c r="K139" i="34"/>
  <c r="O139" i="34" s="1"/>
  <c r="V231" i="29"/>
  <c r="N340" i="34"/>
  <c r="P340" i="34" s="1"/>
  <c r="V15" i="29"/>
  <c r="J13" i="34"/>
  <c r="N13" i="34" s="1"/>
  <c r="O264" i="34"/>
  <c r="O260" i="34"/>
  <c r="O256" i="34"/>
  <c r="O252" i="34"/>
  <c r="K248" i="34"/>
  <c r="O248" i="34" s="1"/>
  <c r="O263" i="34"/>
  <c r="O259" i="34"/>
  <c r="O255" i="34"/>
  <c r="O251" i="34"/>
  <c r="O266" i="34"/>
  <c r="O262" i="34"/>
  <c r="O258" i="34"/>
  <c r="K254" i="34"/>
  <c r="O254" i="34" s="1"/>
  <c r="O250" i="34"/>
  <c r="O257" i="34"/>
  <c r="O253" i="34"/>
  <c r="O265" i="34"/>
  <c r="O249" i="34"/>
  <c r="O261" i="34"/>
  <c r="K150" i="34"/>
  <c r="O150" i="34" s="1"/>
  <c r="K149" i="34"/>
  <c r="O149" i="34" s="1"/>
  <c r="K152" i="34"/>
  <c r="O152" i="34" s="1"/>
  <c r="K151" i="34"/>
  <c r="O151" i="34" s="1"/>
  <c r="W437" i="29"/>
  <c r="K122" i="34"/>
  <c r="O122" i="34" s="1"/>
  <c r="AO308" i="29"/>
  <c r="O387" i="34"/>
  <c r="W125" i="29"/>
  <c r="K215" i="34"/>
  <c r="O215" i="34" s="1"/>
  <c r="K184" i="34"/>
  <c r="O184" i="34" s="1"/>
  <c r="K183" i="34"/>
  <c r="O183" i="34" s="1"/>
  <c r="K114" i="34"/>
  <c r="O114" i="34" s="1"/>
  <c r="K117" i="34"/>
  <c r="O117" i="34" s="1"/>
  <c r="K113" i="34"/>
  <c r="O113" i="34" s="1"/>
  <c r="K116" i="34"/>
  <c r="O116" i="34" s="1"/>
  <c r="K115" i="34"/>
  <c r="O115" i="34" s="1"/>
  <c r="K44" i="34"/>
  <c r="O44" i="34" s="1"/>
  <c r="K43" i="34"/>
  <c r="O43" i="34" s="1"/>
  <c r="AW316" i="29"/>
  <c r="O388" i="34"/>
  <c r="W232" i="29"/>
  <c r="O341" i="34"/>
  <c r="W214" i="29"/>
  <c r="O327" i="34"/>
  <c r="AO197" i="29"/>
  <c r="K320" i="34"/>
  <c r="O320" i="34" s="1"/>
  <c r="W180" i="29"/>
  <c r="O304" i="34"/>
  <c r="K303" i="34"/>
  <c r="O303" i="34" s="1"/>
  <c r="K288" i="34"/>
  <c r="O288" i="34" s="1"/>
  <c r="O291" i="34"/>
  <c r="O290" i="34"/>
  <c r="O289" i="34"/>
  <c r="W132" i="29"/>
  <c r="K221" i="34"/>
  <c r="O221" i="34" s="1"/>
  <c r="W16" i="29"/>
  <c r="K14" i="34"/>
  <c r="O14" i="34" s="1"/>
  <c r="W260" i="29"/>
  <c r="O360" i="34"/>
  <c r="W244" i="29"/>
  <c r="O351" i="34"/>
  <c r="W226" i="29"/>
  <c r="O335" i="34"/>
  <c r="K235" i="34"/>
  <c r="O235" i="34" s="1"/>
  <c r="K234" i="34"/>
  <c r="O234" i="34" s="1"/>
  <c r="W95" i="29"/>
  <c r="O188" i="34"/>
  <c r="O187" i="34"/>
  <c r="O186" i="34"/>
  <c r="O190" i="34"/>
  <c r="K185" i="34"/>
  <c r="O185" i="34" s="1"/>
  <c r="K189" i="34"/>
  <c r="O189" i="34" s="1"/>
  <c r="W45" i="29"/>
  <c r="K48" i="34"/>
  <c r="O48" i="34" s="1"/>
  <c r="W243" i="29"/>
  <c r="O349" i="34"/>
  <c r="O350" i="34"/>
  <c r="W225" i="29"/>
  <c r="O334" i="34"/>
  <c r="P334" i="34" s="1"/>
  <c r="W208" i="29"/>
  <c r="O324" i="34"/>
  <c r="P324" i="34" s="1"/>
  <c r="K313" i="34"/>
  <c r="O313" i="34" s="1"/>
  <c r="O315" i="34"/>
  <c r="O314" i="34"/>
  <c r="W142" i="29"/>
  <c r="K231" i="34"/>
  <c r="O231" i="34" s="1"/>
  <c r="P231" i="34" s="1"/>
  <c r="O200" i="34"/>
  <c r="K199" i="34"/>
  <c r="O199" i="34" s="1"/>
  <c r="O201" i="34"/>
  <c r="O202" i="34"/>
  <c r="O70" i="34"/>
  <c r="K69" i="34"/>
  <c r="O69" i="34" s="1"/>
  <c r="O72" i="34"/>
  <c r="O71" i="34"/>
  <c r="AN318" i="29"/>
  <c r="N390" i="34"/>
  <c r="N391" i="34"/>
  <c r="N251" i="34"/>
  <c r="N255" i="34"/>
  <c r="N259" i="34"/>
  <c r="N263" i="34"/>
  <c r="J248" i="34"/>
  <c r="N248" i="34" s="1"/>
  <c r="N252" i="34"/>
  <c r="N256" i="34"/>
  <c r="N260" i="34"/>
  <c r="N264" i="34"/>
  <c r="N253" i="34"/>
  <c r="N261" i="34"/>
  <c r="J254" i="34"/>
  <c r="N254" i="34" s="1"/>
  <c r="N262" i="34"/>
  <c r="N249" i="34"/>
  <c r="N257" i="34"/>
  <c r="N265" i="34"/>
  <c r="N250" i="34"/>
  <c r="N258" i="34"/>
  <c r="N266" i="34"/>
  <c r="V255" i="29"/>
  <c r="N357" i="34"/>
  <c r="J118" i="34"/>
  <c r="N118" i="34" s="1"/>
  <c r="N119" i="34"/>
  <c r="N120" i="34"/>
  <c r="N121" i="34"/>
  <c r="N150" i="34"/>
  <c r="N151" i="34"/>
  <c r="P151" i="34" s="1"/>
  <c r="N152" i="34"/>
  <c r="J149" i="34"/>
  <c r="N149" i="34" s="1"/>
  <c r="V221" i="29"/>
  <c r="N332" i="34"/>
  <c r="V266" i="29"/>
  <c r="N364" i="34"/>
  <c r="P364" i="34" s="1"/>
  <c r="V239" i="29"/>
  <c r="N346" i="34"/>
  <c r="V114" i="29"/>
  <c r="J203" i="34"/>
  <c r="N203" i="34" s="1"/>
  <c r="P203" i="34" s="1"/>
  <c r="N204" i="34"/>
  <c r="P204" i="34" s="1"/>
  <c r="N205" i="34"/>
  <c r="P205" i="34" s="1"/>
  <c r="N58" i="34"/>
  <c r="N62" i="34"/>
  <c r="N66" i="34"/>
  <c r="N59" i="34"/>
  <c r="N63" i="34"/>
  <c r="N67" i="34"/>
  <c r="N60" i="34"/>
  <c r="N64" i="34"/>
  <c r="J57" i="34"/>
  <c r="N57" i="34" s="1"/>
  <c r="N61" i="34"/>
  <c r="N65" i="34"/>
  <c r="J154" i="34"/>
  <c r="N154" i="34" s="1"/>
  <c r="N155" i="34"/>
  <c r="J138" i="34"/>
  <c r="N138" i="34" s="1"/>
  <c r="N139" i="34"/>
  <c r="N140" i="34"/>
  <c r="V417" i="29"/>
  <c r="J86" i="34"/>
  <c r="N86" i="34" s="1"/>
  <c r="N87" i="34"/>
  <c r="V193" i="29"/>
  <c r="J316" i="34"/>
  <c r="N316" i="34" s="1"/>
  <c r="P316" i="34" s="1"/>
  <c r="V241" i="29"/>
  <c r="N348" i="34"/>
  <c r="V182" i="29"/>
  <c r="J305" i="34"/>
  <c r="N305" i="34" s="1"/>
  <c r="N110" i="34"/>
  <c r="P110" i="34" s="1"/>
  <c r="J109" i="34"/>
  <c r="N109" i="34" s="1"/>
  <c r="P109" i="34" s="1"/>
  <c r="V415" i="29"/>
  <c r="J84" i="34"/>
  <c r="N84" i="34" s="1"/>
  <c r="P84" i="34" s="1"/>
  <c r="N85" i="34"/>
  <c r="P85" i="34" s="1"/>
  <c r="V394" i="29"/>
  <c r="J42" i="34"/>
  <c r="N42" i="34" s="1"/>
  <c r="P42" i="34" s="1"/>
  <c r="V320" i="29"/>
  <c r="N392" i="34"/>
  <c r="V230" i="29"/>
  <c r="N339" i="34"/>
  <c r="P339" i="34" s="1"/>
  <c r="AN197" i="29"/>
  <c r="J320" i="34"/>
  <c r="N320" i="34" s="1"/>
  <c r="P320" i="34" s="1"/>
  <c r="N291" i="34"/>
  <c r="P291" i="34" s="1"/>
  <c r="N290" i="34"/>
  <c r="P290" i="34" s="1"/>
  <c r="J288" i="34"/>
  <c r="N288" i="34" s="1"/>
  <c r="P288" i="34" s="1"/>
  <c r="N289" i="34"/>
  <c r="P289" i="34" s="1"/>
  <c r="V132" i="29"/>
  <c r="J221" i="34"/>
  <c r="N221" i="34" s="1"/>
  <c r="P221" i="34" s="1"/>
  <c r="V198" i="29"/>
  <c r="N321" i="34"/>
  <c r="V149" i="29"/>
  <c r="J240" i="34"/>
  <c r="N240" i="34" s="1"/>
  <c r="V67" i="29"/>
  <c r="J99" i="34"/>
  <c r="N99" i="34" s="1"/>
  <c r="N100" i="34"/>
  <c r="V17" i="29"/>
  <c r="J15" i="34"/>
  <c r="N15" i="34" s="1"/>
  <c r="K94" i="34"/>
  <c r="O94" i="34" s="1"/>
  <c r="K93" i="34"/>
  <c r="O93" i="34" s="1"/>
  <c r="K95" i="34"/>
  <c r="O95" i="34" s="1"/>
  <c r="O126" i="34"/>
  <c r="K125" i="34"/>
  <c r="O125" i="34" s="1"/>
  <c r="V226" i="29"/>
  <c r="N335" i="34"/>
  <c r="P335" i="34" s="1"/>
  <c r="J235" i="34"/>
  <c r="N235" i="34" s="1"/>
  <c r="P235" i="34" s="1"/>
  <c r="J234" i="34"/>
  <c r="N234" i="34" s="1"/>
  <c r="P234" i="34" s="1"/>
  <c r="V95" i="29"/>
  <c r="N186" i="34"/>
  <c r="P186" i="34" s="1"/>
  <c r="N190" i="34"/>
  <c r="P190" i="34" s="1"/>
  <c r="N187" i="34"/>
  <c r="P187" i="34" s="1"/>
  <c r="N188" i="34"/>
  <c r="P188" i="34" s="1"/>
  <c r="J185" i="34"/>
  <c r="N185" i="34" s="1"/>
  <c r="P185" i="34" s="1"/>
  <c r="J189" i="34"/>
  <c r="N189" i="34" s="1"/>
  <c r="P189" i="34" s="1"/>
  <c r="V45" i="29"/>
  <c r="J48" i="34"/>
  <c r="N48" i="34" s="1"/>
  <c r="P48" i="34" s="1"/>
  <c r="K244" i="34"/>
  <c r="O244" i="34" s="1"/>
  <c r="K247" i="34"/>
  <c r="O247" i="34" s="1"/>
  <c r="K246" i="34"/>
  <c r="O246" i="34" s="1"/>
  <c r="K245" i="34"/>
  <c r="O245" i="34" s="1"/>
  <c r="K118" i="34"/>
  <c r="O118" i="34" s="1"/>
  <c r="K121" i="34"/>
  <c r="O121" i="34" s="1"/>
  <c r="K120" i="34"/>
  <c r="O120" i="34" s="1"/>
  <c r="K119" i="34"/>
  <c r="O119" i="34" s="1"/>
  <c r="W417" i="29"/>
  <c r="K86" i="34"/>
  <c r="O86" i="34" s="1"/>
  <c r="K87" i="34"/>
  <c r="O87" i="34" s="1"/>
  <c r="W325" i="29"/>
  <c r="O397" i="34"/>
  <c r="W254" i="29"/>
  <c r="O356" i="34"/>
  <c r="W169" i="29"/>
  <c r="K293" i="34"/>
  <c r="O293" i="34" s="1"/>
  <c r="W153" i="29"/>
  <c r="O272" i="34"/>
  <c r="K271" i="34"/>
  <c r="O271" i="34" s="1"/>
  <c r="W137" i="29"/>
  <c r="K226" i="34"/>
  <c r="O226" i="34" s="1"/>
  <c r="K108" i="34"/>
  <c r="O108" i="34" s="1"/>
  <c r="K107" i="34"/>
  <c r="O107" i="34" s="1"/>
  <c r="K37" i="34"/>
  <c r="O37" i="34" s="1"/>
  <c r="K38" i="34"/>
  <c r="O38" i="34" s="1"/>
  <c r="K21" i="34"/>
  <c r="O21" i="34" s="1"/>
  <c r="O20" i="34"/>
  <c r="K19" i="34"/>
  <c r="O19" i="34" s="1"/>
  <c r="O361" i="34"/>
  <c r="O362" i="34"/>
  <c r="W245" i="29"/>
  <c r="O353" i="34"/>
  <c r="O354" i="34"/>
  <c r="W227" i="29"/>
  <c r="O336" i="34"/>
  <c r="W128" i="29"/>
  <c r="K218" i="34"/>
  <c r="O218" i="34" s="1"/>
  <c r="P218" i="34" s="1"/>
  <c r="O29" i="34"/>
  <c r="O28" i="34"/>
  <c r="O27" i="34"/>
  <c r="K26" i="34"/>
  <c r="O26" i="34" s="1"/>
  <c r="K10" i="34"/>
  <c r="O10" i="34" s="1"/>
  <c r="O11" i="34"/>
  <c r="W328" i="29"/>
  <c r="O399" i="34"/>
  <c r="W306" i="29"/>
  <c r="O385" i="34"/>
  <c r="O386" i="34"/>
  <c r="W240" i="29"/>
  <c r="O347" i="34"/>
  <c r="O301" i="34"/>
  <c r="O300" i="34"/>
  <c r="O296" i="34"/>
  <c r="O299" i="34"/>
  <c r="K295" i="34"/>
  <c r="O295" i="34" s="1"/>
  <c r="K302" i="34"/>
  <c r="O302" i="34" s="1"/>
  <c r="O298" i="34"/>
  <c r="O297" i="34"/>
  <c r="O280" i="34"/>
  <c r="O276" i="34"/>
  <c r="O279" i="34"/>
  <c r="K275" i="34"/>
  <c r="O275" i="34" s="1"/>
  <c r="O278" i="34"/>
  <c r="O277" i="34"/>
  <c r="W107" i="29"/>
  <c r="K196" i="34"/>
  <c r="O196" i="34" s="1"/>
  <c r="O197" i="34"/>
  <c r="K112" i="34"/>
  <c r="O112" i="34" s="1"/>
  <c r="K111" i="34"/>
  <c r="O111" i="34" s="1"/>
  <c r="O41" i="34"/>
  <c r="O40" i="34"/>
  <c r="K39" i="34"/>
  <c r="O39" i="34" s="1"/>
  <c r="W255" i="29"/>
  <c r="O357" i="34"/>
  <c r="W239" i="29"/>
  <c r="O346" i="34"/>
  <c r="W221" i="29"/>
  <c r="O332" i="34"/>
  <c r="W186" i="29"/>
  <c r="K309" i="34"/>
  <c r="O309" i="34" s="1"/>
  <c r="O310" i="34"/>
  <c r="W170" i="29"/>
  <c r="K294" i="34"/>
  <c r="O294" i="34" s="1"/>
  <c r="W106" i="29"/>
  <c r="K195" i="34"/>
  <c r="O195" i="34" s="1"/>
  <c r="V170" i="29"/>
  <c r="J294" i="34"/>
  <c r="N294" i="34" s="1"/>
  <c r="P294" i="34" s="1"/>
  <c r="J46" i="34"/>
  <c r="N46" i="34" s="1"/>
  <c r="N47" i="34"/>
  <c r="J126" i="34"/>
  <c r="N126" i="34" s="1"/>
  <c r="P126" i="34" s="1"/>
  <c r="J125" i="34"/>
  <c r="N125" i="34" s="1"/>
  <c r="P125" i="34" s="1"/>
  <c r="BB46" i="29"/>
  <c r="J49" i="34"/>
  <c r="N49" i="34" s="1"/>
  <c r="P49" i="34" s="1"/>
  <c r="W440" i="29"/>
  <c r="K136" i="34"/>
  <c r="O136" i="34" s="1"/>
  <c r="P136" i="34" s="1"/>
  <c r="V395" i="29"/>
  <c r="J45" i="34"/>
  <c r="N45" i="34" s="1"/>
  <c r="P45" i="34" s="1"/>
  <c r="V323" i="29"/>
  <c r="N395" i="34"/>
  <c r="P395" i="34" s="1"/>
  <c r="N396" i="34"/>
  <c r="P396" i="34" s="1"/>
  <c r="V110" i="29"/>
  <c r="J199" i="34"/>
  <c r="N199" i="34" s="1"/>
  <c r="P199" i="34" s="1"/>
  <c r="N200" i="34"/>
  <c r="P200" i="34" s="1"/>
  <c r="N201" i="34"/>
  <c r="P201" i="34" s="1"/>
  <c r="N202" i="34"/>
  <c r="P202" i="34" s="1"/>
  <c r="V124" i="29"/>
  <c r="J214" i="34"/>
  <c r="N214" i="34" s="1"/>
  <c r="P214" i="34" s="1"/>
  <c r="AF92" i="29"/>
  <c r="N135" i="34"/>
  <c r="P135" i="34" s="1"/>
  <c r="AJ24" i="29"/>
  <c r="J22" i="34"/>
  <c r="N22" i="34" s="1"/>
  <c r="N23" i="34"/>
  <c r="N24" i="34"/>
  <c r="N25" i="34"/>
  <c r="V145" i="29"/>
  <c r="J236" i="34"/>
  <c r="N236" i="34" s="1"/>
  <c r="P236" i="34" s="1"/>
  <c r="N54" i="34"/>
  <c r="P54" i="34" s="1"/>
  <c r="J51" i="34"/>
  <c r="N51" i="34" s="1"/>
  <c r="P51" i="34" s="1"/>
  <c r="N55" i="34"/>
  <c r="P55" i="34" s="1"/>
  <c r="N52" i="34"/>
  <c r="P52" i="34" s="1"/>
  <c r="N56" i="34"/>
  <c r="P56" i="34" s="1"/>
  <c r="N53" i="34"/>
  <c r="P53" i="34" s="1"/>
  <c r="K165" i="34"/>
  <c r="O165" i="34" s="1"/>
  <c r="K164" i="34"/>
  <c r="O164" i="34" s="1"/>
  <c r="K90" i="34"/>
  <c r="O90" i="34" s="1"/>
  <c r="K89" i="34"/>
  <c r="O89" i="34" s="1"/>
  <c r="K88" i="34"/>
  <c r="O88" i="34" s="1"/>
  <c r="J295" i="34"/>
  <c r="N295" i="34" s="1"/>
  <c r="P295" i="34" s="1"/>
  <c r="N299" i="34"/>
  <c r="P299" i="34" s="1"/>
  <c r="N296" i="34"/>
  <c r="P296" i="34" s="1"/>
  <c r="N301" i="34"/>
  <c r="P301" i="34" s="1"/>
  <c r="N297" i="34"/>
  <c r="P297" i="34" s="1"/>
  <c r="J302" i="34"/>
  <c r="N302" i="34" s="1"/>
  <c r="P302" i="34" s="1"/>
  <c r="N298" i="34"/>
  <c r="P298" i="34" s="1"/>
  <c r="N300" i="34"/>
  <c r="P300" i="34" s="1"/>
  <c r="J275" i="34"/>
  <c r="N275" i="34" s="1"/>
  <c r="P275" i="34" s="1"/>
  <c r="J279" i="34"/>
  <c r="N279" i="34" s="1"/>
  <c r="P279" i="34" s="1"/>
  <c r="J280" i="34"/>
  <c r="N280" i="34" s="1"/>
  <c r="P280" i="34" s="1"/>
  <c r="J276" i="34"/>
  <c r="N276" i="34" s="1"/>
  <c r="P276" i="34" s="1"/>
  <c r="J277" i="34"/>
  <c r="N277" i="34" s="1"/>
  <c r="P277" i="34" s="1"/>
  <c r="J278" i="34"/>
  <c r="N278" i="34" s="1"/>
  <c r="P278" i="34" s="1"/>
  <c r="V107" i="29"/>
  <c r="J196" i="34"/>
  <c r="N196" i="34" s="1"/>
  <c r="P196" i="34" s="1"/>
  <c r="N197" i="34"/>
  <c r="P197" i="34" s="1"/>
  <c r="J111" i="34"/>
  <c r="N111" i="34" s="1"/>
  <c r="P111" i="34" s="1"/>
  <c r="N112" i="34"/>
  <c r="P112" i="34" s="1"/>
  <c r="J39" i="34"/>
  <c r="N39" i="34" s="1"/>
  <c r="P39" i="34" s="1"/>
  <c r="N40" i="34"/>
  <c r="P40" i="34" s="1"/>
  <c r="N41" i="34"/>
  <c r="P41" i="34" s="1"/>
  <c r="O176" i="34"/>
  <c r="K175" i="34"/>
  <c r="O175" i="34" s="1"/>
  <c r="K142" i="34"/>
  <c r="O142" i="34" s="1"/>
  <c r="K145" i="34"/>
  <c r="O145" i="34" s="1"/>
  <c r="K141" i="34"/>
  <c r="O141" i="34" s="1"/>
  <c r="K144" i="34"/>
  <c r="O144" i="34" s="1"/>
  <c r="K143" i="34"/>
  <c r="O143" i="34" s="1"/>
  <c r="K46" i="34"/>
  <c r="O46" i="34" s="1"/>
  <c r="K47" i="34"/>
  <c r="O47" i="34" s="1"/>
  <c r="AE317" i="29"/>
  <c r="O389" i="34"/>
  <c r="W234" i="29"/>
  <c r="O343" i="34"/>
  <c r="P343" i="34" s="1"/>
  <c r="W198" i="29"/>
  <c r="O321" i="34"/>
  <c r="W149" i="29"/>
  <c r="K240" i="34"/>
  <c r="O240" i="34" s="1"/>
  <c r="W67" i="29"/>
  <c r="K100" i="34"/>
  <c r="O100" i="34" s="1"/>
  <c r="K99" i="34"/>
  <c r="O99" i="34" s="1"/>
  <c r="W17" i="29"/>
  <c r="K15" i="34"/>
  <c r="O15" i="34" s="1"/>
  <c r="W241" i="29"/>
  <c r="O348" i="34"/>
  <c r="W223" i="29"/>
  <c r="O333" i="34"/>
  <c r="P333" i="34" s="1"/>
  <c r="BC188" i="29"/>
  <c r="K311" i="34"/>
  <c r="O311" i="34" s="1"/>
  <c r="P311" i="34" s="1"/>
  <c r="O25" i="34"/>
  <c r="O24" i="34"/>
  <c r="O23" i="34"/>
  <c r="K22" i="34"/>
  <c r="O22" i="34" s="1"/>
  <c r="W320" i="29"/>
  <c r="O392" i="34"/>
  <c r="W217" i="29"/>
  <c r="O328" i="34"/>
  <c r="O308" i="34"/>
  <c r="O307" i="34"/>
  <c r="K306" i="34"/>
  <c r="O306" i="34" s="1"/>
  <c r="K130" i="34"/>
  <c r="O130" i="34" s="1"/>
  <c r="O132" i="34"/>
  <c r="O131" i="34"/>
  <c r="O36" i="34"/>
  <c r="K35" i="34"/>
  <c r="O35" i="34" s="1"/>
  <c r="K17" i="34"/>
  <c r="O17" i="34" s="1"/>
  <c r="O18" i="34"/>
  <c r="AO318" i="29"/>
  <c r="O391" i="34"/>
  <c r="O390" i="34"/>
  <c r="W235" i="29"/>
  <c r="O344" i="34"/>
  <c r="P344" i="34" s="1"/>
  <c r="W182" i="29"/>
  <c r="K305" i="34"/>
  <c r="O305" i="34" s="1"/>
  <c r="K224" i="34"/>
  <c r="O224" i="34" s="1"/>
  <c r="K223" i="34"/>
  <c r="O223" i="34" s="1"/>
  <c r="K192" i="34"/>
  <c r="O192" i="34" s="1"/>
  <c r="O193" i="34"/>
  <c r="K191" i="34"/>
  <c r="O191" i="34" s="1"/>
  <c r="O194" i="34"/>
  <c r="V243" i="29"/>
  <c r="N350" i="34"/>
  <c r="P350" i="34" s="1"/>
  <c r="N349" i="34"/>
  <c r="P349" i="34" s="1"/>
  <c r="AV452" i="29"/>
  <c r="V452" i="29"/>
  <c r="AN201" i="29"/>
  <c r="BB201" i="29"/>
  <c r="AH146" i="29"/>
  <c r="AB146" i="29"/>
  <c r="AN477" i="29"/>
  <c r="V477" i="29"/>
  <c r="AV424" i="29"/>
  <c r="X424" i="29"/>
  <c r="BF290" i="29"/>
  <c r="V290" i="29"/>
  <c r="AB150" i="29"/>
  <c r="AN150" i="29"/>
  <c r="AV423" i="29"/>
  <c r="V423" i="29"/>
  <c r="AO473" i="29"/>
  <c r="W473" i="29"/>
  <c r="BC498" i="29"/>
  <c r="AI498" i="29"/>
  <c r="AW446" i="29"/>
  <c r="AQ446" i="29"/>
  <c r="AP119" i="29"/>
  <c r="V119" i="29"/>
  <c r="AO484" i="29"/>
  <c r="W484" i="29"/>
  <c r="BC287" i="29"/>
  <c r="W287" i="29"/>
  <c r="AE238" i="29"/>
  <c r="W238" i="29"/>
  <c r="AS161" i="29"/>
  <c r="W161" i="29"/>
  <c r="AM63" i="29"/>
  <c r="AW63" i="29"/>
  <c r="W104" i="29"/>
  <c r="BA104" i="29"/>
  <c r="BC272" i="29"/>
  <c r="W272" i="29"/>
  <c r="AE171" i="29"/>
  <c r="AK171" i="29"/>
  <c r="BC99" i="29"/>
  <c r="AO99" i="29"/>
  <c r="AK23" i="29"/>
  <c r="AI23" i="29"/>
  <c r="W247" i="29"/>
  <c r="AW247" i="29"/>
  <c r="AI146" i="29"/>
  <c r="AC146" i="29"/>
  <c r="AG122" i="29"/>
  <c r="W122" i="29"/>
  <c r="V413" i="29"/>
  <c r="AN413" i="29"/>
  <c r="V384" i="29"/>
  <c r="AN384" i="29"/>
  <c r="AV446" i="29"/>
  <c r="AP446" i="29"/>
  <c r="AZ341" i="29"/>
  <c r="V341" i="29"/>
  <c r="AB261" i="29"/>
  <c r="V261" i="29"/>
  <c r="AO475" i="29"/>
  <c r="W475" i="29"/>
  <c r="AD419" i="29"/>
  <c r="V419" i="29"/>
  <c r="AH340" i="29"/>
  <c r="V340" i="29"/>
  <c r="AN280" i="29"/>
  <c r="BB280" i="29"/>
  <c r="AN256" i="29"/>
  <c r="V256" i="29"/>
  <c r="V75" i="29"/>
  <c r="AD75" i="29"/>
  <c r="AW462" i="29"/>
  <c r="AQ462" i="29"/>
  <c r="V203" i="29"/>
  <c r="AD203" i="29"/>
  <c r="V177" i="29"/>
  <c r="AD177" i="29"/>
  <c r="AB129" i="29"/>
  <c r="V129" i="29"/>
  <c r="AF105" i="29"/>
  <c r="X105" i="29"/>
  <c r="BB80" i="29"/>
  <c r="AR80" i="29"/>
  <c r="AP55" i="29"/>
  <c r="AD55" i="29"/>
  <c r="Z29" i="29"/>
  <c r="V29" i="29"/>
  <c r="AO494" i="29"/>
  <c r="AC494" i="29"/>
  <c r="BC468" i="29"/>
  <c r="W468" i="29"/>
  <c r="AW443" i="29"/>
  <c r="W443" i="29"/>
  <c r="AE419" i="29"/>
  <c r="W419" i="29"/>
  <c r="AW442" i="29"/>
  <c r="AK442" i="29"/>
  <c r="AE418" i="29"/>
  <c r="BC418" i="29"/>
  <c r="BB213" i="29"/>
  <c r="V213" i="29"/>
  <c r="V163" i="29"/>
  <c r="AV163" i="29"/>
  <c r="BB91" i="29"/>
  <c r="AF91" i="29"/>
  <c r="AN65" i="29"/>
  <c r="V65" i="29"/>
  <c r="AP41" i="29"/>
  <c r="BB41" i="29"/>
  <c r="AO480" i="29"/>
  <c r="W480" i="29"/>
  <c r="AW453" i="29"/>
  <c r="AQ453" i="29"/>
  <c r="AW429" i="29"/>
  <c r="W429" i="29"/>
  <c r="W405" i="29"/>
  <c r="AC405" i="29"/>
  <c r="W379" i="29"/>
  <c r="AC379" i="29"/>
  <c r="BG338" i="29"/>
  <c r="W338" i="29"/>
  <c r="AW207" i="29"/>
  <c r="BC207" i="29"/>
  <c r="AO181" i="29"/>
  <c r="BC181" i="29"/>
  <c r="AE157" i="29"/>
  <c r="W157" i="29"/>
  <c r="AK133" i="29"/>
  <c r="W133" i="29"/>
  <c r="AE84" i="29"/>
  <c r="AK84" i="29"/>
  <c r="AI59" i="29"/>
  <c r="W59" i="29"/>
  <c r="W353" i="29"/>
  <c r="BE353" i="29"/>
  <c r="AG273" i="29"/>
  <c r="W273" i="29"/>
  <c r="AW249" i="29"/>
  <c r="AS249" i="29"/>
  <c r="AQ148" i="29"/>
  <c r="AG148" i="29"/>
  <c r="AQ124" i="29"/>
  <c r="W124" i="29"/>
  <c r="W75" i="29"/>
  <c r="AE75" i="29"/>
  <c r="W50" i="29"/>
  <c r="Y50" i="29"/>
  <c r="W24" i="29"/>
  <c r="AK24" i="29"/>
  <c r="AQ348" i="29"/>
  <c r="W348" i="29"/>
  <c r="BC293" i="29"/>
  <c r="W293" i="29"/>
  <c r="BE268" i="29"/>
  <c r="W268" i="29"/>
  <c r="W143" i="29"/>
  <c r="AK143" i="29"/>
  <c r="AQ119" i="29"/>
  <c r="W119" i="29"/>
  <c r="AG69" i="29"/>
  <c r="AK69" i="29"/>
  <c r="AE19" i="29"/>
  <c r="AC19" i="29"/>
  <c r="BE347" i="29"/>
  <c r="W347" i="29"/>
  <c r="AO216" i="29"/>
  <c r="W216" i="29"/>
  <c r="AO190" i="29"/>
  <c r="W190" i="29"/>
  <c r="BC166" i="29"/>
  <c r="AO166" i="29"/>
  <c r="AE118" i="29"/>
  <c r="W118" i="29"/>
  <c r="AI94" i="29"/>
  <c r="AA94" i="29"/>
  <c r="BC68" i="29"/>
  <c r="AG68" i="29"/>
  <c r="AK44" i="29"/>
  <c r="W44" i="29"/>
  <c r="AC18" i="29"/>
  <c r="W18" i="29"/>
  <c r="AV453" i="29"/>
  <c r="AP453" i="29"/>
  <c r="AV421" i="29"/>
  <c r="AH421" i="29"/>
  <c r="AV463" i="29"/>
  <c r="V463" i="29"/>
  <c r="W412" i="29"/>
  <c r="AS412" i="29"/>
  <c r="AV450" i="29"/>
  <c r="V450" i="29"/>
  <c r="AV400" i="29"/>
  <c r="AJ400" i="29"/>
  <c r="AJ265" i="29"/>
  <c r="V265" i="29"/>
  <c r="AO483" i="29"/>
  <c r="W483" i="29"/>
  <c r="AJ133" i="29"/>
  <c r="V133" i="29"/>
  <c r="AW423" i="29"/>
  <c r="W423" i="29"/>
  <c r="W409" i="29"/>
  <c r="AI409" i="29"/>
  <c r="BC39" i="29"/>
  <c r="AY39" i="29"/>
  <c r="AG253" i="29"/>
  <c r="W253" i="29"/>
  <c r="W28" i="29"/>
  <c r="AQ28" i="29"/>
  <c r="AS123" i="29"/>
  <c r="W123" i="29"/>
  <c r="AQ49" i="29"/>
  <c r="W49" i="29"/>
  <c r="AW351" i="29"/>
  <c r="W351" i="29"/>
  <c r="AA271" i="29"/>
  <c r="W271" i="29"/>
  <c r="AO195" i="29"/>
  <c r="W195" i="29"/>
  <c r="W48" i="29"/>
  <c r="AQ48" i="29"/>
  <c r="AV445" i="29"/>
  <c r="AJ445" i="29"/>
  <c r="AV459" i="29"/>
  <c r="AR459" i="29"/>
  <c r="AL335" i="29"/>
  <c r="V335" i="29"/>
  <c r="AR30" i="29"/>
  <c r="Z30" i="29"/>
  <c r="W378" i="29"/>
  <c r="AU378" i="29"/>
  <c r="V409" i="29"/>
  <c r="AH409" i="29"/>
  <c r="AD420" i="29"/>
  <c r="BB420" i="29"/>
  <c r="V366" i="29"/>
  <c r="AV366" i="29"/>
  <c r="V286" i="29"/>
  <c r="BB286" i="29"/>
  <c r="AF339" i="29"/>
  <c r="V339" i="29"/>
  <c r="V405" i="29"/>
  <c r="AB405" i="29"/>
  <c r="AV70" i="29"/>
  <c r="AJ70" i="29"/>
  <c r="AV455" i="29"/>
  <c r="AD455" i="29"/>
  <c r="V376" i="29"/>
  <c r="AJ376" i="29"/>
  <c r="Z271" i="29"/>
  <c r="V271" i="29"/>
  <c r="BB212" i="29"/>
  <c r="V212" i="29"/>
  <c r="AF122" i="29"/>
  <c r="V122" i="29"/>
  <c r="AH22" i="29"/>
  <c r="AF22" i="29"/>
  <c r="AN493" i="29"/>
  <c r="X493" i="29"/>
  <c r="BB466" i="29"/>
  <c r="V466" i="29"/>
  <c r="AV442" i="29"/>
  <c r="AJ442" i="29"/>
  <c r="AD401" i="29"/>
  <c r="AP401" i="29"/>
  <c r="AN295" i="29"/>
  <c r="V295" i="29"/>
  <c r="V160" i="29"/>
  <c r="AN160" i="29"/>
  <c r="W408" i="29"/>
  <c r="AG408" i="29"/>
  <c r="AZ416" i="29"/>
  <c r="Z416" i="29"/>
  <c r="AD362" i="29"/>
  <c r="AL362" i="29"/>
  <c r="AN337" i="29"/>
  <c r="V337" i="29"/>
  <c r="V282" i="29"/>
  <c r="BB282" i="29"/>
  <c r="AV257" i="29"/>
  <c r="V257" i="29"/>
  <c r="AR85" i="29"/>
  <c r="AJ85" i="29"/>
  <c r="AW464" i="29"/>
  <c r="BC464" i="29"/>
  <c r="W370" i="29"/>
  <c r="AO370" i="29"/>
  <c r="V385" i="29"/>
  <c r="AN385" i="29"/>
  <c r="AR336" i="29"/>
  <c r="V336" i="29"/>
  <c r="AR301" i="29"/>
  <c r="V301" i="29"/>
  <c r="AV276" i="29"/>
  <c r="V276" i="29"/>
  <c r="AP164" i="29"/>
  <c r="V164" i="29"/>
  <c r="Z116" i="29"/>
  <c r="V116" i="29"/>
  <c r="V66" i="29"/>
  <c r="AD66" i="29"/>
  <c r="AW448" i="29"/>
  <c r="AC448" i="29"/>
  <c r="BB173" i="29"/>
  <c r="AN173" i="29"/>
  <c r="BD76" i="29"/>
  <c r="AP76" i="29"/>
  <c r="BD51" i="29"/>
  <c r="BB51" i="29"/>
  <c r="AL25" i="29"/>
  <c r="V25" i="29"/>
  <c r="AO490" i="29"/>
  <c r="AQ490" i="29"/>
  <c r="AW463" i="29"/>
  <c r="W463" i="29"/>
  <c r="AE362" i="29"/>
  <c r="AM362" i="29"/>
  <c r="BC438" i="29"/>
  <c r="AQ438" i="29"/>
  <c r="W388" i="29"/>
  <c r="AW388" i="29"/>
  <c r="AW361" i="29"/>
  <c r="AS361" i="29"/>
  <c r="BB209" i="29"/>
  <c r="V209" i="29"/>
  <c r="AV183" i="29"/>
  <c r="V183" i="29"/>
  <c r="V159" i="29"/>
  <c r="AF159" i="29"/>
  <c r="AJ135" i="29"/>
  <c r="AD135" i="29"/>
  <c r="V111" i="29"/>
  <c r="BB111" i="29"/>
  <c r="AN86" i="29"/>
  <c r="AP86" i="29"/>
  <c r="AV61" i="29"/>
  <c r="BB61" i="29"/>
  <c r="AX37" i="29"/>
  <c r="AT37" i="29"/>
  <c r="X11" i="29"/>
  <c r="V11" i="29"/>
  <c r="AO476" i="29"/>
  <c r="AE476" i="29"/>
  <c r="AW449" i="29"/>
  <c r="BC449" i="29"/>
  <c r="AW425" i="29"/>
  <c r="BC425" i="29"/>
  <c r="AE401" i="29"/>
  <c r="AQ401" i="29"/>
  <c r="W375" i="29"/>
  <c r="Y375" i="29"/>
  <c r="W359" i="29"/>
  <c r="BC359" i="29"/>
  <c r="AM278" i="29"/>
  <c r="W278" i="29"/>
  <c r="W203" i="29"/>
  <c r="AE203" i="29"/>
  <c r="W177" i="29"/>
  <c r="AE177" i="29"/>
  <c r="AC129" i="29"/>
  <c r="W129" i="29"/>
  <c r="AG105" i="29"/>
  <c r="Y105" i="29"/>
  <c r="BC80" i="29"/>
  <c r="AS80" i="29"/>
  <c r="AQ55" i="29"/>
  <c r="AE55" i="29"/>
  <c r="AA29" i="29"/>
  <c r="W29" i="29"/>
  <c r="BC349" i="29"/>
  <c r="W349" i="29"/>
  <c r="AG294" i="29"/>
  <c r="W294" i="29"/>
  <c r="Y269" i="29"/>
  <c r="W269" i="29"/>
  <c r="BA193" i="29"/>
  <c r="W193" i="29"/>
  <c r="AK144" i="29"/>
  <c r="AW144" i="29"/>
  <c r="W96" i="29"/>
  <c r="BE96" i="29"/>
  <c r="AW70" i="29"/>
  <c r="AK70" i="29"/>
  <c r="W46" i="29"/>
  <c r="BC46" i="29"/>
  <c r="W20" i="29"/>
  <c r="AE20" i="29"/>
  <c r="AY344" i="29"/>
  <c r="W344" i="29"/>
  <c r="AI289" i="29"/>
  <c r="BC289" i="29"/>
  <c r="BC213" i="29"/>
  <c r="W213" i="29"/>
  <c r="W163" i="29"/>
  <c r="AW163" i="29"/>
  <c r="BC91" i="29"/>
  <c r="AG91" i="29"/>
  <c r="AO65" i="29"/>
  <c r="W65" i="29"/>
  <c r="AQ41" i="29"/>
  <c r="BC41" i="29"/>
  <c r="Y11" i="29"/>
  <c r="W11" i="29"/>
  <c r="AK343" i="29"/>
  <c r="W343" i="29"/>
  <c r="BC212" i="29"/>
  <c r="W212" i="29"/>
  <c r="AG138" i="29"/>
  <c r="W138" i="29"/>
  <c r="W90" i="29"/>
  <c r="AG90" i="29"/>
  <c r="AS64" i="29"/>
  <c r="W64" i="29"/>
  <c r="W40" i="29"/>
  <c r="BA40" i="29"/>
  <c r="V48" i="29"/>
  <c r="AP48" i="29"/>
  <c r="V370" i="29"/>
  <c r="AN370" i="29"/>
  <c r="X52" i="29"/>
  <c r="AH52" i="29"/>
  <c r="V285" i="29"/>
  <c r="BB285" i="29"/>
  <c r="W382" i="29"/>
  <c r="AA382" i="29"/>
  <c r="AD157" i="29"/>
  <c r="V157" i="29"/>
  <c r="AH59" i="29"/>
  <c r="V59" i="29"/>
  <c r="AO474" i="29"/>
  <c r="W474" i="29"/>
  <c r="W373" i="29"/>
  <c r="AI373" i="29"/>
  <c r="BC397" i="29"/>
  <c r="W397" i="29"/>
  <c r="V143" i="29"/>
  <c r="AJ143" i="29"/>
  <c r="AD19" i="29"/>
  <c r="AB19" i="29"/>
  <c r="W383" i="29"/>
  <c r="AW383" i="29"/>
  <c r="W196" i="29"/>
  <c r="AQ196" i="29"/>
  <c r="AI22" i="29"/>
  <c r="AG22" i="29"/>
  <c r="BB472" i="29"/>
  <c r="AV472" i="29"/>
  <c r="AV448" i="29"/>
  <c r="AB448" i="29"/>
  <c r="AV434" i="29"/>
  <c r="V434" i="29"/>
  <c r="AB130" i="29"/>
  <c r="V130" i="29"/>
  <c r="V40" i="29"/>
  <c r="AZ40" i="29"/>
  <c r="Z284" i="29"/>
  <c r="V284" i="29"/>
  <c r="AN488" i="29"/>
  <c r="BF488" i="29"/>
  <c r="AN495" i="29"/>
  <c r="Z495" i="29"/>
  <c r="AW456" i="29"/>
  <c r="AS456" i="29"/>
  <c r="AN480" i="29"/>
  <c r="V480" i="29"/>
  <c r="AV464" i="29"/>
  <c r="BB464" i="29"/>
  <c r="V396" i="29"/>
  <c r="AJ396" i="29"/>
  <c r="AP291" i="29"/>
  <c r="V291" i="29"/>
  <c r="AW424" i="29"/>
  <c r="Y424" i="29"/>
  <c r="AN478" i="29"/>
  <c r="V478" i="29"/>
  <c r="AV451" i="29"/>
  <c r="V451" i="29"/>
  <c r="AD418" i="29"/>
  <c r="BB418" i="29"/>
  <c r="AN195" i="29"/>
  <c r="V195" i="29"/>
  <c r="X98" i="29"/>
  <c r="AV98" i="29"/>
  <c r="AO487" i="29"/>
  <c r="AI487" i="29"/>
  <c r="AO495" i="29"/>
  <c r="AA495" i="29"/>
  <c r="AN489" i="29"/>
  <c r="AJ489" i="29"/>
  <c r="AV462" i="29"/>
  <c r="AP462" i="29"/>
  <c r="BB438" i="29"/>
  <c r="AP438" i="29"/>
  <c r="X342" i="29"/>
  <c r="V342" i="29"/>
  <c r="BB287" i="29"/>
  <c r="V287" i="29"/>
  <c r="AD238" i="29"/>
  <c r="V238" i="29"/>
  <c r="W374" i="29"/>
  <c r="BA374" i="29"/>
  <c r="V412" i="29"/>
  <c r="AR412" i="29"/>
  <c r="V382" i="29"/>
  <c r="Z382" i="29"/>
  <c r="AD277" i="29"/>
  <c r="BB277" i="29"/>
  <c r="AF253" i="29"/>
  <c r="V253" i="29"/>
  <c r="AW452" i="29"/>
  <c r="W452" i="29"/>
  <c r="AV435" i="29"/>
  <c r="AF435" i="29"/>
  <c r="V407" i="29"/>
  <c r="BB407" i="29"/>
  <c r="V381" i="29"/>
  <c r="BB381" i="29"/>
  <c r="V357" i="29"/>
  <c r="AP357" i="29"/>
  <c r="AD297" i="29"/>
  <c r="V297" i="29"/>
  <c r="BB272" i="29"/>
  <c r="V272" i="29"/>
  <c r="AJ248" i="29"/>
  <c r="AD248" i="29"/>
  <c r="X206" i="29"/>
  <c r="V206" i="29"/>
  <c r="BC497" i="29"/>
  <c r="AG497" i="29"/>
  <c r="AW432" i="29"/>
  <c r="AA432" i="29"/>
  <c r="AV220" i="29"/>
  <c r="V220" i="29"/>
  <c r="AV194" i="29"/>
  <c r="V194" i="29"/>
  <c r="BB121" i="29"/>
  <c r="V121" i="29"/>
  <c r="V97" i="29"/>
  <c r="BB97" i="29"/>
  <c r="BF72" i="29"/>
  <c r="AP72" i="29"/>
  <c r="BB47" i="29"/>
  <c r="V47" i="29"/>
  <c r="AF21" i="29"/>
  <c r="V21" i="29"/>
  <c r="AO486" i="29"/>
  <c r="BC486" i="29"/>
  <c r="AW459" i="29"/>
  <c r="AS459" i="29"/>
  <c r="AW435" i="29"/>
  <c r="AG435" i="29"/>
  <c r="W411" i="29"/>
  <c r="AE411" i="29"/>
  <c r="W385" i="29"/>
  <c r="AO385" i="29"/>
  <c r="AW458" i="29"/>
  <c r="W458" i="29"/>
  <c r="AW434" i="29"/>
  <c r="W434" i="29"/>
  <c r="W410" i="29"/>
  <c r="AW410" i="29"/>
  <c r="W384" i="29"/>
  <c r="AO384" i="29"/>
  <c r="BB205" i="29"/>
  <c r="AN205" i="29"/>
  <c r="AP155" i="29"/>
  <c r="BF155" i="29"/>
  <c r="AP131" i="29"/>
  <c r="V131" i="29"/>
  <c r="AH82" i="29"/>
  <c r="AB82" i="29"/>
  <c r="X57" i="29"/>
  <c r="AR57" i="29"/>
  <c r="V31" i="29"/>
  <c r="AR31" i="29"/>
  <c r="AO496" i="29"/>
  <c r="BC496" i="29"/>
  <c r="BC472" i="29"/>
  <c r="AW472" i="29"/>
  <c r="AW445" i="29"/>
  <c r="AK445" i="29"/>
  <c r="AW421" i="29"/>
  <c r="AI421" i="29"/>
  <c r="W396" i="29"/>
  <c r="AK396" i="29"/>
  <c r="W371" i="29"/>
  <c r="BG371" i="29"/>
  <c r="W355" i="29"/>
  <c r="BC355" i="29"/>
  <c r="BC299" i="29"/>
  <c r="W299" i="29"/>
  <c r="AI274" i="29"/>
  <c r="W274" i="29"/>
  <c r="W250" i="29"/>
  <c r="AO250" i="29"/>
  <c r="BC173" i="29"/>
  <c r="AO173" i="29"/>
  <c r="BE76" i="29"/>
  <c r="AQ76" i="29"/>
  <c r="BE51" i="29"/>
  <c r="BC51" i="29"/>
  <c r="AM25" i="29"/>
  <c r="W25" i="29"/>
  <c r="AU345" i="29"/>
  <c r="W345" i="29"/>
  <c r="BG290" i="29"/>
  <c r="W290" i="29"/>
  <c r="AK265" i="29"/>
  <c r="W265" i="29"/>
  <c r="AQ164" i="29"/>
  <c r="W164" i="29"/>
  <c r="AG140" i="29"/>
  <c r="W140" i="29"/>
  <c r="AA116" i="29"/>
  <c r="W116" i="29"/>
  <c r="W92" i="29"/>
  <c r="AG92" i="29"/>
  <c r="W66" i="29"/>
  <c r="AE66" i="29"/>
  <c r="W42" i="29"/>
  <c r="AO42" i="29"/>
  <c r="AI340" i="29"/>
  <c r="W340" i="29"/>
  <c r="W285" i="29"/>
  <c r="BC285" i="29"/>
  <c r="BC209" i="29"/>
  <c r="W209" i="29"/>
  <c r="AW183" i="29"/>
  <c r="W183" i="29"/>
  <c r="W159" i="29"/>
  <c r="AG159" i="29"/>
  <c r="AK135" i="29"/>
  <c r="AE135" i="29"/>
  <c r="W111" i="29"/>
  <c r="BC111" i="29"/>
  <c r="AO86" i="29"/>
  <c r="AQ86" i="29"/>
  <c r="AW61" i="29"/>
  <c r="BC61" i="29"/>
  <c r="AY37" i="29"/>
  <c r="AU37" i="29"/>
  <c r="BC364" i="29"/>
  <c r="AW364" i="29"/>
  <c r="AG339" i="29"/>
  <c r="W339" i="29"/>
  <c r="AA284" i="29"/>
  <c r="W284" i="29"/>
  <c r="AS158" i="29"/>
  <c r="BC158" i="29"/>
  <c r="AK134" i="29"/>
  <c r="W134" i="29"/>
  <c r="AK110" i="29"/>
  <c r="W110" i="29"/>
  <c r="AS85" i="29"/>
  <c r="AK85" i="29"/>
  <c r="BA60" i="29"/>
  <c r="W60" i="29"/>
  <c r="AW36" i="29"/>
  <c r="W36" i="29"/>
  <c r="AV422" i="29"/>
  <c r="V422" i="29"/>
  <c r="V371" i="29"/>
  <c r="BF371" i="29"/>
  <c r="AO493" i="29"/>
  <c r="Y493" i="29"/>
  <c r="AJ343" i="29"/>
  <c r="V343" i="29"/>
  <c r="AW428" i="29"/>
  <c r="W428" i="29"/>
  <c r="AV83" i="29"/>
  <c r="AJ83" i="29"/>
  <c r="AV207" i="29"/>
  <c r="BB207" i="29"/>
  <c r="AD84" i="29"/>
  <c r="AJ84" i="29"/>
  <c r="AW447" i="29"/>
  <c r="W447" i="29"/>
  <c r="AW422" i="29"/>
  <c r="W422" i="29"/>
  <c r="AF69" i="29"/>
  <c r="AJ69" i="29"/>
  <c r="AW457" i="29"/>
  <c r="W457" i="29"/>
  <c r="Y342" i="29"/>
  <c r="W342" i="29"/>
  <c r="AO201" i="29"/>
  <c r="BC201" i="29"/>
  <c r="AK248" i="29"/>
  <c r="AE248" i="29"/>
  <c r="AQ74" i="29"/>
  <c r="AK74" i="29"/>
  <c r="Y98" i="29"/>
  <c r="AW98" i="29"/>
  <c r="AN475" i="29"/>
  <c r="V475" i="29"/>
  <c r="AO477" i="29"/>
  <c r="W477" i="29"/>
  <c r="AR279" i="29"/>
  <c r="BB279" i="29"/>
  <c r="AN473" i="29"/>
  <c r="V473" i="29"/>
  <c r="V359" i="29"/>
  <c r="BB359" i="29"/>
  <c r="BB469" i="29"/>
  <c r="AD469" i="29"/>
  <c r="V355" i="29"/>
  <c r="BB355" i="29"/>
  <c r="AN482" i="29"/>
  <c r="V482" i="29"/>
  <c r="BB397" i="29"/>
  <c r="V397" i="29"/>
  <c r="V406" i="29"/>
  <c r="Z406" i="29"/>
  <c r="V436" i="29"/>
  <c r="AR436" i="29"/>
  <c r="AP136" i="29"/>
  <c r="V136" i="29"/>
  <c r="BB498" i="29"/>
  <c r="AH498" i="29"/>
  <c r="AN474" i="29"/>
  <c r="V474" i="29"/>
  <c r="AV447" i="29"/>
  <c r="V447" i="29"/>
  <c r="V410" i="29"/>
  <c r="AV410" i="29"/>
  <c r="AN360" i="29"/>
  <c r="AD360" i="29"/>
  <c r="AF81" i="29"/>
  <c r="AB81" i="29"/>
  <c r="BC469" i="29"/>
  <c r="AE469" i="29"/>
  <c r="V90" i="29"/>
  <c r="AF90" i="29"/>
  <c r="AN485" i="29"/>
  <c r="AB485" i="29"/>
  <c r="AV458" i="29"/>
  <c r="V458" i="29"/>
  <c r="AV433" i="29"/>
  <c r="AP433" i="29"/>
  <c r="V383" i="29"/>
  <c r="AV383" i="29"/>
  <c r="AV432" i="29"/>
  <c r="Z432" i="29"/>
  <c r="V408" i="29"/>
  <c r="AF408" i="29"/>
  <c r="V378" i="29"/>
  <c r="AT378" i="29"/>
  <c r="V353" i="29"/>
  <c r="BD353" i="29"/>
  <c r="AF273" i="29"/>
  <c r="V273" i="29"/>
  <c r="AV249" i="29"/>
  <c r="AR249" i="29"/>
  <c r="AN216" i="29"/>
  <c r="V216" i="29"/>
  <c r="AD118" i="29"/>
  <c r="V118" i="29"/>
  <c r="AB18" i="29"/>
  <c r="V18" i="29"/>
  <c r="W436" i="29"/>
  <c r="AS436" i="29"/>
  <c r="AV431" i="29"/>
  <c r="V431" i="29"/>
  <c r="V403" i="29"/>
  <c r="BD403" i="29"/>
  <c r="V377" i="29"/>
  <c r="AX377" i="29"/>
  <c r="BB293" i="29"/>
  <c r="V293" i="29"/>
  <c r="BD268" i="29"/>
  <c r="V268" i="29"/>
  <c r="AP148" i="29"/>
  <c r="AF148" i="29"/>
  <c r="V50" i="29"/>
  <c r="X50" i="29"/>
  <c r="AO489" i="29"/>
  <c r="AK489" i="29"/>
  <c r="BA416" i="29"/>
  <c r="AA416" i="29"/>
  <c r="AV189" i="29"/>
  <c r="V189" i="29"/>
  <c r="V165" i="29"/>
  <c r="AH165" i="29"/>
  <c r="AF141" i="29"/>
  <c r="V141" i="29"/>
  <c r="AJ117" i="29"/>
  <c r="V117" i="29"/>
  <c r="BB93" i="29"/>
  <c r="V93" i="29"/>
  <c r="V43" i="29"/>
  <c r="AP43" i="29"/>
  <c r="AO482" i="29"/>
  <c r="W482" i="29"/>
  <c r="AW455" i="29"/>
  <c r="AE455" i="29"/>
  <c r="AW431" i="29"/>
  <c r="W431" i="29"/>
  <c r="W407" i="29"/>
  <c r="BC407" i="29"/>
  <c r="W381" i="29"/>
  <c r="BC381" i="29"/>
  <c r="AW454" i="29"/>
  <c r="W454" i="29"/>
  <c r="AW430" i="29"/>
  <c r="AA430" i="29"/>
  <c r="W406" i="29"/>
  <c r="AA406" i="29"/>
  <c r="W380" i="29"/>
  <c r="BE380" i="29"/>
  <c r="AZ200" i="29"/>
  <c r="V200" i="29"/>
  <c r="V175" i="29"/>
  <c r="AF175" i="29"/>
  <c r="BB151" i="29"/>
  <c r="AV151" i="29"/>
  <c r="AR127" i="29"/>
  <c r="V127" i="29"/>
  <c r="AB78" i="29"/>
  <c r="BB78" i="29"/>
  <c r="BB53" i="29"/>
  <c r="AZ53" i="29"/>
  <c r="AP27" i="29"/>
  <c r="AN27" i="29"/>
  <c r="AO492" i="29"/>
  <c r="BE492" i="29"/>
  <c r="AW441" i="29"/>
  <c r="W441" i="29"/>
  <c r="W366" i="29"/>
  <c r="AW366" i="29"/>
  <c r="AA350" i="29"/>
  <c r="W350" i="29"/>
  <c r="AO295" i="29"/>
  <c r="W295" i="29"/>
  <c r="AC270" i="29"/>
  <c r="W270" i="29"/>
  <c r="W246" i="29"/>
  <c r="BC246" i="29"/>
  <c r="AW220" i="29"/>
  <c r="W220" i="29"/>
  <c r="AW194" i="29"/>
  <c r="W194" i="29"/>
  <c r="BC121" i="29"/>
  <c r="W121" i="29"/>
  <c r="W97" i="29"/>
  <c r="BC97" i="29"/>
  <c r="BG72" i="29"/>
  <c r="AQ72" i="29"/>
  <c r="BC47" i="29"/>
  <c r="W47" i="29"/>
  <c r="AG21" i="29"/>
  <c r="W21" i="29"/>
  <c r="BA341" i="29"/>
  <c r="W341" i="29"/>
  <c r="W286" i="29"/>
  <c r="BC286" i="29"/>
  <c r="AC261" i="29"/>
  <c r="W261" i="29"/>
  <c r="AW210" i="29"/>
  <c r="W210" i="29"/>
  <c r="W160" i="29"/>
  <c r="AO160" i="29"/>
  <c r="AQ136" i="29"/>
  <c r="W136" i="29"/>
  <c r="W88" i="29"/>
  <c r="AG88" i="29"/>
  <c r="AE62" i="29"/>
  <c r="AG62" i="29"/>
  <c r="BA38" i="29"/>
  <c r="AW38" i="29"/>
  <c r="AA12" i="29"/>
  <c r="Y12" i="29"/>
  <c r="AS336" i="29"/>
  <c r="W336" i="29"/>
  <c r="AO280" i="29"/>
  <c r="BC280" i="29"/>
  <c r="AO256" i="29"/>
  <c r="W256" i="29"/>
  <c r="BC205" i="29"/>
  <c r="AO205" i="29"/>
  <c r="AQ155" i="29"/>
  <c r="BG155" i="29"/>
  <c r="AQ131" i="29"/>
  <c r="W131" i="29"/>
  <c r="AI82" i="29"/>
  <c r="AC82" i="29"/>
  <c r="Y57" i="29"/>
  <c r="AS57" i="29"/>
  <c r="W31" i="29"/>
  <c r="AS31" i="29"/>
  <c r="AO360" i="29"/>
  <c r="AE360" i="29"/>
  <c r="AM335" i="29"/>
  <c r="W335" i="29"/>
  <c r="AS279" i="29"/>
  <c r="BC279" i="29"/>
  <c r="W204" i="29"/>
  <c r="AS204" i="29"/>
  <c r="W154" i="29"/>
  <c r="BC154" i="29"/>
  <c r="AC130" i="29"/>
  <c r="W130" i="29"/>
  <c r="AG81" i="29"/>
  <c r="AC81" i="29"/>
  <c r="W56" i="29"/>
  <c r="AM56" i="29"/>
  <c r="AS30" i="29"/>
  <c r="AA30" i="29"/>
  <c r="AN490" i="29"/>
  <c r="AP490" i="29"/>
  <c r="V56" i="29"/>
  <c r="AL56" i="29"/>
  <c r="BC466" i="29"/>
  <c r="W466" i="29"/>
  <c r="AT345" i="29"/>
  <c r="V345" i="29"/>
  <c r="W404" i="29"/>
  <c r="Y404" i="29"/>
  <c r="AN181" i="29"/>
  <c r="BB181" i="29"/>
  <c r="BA399" i="29"/>
  <c r="BG399" i="29"/>
  <c r="W372" i="29"/>
  <c r="AG372" i="29"/>
  <c r="AW433" i="29"/>
  <c r="AQ433" i="29"/>
  <c r="AO211" i="29"/>
  <c r="W211" i="29"/>
  <c r="W13" i="29"/>
  <c r="AA13" i="29"/>
  <c r="AE277" i="29"/>
  <c r="BC277" i="29"/>
  <c r="W176" i="29"/>
  <c r="AW176" i="29"/>
  <c r="AA79" i="29"/>
  <c r="AG79" i="29"/>
  <c r="AE297" i="29"/>
  <c r="W297" i="29"/>
  <c r="AK147" i="29"/>
  <c r="W147" i="29"/>
  <c r="AK73" i="29"/>
  <c r="W73" i="29"/>
  <c r="AV441" i="29"/>
  <c r="V441" i="29"/>
  <c r="AN486" i="29"/>
  <c r="BB486" i="29"/>
  <c r="BB497" i="29"/>
  <c r="AF497" i="29"/>
  <c r="V250" i="29"/>
  <c r="AN250" i="29"/>
  <c r="AV426" i="29"/>
  <c r="V426" i="29"/>
  <c r="V154" i="29"/>
  <c r="BB154" i="29"/>
  <c r="AN491" i="29"/>
  <c r="V491" i="29"/>
  <c r="AB346" i="29"/>
  <c r="V346" i="29"/>
  <c r="AN492" i="29"/>
  <c r="BD492" i="29"/>
  <c r="AN496" i="29"/>
  <c r="BB496" i="29"/>
  <c r="V387" i="29"/>
  <c r="BB387" i="29"/>
  <c r="AF138" i="29"/>
  <c r="V138" i="29"/>
  <c r="V388" i="29"/>
  <c r="AV388" i="29"/>
  <c r="AN483" i="29"/>
  <c r="V483" i="29"/>
  <c r="AV456" i="29"/>
  <c r="AR456" i="29"/>
  <c r="AV429" i="29"/>
  <c r="V429" i="29"/>
  <c r="V379" i="29"/>
  <c r="AB379" i="29"/>
  <c r="AH274" i="29"/>
  <c r="V274" i="29"/>
  <c r="AN494" i="29"/>
  <c r="AB494" i="29"/>
  <c r="BB468" i="29"/>
  <c r="V468" i="29"/>
  <c r="AV443" i="29"/>
  <c r="V443" i="29"/>
  <c r="AN402" i="29"/>
  <c r="V402" i="29"/>
  <c r="AV351" i="29"/>
  <c r="V351" i="29"/>
  <c r="V247" i="29"/>
  <c r="AV247" i="29"/>
  <c r="AR64" i="29"/>
  <c r="V64" i="29"/>
  <c r="AW444" i="29"/>
  <c r="AI444" i="29"/>
  <c r="AW460" i="29"/>
  <c r="W460" i="29"/>
  <c r="AN481" i="29"/>
  <c r="AV481" i="29"/>
  <c r="AV454" i="29"/>
  <c r="V454" i="29"/>
  <c r="AV425" i="29"/>
  <c r="BB425" i="29"/>
  <c r="V375" i="29"/>
  <c r="X375" i="29"/>
  <c r="AB270" i="29"/>
  <c r="V270" i="29"/>
  <c r="AO485" i="29"/>
  <c r="AC485" i="29"/>
  <c r="AV428" i="29"/>
  <c r="V428" i="29"/>
  <c r="V404" i="29"/>
  <c r="X404" i="29"/>
  <c r="V374" i="29"/>
  <c r="AZ374" i="29"/>
  <c r="BB349" i="29"/>
  <c r="V349" i="29"/>
  <c r="AF294" i="29"/>
  <c r="V294" i="29"/>
  <c r="X269" i="29"/>
  <c r="V269" i="29"/>
  <c r="AO491" i="29"/>
  <c r="W491" i="29"/>
  <c r="AE420" i="29"/>
  <c r="BC420" i="29"/>
  <c r="AV427" i="29"/>
  <c r="V427" i="29"/>
  <c r="AZ399" i="29"/>
  <c r="BF399" i="29"/>
  <c r="V373" i="29"/>
  <c r="AH373" i="29"/>
  <c r="AP348" i="29"/>
  <c r="V348" i="29"/>
  <c r="AH289" i="29"/>
  <c r="BB289" i="29"/>
  <c r="AF140" i="29"/>
  <c r="V140" i="29"/>
  <c r="V42" i="29"/>
  <c r="AN42" i="29"/>
  <c r="AO481" i="29"/>
  <c r="AW481" i="29"/>
  <c r="AW400" i="29"/>
  <c r="AK400" i="29"/>
  <c r="AN211" i="29"/>
  <c r="V211" i="29"/>
  <c r="AR161" i="29"/>
  <c r="V161" i="29"/>
  <c r="AL63" i="29"/>
  <c r="AV63" i="29"/>
  <c r="BB39" i="29"/>
  <c r="AX39" i="29"/>
  <c r="V13" i="29"/>
  <c r="Z13" i="29"/>
  <c r="AO478" i="29"/>
  <c r="W478" i="29"/>
  <c r="AW451" i="29"/>
  <c r="W451" i="29"/>
  <c r="AW427" i="29"/>
  <c r="W427" i="29"/>
  <c r="W403" i="29"/>
  <c r="BE403" i="29"/>
  <c r="W377" i="29"/>
  <c r="AY377" i="29"/>
  <c r="AW450" i="29"/>
  <c r="W450" i="29"/>
  <c r="AW426" i="29"/>
  <c r="W426" i="29"/>
  <c r="AO402" i="29"/>
  <c r="W402" i="29"/>
  <c r="W376" i="29"/>
  <c r="AK376" i="29"/>
  <c r="V196" i="29"/>
  <c r="AP196" i="29"/>
  <c r="AD171" i="29"/>
  <c r="AJ171" i="29"/>
  <c r="AJ147" i="29"/>
  <c r="V147" i="29"/>
  <c r="AR123" i="29"/>
  <c r="V123" i="29"/>
  <c r="BB99" i="29"/>
  <c r="AN99" i="29"/>
  <c r="AP74" i="29"/>
  <c r="AJ74" i="29"/>
  <c r="AP49" i="29"/>
  <c r="V49" i="29"/>
  <c r="AJ23" i="29"/>
  <c r="AH23" i="29"/>
  <c r="AO488" i="29"/>
  <c r="BG488" i="29"/>
  <c r="AW461" i="29"/>
  <c r="W461" i="29"/>
  <c r="W413" i="29"/>
  <c r="AO413" i="29"/>
  <c r="W387" i="29"/>
  <c r="BC387" i="29"/>
  <c r="AC346" i="29"/>
  <c r="W346" i="29"/>
  <c r="AQ291" i="29"/>
  <c r="W291" i="29"/>
  <c r="AQ266" i="29"/>
  <c r="W266" i="29"/>
  <c r="AW189" i="29"/>
  <c r="W189" i="29"/>
  <c r="W165" i="29"/>
  <c r="AI165" i="29"/>
  <c r="AG141" i="29"/>
  <c r="W141" i="29"/>
  <c r="AK117" i="29"/>
  <c r="W117" i="29"/>
  <c r="BC93" i="29"/>
  <c r="W93" i="29"/>
  <c r="W43" i="29"/>
  <c r="AQ43" i="29"/>
  <c r="AO337" i="29"/>
  <c r="W337" i="29"/>
  <c r="W282" i="29"/>
  <c r="BC282" i="29"/>
  <c r="AW257" i="29"/>
  <c r="W257" i="29"/>
  <c r="Y206" i="29"/>
  <c r="W206" i="29"/>
  <c r="W156" i="29"/>
  <c r="AQ156" i="29"/>
  <c r="AW83" i="29"/>
  <c r="AK83" i="29"/>
  <c r="BC58" i="29"/>
  <c r="AO58" i="29"/>
  <c r="W357" i="29"/>
  <c r="AQ357" i="29"/>
  <c r="AS301" i="29"/>
  <c r="W301" i="29"/>
  <c r="AW276" i="29"/>
  <c r="W276" i="29"/>
  <c r="BA200" i="29"/>
  <c r="W200" i="29"/>
  <c r="W175" i="29"/>
  <c r="AG175" i="29"/>
  <c r="BC151" i="29"/>
  <c r="AW151" i="29"/>
  <c r="AS127" i="29"/>
  <c r="W127" i="29"/>
  <c r="AC78" i="29"/>
  <c r="BC78" i="29"/>
  <c r="BC53" i="29"/>
  <c r="BA53" i="29"/>
  <c r="AQ27" i="29"/>
  <c r="AO27" i="29"/>
  <c r="W356" i="29"/>
  <c r="AW356" i="29"/>
  <c r="AW300" i="29"/>
  <c r="W300" i="29"/>
  <c r="BA275" i="29"/>
  <c r="W275" i="29"/>
  <c r="BC199" i="29"/>
  <c r="W199" i="29"/>
  <c r="AW174" i="29"/>
  <c r="BC174" i="29"/>
  <c r="AC150" i="29"/>
  <c r="AO150" i="29"/>
  <c r="AG126" i="29"/>
  <c r="W126" i="29"/>
  <c r="AE102" i="29"/>
  <c r="W102" i="29"/>
  <c r="Y77" i="29"/>
  <c r="W77" i="29"/>
  <c r="Y52" i="29"/>
  <c r="AI52" i="29"/>
  <c r="AO26" i="29"/>
  <c r="AM26" i="29"/>
  <c r="W10" i="29"/>
  <c r="Q12" i="29"/>
  <c r="R15" i="29"/>
  <c r="S347" i="29"/>
  <c r="BD347" i="29"/>
  <c r="S457" i="29"/>
  <c r="AV457" i="29"/>
  <c r="S204" i="29"/>
  <c r="V204" i="29"/>
  <c r="S356" i="29"/>
  <c r="V356" i="29"/>
  <c r="S461" i="29"/>
  <c r="AV461" i="29"/>
  <c r="S267" i="29"/>
  <c r="V267" i="29"/>
  <c r="S292" i="29"/>
  <c r="V292" i="29"/>
  <c r="S430" i="29"/>
  <c r="AV430" i="29"/>
  <c r="S219" i="29"/>
  <c r="V219" i="29"/>
  <c r="S152" i="29"/>
  <c r="V152" i="29"/>
  <c r="S88" i="29"/>
  <c r="V88" i="29"/>
  <c r="S20" i="29"/>
  <c r="V20" i="29"/>
  <c r="S350" i="29"/>
  <c r="Z350" i="29"/>
  <c r="S313" i="29"/>
  <c r="V313" i="29"/>
  <c r="S278" i="29"/>
  <c r="AL278" i="29"/>
  <c r="S246" i="29"/>
  <c r="V246" i="29"/>
  <c r="S193" i="29"/>
  <c r="AZ193" i="29"/>
  <c r="S128" i="29"/>
  <c r="V128" i="29"/>
  <c r="S62" i="29"/>
  <c r="AD62" i="29"/>
  <c r="S199" i="29"/>
  <c r="BB199" i="29"/>
  <c r="S166" i="29"/>
  <c r="BB166" i="29"/>
  <c r="S134" i="29"/>
  <c r="AJ134" i="29"/>
  <c r="S102" i="29"/>
  <c r="AD102" i="29"/>
  <c r="S68" i="29"/>
  <c r="BB68" i="29"/>
  <c r="S36" i="29"/>
  <c r="AV36" i="29"/>
  <c r="S310" i="29"/>
  <c r="V310" i="29"/>
  <c r="S487" i="29"/>
  <c r="AN487" i="29"/>
  <c r="S338" i="29"/>
  <c r="BF338" i="29"/>
  <c r="S266" i="29"/>
  <c r="AP266" i="29"/>
  <c r="S168" i="29"/>
  <c r="V168" i="29"/>
  <c r="S144" i="29"/>
  <c r="AJ144" i="29"/>
  <c r="S174" i="29"/>
  <c r="AV174" i="29"/>
  <c r="S110" i="29"/>
  <c r="AJ110" i="29"/>
  <c r="S344" i="29"/>
  <c r="AX344" i="29"/>
  <c r="S380" i="29"/>
  <c r="V380" i="29"/>
  <c r="S476" i="29"/>
  <c r="AN476" i="29"/>
  <c r="S251" i="29"/>
  <c r="AB251" i="29"/>
  <c r="S300" i="29"/>
  <c r="AV300" i="29"/>
  <c r="S331" i="29"/>
  <c r="V331" i="29"/>
  <c r="S449" i="29"/>
  <c r="AV449" i="29"/>
  <c r="S460" i="29"/>
  <c r="AV460" i="29"/>
  <c r="S444" i="29"/>
  <c r="AV444" i="29"/>
  <c r="S176" i="29"/>
  <c r="V176" i="29"/>
  <c r="S112" i="29"/>
  <c r="Z112" i="29"/>
  <c r="S46" i="29"/>
  <c r="V46" i="29"/>
  <c r="S225" i="29"/>
  <c r="V225" i="29"/>
  <c r="S190" i="29"/>
  <c r="AN190" i="29"/>
  <c r="S158" i="29"/>
  <c r="AR158" i="29"/>
  <c r="S126" i="29"/>
  <c r="AF126" i="29"/>
  <c r="S94" i="29"/>
  <c r="AH94" i="29"/>
  <c r="S60" i="29"/>
  <c r="AZ60" i="29"/>
  <c r="S26" i="29"/>
  <c r="AN26" i="29"/>
  <c r="S223" i="29"/>
  <c r="V223" i="29"/>
  <c r="S188" i="29"/>
  <c r="BB188" i="29"/>
  <c r="S156" i="29"/>
  <c r="V156" i="29"/>
  <c r="S124" i="29"/>
  <c r="AP124" i="29"/>
  <c r="S92" i="29"/>
  <c r="V92" i="29"/>
  <c r="S58" i="29"/>
  <c r="BB58" i="29"/>
  <c r="S24" i="29"/>
  <c r="V24" i="29"/>
  <c r="S235" i="29"/>
  <c r="V235" i="29"/>
  <c r="S372" i="29"/>
  <c r="V372" i="29"/>
  <c r="S259" i="29"/>
  <c r="V259" i="29"/>
  <c r="S484" i="29"/>
  <c r="AN484" i="29"/>
  <c r="S299" i="29"/>
  <c r="BB299" i="29"/>
  <c r="S234" i="29"/>
  <c r="V234" i="29"/>
  <c r="S104" i="29"/>
  <c r="V104" i="29"/>
  <c r="S38" i="29"/>
  <c r="AZ38" i="29"/>
  <c r="S73" i="29"/>
  <c r="AJ73" i="29"/>
  <c r="S210" i="29"/>
  <c r="AV210" i="29"/>
  <c r="S79" i="29"/>
  <c r="Z79" i="29"/>
  <c r="S208" i="29"/>
  <c r="V208" i="29"/>
  <c r="S142" i="29"/>
  <c r="V142" i="29"/>
  <c r="S77" i="29"/>
  <c r="X77" i="29"/>
  <c r="S44" i="29"/>
  <c r="AJ44" i="29"/>
  <c r="S361" i="29"/>
  <c r="AV361" i="29"/>
  <c r="S275" i="29"/>
  <c r="AZ275" i="29"/>
  <c r="S364" i="29"/>
  <c r="BB364" i="29"/>
  <c r="S465" i="29"/>
  <c r="AV465" i="29"/>
  <c r="S440" i="29"/>
  <c r="V440" i="29"/>
  <c r="S96" i="29"/>
  <c r="V96" i="29"/>
  <c r="S28" i="29"/>
  <c r="V28" i="29"/>
  <c r="S418" i="29"/>
  <c r="S384" i="29"/>
  <c r="S481" i="29"/>
  <c r="S358" i="29"/>
  <c r="S475" i="29"/>
  <c r="S365" i="29"/>
  <c r="S386" i="29"/>
  <c r="S421" i="29"/>
  <c r="S387" i="29"/>
  <c r="S335" i="29"/>
  <c r="S296" i="29"/>
  <c r="S263" i="29"/>
  <c r="S162" i="29"/>
  <c r="S98" i="29"/>
  <c r="S30" i="29"/>
  <c r="S454" i="29"/>
  <c r="S438" i="29"/>
  <c r="S342" i="29"/>
  <c r="S304" i="29"/>
  <c r="S270" i="29"/>
  <c r="S238" i="29"/>
  <c r="S400" i="29"/>
  <c r="S366" i="29"/>
  <c r="S349" i="29"/>
  <c r="S333" i="29"/>
  <c r="S312" i="29"/>
  <c r="S294" i="29"/>
  <c r="S277" i="29"/>
  <c r="S261" i="29"/>
  <c r="S245" i="29"/>
  <c r="S422" i="29"/>
  <c r="S453" i="29"/>
  <c r="S433" i="29"/>
  <c r="S401" i="29"/>
  <c r="S227" i="29"/>
  <c r="S160" i="29"/>
  <c r="S328" i="29"/>
  <c r="S306" i="29"/>
  <c r="S289" i="29"/>
  <c r="S272" i="29"/>
  <c r="S256" i="29"/>
  <c r="S240" i="29"/>
  <c r="Q10" i="29"/>
  <c r="Q332" i="29"/>
  <c r="S406" i="29"/>
  <c r="S359" i="29"/>
  <c r="S325" i="29"/>
  <c r="S287" i="29"/>
  <c r="S254" i="29"/>
  <c r="S222" i="29"/>
  <c r="S205" i="29"/>
  <c r="S187" i="29"/>
  <c r="S171" i="29"/>
  <c r="S155" i="29"/>
  <c r="S139" i="29"/>
  <c r="S123" i="29"/>
  <c r="S107" i="29"/>
  <c r="S91" i="29"/>
  <c r="S74" i="29"/>
  <c r="S57" i="29"/>
  <c r="S41" i="29"/>
  <c r="S23" i="29"/>
  <c r="S388" i="29"/>
  <c r="S455" i="29"/>
  <c r="S439" i="29"/>
  <c r="S417" i="29"/>
  <c r="S383" i="29"/>
  <c r="S452" i="29"/>
  <c r="S489" i="29"/>
  <c r="S146" i="29"/>
  <c r="S212" i="29"/>
  <c r="S81" i="29"/>
  <c r="S14" i="29"/>
  <c r="S448" i="29"/>
  <c r="S490" i="29"/>
  <c r="S474" i="29"/>
  <c r="S420" i="29"/>
  <c r="S346" i="29"/>
  <c r="S274" i="29"/>
  <c r="S426" i="29"/>
  <c r="S392" i="29"/>
  <c r="S230" i="29"/>
  <c r="S197" i="29"/>
  <c r="S164" i="29"/>
  <c r="S132" i="29"/>
  <c r="S100" i="29"/>
  <c r="S66" i="29"/>
  <c r="S34" i="29"/>
  <c r="S226" i="29"/>
  <c r="S209" i="29"/>
  <c r="S192" i="29"/>
  <c r="S175" i="29"/>
  <c r="S159" i="29"/>
  <c r="S143" i="29"/>
  <c r="S127" i="29"/>
  <c r="S111" i="29"/>
  <c r="S95" i="29"/>
  <c r="S78" i="29"/>
  <c r="S61" i="29"/>
  <c r="S45" i="29"/>
  <c r="S27" i="29"/>
  <c r="S11" i="29"/>
  <c r="S308" i="29"/>
  <c r="S242" i="29"/>
  <c r="S488" i="29"/>
  <c r="S436" i="29"/>
  <c r="S405" i="29"/>
  <c r="S371" i="29"/>
  <c r="S494" i="29"/>
  <c r="S478" i="29"/>
  <c r="S459" i="29"/>
  <c r="S443" i="29"/>
  <c r="S351" i="29"/>
  <c r="S314" i="29"/>
  <c r="S279" i="29"/>
  <c r="S247" i="29"/>
  <c r="S195" i="29"/>
  <c r="S130" i="29"/>
  <c r="S64" i="29"/>
  <c r="S497" i="29"/>
  <c r="S462" i="29"/>
  <c r="S348" i="29"/>
  <c r="S311" i="29"/>
  <c r="S293" i="29"/>
  <c r="S276" i="29"/>
  <c r="S260" i="29"/>
  <c r="S472" i="29"/>
  <c r="S437" i="29"/>
  <c r="S483" i="29"/>
  <c r="S363" i="29"/>
  <c r="S330" i="29"/>
  <c r="S291" i="29"/>
  <c r="S258" i="29"/>
  <c r="S410" i="29"/>
  <c r="S376" i="29"/>
  <c r="S178" i="29"/>
  <c r="S114" i="29"/>
  <c r="S48" i="29"/>
  <c r="S493" i="29"/>
  <c r="S477" i="29"/>
  <c r="S458" i="29"/>
  <c r="S442" i="29"/>
  <c r="S370" i="29"/>
  <c r="S353" i="29"/>
  <c r="S337" i="29"/>
  <c r="S316" i="29"/>
  <c r="S298" i="29"/>
  <c r="S282" i="29"/>
  <c r="S265" i="29"/>
  <c r="S249" i="29"/>
  <c r="S232" i="29"/>
  <c r="S427" i="29"/>
  <c r="S394" i="29"/>
  <c r="S377" i="29"/>
  <c r="S214" i="29"/>
  <c r="S180" i="29"/>
  <c r="S148" i="29"/>
  <c r="S116" i="29"/>
  <c r="S83" i="29"/>
  <c r="S50" i="29"/>
  <c r="S16" i="29"/>
  <c r="S224" i="29"/>
  <c r="S207" i="29"/>
  <c r="S189" i="29"/>
  <c r="S173" i="29"/>
  <c r="S157" i="29"/>
  <c r="S141" i="29"/>
  <c r="S125" i="29"/>
  <c r="S109" i="29"/>
  <c r="S93" i="29"/>
  <c r="S76" i="29"/>
  <c r="S59" i="29"/>
  <c r="S43" i="29"/>
  <c r="S25" i="29"/>
  <c r="S243" i="29"/>
  <c r="S492" i="29"/>
  <c r="S284" i="29"/>
  <c r="S339" i="29"/>
  <c r="S201" i="29"/>
  <c r="S136" i="29"/>
  <c r="S70" i="29"/>
  <c r="S229" i="29"/>
  <c r="S382" i="29"/>
  <c r="S423" i="29"/>
  <c r="S407" i="29"/>
  <c r="S389" i="29"/>
  <c r="S373" i="29"/>
  <c r="S220" i="29"/>
  <c r="S203" i="29"/>
  <c r="S185" i="29"/>
  <c r="S169" i="29"/>
  <c r="S153" i="29"/>
  <c r="S137" i="29"/>
  <c r="S121" i="29"/>
  <c r="S105" i="29"/>
  <c r="S89" i="29"/>
  <c r="S72" i="29"/>
  <c r="S55" i="29"/>
  <c r="S39" i="29"/>
  <c r="S21" i="29"/>
  <c r="S179" i="29"/>
  <c r="S163" i="29"/>
  <c r="S147" i="29"/>
  <c r="S131" i="29"/>
  <c r="S115" i="29"/>
  <c r="S99" i="29"/>
  <c r="S82" i="29"/>
  <c r="S65" i="29"/>
  <c r="S49" i="29"/>
  <c r="S31" i="29"/>
  <c r="S318" i="29"/>
  <c r="S184" i="29"/>
  <c r="S120" i="29"/>
  <c r="S54" i="29"/>
  <c r="S216" i="29"/>
  <c r="S182" i="29"/>
  <c r="S150" i="29"/>
  <c r="S118" i="29"/>
  <c r="S85" i="29"/>
  <c r="S52" i="29"/>
  <c r="S18" i="29"/>
  <c r="S469" i="29"/>
  <c r="S446" i="29"/>
  <c r="S425" i="29"/>
  <c r="S391" i="29"/>
  <c r="S424" i="29"/>
  <c r="S374" i="29"/>
  <c r="S341" i="29"/>
  <c r="S323" i="29"/>
  <c r="S302" i="29"/>
  <c r="S286" i="29"/>
  <c r="S269" i="29"/>
  <c r="S253" i="29"/>
  <c r="S237" i="29"/>
  <c r="S431" i="29"/>
  <c r="S415" i="29"/>
  <c r="S399" i="29"/>
  <c r="S381" i="29"/>
  <c r="S211" i="29"/>
  <c r="S194" i="29"/>
  <c r="S177" i="29"/>
  <c r="S161" i="29"/>
  <c r="S145" i="29"/>
  <c r="S129" i="29"/>
  <c r="S113" i="29"/>
  <c r="S97" i="29"/>
  <c r="S80" i="29"/>
  <c r="S63" i="29"/>
  <c r="S47" i="29"/>
  <c r="S29" i="29"/>
  <c r="S13" i="29"/>
  <c r="S186" i="29"/>
  <c r="S480" i="29"/>
  <c r="S396" i="29"/>
  <c r="S404" i="29"/>
  <c r="S217" i="29"/>
  <c r="S200" i="29"/>
  <c r="S183" i="29"/>
  <c r="S167" i="29"/>
  <c r="S151" i="29"/>
  <c r="S135" i="29"/>
  <c r="S119" i="29"/>
  <c r="S103" i="29"/>
  <c r="S86" i="29"/>
  <c r="S69" i="29"/>
  <c r="S53" i="29"/>
  <c r="S37" i="29"/>
  <c r="S19" i="29"/>
  <c r="S408" i="29"/>
  <c r="S464" i="29"/>
  <c r="S429" i="29"/>
  <c r="S305" i="29"/>
  <c r="S239" i="29"/>
  <c r="S122" i="29"/>
  <c r="S56" i="29"/>
  <c r="S221" i="29"/>
  <c r="S479" i="29"/>
  <c r="S317" i="29"/>
  <c r="S468" i="29"/>
  <c r="S402" i="29"/>
  <c r="S106" i="29"/>
  <c r="S40" i="29"/>
  <c r="S473" i="29"/>
  <c r="S409" i="29"/>
  <c r="S375" i="29"/>
  <c r="S432" i="29"/>
  <c r="S416" i="29"/>
  <c r="S357" i="29"/>
  <c r="S340" i="29"/>
  <c r="S320" i="29"/>
  <c r="S301" i="29"/>
  <c r="S285" i="29"/>
  <c r="S268" i="29"/>
  <c r="S252" i="29"/>
  <c r="S236" i="29"/>
  <c r="S206" i="29"/>
  <c r="S172" i="29"/>
  <c r="S140" i="29"/>
  <c r="S108" i="29"/>
  <c r="S75" i="29"/>
  <c r="S42" i="29"/>
  <c r="S231" i="29"/>
  <c r="S213" i="29"/>
  <c r="S196" i="29"/>
  <c r="S170" i="29"/>
  <c r="S154" i="29"/>
  <c r="S343" i="29"/>
  <c r="S271" i="29"/>
  <c r="S414" i="29"/>
  <c r="S496" i="29"/>
  <c r="S495" i="29"/>
  <c r="S355" i="29"/>
  <c r="S283" i="29"/>
  <c r="S250" i="29"/>
  <c r="S486" i="29"/>
  <c r="S451" i="29"/>
  <c r="S434" i="29"/>
  <c r="S368" i="29"/>
  <c r="S441" i="29"/>
  <c r="S138" i="29"/>
  <c r="S445" i="29"/>
  <c r="S397" i="29"/>
  <c r="S491" i="29"/>
  <c r="S456" i="29"/>
  <c r="S413" i="29"/>
  <c r="S379" i="29"/>
  <c r="S498" i="29"/>
  <c r="S482" i="29"/>
  <c r="S463" i="29"/>
  <c r="S447" i="29"/>
  <c r="S360" i="29"/>
  <c r="S326" i="29"/>
  <c r="S288" i="29"/>
  <c r="S255" i="29"/>
  <c r="S90" i="29"/>
  <c r="S22" i="29"/>
  <c r="S485" i="29"/>
  <c r="S466" i="29"/>
  <c r="S450" i="29"/>
  <c r="S367" i="29"/>
  <c r="S334" i="29"/>
  <c r="S295" i="29"/>
  <c r="S262" i="29"/>
  <c r="S428" i="29"/>
  <c r="S412" i="29"/>
  <c r="S395" i="29"/>
  <c r="S378" i="29"/>
  <c r="S362" i="29"/>
  <c r="S345" i="29"/>
  <c r="S329" i="29"/>
  <c r="S307" i="29"/>
  <c r="S290" i="29"/>
  <c r="S273" i="29"/>
  <c r="S257" i="29"/>
  <c r="S241" i="29"/>
  <c r="S435" i="29"/>
  <c r="S419" i="29"/>
  <c r="S403" i="29"/>
  <c r="S385" i="29"/>
  <c r="S369" i="29"/>
  <c r="S352" i="29"/>
  <c r="S336" i="29"/>
  <c r="S315" i="29"/>
  <c r="S297" i="29"/>
  <c r="S280" i="29"/>
  <c r="S264" i="29"/>
  <c r="S248" i="29"/>
  <c r="S215" i="29"/>
  <c r="S198" i="29"/>
  <c r="S181" i="29"/>
  <c r="S165" i="29"/>
  <c r="S149" i="29"/>
  <c r="S133" i="29"/>
  <c r="S117" i="29"/>
  <c r="S101" i="29"/>
  <c r="S84" i="29"/>
  <c r="S67" i="29"/>
  <c r="S51" i="29"/>
  <c r="S35" i="29"/>
  <c r="S17" i="29"/>
  <c r="P131" i="34" l="1"/>
  <c r="P132" i="34"/>
  <c r="P35" i="34"/>
  <c r="P36" i="34"/>
  <c r="P18" i="34"/>
  <c r="P17" i="34"/>
  <c r="P246" i="34"/>
  <c r="P194" i="34"/>
  <c r="P191" i="34"/>
  <c r="P309" i="34"/>
  <c r="P171" i="34"/>
  <c r="P158" i="34"/>
  <c r="P386" i="34"/>
  <c r="P47" i="34"/>
  <c r="P390" i="34"/>
  <c r="P391" i="34"/>
  <c r="P251" i="34"/>
  <c r="P255" i="34"/>
  <c r="P259" i="34"/>
  <c r="P263" i="34"/>
  <c r="P248" i="34"/>
  <c r="P252" i="34"/>
  <c r="P256" i="34"/>
  <c r="P260" i="34"/>
  <c r="P264" i="34"/>
  <c r="P253" i="34"/>
  <c r="P261" i="34"/>
  <c r="P254" i="34"/>
  <c r="P262" i="34"/>
  <c r="P249" i="34"/>
  <c r="P257" i="34"/>
  <c r="P265" i="34"/>
  <c r="P250" i="34"/>
  <c r="P258" i="34"/>
  <c r="P266" i="34"/>
  <c r="P357" i="34"/>
  <c r="P118" i="34"/>
  <c r="P119" i="34"/>
  <c r="P120" i="34"/>
  <c r="P121" i="34"/>
  <c r="P150" i="34"/>
  <c r="P152" i="34"/>
  <c r="P149" i="34"/>
  <c r="P332" i="34"/>
  <c r="P346" i="34"/>
  <c r="P99" i="34"/>
  <c r="P23" i="34"/>
  <c r="P24" i="34"/>
  <c r="P25" i="34"/>
  <c r="P58" i="34"/>
  <c r="P62" i="34"/>
  <c r="P66" i="34"/>
  <c r="P59" i="34"/>
  <c r="P63" i="34"/>
  <c r="P67" i="34"/>
  <c r="P60" i="34"/>
  <c r="P64" i="34"/>
  <c r="P57" i="34"/>
  <c r="P61" i="34"/>
  <c r="P65" i="34"/>
  <c r="P154" i="34"/>
  <c r="P155" i="34"/>
  <c r="P138" i="34"/>
  <c r="P139" i="34"/>
  <c r="P140" i="34"/>
  <c r="P86" i="34"/>
  <c r="P87" i="34"/>
  <c r="P348" i="34"/>
  <c r="P305" i="34"/>
  <c r="P22" i="34"/>
  <c r="P145" i="34"/>
  <c r="P195" i="34"/>
  <c r="P14" i="34"/>
  <c r="P44" i="34"/>
  <c r="P244" i="34"/>
  <c r="P232" i="34"/>
  <c r="P192" i="34"/>
  <c r="P170" i="34"/>
  <c r="P272" i="34"/>
  <c r="P46" i="34"/>
  <c r="P165" i="34"/>
  <c r="P385" i="34"/>
  <c r="P95" i="34"/>
  <c r="P310" i="34"/>
  <c r="P175" i="34"/>
  <c r="P293" i="34"/>
  <c r="P108" i="34"/>
  <c r="P321" i="34"/>
  <c r="P100" i="34"/>
  <c r="P15" i="34"/>
  <c r="P336" i="34"/>
  <c r="P27" i="34"/>
  <c r="P28" i="34"/>
  <c r="P29" i="34"/>
  <c r="P388" i="34"/>
  <c r="P347" i="34"/>
  <c r="P303" i="34"/>
  <c r="P116" i="34"/>
  <c r="P308" i="34"/>
  <c r="P130" i="34"/>
  <c r="P247" i="34"/>
  <c r="P233" i="34"/>
  <c r="P223" i="34"/>
  <c r="P193" i="34"/>
  <c r="P94" i="34"/>
  <c r="P93" i="34"/>
  <c r="P174" i="34"/>
  <c r="P173" i="34"/>
  <c r="P90" i="34"/>
  <c r="P88" i="34"/>
  <c r="P107" i="34"/>
  <c r="P89" i="34"/>
  <c r="P392" i="34"/>
  <c r="P271" i="34"/>
  <c r="P240" i="34"/>
  <c r="P142" i="34"/>
  <c r="P143" i="34"/>
  <c r="P144" i="34"/>
  <c r="P141" i="34"/>
  <c r="P389" i="34"/>
  <c r="P104" i="34"/>
  <c r="P105" i="34"/>
  <c r="P26" i="34"/>
  <c r="P360" i="34"/>
  <c r="P327" i="34"/>
  <c r="P304" i="34"/>
  <c r="P115" i="34"/>
  <c r="P43" i="34"/>
  <c r="P328" i="34"/>
  <c r="P307" i="34"/>
  <c r="P306" i="34"/>
  <c r="P245" i="34"/>
  <c r="P164" i="34"/>
  <c r="P224" i="34"/>
  <c r="P176" i="34"/>
  <c r="P159" i="34"/>
  <c r="P160" i="34"/>
  <c r="P161" i="34"/>
  <c r="P397" i="34"/>
  <c r="P356" i="34"/>
  <c r="P362" i="34"/>
  <c r="P361" i="34"/>
  <c r="P354" i="34"/>
  <c r="P353" i="34"/>
  <c r="P399" i="34"/>
  <c r="P226" i="34"/>
  <c r="W15" i="29"/>
  <c r="K13" i="34"/>
  <c r="O13" i="34" s="1"/>
  <c r="P13" i="34" s="1"/>
  <c r="J10" i="34"/>
  <c r="N10" i="34" s="1"/>
  <c r="P10" i="34" s="1"/>
  <c r="J11" i="34"/>
  <c r="N11" i="34" s="1"/>
  <c r="P11" i="34" s="1"/>
  <c r="AT7" i="29"/>
  <c r="AA7" i="29"/>
  <c r="AU7" i="29"/>
  <c r="BF7" i="29"/>
  <c r="BA7" i="29"/>
  <c r="AM7" i="29"/>
  <c r="BG7" i="29"/>
  <c r="AC7" i="29"/>
  <c r="AO7" i="29"/>
  <c r="Y7" i="29"/>
  <c r="AI7" i="29"/>
  <c r="AS7" i="29"/>
  <c r="BC7" i="29"/>
  <c r="AK7" i="29"/>
  <c r="AE7" i="29"/>
  <c r="AH7" i="29"/>
  <c r="BE7" i="29"/>
  <c r="AY7" i="29"/>
  <c r="AQ7" i="29"/>
  <c r="AG7" i="29"/>
  <c r="AW7" i="29"/>
  <c r="AX7" i="29"/>
  <c r="BD7" i="29"/>
  <c r="AB7" i="29"/>
  <c r="AL7" i="29"/>
  <c r="AF7" i="29"/>
  <c r="AR7" i="29"/>
  <c r="S12" i="29"/>
  <c r="X12" i="29"/>
  <c r="X7" i="29" s="1"/>
  <c r="Z12" i="29"/>
  <c r="Z7" i="29" s="1"/>
  <c r="S15" i="29"/>
  <c r="AP7" i="29"/>
  <c r="AZ7" i="29"/>
  <c r="AJ7" i="29"/>
  <c r="AV7" i="29"/>
  <c r="BB7" i="29"/>
  <c r="AN7" i="29"/>
  <c r="S332" i="29"/>
  <c r="V332" i="29"/>
  <c r="S10" i="29"/>
  <c r="V10" i="29"/>
  <c r="Q9" i="29"/>
  <c r="J7" i="34" s="1"/>
  <c r="R9" i="29"/>
  <c r="N7" i="34" l="1"/>
  <c r="J5" i="34"/>
  <c r="J409" i="34"/>
  <c r="K8" i="34"/>
  <c r="O8" i="34" s="1"/>
  <c r="P8" i="34" s="1"/>
  <c r="K7" i="34"/>
  <c r="AA6" i="29"/>
  <c r="AU6" i="29"/>
  <c r="BC6" i="29"/>
  <c r="BA6" i="29"/>
  <c r="AM6" i="29"/>
  <c r="AW6" i="29"/>
  <c r="BG6" i="29"/>
  <c r="AC6" i="29"/>
  <c r="AO6" i="29"/>
  <c r="AI6" i="29"/>
  <c r="Y6" i="29"/>
  <c r="AY6" i="29"/>
  <c r="AG6" i="29"/>
  <c r="BE6" i="29"/>
  <c r="AS6" i="29"/>
  <c r="AQ6" i="29"/>
  <c r="AK6" i="29"/>
  <c r="W9" i="29"/>
  <c r="V9" i="29"/>
  <c r="N4" i="29"/>
  <c r="S9" i="29"/>
  <c r="O7" i="34" l="1"/>
  <c r="P7" i="34" s="1"/>
  <c r="M196" i="10"/>
  <c r="H32" i="7" l="1"/>
  <c r="M240" i="10" l="1"/>
  <c r="M177" i="10"/>
  <c r="M181" i="10" s="1"/>
  <c r="M54" i="10" l="1"/>
  <c r="M136" i="10"/>
  <c r="K17" i="5"/>
  <c r="M82" i="10"/>
  <c r="M279" i="10" s="1"/>
  <c r="M209" i="10"/>
  <c r="L17" i="4" l="1"/>
  <c r="L32" i="4"/>
  <c r="K18" i="5"/>
  <c r="H16" i="7"/>
  <c r="M138" i="10"/>
  <c r="S32" i="4" l="1"/>
  <c r="L33" i="4"/>
  <c r="S46" i="7"/>
  <c r="L18" i="4"/>
  <c r="F45" i="23"/>
  <c r="F53" i="23" s="1"/>
  <c r="G45" i="23"/>
  <c r="G53" i="23" s="1"/>
  <c r="H45" i="23"/>
  <c r="H53" i="23" s="1"/>
  <c r="I45" i="23"/>
  <c r="I53" i="23" s="1"/>
  <c r="J45" i="23"/>
  <c r="J53" i="23" s="1"/>
  <c r="K45" i="23"/>
  <c r="K53" i="23" s="1"/>
  <c r="L45" i="23"/>
  <c r="L53" i="23" s="1"/>
  <c r="N45" i="23"/>
  <c r="N53" i="23" s="1"/>
  <c r="E45" i="23"/>
  <c r="E53" i="23" s="1"/>
  <c r="M45" i="23" l="1"/>
  <c r="M53" i="23" l="1"/>
  <c r="O53" i="23" s="1"/>
  <c r="O45" i="23"/>
  <c r="O20" i="6"/>
  <c r="O322" i="17" l="1"/>
  <c r="I78" i="17" l="1"/>
  <c r="K78" i="17" s="1"/>
  <c r="I276" i="17"/>
  <c r="L276" i="17" s="1"/>
  <c r="E104" i="22"/>
  <c r="K104" i="22" s="1"/>
  <c r="E101" i="22"/>
  <c r="J172" i="17" s="1"/>
  <c r="L172" i="17" s="1"/>
  <c r="I403" i="17"/>
  <c r="K403" i="17" s="1"/>
  <c r="J179" i="17"/>
  <c r="K179" i="17" s="1"/>
  <c r="J50" i="17" l="1"/>
  <c r="I50" i="17"/>
  <c r="J319" i="17"/>
  <c r="O256" i="17"/>
  <c r="O284" i="17"/>
  <c r="O292" i="17"/>
  <c r="O199" i="17"/>
  <c r="O295" i="17"/>
  <c r="O282" i="17"/>
  <c r="N396" i="17"/>
  <c r="P396" i="17" s="1"/>
  <c r="N397" i="17"/>
  <c r="P397" i="17" s="1"/>
  <c r="N399" i="17"/>
  <c r="P399" i="17" s="1"/>
  <c r="N398" i="17"/>
  <c r="P398" i="17" s="1"/>
  <c r="N395" i="17"/>
  <c r="P395" i="17" s="1"/>
  <c r="N163" i="17"/>
  <c r="N357" i="17"/>
  <c r="O286" i="17"/>
  <c r="N208" i="17"/>
  <c r="O207" i="17"/>
  <c r="N207" i="17"/>
  <c r="Q399" i="17"/>
  <c r="Q398" i="17"/>
  <c r="Q397" i="17"/>
  <c r="Q396" i="17"/>
  <c r="Q395" i="17"/>
  <c r="K50" i="17" l="1"/>
  <c r="J433" i="17"/>
  <c r="R397" i="17"/>
  <c r="R398" i="17"/>
  <c r="R399" i="17"/>
  <c r="R395" i="17"/>
  <c r="R396" i="17"/>
  <c r="O380" i="17" l="1"/>
  <c r="O349" i="17"/>
  <c r="O340" i="17"/>
  <c r="O338" i="17"/>
  <c r="O373" i="17"/>
  <c r="O348" i="17"/>
  <c r="O350" i="17"/>
  <c r="O344" i="17"/>
  <c r="O185" i="17"/>
  <c r="O184" i="17"/>
  <c r="N380" i="17"/>
  <c r="N184" i="17"/>
  <c r="N376" i="17"/>
  <c r="N354" i="17"/>
  <c r="W25" i="24"/>
  <c r="Z25" i="24"/>
  <c r="V25" i="24"/>
  <c r="M6" i="22"/>
  <c r="P10" i="22" s="1"/>
  <c r="G301" i="17"/>
  <c r="L319" i="17"/>
  <c r="O297" i="17" l="1"/>
  <c r="H208" i="17"/>
  <c r="M98" i="23" l="1"/>
  <c r="L98" i="23"/>
  <c r="K98" i="23"/>
  <c r="J98" i="23"/>
  <c r="I98" i="23"/>
  <c r="H98" i="23"/>
  <c r="G98" i="23"/>
  <c r="F98" i="23"/>
  <c r="E98" i="23"/>
  <c r="N97" i="23"/>
  <c r="N96" i="23"/>
  <c r="N95" i="23"/>
  <c r="N89" i="23"/>
  <c r="N88" i="23"/>
  <c r="M87" i="23"/>
  <c r="M91" i="23" s="1"/>
  <c r="L87" i="23"/>
  <c r="L91" i="23" s="1"/>
  <c r="K87" i="23"/>
  <c r="K91" i="23" s="1"/>
  <c r="J87" i="23"/>
  <c r="J91" i="23" s="1"/>
  <c r="I87" i="23"/>
  <c r="I91" i="23" s="1"/>
  <c r="H87" i="23"/>
  <c r="H91" i="23" s="1"/>
  <c r="G87" i="23"/>
  <c r="G91" i="23" s="1"/>
  <c r="F87" i="23"/>
  <c r="F91" i="23" s="1"/>
  <c r="E87" i="23"/>
  <c r="E80" i="23"/>
  <c r="E94" i="23" s="1"/>
  <c r="M78" i="23"/>
  <c r="L78" i="23"/>
  <c r="K78" i="23"/>
  <c r="J78" i="23"/>
  <c r="I78" i="23"/>
  <c r="H76" i="23"/>
  <c r="O76" i="23" s="1"/>
  <c r="M75" i="23"/>
  <c r="M80" i="23" s="1"/>
  <c r="M94" i="23" s="1"/>
  <c r="L75" i="23"/>
  <c r="L80" i="23" s="1"/>
  <c r="L94" i="23" s="1"/>
  <c r="K75" i="23"/>
  <c r="K80" i="23" s="1"/>
  <c r="K94" i="23" s="1"/>
  <c r="J75" i="23"/>
  <c r="J80" i="23" s="1"/>
  <c r="J94" i="23" s="1"/>
  <c r="I75" i="23"/>
  <c r="I80" i="23" s="1"/>
  <c r="I94" i="23" s="1"/>
  <c r="H75" i="23"/>
  <c r="G75" i="23"/>
  <c r="F75" i="23"/>
  <c r="M72" i="23"/>
  <c r="L72" i="23"/>
  <c r="K72" i="23"/>
  <c r="J72" i="23"/>
  <c r="I72" i="23"/>
  <c r="G72" i="23"/>
  <c r="F72" i="23"/>
  <c r="E72" i="23"/>
  <c r="O70" i="23"/>
  <c r="H69" i="23"/>
  <c r="H72" i="23" s="1"/>
  <c r="O68" i="23"/>
  <c r="E59" i="23"/>
  <c r="K59" i="23"/>
  <c r="J59" i="23"/>
  <c r="I59" i="23"/>
  <c r="N59" i="23"/>
  <c r="M59" i="23"/>
  <c r="L59" i="23"/>
  <c r="G59" i="23"/>
  <c r="N28" i="23"/>
  <c r="M28" i="23"/>
  <c r="L28" i="23"/>
  <c r="K28" i="23"/>
  <c r="J28" i="23"/>
  <c r="I28" i="23"/>
  <c r="H28" i="23"/>
  <c r="G28" i="23"/>
  <c r="F28" i="23"/>
  <c r="O27" i="23"/>
  <c r="O26" i="23"/>
  <c r="O21" i="23"/>
  <c r="N20" i="23"/>
  <c r="N23" i="23" s="1"/>
  <c r="M20" i="23"/>
  <c r="L20" i="23"/>
  <c r="K20" i="23"/>
  <c r="J20" i="23"/>
  <c r="I20" i="23"/>
  <c r="H20" i="23"/>
  <c r="G20" i="23"/>
  <c r="F20" i="23"/>
  <c r="E20" i="23"/>
  <c r="O19" i="23"/>
  <c r="O18" i="23"/>
  <c r="O16" i="23"/>
  <c r="M12" i="23"/>
  <c r="M15" i="23" s="1"/>
  <c r="L12" i="23"/>
  <c r="L15" i="23" s="1"/>
  <c r="K12" i="23"/>
  <c r="K15" i="23" s="1"/>
  <c r="J12" i="23"/>
  <c r="J15" i="23" s="1"/>
  <c r="J23" i="23" s="1"/>
  <c r="I12" i="23"/>
  <c r="I15" i="23" s="1"/>
  <c r="I23" i="23" s="1"/>
  <c r="H12" i="23"/>
  <c r="H15" i="23" s="1"/>
  <c r="G12" i="23"/>
  <c r="G15" i="23" s="1"/>
  <c r="F12" i="23"/>
  <c r="F15" i="23" s="1"/>
  <c r="E12" i="23"/>
  <c r="E15" i="23" s="1"/>
  <c r="O10" i="23"/>
  <c r="O9" i="23"/>
  <c r="M100" i="23" l="1"/>
  <c r="M102" i="23" s="1"/>
  <c r="M23" i="23"/>
  <c r="F23" i="23"/>
  <c r="G23" i="23"/>
  <c r="O20" i="23"/>
  <c r="I82" i="23"/>
  <c r="H80" i="23"/>
  <c r="H94" i="23" s="1"/>
  <c r="H100" i="23" s="1"/>
  <c r="H102" i="23" s="1"/>
  <c r="J82" i="23"/>
  <c r="I100" i="23"/>
  <c r="I102" i="23" s="1"/>
  <c r="L100" i="23"/>
  <c r="L102" i="23" s="1"/>
  <c r="O51" i="23"/>
  <c r="H23" i="23"/>
  <c r="K82" i="23"/>
  <c r="N98" i="23"/>
  <c r="O12" i="23"/>
  <c r="N10" i="4"/>
  <c r="J100" i="23"/>
  <c r="J102" i="23" s="1"/>
  <c r="K23" i="23"/>
  <c r="E82" i="23"/>
  <c r="L82" i="23"/>
  <c r="N87" i="23"/>
  <c r="N91" i="23" s="1"/>
  <c r="O69" i="23"/>
  <c r="O72" i="23" s="1"/>
  <c r="L23" i="23"/>
  <c r="O28" i="23"/>
  <c r="M82" i="23"/>
  <c r="K100" i="23"/>
  <c r="K102" i="23" s="1"/>
  <c r="G78" i="23"/>
  <c r="F78" i="23"/>
  <c r="O77" i="23"/>
  <c r="O78" i="23" s="1"/>
  <c r="F59" i="23"/>
  <c r="F80" i="23"/>
  <c r="F94" i="23" s="1"/>
  <c r="F100" i="23" s="1"/>
  <c r="F102" i="23" s="1"/>
  <c r="E23" i="23"/>
  <c r="O15" i="23"/>
  <c r="G80" i="23"/>
  <c r="G94" i="23" s="1"/>
  <c r="G100" i="23" s="1"/>
  <c r="G102" i="23" s="1"/>
  <c r="E100" i="23"/>
  <c r="O75" i="23"/>
  <c r="H78" i="23"/>
  <c r="E91" i="23"/>
  <c r="O23" i="23" l="1"/>
  <c r="H11" i="7"/>
  <c r="M168" i="10"/>
  <c r="H82" i="23"/>
  <c r="E102" i="23"/>
  <c r="G82" i="23"/>
  <c r="N94" i="23"/>
  <c r="N100" i="23" s="1"/>
  <c r="N102" i="23" s="1"/>
  <c r="F82" i="23"/>
  <c r="O80" i="23"/>
  <c r="O82" i="23" s="1"/>
  <c r="H59" i="23"/>
  <c r="O59" i="23"/>
  <c r="L10" i="4" l="1"/>
  <c r="Q10" i="4" s="1"/>
  <c r="AC168" i="10"/>
  <c r="K12" i="5"/>
  <c r="H300" i="17"/>
  <c r="L300" i="17" s="1"/>
  <c r="I425" i="17" l="1"/>
  <c r="Q424" i="17"/>
  <c r="P424" i="17"/>
  <c r="Q423" i="17"/>
  <c r="P423" i="17"/>
  <c r="Q422" i="17"/>
  <c r="P422" i="17"/>
  <c r="Q421" i="17"/>
  <c r="P421" i="17"/>
  <c r="Q420" i="17"/>
  <c r="P420" i="17"/>
  <c r="Q419" i="17"/>
  <c r="P419" i="17"/>
  <c r="Q418" i="17"/>
  <c r="P418" i="17"/>
  <c r="Q417" i="17"/>
  <c r="P417" i="17"/>
  <c r="Q416" i="17"/>
  <c r="P416" i="17"/>
  <c r="Q415" i="17"/>
  <c r="P415" i="17"/>
  <c r="Q414" i="17"/>
  <c r="P414" i="17"/>
  <c r="Q413" i="17"/>
  <c r="P413" i="17"/>
  <c r="Q412" i="17"/>
  <c r="P412" i="17"/>
  <c r="Q411" i="17"/>
  <c r="P411" i="17"/>
  <c r="Q410" i="17"/>
  <c r="P410" i="17"/>
  <c r="Q409" i="17"/>
  <c r="P409" i="17"/>
  <c r="Q408" i="17"/>
  <c r="P408" i="17"/>
  <c r="Q407" i="17"/>
  <c r="P407" i="17"/>
  <c r="Q406" i="17"/>
  <c r="P406" i="17"/>
  <c r="Q405" i="17"/>
  <c r="P405" i="17"/>
  <c r="Q404" i="17"/>
  <c r="P404" i="17"/>
  <c r="Q403" i="17"/>
  <c r="P403" i="17"/>
  <c r="Q402" i="17"/>
  <c r="P402" i="17"/>
  <c r="Q401" i="17"/>
  <c r="P401" i="17"/>
  <c r="Q400" i="17"/>
  <c r="P400" i="17"/>
  <c r="Q394" i="17"/>
  <c r="P394" i="17"/>
  <c r="Q393" i="17"/>
  <c r="P393" i="17"/>
  <c r="Q392" i="17"/>
  <c r="P392" i="17"/>
  <c r="Q391" i="17"/>
  <c r="P391" i="17"/>
  <c r="Q390" i="17"/>
  <c r="P390" i="17"/>
  <c r="Q389" i="17"/>
  <c r="P389" i="17"/>
  <c r="Q388" i="17"/>
  <c r="P388" i="17"/>
  <c r="Q387" i="17"/>
  <c r="P387" i="17"/>
  <c r="Q386" i="17"/>
  <c r="P386" i="17"/>
  <c r="Q385" i="17"/>
  <c r="P385" i="17"/>
  <c r="Q384" i="17"/>
  <c r="P384" i="17"/>
  <c r="Q383" i="17"/>
  <c r="P383" i="17"/>
  <c r="Q382" i="17"/>
  <c r="P382" i="17"/>
  <c r="Q381" i="17"/>
  <c r="P381" i="17"/>
  <c r="Q380" i="17"/>
  <c r="P380" i="17"/>
  <c r="Q379" i="17"/>
  <c r="P379" i="17"/>
  <c r="Q378" i="17"/>
  <c r="P378" i="17"/>
  <c r="Q377" i="17"/>
  <c r="P377" i="17"/>
  <c r="Q376" i="17"/>
  <c r="P376" i="17"/>
  <c r="Q375" i="17"/>
  <c r="P375" i="17"/>
  <c r="Q374" i="17"/>
  <c r="P374" i="17"/>
  <c r="Q373" i="17"/>
  <c r="P373" i="17"/>
  <c r="Q372" i="17"/>
  <c r="K372" i="17"/>
  <c r="P372" i="17" s="1"/>
  <c r="Q371" i="17"/>
  <c r="K371" i="17"/>
  <c r="P371" i="17" s="1"/>
  <c r="Q370" i="17"/>
  <c r="K370" i="17"/>
  <c r="P370" i="17" s="1"/>
  <c r="Q369" i="17"/>
  <c r="K369" i="17"/>
  <c r="P369" i="17" s="1"/>
  <c r="Q368" i="17"/>
  <c r="K368" i="17"/>
  <c r="P368" i="17" s="1"/>
  <c r="Q367" i="17"/>
  <c r="K367" i="17"/>
  <c r="Q366" i="17"/>
  <c r="P366" i="17"/>
  <c r="Q365" i="17"/>
  <c r="P365" i="17"/>
  <c r="Q364" i="17"/>
  <c r="P364" i="17"/>
  <c r="Q363" i="17"/>
  <c r="P363" i="17"/>
  <c r="Q362" i="17"/>
  <c r="P362" i="17"/>
  <c r="Q361" i="17"/>
  <c r="P361" i="17"/>
  <c r="Q360" i="17"/>
  <c r="P360" i="17"/>
  <c r="Q359" i="17"/>
  <c r="P359" i="17"/>
  <c r="Q358" i="17"/>
  <c r="P358" i="17"/>
  <c r="Q357" i="17"/>
  <c r="P357" i="17"/>
  <c r="Q356" i="17"/>
  <c r="P356" i="17"/>
  <c r="Q355" i="17"/>
  <c r="P355" i="17"/>
  <c r="Q354" i="17"/>
  <c r="P354" i="17"/>
  <c r="Q353" i="17"/>
  <c r="P353" i="17"/>
  <c r="Q352" i="17"/>
  <c r="P352" i="17"/>
  <c r="Q351" i="17"/>
  <c r="P351" i="17"/>
  <c r="Q350" i="17"/>
  <c r="P350" i="17"/>
  <c r="Q349" i="17"/>
  <c r="P349" i="17"/>
  <c r="Q348" i="17"/>
  <c r="P348" i="17"/>
  <c r="Q347" i="17"/>
  <c r="P347" i="17"/>
  <c r="Q346" i="17"/>
  <c r="P346" i="17"/>
  <c r="Q345" i="17"/>
  <c r="P345" i="17"/>
  <c r="Q344" i="17"/>
  <c r="P344" i="17"/>
  <c r="Q343" i="17"/>
  <c r="P343" i="17"/>
  <c r="Q342" i="17"/>
  <c r="P342" i="17"/>
  <c r="Q341" i="17"/>
  <c r="P341" i="17"/>
  <c r="Q340" i="17"/>
  <c r="P340" i="17"/>
  <c r="Q339" i="17"/>
  <c r="P339" i="17"/>
  <c r="Q338" i="17"/>
  <c r="P338" i="17"/>
  <c r="Q337" i="17"/>
  <c r="P337" i="17"/>
  <c r="Q336" i="17"/>
  <c r="P336" i="17"/>
  <c r="Q335" i="17"/>
  <c r="P335" i="17"/>
  <c r="Q334" i="17"/>
  <c r="P334" i="17"/>
  <c r="Q333" i="17"/>
  <c r="P333" i="17"/>
  <c r="Q332" i="17"/>
  <c r="P332" i="17"/>
  <c r="Q331" i="17"/>
  <c r="P331" i="17"/>
  <c r="Q330" i="17"/>
  <c r="P330" i="17"/>
  <c r="Q329" i="17"/>
  <c r="P329" i="17"/>
  <c r="Q328" i="17"/>
  <c r="P328" i="17"/>
  <c r="Q327" i="17"/>
  <c r="P327" i="17"/>
  <c r="Q326" i="17"/>
  <c r="P326" i="17"/>
  <c r="Q325" i="17"/>
  <c r="P325" i="17"/>
  <c r="Q324" i="17"/>
  <c r="P324" i="17"/>
  <c r="Q323" i="17"/>
  <c r="P323" i="17"/>
  <c r="Q322" i="17"/>
  <c r="P322" i="17"/>
  <c r="Q321" i="17"/>
  <c r="P321" i="17"/>
  <c r="Q320" i="17"/>
  <c r="P320" i="17"/>
  <c r="Q319" i="17"/>
  <c r="P319" i="17"/>
  <c r="Q318" i="17"/>
  <c r="P318" i="17"/>
  <c r="Q317" i="17"/>
  <c r="P317" i="17"/>
  <c r="Q316" i="17"/>
  <c r="P316" i="17"/>
  <c r="Q315" i="17"/>
  <c r="P315" i="17"/>
  <c r="Q314" i="17"/>
  <c r="P314" i="17"/>
  <c r="Q313" i="17"/>
  <c r="P313" i="17"/>
  <c r="Q312" i="17"/>
  <c r="P312" i="17"/>
  <c r="Q311" i="17"/>
  <c r="P311" i="17"/>
  <c r="Q310" i="17"/>
  <c r="P310" i="17"/>
  <c r="Q309" i="17"/>
  <c r="P309" i="17"/>
  <c r="Q308" i="17"/>
  <c r="P308" i="17"/>
  <c r="Q307" i="17"/>
  <c r="P307" i="17"/>
  <c r="Q306" i="17"/>
  <c r="P306" i="17"/>
  <c r="Q305" i="17"/>
  <c r="P305" i="17"/>
  <c r="Q304" i="17"/>
  <c r="P304" i="17"/>
  <c r="Q303" i="17"/>
  <c r="P303" i="17"/>
  <c r="Q302" i="17"/>
  <c r="P302" i="17"/>
  <c r="Q301" i="17"/>
  <c r="Q300" i="17"/>
  <c r="P300" i="17"/>
  <c r="Q299" i="17"/>
  <c r="P299" i="17"/>
  <c r="Q298" i="17"/>
  <c r="P298" i="17"/>
  <c r="Q297" i="17"/>
  <c r="P297" i="17"/>
  <c r="Q296" i="17"/>
  <c r="P296" i="17"/>
  <c r="Q295" i="17"/>
  <c r="P295" i="17"/>
  <c r="Q294" i="17"/>
  <c r="P294" i="17"/>
  <c r="Q293" i="17"/>
  <c r="P293" i="17"/>
  <c r="Q292" i="17"/>
  <c r="P292" i="17"/>
  <c r="Q291" i="17"/>
  <c r="P291" i="17"/>
  <c r="Q290" i="17"/>
  <c r="P290" i="17"/>
  <c r="Q289" i="17"/>
  <c r="P289" i="17"/>
  <c r="Q288" i="17"/>
  <c r="P288" i="17"/>
  <c r="Q287" i="17"/>
  <c r="P287" i="17"/>
  <c r="Q286" i="17"/>
  <c r="P286" i="17"/>
  <c r="Q285" i="17"/>
  <c r="P285" i="17"/>
  <c r="Q284" i="17"/>
  <c r="P284" i="17"/>
  <c r="Q283" i="17"/>
  <c r="P283" i="17"/>
  <c r="Q282" i="17"/>
  <c r="P282" i="17"/>
  <c r="Q281" i="17"/>
  <c r="P281" i="17"/>
  <c r="Q280" i="17"/>
  <c r="P280" i="17"/>
  <c r="Q279" i="17"/>
  <c r="P279" i="17"/>
  <c r="Q278" i="17"/>
  <c r="P278" i="17"/>
  <c r="Q277" i="17"/>
  <c r="P277" i="17"/>
  <c r="Q276" i="17"/>
  <c r="P276" i="17"/>
  <c r="Q275" i="17"/>
  <c r="P275" i="17"/>
  <c r="Q274" i="17"/>
  <c r="P274" i="17"/>
  <c r="Q273" i="17"/>
  <c r="P273" i="17"/>
  <c r="Q272" i="17"/>
  <c r="P272" i="17"/>
  <c r="Q271" i="17"/>
  <c r="P271" i="17"/>
  <c r="Q270" i="17"/>
  <c r="P270" i="17"/>
  <c r="Q269" i="17"/>
  <c r="P269" i="17"/>
  <c r="Q268" i="17"/>
  <c r="P268" i="17"/>
  <c r="Q267" i="17"/>
  <c r="P267" i="17"/>
  <c r="Q266" i="17"/>
  <c r="P266" i="17"/>
  <c r="Q265" i="17"/>
  <c r="P265" i="17"/>
  <c r="Q264" i="17"/>
  <c r="P264" i="17"/>
  <c r="Q263" i="17"/>
  <c r="P263" i="17"/>
  <c r="Q262" i="17"/>
  <c r="P262" i="17"/>
  <c r="Q261" i="17"/>
  <c r="P261" i="17"/>
  <c r="Q260" i="17"/>
  <c r="P260" i="17"/>
  <c r="Q259" i="17"/>
  <c r="P259" i="17"/>
  <c r="Q258" i="17"/>
  <c r="P258" i="17"/>
  <c r="Q257" i="17"/>
  <c r="P257" i="17"/>
  <c r="Q256" i="17"/>
  <c r="P256" i="17"/>
  <c r="Q255" i="17"/>
  <c r="P255" i="17"/>
  <c r="Q254" i="17"/>
  <c r="P254" i="17"/>
  <c r="Q253" i="17"/>
  <c r="P253" i="17"/>
  <c r="Q252" i="17"/>
  <c r="P252" i="17"/>
  <c r="Q251" i="17"/>
  <c r="P251" i="17"/>
  <c r="Q250" i="17"/>
  <c r="P250" i="17"/>
  <c r="Q249" i="17"/>
  <c r="P249" i="17"/>
  <c r="Q248" i="17"/>
  <c r="P248" i="17"/>
  <c r="Q247" i="17"/>
  <c r="P247" i="17"/>
  <c r="Q246" i="17"/>
  <c r="P246" i="17"/>
  <c r="Q245" i="17"/>
  <c r="P245" i="17"/>
  <c r="Q244" i="17"/>
  <c r="P244" i="17"/>
  <c r="Q243" i="17"/>
  <c r="P243" i="17"/>
  <c r="Q242" i="17"/>
  <c r="P242" i="17"/>
  <c r="Q241" i="17"/>
  <c r="P241" i="17"/>
  <c r="Q240" i="17"/>
  <c r="P240" i="17"/>
  <c r="Q239" i="17"/>
  <c r="P239" i="17"/>
  <c r="Q238" i="17"/>
  <c r="P238" i="17"/>
  <c r="Q237" i="17"/>
  <c r="P237" i="17"/>
  <c r="Q236" i="17"/>
  <c r="P236" i="17"/>
  <c r="Q235" i="17"/>
  <c r="P235" i="17"/>
  <c r="Q234" i="17"/>
  <c r="P234" i="17"/>
  <c r="Q233" i="17"/>
  <c r="P233" i="17"/>
  <c r="Q232" i="17"/>
  <c r="P232" i="17"/>
  <c r="Q231" i="17"/>
  <c r="P231" i="17"/>
  <c r="Q230" i="17"/>
  <c r="P230" i="17"/>
  <c r="Q229" i="17"/>
  <c r="P229" i="17"/>
  <c r="Q228" i="17"/>
  <c r="P228" i="17"/>
  <c r="Q227" i="17"/>
  <c r="P227" i="17"/>
  <c r="Q226" i="17"/>
  <c r="P226" i="17"/>
  <c r="Q225" i="17"/>
  <c r="P225" i="17"/>
  <c r="Q224" i="17"/>
  <c r="P224" i="17"/>
  <c r="Q223" i="17"/>
  <c r="P223" i="17"/>
  <c r="Q222" i="17"/>
  <c r="P222" i="17"/>
  <c r="Q221" i="17"/>
  <c r="P221" i="17"/>
  <c r="Q220" i="17"/>
  <c r="P220" i="17"/>
  <c r="Q219" i="17"/>
  <c r="P219" i="17"/>
  <c r="P218" i="17"/>
  <c r="L218" i="17"/>
  <c r="Q218" i="17" s="1"/>
  <c r="Q217" i="17"/>
  <c r="P217" i="17"/>
  <c r="Q216" i="17"/>
  <c r="P216" i="17"/>
  <c r="Q215" i="17"/>
  <c r="P215" i="17"/>
  <c r="P214" i="17"/>
  <c r="H214" i="17"/>
  <c r="H425" i="17" s="1"/>
  <c r="Q213" i="17"/>
  <c r="P213" i="17"/>
  <c r="P212" i="17"/>
  <c r="L212" i="17"/>
  <c r="Q212" i="17" s="1"/>
  <c r="Q211" i="17"/>
  <c r="P211" i="17"/>
  <c r="P210" i="17"/>
  <c r="L210" i="17"/>
  <c r="Q210" i="17" s="1"/>
  <c r="Q209" i="17"/>
  <c r="P209" i="17"/>
  <c r="P208" i="17"/>
  <c r="L208" i="17"/>
  <c r="Q208" i="17" s="1"/>
  <c r="Q207" i="17"/>
  <c r="P207" i="17"/>
  <c r="P206" i="17"/>
  <c r="L206" i="17"/>
  <c r="Q206" i="17" s="1"/>
  <c r="Q205" i="17"/>
  <c r="P205" i="17"/>
  <c r="P204" i="17"/>
  <c r="Q203" i="17"/>
  <c r="P203" i="17"/>
  <c r="Q202" i="17"/>
  <c r="P202" i="17"/>
  <c r="Q201" i="17"/>
  <c r="P201" i="17"/>
  <c r="Q200" i="17"/>
  <c r="P200" i="17"/>
  <c r="Q199" i="17"/>
  <c r="P199" i="17"/>
  <c r="Q198" i="17"/>
  <c r="P198" i="17"/>
  <c r="Q197" i="17"/>
  <c r="P197" i="17"/>
  <c r="Q196" i="17"/>
  <c r="P196" i="17"/>
  <c r="Q195" i="17"/>
  <c r="P195" i="17"/>
  <c r="Q194" i="17"/>
  <c r="P194" i="17"/>
  <c r="Q193" i="17"/>
  <c r="P193" i="17"/>
  <c r="Q192" i="17"/>
  <c r="P192" i="17"/>
  <c r="Q191" i="17"/>
  <c r="P191" i="17"/>
  <c r="Q190" i="17"/>
  <c r="P190" i="17"/>
  <c r="Q189" i="17"/>
  <c r="P189" i="17"/>
  <c r="Q188" i="17"/>
  <c r="P188" i="17"/>
  <c r="Q187" i="17"/>
  <c r="P187" i="17"/>
  <c r="Q186" i="17"/>
  <c r="P186" i="17"/>
  <c r="Q185" i="17"/>
  <c r="P185" i="17"/>
  <c r="Q184" i="17"/>
  <c r="P184" i="17"/>
  <c r="Q183" i="17"/>
  <c r="P183" i="17"/>
  <c r="Q182" i="17"/>
  <c r="P182" i="17"/>
  <c r="Q181" i="17"/>
  <c r="P181" i="17"/>
  <c r="Q180" i="17"/>
  <c r="P180" i="17"/>
  <c r="Q179" i="17"/>
  <c r="P179" i="17"/>
  <c r="Q178" i="17"/>
  <c r="P178" i="17"/>
  <c r="Q177" i="17"/>
  <c r="P177" i="17"/>
  <c r="Q176" i="17"/>
  <c r="P176" i="17"/>
  <c r="Q175" i="17"/>
  <c r="P175" i="17"/>
  <c r="Q174" i="17"/>
  <c r="P174" i="17"/>
  <c r="Q173" i="17"/>
  <c r="P173" i="17"/>
  <c r="Q172" i="17"/>
  <c r="P172" i="17"/>
  <c r="Q171" i="17"/>
  <c r="P171" i="17"/>
  <c r="Q170" i="17"/>
  <c r="P170" i="17"/>
  <c r="Q169" i="17"/>
  <c r="P169" i="17"/>
  <c r="Q168" i="17"/>
  <c r="P168" i="17"/>
  <c r="Q167" i="17"/>
  <c r="P167" i="17"/>
  <c r="Q166" i="17"/>
  <c r="P166" i="17"/>
  <c r="Q165" i="17"/>
  <c r="P165" i="17"/>
  <c r="Q164" i="17"/>
  <c r="P164" i="17"/>
  <c r="Q163" i="17"/>
  <c r="P163" i="17"/>
  <c r="Q162" i="17"/>
  <c r="P162" i="17"/>
  <c r="Q161" i="17"/>
  <c r="P161" i="17"/>
  <c r="Q160" i="17"/>
  <c r="P160" i="17"/>
  <c r="Q159" i="17"/>
  <c r="P159" i="17"/>
  <c r="Q158" i="17"/>
  <c r="P158" i="17"/>
  <c r="Q157" i="17"/>
  <c r="P157" i="17"/>
  <c r="Q156" i="17"/>
  <c r="P156" i="17"/>
  <c r="Q155" i="17"/>
  <c r="P155" i="17"/>
  <c r="Q154" i="17"/>
  <c r="P154" i="17"/>
  <c r="Q153" i="17"/>
  <c r="P153" i="17"/>
  <c r="Q152" i="17"/>
  <c r="P152" i="17"/>
  <c r="Q151" i="17"/>
  <c r="P151" i="17"/>
  <c r="Q150" i="17"/>
  <c r="P150" i="17"/>
  <c r="Q149" i="17"/>
  <c r="P149" i="17"/>
  <c r="Q148" i="17"/>
  <c r="P148" i="17"/>
  <c r="Q147" i="17"/>
  <c r="P147" i="17"/>
  <c r="Q146" i="17"/>
  <c r="P146" i="17"/>
  <c r="Q145" i="17"/>
  <c r="P145" i="17"/>
  <c r="Q144" i="17"/>
  <c r="P144" i="17"/>
  <c r="Q143" i="17"/>
  <c r="P143" i="17"/>
  <c r="Q142" i="17"/>
  <c r="P142" i="17"/>
  <c r="Q141" i="17"/>
  <c r="P141" i="17"/>
  <c r="Q140" i="17"/>
  <c r="P140" i="17"/>
  <c r="Q139" i="17"/>
  <c r="P139" i="17"/>
  <c r="Q138" i="17"/>
  <c r="P138" i="17"/>
  <c r="Q137" i="17"/>
  <c r="P137" i="17"/>
  <c r="Q136" i="17"/>
  <c r="P136" i="17"/>
  <c r="Q135" i="17"/>
  <c r="P135" i="17"/>
  <c r="Q134" i="17"/>
  <c r="P134" i="17"/>
  <c r="Q133" i="17"/>
  <c r="P133" i="17"/>
  <c r="Q132" i="17"/>
  <c r="P132" i="17"/>
  <c r="Q131" i="17"/>
  <c r="P131" i="17"/>
  <c r="Q130" i="17"/>
  <c r="P130" i="17"/>
  <c r="Q129" i="17"/>
  <c r="P129" i="17"/>
  <c r="Q128" i="17"/>
  <c r="P128" i="17"/>
  <c r="Q127" i="17"/>
  <c r="P127" i="17"/>
  <c r="Q126" i="17"/>
  <c r="P126" i="17"/>
  <c r="Q125" i="17"/>
  <c r="P125" i="17"/>
  <c r="Q124" i="17"/>
  <c r="P124" i="17"/>
  <c r="Q123" i="17"/>
  <c r="P123" i="17"/>
  <c r="Q122" i="17"/>
  <c r="P122" i="17"/>
  <c r="Q121" i="17"/>
  <c r="P121" i="17"/>
  <c r="Q120" i="17"/>
  <c r="P120" i="17"/>
  <c r="Q119" i="17"/>
  <c r="P119" i="17"/>
  <c r="Q118" i="17"/>
  <c r="P118" i="17"/>
  <c r="Q117" i="17"/>
  <c r="P117" i="17"/>
  <c r="Q116" i="17"/>
  <c r="P116" i="17"/>
  <c r="Q115" i="17"/>
  <c r="P115" i="17"/>
  <c r="Q114" i="17"/>
  <c r="P114" i="17"/>
  <c r="Q113" i="17"/>
  <c r="P113" i="17"/>
  <c r="Q112" i="17"/>
  <c r="P112" i="17"/>
  <c r="Q111" i="17"/>
  <c r="P111" i="17"/>
  <c r="Q110" i="17"/>
  <c r="P110" i="17"/>
  <c r="Q109" i="17"/>
  <c r="P109" i="17"/>
  <c r="Q108" i="17"/>
  <c r="P108" i="17"/>
  <c r="Q107" i="17"/>
  <c r="P107" i="17"/>
  <c r="Q106" i="17"/>
  <c r="P106" i="17"/>
  <c r="Q105" i="17"/>
  <c r="P105" i="17"/>
  <c r="Q104" i="17"/>
  <c r="P104" i="17"/>
  <c r="Q103" i="17"/>
  <c r="P103" i="17"/>
  <c r="Q102" i="17"/>
  <c r="P102" i="17"/>
  <c r="Q101" i="17"/>
  <c r="P101" i="17"/>
  <c r="Q100" i="17"/>
  <c r="P100" i="17"/>
  <c r="Q99" i="17"/>
  <c r="P99" i="17"/>
  <c r="Q98" i="17"/>
  <c r="P98" i="17"/>
  <c r="Q97" i="17"/>
  <c r="P97" i="17"/>
  <c r="Q96" i="17"/>
  <c r="P96" i="17"/>
  <c r="Q95" i="17"/>
  <c r="P95" i="17"/>
  <c r="Q94" i="17"/>
  <c r="P94" i="17"/>
  <c r="Q93" i="17"/>
  <c r="P93" i="17"/>
  <c r="Q92" i="17"/>
  <c r="P92" i="17"/>
  <c r="Q91" i="17"/>
  <c r="P91" i="17"/>
  <c r="Q90" i="17"/>
  <c r="P90" i="17"/>
  <c r="Q89" i="17"/>
  <c r="P89" i="17"/>
  <c r="Q88" i="17"/>
  <c r="P88" i="17"/>
  <c r="Q87" i="17"/>
  <c r="P87" i="17"/>
  <c r="Q86" i="17"/>
  <c r="P86" i="17"/>
  <c r="Q85" i="17"/>
  <c r="P85" i="17"/>
  <c r="Q84" i="17"/>
  <c r="P84" i="17"/>
  <c r="Q83" i="17"/>
  <c r="P83" i="17"/>
  <c r="Q82" i="17"/>
  <c r="P82" i="17"/>
  <c r="Q81" i="17"/>
  <c r="P81" i="17"/>
  <c r="Q80" i="17"/>
  <c r="P80" i="17"/>
  <c r="Q79" i="17"/>
  <c r="P79" i="17"/>
  <c r="Q78" i="17"/>
  <c r="P78" i="17"/>
  <c r="Q77" i="17"/>
  <c r="P77" i="17"/>
  <c r="Q76" i="17"/>
  <c r="P76" i="17"/>
  <c r="Q75" i="17"/>
  <c r="P75" i="17"/>
  <c r="Q74" i="17"/>
  <c r="P74" i="17"/>
  <c r="Q73" i="17"/>
  <c r="P73" i="17"/>
  <c r="Q72" i="17"/>
  <c r="P72" i="17"/>
  <c r="Q71" i="17"/>
  <c r="P71" i="17"/>
  <c r="Q70" i="17"/>
  <c r="P70" i="17"/>
  <c r="Q69" i="17"/>
  <c r="P69" i="17"/>
  <c r="Q68" i="17"/>
  <c r="P68" i="17"/>
  <c r="Q67" i="17"/>
  <c r="P67" i="17"/>
  <c r="Q66" i="17"/>
  <c r="P66" i="17"/>
  <c r="Q65" i="17"/>
  <c r="P65" i="17"/>
  <c r="Q64" i="17"/>
  <c r="P64" i="17"/>
  <c r="Q63" i="17"/>
  <c r="P63" i="17"/>
  <c r="Q62" i="17"/>
  <c r="P62" i="17"/>
  <c r="Q61" i="17"/>
  <c r="P61" i="17"/>
  <c r="Q60" i="17"/>
  <c r="P60" i="17"/>
  <c r="Q59" i="17"/>
  <c r="P59" i="17"/>
  <c r="Q58" i="17"/>
  <c r="P58" i="17"/>
  <c r="Q57" i="17"/>
  <c r="P57" i="17"/>
  <c r="Q56" i="17"/>
  <c r="P56" i="17"/>
  <c r="Q55" i="17"/>
  <c r="P55" i="17"/>
  <c r="Q54" i="17"/>
  <c r="P54" i="17"/>
  <c r="Q53" i="17"/>
  <c r="P53" i="17"/>
  <c r="Q52" i="17"/>
  <c r="P52" i="17"/>
  <c r="Q51" i="17"/>
  <c r="P51" i="17"/>
  <c r="Q50" i="17"/>
  <c r="P50" i="17"/>
  <c r="Q49" i="17"/>
  <c r="P49" i="17"/>
  <c r="Q48" i="17"/>
  <c r="P48" i="17"/>
  <c r="Q47" i="17"/>
  <c r="P47" i="17"/>
  <c r="Q46" i="17"/>
  <c r="P46" i="17"/>
  <c r="Q45" i="17"/>
  <c r="P45" i="17"/>
  <c r="Q44" i="17"/>
  <c r="P44" i="17"/>
  <c r="Q43" i="17"/>
  <c r="P43" i="17"/>
  <c r="Q42" i="17"/>
  <c r="P42" i="17"/>
  <c r="Q41" i="17"/>
  <c r="P41" i="17"/>
  <c r="Q40" i="17"/>
  <c r="P40" i="17"/>
  <c r="Q39" i="17"/>
  <c r="P39" i="17"/>
  <c r="Q38" i="17"/>
  <c r="P38" i="17"/>
  <c r="Q37" i="17"/>
  <c r="P37" i="17"/>
  <c r="Q36" i="17"/>
  <c r="P36" i="17"/>
  <c r="Q35" i="17"/>
  <c r="P35" i="17"/>
  <c r="Q34" i="17"/>
  <c r="P34" i="17"/>
  <c r="Q33" i="17"/>
  <c r="P33" i="17"/>
  <c r="Q32" i="17"/>
  <c r="P32" i="17"/>
  <c r="Q31" i="17"/>
  <c r="P31" i="17"/>
  <c r="Q30" i="17"/>
  <c r="P30" i="17"/>
  <c r="Q29" i="17"/>
  <c r="P29" i="17"/>
  <c r="Q28" i="17"/>
  <c r="P28" i="17"/>
  <c r="Q27" i="17"/>
  <c r="P27" i="17"/>
  <c r="Q26" i="17"/>
  <c r="P26" i="17"/>
  <c r="Q25" i="17"/>
  <c r="P25" i="17"/>
  <c r="Q24" i="17"/>
  <c r="P24" i="17"/>
  <c r="Q23" i="17"/>
  <c r="P23" i="17"/>
  <c r="Q22" i="17"/>
  <c r="P22" i="17"/>
  <c r="Q21" i="17"/>
  <c r="P21" i="17"/>
  <c r="Q20" i="17"/>
  <c r="P20" i="17"/>
  <c r="Q19" i="17"/>
  <c r="P19" i="17"/>
  <c r="Q18" i="17"/>
  <c r="P18" i="17"/>
  <c r="Q17" i="17"/>
  <c r="P17" i="17"/>
  <c r="Q16" i="17"/>
  <c r="P16" i="17"/>
  <c r="Q15" i="17"/>
  <c r="P15" i="17"/>
  <c r="Q14" i="17"/>
  <c r="P14" i="17"/>
  <c r="Q13" i="17"/>
  <c r="P13" i="17"/>
  <c r="Q12" i="17"/>
  <c r="P12" i="17"/>
  <c r="Q11" i="17"/>
  <c r="P11" i="17"/>
  <c r="Q10" i="17"/>
  <c r="P10" i="17"/>
  <c r="Q9" i="17"/>
  <c r="P9" i="17"/>
  <c r="Q8" i="17"/>
  <c r="P8" i="17"/>
  <c r="Q7" i="17"/>
  <c r="P7" i="17"/>
  <c r="O3" i="17"/>
  <c r="N3" i="17"/>
  <c r="M3" i="17"/>
  <c r="I3" i="17"/>
  <c r="H3" i="17"/>
  <c r="G3" i="17"/>
  <c r="L214" i="17" l="1"/>
  <c r="Q214" i="17" s="1"/>
  <c r="G2" i="17"/>
  <c r="R404" i="17"/>
  <c r="J425" i="17"/>
  <c r="I426" i="17" s="1"/>
  <c r="R406" i="17"/>
  <c r="R408" i="17"/>
  <c r="R8" i="17"/>
  <c r="R10" i="17"/>
  <c r="R12" i="17"/>
  <c r="R50" i="17"/>
  <c r="R291" i="17"/>
  <c r="R293" i="17"/>
  <c r="R295" i="17"/>
  <c r="R297" i="17"/>
  <c r="R299" i="17"/>
  <c r="R305" i="17"/>
  <c r="R307" i="17"/>
  <c r="R309" i="17"/>
  <c r="R311" i="17"/>
  <c r="R313" i="17"/>
  <c r="R321" i="17"/>
  <c r="R323" i="17"/>
  <c r="R325" i="17"/>
  <c r="R327" i="17"/>
  <c r="R329" i="17"/>
  <c r="R353" i="17"/>
  <c r="R355" i="17"/>
  <c r="R357" i="17"/>
  <c r="R359" i="17"/>
  <c r="R361" i="17"/>
  <c r="R363" i="17"/>
  <c r="R365" i="17"/>
  <c r="R369" i="17"/>
  <c r="R371" i="17"/>
  <c r="R373" i="17"/>
  <c r="R375" i="17"/>
  <c r="R377" i="17"/>
  <c r="R389" i="17"/>
  <c r="R391" i="17"/>
  <c r="R393" i="17"/>
  <c r="R400" i="17"/>
  <c r="R402" i="17"/>
  <c r="R410" i="17"/>
  <c r="R412" i="17"/>
  <c r="R418" i="17"/>
  <c r="R420" i="17"/>
  <c r="R202" i="17"/>
  <c r="R379" i="17"/>
  <c r="R116" i="17"/>
  <c r="R120" i="17"/>
  <c r="R128" i="17"/>
  <c r="R241" i="17"/>
  <c r="R13" i="17"/>
  <c r="R19" i="17"/>
  <c r="R25" i="17"/>
  <c r="R27" i="17"/>
  <c r="R45" i="17"/>
  <c r="R51" i="17"/>
  <c r="R89" i="17"/>
  <c r="R91" i="17"/>
  <c r="R105" i="17"/>
  <c r="R113" i="17"/>
  <c r="R115" i="17"/>
  <c r="R117" i="17"/>
  <c r="R121" i="17"/>
  <c r="R129" i="17"/>
  <c r="R131" i="17"/>
  <c r="R133" i="17"/>
  <c r="R137" i="17"/>
  <c r="R153" i="17"/>
  <c r="R155" i="17"/>
  <c r="R159" i="17"/>
  <c r="R185" i="17"/>
  <c r="R191" i="17"/>
  <c r="R201" i="17"/>
  <c r="R205" i="17"/>
  <c r="R230" i="17"/>
  <c r="R238" i="17"/>
  <c r="R240" i="17"/>
  <c r="R242" i="17"/>
  <c r="R272" i="17"/>
  <c r="R274" i="17"/>
  <c r="R276" i="17"/>
  <c r="R298" i="17"/>
  <c r="R328" i="17"/>
  <c r="R380" i="17"/>
  <c r="R382" i="17"/>
  <c r="R388" i="17"/>
  <c r="R390" i="17"/>
  <c r="R413" i="17"/>
  <c r="R415" i="17"/>
  <c r="L204" i="17"/>
  <c r="Q204" i="17" s="1"/>
  <c r="Q3" i="17" s="1"/>
  <c r="J3" i="17"/>
  <c r="I2" i="17" s="1"/>
  <c r="R11" i="17"/>
  <c r="R362" i="17"/>
  <c r="R83" i="17"/>
  <c r="R422" i="17"/>
  <c r="R36" i="17"/>
  <c r="R52" i="17"/>
  <c r="R56" i="17"/>
  <c r="R64" i="17"/>
  <c r="R72" i="17"/>
  <c r="R80" i="17"/>
  <c r="R88" i="17"/>
  <c r="R138" i="17"/>
  <c r="R140" i="17"/>
  <c r="R144" i="17"/>
  <c r="R168" i="17"/>
  <c r="R172" i="17"/>
  <c r="R203" i="17"/>
  <c r="R271" i="17"/>
  <c r="R180" i="17"/>
  <c r="R184" i="17"/>
  <c r="R192" i="17"/>
  <c r="R283" i="17"/>
  <c r="R23" i="17"/>
  <c r="R68" i="17"/>
  <c r="R76" i="17"/>
  <c r="R111" i="17"/>
  <c r="R226" i="17"/>
  <c r="R262" i="17"/>
  <c r="R335" i="17"/>
  <c r="R345" i="17"/>
  <c r="R44" i="17"/>
  <c r="R132" i="17"/>
  <c r="R160" i="17"/>
  <c r="R273" i="17"/>
  <c r="R16" i="17"/>
  <c r="R20" i="17"/>
  <c r="R24" i="17"/>
  <c r="R28" i="17"/>
  <c r="R32" i="17"/>
  <c r="R57" i="17"/>
  <c r="R59" i="17"/>
  <c r="R65" i="17"/>
  <c r="R67" i="17"/>
  <c r="R75" i="17"/>
  <c r="R96" i="17"/>
  <c r="R110" i="17"/>
  <c r="R139" i="17"/>
  <c r="R149" i="17"/>
  <c r="R169" i="17"/>
  <c r="R175" i="17"/>
  <c r="R219" i="17"/>
  <c r="R227" i="17"/>
  <c r="R229" i="17"/>
  <c r="R237" i="17"/>
  <c r="R243" i="17"/>
  <c r="R245" i="17"/>
  <c r="R247" i="17"/>
  <c r="R249" i="17"/>
  <c r="R251" i="17"/>
  <c r="R255" i="17"/>
  <c r="R257" i="17"/>
  <c r="R263" i="17"/>
  <c r="R265" i="17"/>
  <c r="R267" i="17"/>
  <c r="R306" i="17"/>
  <c r="R310" i="17"/>
  <c r="R336" i="17"/>
  <c r="R344" i="17"/>
  <c r="R352" i="17"/>
  <c r="R366" i="17"/>
  <c r="R368" i="17"/>
  <c r="R370" i="17"/>
  <c r="R372" i="17"/>
  <c r="R374" i="17"/>
  <c r="R387" i="17"/>
  <c r="R31" i="17"/>
  <c r="R48" i="17"/>
  <c r="R63" i="17"/>
  <c r="R71" i="17"/>
  <c r="R87" i="17"/>
  <c r="R100" i="17"/>
  <c r="R123" i="17"/>
  <c r="R127" i="17"/>
  <c r="R164" i="17"/>
  <c r="R187" i="17"/>
  <c r="R196" i="17"/>
  <c r="R200" i="17"/>
  <c r="R211" i="17"/>
  <c r="R266" i="17"/>
  <c r="R289" i="17"/>
  <c r="R322" i="17"/>
  <c r="R326" i="17"/>
  <c r="R351" i="17"/>
  <c r="R376" i="17"/>
  <c r="R423" i="17"/>
  <c r="R39" i="17"/>
  <c r="R43" i="17"/>
  <c r="R74" i="17"/>
  <c r="R77" i="17"/>
  <c r="R84" i="17"/>
  <c r="R95" i="17"/>
  <c r="R97" i="17"/>
  <c r="R99" i="17"/>
  <c r="R101" i="17"/>
  <c r="R108" i="17"/>
  <c r="R112" i="17"/>
  <c r="R126" i="17"/>
  <c r="R148" i="17"/>
  <c r="R152" i="17"/>
  <c r="R161" i="17"/>
  <c r="R163" i="17"/>
  <c r="R165" i="17"/>
  <c r="R171" i="17"/>
  <c r="R176" i="17"/>
  <c r="R186" i="17"/>
  <c r="R188" i="17"/>
  <c r="R190" i="17"/>
  <c r="R193" i="17"/>
  <c r="R195" i="17"/>
  <c r="R197" i="17"/>
  <c r="R207" i="17"/>
  <c r="R223" i="17"/>
  <c r="R261" i="17"/>
  <c r="R278" i="17"/>
  <c r="R303" i="17"/>
  <c r="R338" i="17"/>
  <c r="R342" i="17"/>
  <c r="R384" i="17"/>
  <c r="R424" i="17"/>
  <c r="R42" i="17"/>
  <c r="R53" i="17"/>
  <c r="R92" i="17"/>
  <c r="R217" i="17"/>
  <c r="R235" i="17"/>
  <c r="R239" i="17"/>
  <c r="R246" i="17"/>
  <c r="R254" i="17"/>
  <c r="R258" i="17"/>
  <c r="R260" i="17"/>
  <c r="R275" i="17"/>
  <c r="R277" i="17"/>
  <c r="R279" i="17"/>
  <c r="R281" i="17"/>
  <c r="R292" i="17"/>
  <c r="R296" i="17"/>
  <c r="R312" i="17"/>
  <c r="R319" i="17"/>
  <c r="R337" i="17"/>
  <c r="R339" i="17"/>
  <c r="R341" i="17"/>
  <c r="R343" i="17"/>
  <c r="R354" i="17"/>
  <c r="R358" i="17"/>
  <c r="R360" i="17"/>
  <c r="R381" i="17"/>
  <c r="R383" i="17"/>
  <c r="R385" i="17"/>
  <c r="R392" i="17"/>
  <c r="R401" i="17"/>
  <c r="R403" i="17"/>
  <c r="R409" i="17"/>
  <c r="R416" i="17"/>
  <c r="N2" i="17"/>
  <c r="R55" i="17"/>
  <c r="R136" i="17"/>
  <c r="R21" i="17"/>
  <c r="R40" i="17"/>
  <c r="R85" i="17"/>
  <c r="R107" i="17"/>
  <c r="R122" i="17"/>
  <c r="R124" i="17"/>
  <c r="R177" i="17"/>
  <c r="R179" i="17"/>
  <c r="R181" i="17"/>
  <c r="R218" i="17"/>
  <c r="R225" i="17"/>
  <c r="R18" i="17"/>
  <c r="R33" i="17"/>
  <c r="R35" i="17"/>
  <c r="R60" i="17"/>
  <c r="R82" i="17"/>
  <c r="R104" i="17"/>
  <c r="R141" i="17"/>
  <c r="R143" i="17"/>
  <c r="R156" i="17"/>
  <c r="R174" i="17"/>
  <c r="R213" i="17"/>
  <c r="R250" i="17"/>
  <c r="R15" i="17"/>
  <c r="R17" i="17"/>
  <c r="R34" i="17"/>
  <c r="R37" i="17"/>
  <c r="R47" i="17"/>
  <c r="R49" i="17"/>
  <c r="R66" i="17"/>
  <c r="R69" i="17"/>
  <c r="R79" i="17"/>
  <c r="R81" i="17"/>
  <c r="R106" i="17"/>
  <c r="R109" i="17"/>
  <c r="R135" i="17"/>
  <c r="R145" i="17"/>
  <c r="R147" i="17"/>
  <c r="R170" i="17"/>
  <c r="R173" i="17"/>
  <c r="R199" i="17"/>
  <c r="R212" i="17"/>
  <c r="R216" i="17"/>
  <c r="R222" i="17"/>
  <c r="R224" i="17"/>
  <c r="R234" i="17"/>
  <c r="R288" i="17"/>
  <c r="R290" i="17"/>
  <c r="R300" i="17"/>
  <c r="R302" i="17"/>
  <c r="R304" i="17"/>
  <c r="R314" i="17"/>
  <c r="R318" i="17"/>
  <c r="R320" i="17"/>
  <c r="R330" i="17"/>
  <c r="R334" i="17"/>
  <c r="R346" i="17"/>
  <c r="R350" i="17"/>
  <c r="R417" i="17"/>
  <c r="R419" i="17"/>
  <c r="R270" i="17"/>
  <c r="R282" i="17"/>
  <c r="R9" i="17"/>
  <c r="R26" i="17"/>
  <c r="R29" i="17"/>
  <c r="R41" i="17"/>
  <c r="R58" i="17"/>
  <c r="R61" i="17"/>
  <c r="R73" i="17"/>
  <c r="R90" i="17"/>
  <c r="R93" i="17"/>
  <c r="R125" i="17"/>
  <c r="R151" i="17"/>
  <c r="R154" i="17"/>
  <c r="R157" i="17"/>
  <c r="R189" i="17"/>
  <c r="R215" i="17"/>
  <c r="R221" i="17"/>
  <c r="R231" i="17"/>
  <c r="R233" i="17"/>
  <c r="R256" i="17"/>
  <c r="R259" i="17"/>
  <c r="R285" i="17"/>
  <c r="R287" i="17"/>
  <c r="R315" i="17"/>
  <c r="R317" i="17"/>
  <c r="R331" i="17"/>
  <c r="R333" i="17"/>
  <c r="R347" i="17"/>
  <c r="R349" i="17"/>
  <c r="R405" i="17"/>
  <c r="R414" i="17"/>
  <c r="R421" i="17"/>
  <c r="G425" i="17"/>
  <c r="K301" i="17"/>
  <c r="R7" i="17"/>
  <c r="R14" i="17"/>
  <c r="R22" i="17"/>
  <c r="R30" i="17"/>
  <c r="R38" i="17"/>
  <c r="R46" i="17"/>
  <c r="R54" i="17"/>
  <c r="R62" i="17"/>
  <c r="R70" i="17"/>
  <c r="R78" i="17"/>
  <c r="R86" i="17"/>
  <c r="R94" i="17"/>
  <c r="R119" i="17"/>
  <c r="R158" i="17"/>
  <c r="R183" i="17"/>
  <c r="R209" i="17"/>
  <c r="R210" i="17"/>
  <c r="R244" i="17"/>
  <c r="R269" i="17"/>
  <c r="R103" i="17"/>
  <c r="R142" i="17"/>
  <c r="R167" i="17"/>
  <c r="R228" i="17"/>
  <c r="R253" i="17"/>
  <c r="R102" i="17"/>
  <c r="R118" i="17"/>
  <c r="R134" i="17"/>
  <c r="R150" i="17"/>
  <c r="R166" i="17"/>
  <c r="R182" i="17"/>
  <c r="R198" i="17"/>
  <c r="R208" i="17"/>
  <c r="R220" i="17"/>
  <c r="R236" i="17"/>
  <c r="R252" i="17"/>
  <c r="R268" i="17"/>
  <c r="R284" i="17"/>
  <c r="R407" i="17"/>
  <c r="R98" i="17"/>
  <c r="R114" i="17"/>
  <c r="R130" i="17"/>
  <c r="R146" i="17"/>
  <c r="R162" i="17"/>
  <c r="R178" i="17"/>
  <c r="R194" i="17"/>
  <c r="R206" i="17"/>
  <c r="R214" i="17"/>
  <c r="R232" i="17"/>
  <c r="R248" i="17"/>
  <c r="R264" i="17"/>
  <c r="R280" i="17"/>
  <c r="R286" i="17"/>
  <c r="R294" i="17"/>
  <c r="R308" i="17"/>
  <c r="R316" i="17"/>
  <c r="R324" i="17"/>
  <c r="R332" i="17"/>
  <c r="R340" i="17"/>
  <c r="R348" i="17"/>
  <c r="R356" i="17"/>
  <c r="R364" i="17"/>
  <c r="P367" i="17"/>
  <c r="R367" i="17" s="1"/>
  <c r="R378" i="17"/>
  <c r="R386" i="17"/>
  <c r="R394" i="17"/>
  <c r="R411" i="17"/>
  <c r="R204" i="17" l="1"/>
  <c r="G426" i="17"/>
  <c r="K427" i="17"/>
  <c r="L425" i="17"/>
  <c r="Q425" i="17" s="1"/>
  <c r="L3" i="17"/>
  <c r="K425" i="17"/>
  <c r="P301" i="17"/>
  <c r="K3" i="17"/>
  <c r="K2" i="17" l="1"/>
  <c r="R301" i="17"/>
  <c r="P3" i="17"/>
  <c r="P425" i="17"/>
  <c r="K426" i="17"/>
  <c r="P2" i="17" l="1"/>
  <c r="Q2" i="17"/>
  <c r="Q426" i="17"/>
  <c r="R425" i="17"/>
  <c r="R426" i="17" s="1"/>
  <c r="A3" i="6" l="1"/>
  <c r="A3" i="7" s="1"/>
  <c r="A3" i="8" s="1"/>
  <c r="M21" i="11"/>
  <c r="F21" i="11"/>
  <c r="J20" i="11"/>
  <c r="K20" i="11" s="1"/>
  <c r="E21" i="11"/>
  <c r="J19" i="11"/>
  <c r="G19" i="11"/>
  <c r="G18" i="11"/>
  <c r="J17" i="11"/>
  <c r="K17" i="11" s="1"/>
  <c r="M14" i="11"/>
  <c r="I14" i="11"/>
  <c r="J12" i="11"/>
  <c r="F12" i="11"/>
  <c r="G12" i="11" s="1"/>
  <c r="F11" i="11"/>
  <c r="G11" i="11" s="1"/>
  <c r="J10" i="11"/>
  <c r="P238" i="10"/>
  <c r="P237" i="10"/>
  <c r="B204" i="10"/>
  <c r="T196" i="10"/>
  <c r="S17" i="5" s="1"/>
  <c r="P177" i="10"/>
  <c r="O177" i="10"/>
  <c r="O181" i="10" s="1"/>
  <c r="T168" i="10"/>
  <c r="S12" i="5" s="1"/>
  <c r="X142" i="10"/>
  <c r="Z136" i="10"/>
  <c r="T136" i="10"/>
  <c r="W142" i="10" s="1"/>
  <c r="W143" i="10" s="1"/>
  <c r="T111" i="10"/>
  <c r="X109" i="10"/>
  <c r="Y109" i="10" s="1"/>
  <c r="T82" i="10"/>
  <c r="P82" i="10"/>
  <c r="T76" i="10"/>
  <c r="Z26" i="4"/>
  <c r="H20" i="7"/>
  <c r="T54" i="10"/>
  <c r="P54" i="10"/>
  <c r="X47" i="10"/>
  <c r="T47" i="10"/>
  <c r="W45" i="10"/>
  <c r="T30" i="10"/>
  <c r="T24" i="10"/>
  <c r="W22" i="10"/>
  <c r="W24" i="10" s="1"/>
  <c r="V21" i="10"/>
  <c r="V22" i="10" s="1"/>
  <c r="P15" i="10"/>
  <c r="P9" i="10"/>
  <c r="R160" i="10"/>
  <c r="A24" i="8"/>
  <c r="AH47" i="7"/>
  <c r="O45" i="7"/>
  <c r="O44" i="7"/>
  <c r="O43" i="7"/>
  <c r="O41" i="7"/>
  <c r="L40" i="7"/>
  <c r="O40" i="7"/>
  <c r="O39" i="7"/>
  <c r="O38" i="7"/>
  <c r="O36" i="7"/>
  <c r="O35" i="7"/>
  <c r="O31" i="7"/>
  <c r="L31" i="7"/>
  <c r="O29" i="7"/>
  <c r="O28" i="7"/>
  <c r="O24" i="7"/>
  <c r="L24" i="7"/>
  <c r="Q21" i="7"/>
  <c r="Q28" i="7" s="1"/>
  <c r="O21" i="7"/>
  <c r="O20" i="7"/>
  <c r="O19" i="7"/>
  <c r="O18" i="7"/>
  <c r="O16" i="7"/>
  <c r="O14" i="7"/>
  <c r="L14" i="7"/>
  <c r="O11" i="7"/>
  <c r="O10" i="7"/>
  <c r="A9" i="7"/>
  <c r="S36" i="6"/>
  <c r="O16" i="6"/>
  <c r="P14" i="6"/>
  <c r="P12" i="6"/>
  <c r="A38" i="4"/>
  <c r="A32" i="5" s="1"/>
  <c r="AB181" i="10" l="1"/>
  <c r="O152" i="10"/>
  <c r="O168" i="10" s="1"/>
  <c r="A67" i="8"/>
  <c r="A78" i="8" s="1"/>
  <c r="A1" i="23" s="1"/>
  <c r="Q26" i="4"/>
  <c r="Z29" i="4"/>
  <c r="P240" i="10"/>
  <c r="F14" i="11"/>
  <c r="T132" i="10"/>
  <c r="V132" i="10" s="1"/>
  <c r="A49" i="7"/>
  <c r="I21" i="11"/>
  <c r="Q29" i="4"/>
  <c r="P132" i="10"/>
  <c r="P196" i="10"/>
  <c r="N17" i="5" s="1"/>
  <c r="M5" i="10"/>
  <c r="M9" i="10" s="1"/>
  <c r="L11" i="4" s="1"/>
  <c r="G10" i="11"/>
  <c r="P136" i="10"/>
  <c r="E14" i="11"/>
  <c r="N24" i="10"/>
  <c r="P47" i="10"/>
  <c r="P24" i="10"/>
  <c r="R30" i="10"/>
  <c r="N30" i="4"/>
  <c r="Q30" i="4" s="1"/>
  <c r="O82" i="10"/>
  <c r="P30" i="10"/>
  <c r="R47" i="10"/>
  <c r="W47" i="10" s="1"/>
  <c r="R54" i="10"/>
  <c r="R136" i="10"/>
  <c r="V142" i="10" s="1"/>
  <c r="V143" i="10" s="1"/>
  <c r="U134" i="10"/>
  <c r="R24" i="10"/>
  <c r="P209" i="10"/>
  <c r="N18" i="5" s="1"/>
  <c r="O47" i="10"/>
  <c r="N16" i="4" s="1"/>
  <c r="O54" i="10"/>
  <c r="N17" i="4" s="1"/>
  <c r="Q17" i="4" s="1"/>
  <c r="R111" i="10"/>
  <c r="R76" i="10"/>
  <c r="W76" i="10" s="1"/>
  <c r="W80" i="10"/>
  <c r="R82" i="10"/>
  <c r="M11" i="5"/>
  <c r="O196" i="10"/>
  <c r="M17" i="5" s="1"/>
  <c r="R168" i="10"/>
  <c r="P12" i="5" s="1"/>
  <c r="W144" i="10"/>
  <c r="P179" i="10"/>
  <c r="P181" i="10" s="1"/>
  <c r="R196" i="10"/>
  <c r="P17" i="5" s="1"/>
  <c r="H14" i="11"/>
  <c r="J11" i="11"/>
  <c r="K11" i="11" s="1"/>
  <c r="A35" i="6"/>
  <c r="B26" i="8"/>
  <c r="B51" i="8" s="1"/>
  <c r="M12" i="5"/>
  <c r="V23" i="10"/>
  <c r="L11" i="7"/>
  <c r="O209" i="10"/>
  <c r="M18" i="5" s="1"/>
  <c r="P76" i="10"/>
  <c r="G21" i="11"/>
  <c r="P168" i="10"/>
  <c r="H21" i="11"/>
  <c r="J18" i="11"/>
  <c r="J21" i="11" s="1"/>
  <c r="K12" i="11"/>
  <c r="K19" i="11"/>
  <c r="I160" i="10" l="1"/>
  <c r="G10" i="4"/>
  <c r="A162" i="8"/>
  <c r="A191" i="8" s="1"/>
  <c r="B80" i="8"/>
  <c r="B96" i="8" s="1"/>
  <c r="B117" i="8" s="1"/>
  <c r="A2" i="10"/>
  <c r="H19" i="7"/>
  <c r="N32" i="4"/>
  <c r="Q32" i="4" s="1"/>
  <c r="AB281" i="10"/>
  <c r="Q16" i="4"/>
  <c r="H12" i="7"/>
  <c r="G14" i="11"/>
  <c r="K10" i="11"/>
  <c r="K14" i="11" s="1"/>
  <c r="R132" i="10"/>
  <c r="R138" i="10" s="1"/>
  <c r="P11" i="5" s="1"/>
  <c r="P13" i="5" s="1"/>
  <c r="P15" i="5" s="1"/>
  <c r="P20" i="5" s="1"/>
  <c r="P138" i="10"/>
  <c r="N11" i="5" s="1"/>
  <c r="N13" i="5" s="1"/>
  <c r="N15" i="5" s="1"/>
  <c r="N20" i="5" s="1"/>
  <c r="N29" i="5" s="1"/>
  <c r="Z29" i="5" s="1"/>
  <c r="H24" i="7"/>
  <c r="T138" i="10"/>
  <c r="S11" i="5" s="1"/>
  <c r="S13" i="5" s="1"/>
  <c r="S15" i="5" s="1"/>
  <c r="S20" i="5" s="1"/>
  <c r="S29" i="5" s="1"/>
  <c r="J14" i="11"/>
  <c r="N11" i="4"/>
  <c r="Q11" i="4" s="1"/>
  <c r="K18" i="11"/>
  <c r="K21" i="11" s="1"/>
  <c r="N18" i="4"/>
  <c r="Y18" i="4" s="1"/>
  <c r="M13" i="5"/>
  <c r="M15" i="5" s="1"/>
  <c r="M20" i="5" s="1"/>
  <c r="M29" i="5" s="1"/>
  <c r="N12" i="5"/>
  <c r="AF47" i="7"/>
  <c r="Z30" i="4"/>
  <c r="I161" i="10" l="1"/>
  <c r="G11" i="4"/>
  <c r="K10" i="4"/>
  <c r="K11" i="4"/>
  <c r="A26" i="10"/>
  <c r="B32" i="10" s="1"/>
  <c r="K28" i="10" s="1"/>
  <c r="A36" i="10"/>
  <c r="Z32" i="4"/>
  <c r="N33" i="4"/>
  <c r="H38" i="7"/>
  <c r="H40" i="7" s="1"/>
  <c r="M24" i="5"/>
  <c r="B122" i="8"/>
  <c r="B141" i="8" s="1"/>
  <c r="B152" i="8" s="1"/>
  <c r="L9" i="7"/>
  <c r="L17" i="7" s="1"/>
  <c r="L27" i="7" s="1"/>
  <c r="L42" i="7" s="1"/>
  <c r="L46" i="7" s="1"/>
  <c r="P29" i="5"/>
  <c r="K16" i="4" l="1"/>
  <c r="G16" i="4"/>
  <c r="A49" i="10"/>
  <c r="B158" i="8"/>
  <c r="K13" i="5"/>
  <c r="O18" i="6"/>
  <c r="L13" i="4"/>
  <c r="L20" i="4" s="1"/>
  <c r="P49" i="7"/>
  <c r="N13" i="4"/>
  <c r="N20" i="4" s="1"/>
  <c r="AA10" i="4"/>
  <c r="A70" i="10" l="1"/>
  <c r="G30" i="4" s="1"/>
  <c r="G17" i="4"/>
  <c r="O18" i="8"/>
  <c r="O20" i="8" s="1"/>
  <c r="M26" i="6"/>
  <c r="O26" i="6" s="1"/>
  <c r="K17" i="4"/>
  <c r="G46" i="7" s="1"/>
  <c r="O9" i="7"/>
  <c r="O17" i="7" s="1"/>
  <c r="O27" i="7" s="1"/>
  <c r="O42" i="7" s="1"/>
  <c r="O46" i="7" s="1"/>
  <c r="K15" i="5"/>
  <c r="H44" i="7"/>
  <c r="AL25" i="6" l="1"/>
  <c r="Q41" i="4" s="1"/>
  <c r="Q43" i="4" s="1"/>
  <c r="M28" i="6"/>
  <c r="N23" i="4" s="1"/>
  <c r="O22" i="6"/>
  <c r="O28" i="6" s="1"/>
  <c r="K20" i="5"/>
  <c r="K29" i="5" s="1"/>
  <c r="AH48" i="7"/>
  <c r="N49" i="7"/>
  <c r="N35" i="4" l="1"/>
  <c r="R37" i="4" s="1"/>
  <c r="O19" i="8"/>
  <c r="O21" i="8" s="1"/>
  <c r="K30" i="4"/>
  <c r="A78" i="10"/>
  <c r="G32" i="4" s="1"/>
  <c r="K24" i="5"/>
  <c r="H9" i="7"/>
  <c r="H17" i="7" s="1"/>
  <c r="H27" i="7" s="1"/>
  <c r="M18" i="8" l="1"/>
  <c r="M20" i="8" s="1"/>
  <c r="A107" i="10"/>
  <c r="B84" i="10"/>
  <c r="I80" i="10" s="1"/>
  <c r="K32" i="4"/>
  <c r="H42" i="7"/>
  <c r="H46" i="7" s="1"/>
  <c r="T46" i="7" s="1"/>
  <c r="M30" i="6"/>
  <c r="M32" i="6" s="1"/>
  <c r="G11" i="5" l="1"/>
  <c r="A140" i="10"/>
  <c r="B170" i="10" s="1"/>
  <c r="Q411" i="29"/>
  <c r="R512" i="29"/>
  <c r="O30" i="6"/>
  <c r="O32" i="6" s="1"/>
  <c r="L23" i="4"/>
  <c r="M19" i="8" s="1"/>
  <c r="M21" i="8" s="1"/>
  <c r="Q16" i="8" s="1"/>
  <c r="S512" i="29" l="1"/>
  <c r="O284" i="34"/>
  <c r="P284" i="34" s="1"/>
  <c r="O283" i="34"/>
  <c r="P283" i="34" s="1"/>
  <c r="O282" i="34"/>
  <c r="P282" i="34" s="1"/>
  <c r="K281" i="34"/>
  <c r="B173" i="10"/>
  <c r="I152" i="10" s="1"/>
  <c r="I142" i="10"/>
  <c r="S411" i="29"/>
  <c r="AD411" i="29"/>
  <c r="AD7" i="29" s="1"/>
  <c r="AE6" i="29" s="1"/>
  <c r="C17" i="8"/>
  <c r="G12" i="5"/>
  <c r="A188" i="10"/>
  <c r="V411" i="29"/>
  <c r="B221" i="10"/>
  <c r="B226" i="10" s="1"/>
  <c r="B229" i="10" s="1"/>
  <c r="Q23" i="4"/>
  <c r="O281" i="34" l="1"/>
  <c r="K5" i="34"/>
  <c r="K4" i="34" s="1"/>
  <c r="K409" i="34"/>
  <c r="J411" i="34" s="1"/>
  <c r="G17" i="5"/>
  <c r="A204" i="10"/>
  <c r="L35" i="4"/>
  <c r="L37" i="4" s="1"/>
  <c r="O5" i="34" l="1"/>
  <c r="P281" i="34"/>
  <c r="Q37" i="4"/>
  <c r="Q45" i="4" s="1"/>
  <c r="A215" i="10"/>
  <c r="A231" i="10" s="1"/>
  <c r="A264" i="10" s="1"/>
  <c r="A211" i="10"/>
  <c r="G18" i="5"/>
  <c r="B244" i="10" l="1"/>
  <c r="B246" i="10"/>
  <c r="A270" i="10" l="1"/>
  <c r="A288" i="10" s="1"/>
  <c r="A293" i="10" s="1"/>
  <c r="A308" i="10" s="1"/>
  <c r="AF48" i="7"/>
  <c r="Q244" i="29" l="1"/>
  <c r="N351" i="34" s="1"/>
  <c r="R390" i="29"/>
  <c r="R5" i="29" s="1"/>
  <c r="P4" i="29"/>
  <c r="Q390" i="29"/>
  <c r="N5" i="34" l="1"/>
  <c r="O4" i="34" s="1"/>
  <c r="P351" i="34"/>
  <c r="Q5" i="29"/>
  <c r="R4" i="29" s="1"/>
  <c r="W390" i="29"/>
  <c r="W7" i="29" s="1"/>
  <c r="V244" i="29"/>
  <c r="S244" i="29"/>
  <c r="S390" i="29"/>
  <c r="V390" i="29"/>
  <c r="S5" i="29" l="1"/>
  <c r="U4" i="29" s="1"/>
  <c r="V7" i="29"/>
  <c r="W6" i="29" s="1"/>
</calcChain>
</file>

<file path=xl/sharedStrings.xml><?xml version="1.0" encoding="utf-8"?>
<sst xmlns="http://schemas.openxmlformats.org/spreadsheetml/2006/main" count="16274" uniqueCount="2385">
  <si>
    <t>1-01-01-01-001-CASH IN HANDPILER</t>
  </si>
  <si>
    <t>1-01-01-02-002-PILER OWN BAHL A/C. 818-04-2PILER</t>
  </si>
  <si>
    <t>1-01-01-02-011-PILER TDH &amp; MI BH A/C.818-09-7TDH</t>
  </si>
  <si>
    <t>1-01-01-02-011-PILER TDH &amp; MI BH A/C.818-09-7TDH &amp; MI</t>
  </si>
  <si>
    <t>1-01-01-02-012-PILER UBL-012-1940-6PILER</t>
  </si>
  <si>
    <t>1-01-01-02-013-PILER UBL-012-1707-3PILER</t>
  </si>
  <si>
    <t>1-01-01-02-015-PILER FNV PROJECT 06-0PILER</t>
  </si>
  <si>
    <t>1-01-01-02-016-PILER EU PROJECT BAHL-GJ 06-2PILER</t>
  </si>
  <si>
    <t>1-01-01-02-020-PILER BAH-A/C.0081-004762-01-0PILER</t>
  </si>
  <si>
    <t>1-01-01-02-021-PILER TAF BAH-0081-004762-02-1ETI</t>
  </si>
  <si>
    <t>1-01-01-02-021-PILER TAF BAH-0081-004762-02-1TAF</t>
  </si>
  <si>
    <t>1-01-01-02-022-BANK UNICEF-0081-004762-04-3PILER</t>
  </si>
  <si>
    <t>1-01-01-02-022-BANK UNICEF-0081-004762-04-3UNICEF-2</t>
  </si>
  <si>
    <t>1-01-01-02-022-BANK UNICEF-0081-004762-04-3UNICEF-3</t>
  </si>
  <si>
    <t>1-01-01-02-023-BANK TROCAIRE-0081-004762-06-5DAI</t>
  </si>
  <si>
    <t>1-01-01-02-023-BANK TROCAIRE-0081-004762-06-5FOSI</t>
  </si>
  <si>
    <t>1-01-01-02-023-BANK TROCAIRE-0081-004762-06-5Trocaire</t>
  </si>
  <si>
    <t>1-01-01-02-024-BANK TDH-0081-004762-05-4Deezire</t>
  </si>
  <si>
    <t>1-01-01-02-024-BANK TDH-0081-004762-05-4FNV</t>
  </si>
  <si>
    <t>1-01-01-02-024-BANK TDH-0081-004762-05-4TDH</t>
  </si>
  <si>
    <t>1-01-01-02-025-BANK GRATUITY-0081-004762-09-8PILER</t>
  </si>
  <si>
    <t>1-01-01-02-027-BANK DOLLAR-0112-004762-10-9PILER</t>
  </si>
  <si>
    <t>1-01-01-02-029-BANK ICCO PAK-0081-004762-08-7ICCO Pak</t>
  </si>
  <si>
    <t>1-01-01-02-029-BANK ICCO PAK-0081-004762-08-7Open Society</t>
  </si>
  <si>
    <t>1-01-01-02-030-BANK TDH PAK-0081-004762-03-2RRCCHR</t>
  </si>
  <si>
    <t>1-01-01-02-030-BANK TDH PAK-0081-004762-03-2TDH Pak</t>
  </si>
  <si>
    <t>1-01-02-01-002-RECEIVABLE FROM TROCAIRE-MLRRSPILER</t>
  </si>
  <si>
    <t>1-01-02-01-005-R/A-TDH-MI REBUILDING LIVE PRODeezire</t>
  </si>
  <si>
    <t>1-01-02-01-005-R/A-TDH-MI REBUILDING LIVE PROPILER</t>
  </si>
  <si>
    <t>1-01-02-01-007-RECEIVABLE FROM ICCO PROJ-THSWPILER</t>
  </si>
  <si>
    <t>1-01-02-01-010-RECEIVABLE FROM TAFPILER</t>
  </si>
  <si>
    <t>1-01-02-01-010-RECEIVABLE FROM TAFTrocaire</t>
  </si>
  <si>
    <t>1-01-02-01-015-RECEIVABLE FROM IUF-QAMARULLPILER</t>
  </si>
  <si>
    <t>1-01-02-01-017-Rec / pay with civic charterPILER</t>
  </si>
  <si>
    <t>1-01-02-02-001-R/A-PAKISTAN LABOUR TRUST(PLT)Deezire</t>
  </si>
  <si>
    <t>1-01-02-02-001-R/A-PAKISTAN LABOUR TRUST(PLT)ICCO</t>
  </si>
  <si>
    <t>1-01-02-02-001-R/A-PAKISTAN LABOUR TRUST(PLT)Open Society</t>
  </si>
  <si>
    <t>1-01-02-02-001-R/A-PAKISTAN LABOUR TRUST(PLT)PILER</t>
  </si>
  <si>
    <t>1-01-02-02-001-R/A-PAKISTAN LABOUR TRUST(PLT)TDH &amp; MI</t>
  </si>
  <si>
    <t>1-01-02-02-002-W.H. TAX DEDUCTIONDAI</t>
  </si>
  <si>
    <t>1-01-02-02-002-W.H. TAX DEDUCTIONDeezire</t>
  </si>
  <si>
    <t>1-01-02-02-002-W.H. TAX DEDUCTIONETI</t>
  </si>
  <si>
    <t>1-01-02-02-002-W.H. TAX DEDUCTIONFNV</t>
  </si>
  <si>
    <t>1-01-02-02-002-W.H. TAX DEDUCTIONFOSI</t>
  </si>
  <si>
    <t>1-01-02-02-002-W.H. TAX DEDUCTIONOpen Society</t>
  </si>
  <si>
    <t>1-01-02-02-002-W.H. TAX DEDUCTIONPILER</t>
  </si>
  <si>
    <t>1-01-02-02-002-W.H. TAX DEDUCTIONRRCCHR</t>
  </si>
  <si>
    <t>1-01-02-02-002-W.H. TAX DEDUCTIONTDH &amp; MI</t>
  </si>
  <si>
    <t>1-01-02-02-002-W.H. TAX DEDUCTIONUNICEF-3</t>
  </si>
  <si>
    <t>1-01-02-02-004-SECURITY DEPOPSITPILER</t>
  </si>
  <si>
    <t>1-01-02-02-005-OTHERS RECEIVABLEOpen Society</t>
  </si>
  <si>
    <t>1-01-02-02-005-OTHERS RECEIVABLEPILER</t>
  </si>
  <si>
    <t>1-01-02-02-005-OTHERS RECEIVABLEUNICEF-2</t>
  </si>
  <si>
    <t>1-01-02-02-006-RECEIVABLE FROM PILER OWNDeezire</t>
  </si>
  <si>
    <t>1-01-02-02-006-RECEIVABLE FROM PILER OWNETI</t>
  </si>
  <si>
    <t>1-01-02-02-006-RECEIVABLE FROM PILER OWNFNV</t>
  </si>
  <si>
    <t>1-01-02-02-006-RECEIVABLE FROM PILER OWNOpen Society</t>
  </si>
  <si>
    <t>1-01-02-02-006-RECEIVABLE FROM PILER OWNTrocaire</t>
  </si>
  <si>
    <t>1-01-02-02-006-RECEIVABLE FROM PILER OWNUNICEF-3</t>
  </si>
  <si>
    <t>1-01-02-02-006-RECEIVABLE FROM PILER OWNTAF</t>
  </si>
  <si>
    <t>1-01-02-02-006-RECEIVABLE FROM PILER OWNTDH</t>
  </si>
  <si>
    <t>1-01-02-02-006-RECEIVABLE FROM PILER OWNTDH &amp; MI</t>
  </si>
  <si>
    <t>1-01-02-02-006-RECEIVABLE FROM PILER OWNUnicef</t>
  </si>
  <si>
    <t>1-01-02-02-006-RECEIVABLE FROM PILER OWNUNICEF-2</t>
  </si>
  <si>
    <t>1-01-02-02-006-RECEIVABLE FROM PILER OWNICCO</t>
  </si>
  <si>
    <t>1-01-02-02-008-RECEIVABLE FROM TDH-MIPILER</t>
  </si>
  <si>
    <t>1-01-02-02-008-RECEIVABLE FROM TDH-MITDH</t>
  </si>
  <si>
    <t>1-01-02-02-009-RECEIVABLE FROM UNICEFPILER</t>
  </si>
  <si>
    <t>1-01-02-02-012-RECEIVABLE FROM DEZAIREPILER</t>
  </si>
  <si>
    <t>1-01-02-02-012-RECEIVABLE FROM DEZAIREUNICEF-3</t>
  </si>
  <si>
    <t>1-01-02-02-013-RECEIVABLE FROM RIDA ALIPILER</t>
  </si>
  <si>
    <t>1-01-02-02-016-RECEIVABLE FROM IDRCPILER</t>
  </si>
  <si>
    <t>1-01-02-02-017-REC / PAY WITH TDHPILER</t>
  </si>
  <si>
    <t>1-01-02-02-017-REC / PAY WITH TDHTDH &amp; MI</t>
  </si>
  <si>
    <t>1-01-02-02-019-RECEIVABLE FROM SOLIDARITY CENPILER</t>
  </si>
  <si>
    <t>1-01-02-02-023-RECEIVABLE FROM ZULFIQAR SHAHPILER</t>
  </si>
  <si>
    <t>1-01-02-02-025-RECEIVABLE FROM KHADIM HUSSAINPILER</t>
  </si>
  <si>
    <t>1-01-02-02-029-RECEIVABLE FROM FARHAT FATIMAPILER</t>
  </si>
  <si>
    <t>1-01-02-02-029-RECEIVABLE FROM FARHAT FATIMAUNICEF-2</t>
  </si>
  <si>
    <t>1-01-02-02-032-REC / PAY WITH KYIPILER</t>
  </si>
  <si>
    <t>1-01-02-02-033-REC / PAY WITH FESPILER</t>
  </si>
  <si>
    <t>1-01-02-02-035-REC / PAY WITH KIOSPILER</t>
  </si>
  <si>
    <t>1-01-02-02-036-RECEIVABLE FROM NOBAHARTrocaire</t>
  </si>
  <si>
    <t>1-01-02-02-038-RECEIVABLE FROM SHUJAUDDINPILER</t>
  </si>
  <si>
    <t>1-01-02-02-038-RECEIVABLE FROM SHUJAUDDINTrocaire</t>
  </si>
  <si>
    <t>1-01-02-02-039-REC / PAY AMRCTDH</t>
  </si>
  <si>
    <t>1-01-02-02-040-RECEIVABLE FROM KARAMAT ALIDeezire</t>
  </si>
  <si>
    <t>1-01-02-02-040-RECEIVABLE FROM KARAMAT ALIPILER</t>
  </si>
  <si>
    <t>1-01-02-02-041-REC / PAY BCIPILER</t>
  </si>
  <si>
    <t>1-01-02-02-041-REC / PAY BCITDH</t>
  </si>
  <si>
    <t>1-01-02-02-042-RECEIVABLE FROM DANISHETI</t>
  </si>
  <si>
    <t>1-01-02-02-042-RECEIVABLE FROM DANISHTrocaire</t>
  </si>
  <si>
    <t>1-01-02-02-043-RECEIVABLE FROM PERVEZ AHMEDDeezire</t>
  </si>
  <si>
    <t>1-01-02-02-043-RECEIVABLE FROM PERVEZ AHMEDFNV</t>
  </si>
  <si>
    <t>1-01-02-02-043-RECEIVABLE FROM PERVEZ AHMEDPILER</t>
  </si>
  <si>
    <t>1-01-02-02-043-RECEIVABLE FROM PERVEZ AHMEDUNICEF-2</t>
  </si>
  <si>
    <t>1-01-02-02-044-REC / PAY WITH HBSDeezire</t>
  </si>
  <si>
    <t>1-01-02-02-044-REC / PAY WITH HBSFNV</t>
  </si>
  <si>
    <t>1-01-02-02-044-REC / PAY WITH HBSPILER</t>
  </si>
  <si>
    <t>1-01-02-02-044-REC / PAY WITH HBSUNICEF-2</t>
  </si>
  <si>
    <t>1-01-02-02-047-RECEIVABLE FROM GHULAM ASGHARTAF</t>
  </si>
  <si>
    <t>1-01-02-02-048-RECEIVABLE FROM MAHER ALITAF</t>
  </si>
  <si>
    <t>1-01-02-02-049-REC / PAY WITH TSWWDeezire</t>
  </si>
  <si>
    <t>1-01-02-02-049-REC / PAY WITH TSWWPILER</t>
  </si>
  <si>
    <t>1-01-02-02-050-RECEIVABLE FROM SHAKEEL AHMEDTrocaire</t>
  </si>
  <si>
    <t>1-01-02-02-051-RECEIVABLE FROM SHAZAD ALI SHATrocaire</t>
  </si>
  <si>
    <t>1-01-02-02-052-RECEIVABLE FROM FARHANTrocaire</t>
  </si>
  <si>
    <t>1-01-02-02-053-RECEIVABLE FROM ABBAS HAIDERDeezire</t>
  </si>
  <si>
    <t>1-01-02-02-053-RECEIVABLE FROM ABBAS HAIDERPILER</t>
  </si>
  <si>
    <t>1-01-02-02-053-RECEIVABLE FROM ABBAS HAIDERUNICEF-2</t>
  </si>
  <si>
    <t>1-01-02-02-054-RECEIVABLE FROM ABIDA SHARAFATUNICEF-2</t>
  </si>
  <si>
    <t>1-01-02-02-055-RECEIVABLE FROM MIR MULADADUNICEF-2</t>
  </si>
  <si>
    <t>1-01-02-02-056-RECEIVABLE FROM SANA RUBABUNICEF-2</t>
  </si>
  <si>
    <t>1-01-02-02-057-REC / PAY WOWPILER</t>
  </si>
  <si>
    <t>1-01-02-02-058-REC / PAY DSTPILER</t>
  </si>
  <si>
    <t>1-01-02-02-059-REC / PAY WITH DAIPILER</t>
  </si>
  <si>
    <t>1-01-02-02-059-REC / PAY WITH DAITrocaire</t>
  </si>
  <si>
    <t>1-01-02-02-059-REC / PAY WITH DAIUNICEF-3</t>
  </si>
  <si>
    <t>1-01-02-02-060-REC / PAY UNICEFDeezire</t>
  </si>
  <si>
    <t>1-01-02-02-060-REC / PAY UNICEFPILER</t>
  </si>
  <si>
    <t>1-01-02-02-060-REC / PAY UNICEFTAF</t>
  </si>
  <si>
    <t>1-01-02-02-060-REC / PAY UNICEFTrocaire</t>
  </si>
  <si>
    <t>1-01-02-02-061-REC / PAY ACTIONAIDPILER</t>
  </si>
  <si>
    <t>1-01-02-02-063-Rec / Pay with RRCCHRPILER</t>
  </si>
  <si>
    <t>1-01-02-02-064-REC / Pay with DP World Port QasimPILER</t>
  </si>
  <si>
    <t>1-01-02-02-066-Rec / Pay with Open SocietyDeezire</t>
  </si>
  <si>
    <t>1-01-02-02-066-Rec / Pay with Open SocietyETI</t>
  </si>
  <si>
    <t>1-01-02-02-066-Rec / Pay with Open SocietyFNV</t>
  </si>
  <si>
    <t>1-01-02-02-066-Rec / Pay with Open SocietyPILER</t>
  </si>
  <si>
    <t>1-01-02-02-067-Rec / Pay with ETIPILER</t>
  </si>
  <si>
    <t>1-01-02-02-068-Rec / Pay with Network CCC South AsiaFNV</t>
  </si>
  <si>
    <t>1-01-02-02-068-Rec / Pay with Network CCC South AsiaPILER</t>
  </si>
  <si>
    <t>1-01-02-02-069-Rec / pay with FOSIPILER</t>
  </si>
  <si>
    <t>1-01-02-02-070-Rec / Pay with IBPPILER</t>
  </si>
  <si>
    <t>1-01-02-02-071-Rec / Pay with FNVDeezire</t>
  </si>
  <si>
    <t>1-01-02-02-071-Rec / Pay with FNVOpen Society</t>
  </si>
  <si>
    <t>1-01-02-02-071-Rec / Pay with FNVPILER</t>
  </si>
  <si>
    <t>1-01-02-02-072-REC / PAY WITH DAI KCD015PILER</t>
  </si>
  <si>
    <t>1-01-02-02-073-REC / PAY WITH DAI KCD031PILER</t>
  </si>
  <si>
    <t>1-01-02-02-074-Rec / Pay With CCCPILER</t>
  </si>
  <si>
    <t>1-01-02-03-001-ADVANCE TO SHUJAUDDINOpen Society</t>
  </si>
  <si>
    <t>1-01-02-03-003-ADVANCE TO GOHAR ALIPILER</t>
  </si>
  <si>
    <t>1-01-02-03-003-ADVANCE TO GOHAR ALITDH</t>
  </si>
  <si>
    <t>1-01-02-03-008-ADVANCE TO KHADIM HUSSAINETI</t>
  </si>
  <si>
    <t>1-01-02-03-008-ADVANCE TO KHADIM HUSSAINICCO</t>
  </si>
  <si>
    <t>1-01-02-03-008-ADVANCE TO KHADIM HUSSAINPILER</t>
  </si>
  <si>
    <t>1-01-02-03-011-ADVANCE TO ZULFIQAR SHAH - JDOpen Society</t>
  </si>
  <si>
    <t>1-01-02-03-011-ADVANCE TO ZULFIQAR SHAH - JDPILER</t>
  </si>
  <si>
    <t>1-01-02-03-013-ADVANCE TO KARAMAT ALIPILER</t>
  </si>
  <si>
    <t>1-01-02-03-015-ADVANCE TO PERVEZPILER</t>
  </si>
  <si>
    <t>1-01-02-03-017-ADVANCE TO DANISH SIDDIQUIDAI</t>
  </si>
  <si>
    <t>1-01-02-03-017-ADVANCE TO DANISH SIDDIQUIETI</t>
  </si>
  <si>
    <t>1-01-02-03-017-ADVANCE TO DANISH SIDDIQUIOpen Society</t>
  </si>
  <si>
    <t>1-01-02-03-020-ADVANCE TO ABBAS HAIDERPILER</t>
  </si>
  <si>
    <t>1-01-02-03-020-ADVANCE TO ABBAS HAIDERRRCCHR</t>
  </si>
  <si>
    <t>1-01-02-03-033-ADVANCE TO ZEENIA SHOUKATETI</t>
  </si>
  <si>
    <t>1-01-02-03-040-ADVANCE TO ZEENAT UN NISAOpen Society</t>
  </si>
  <si>
    <t>1-01-02-03-041-ADVANCE TO M.RAFIQUETDH &amp; MI</t>
  </si>
  <si>
    <t>1-01-02-03-087-ADVANCE TO LAHORE REGENCY PVTOpen Society</t>
  </si>
  <si>
    <t>1-01-02-04-001-ADVANCE AGAINST SALARIESDAI</t>
  </si>
  <si>
    <t>1-01-02-04-001-ADVANCE AGAINST SALARIESPILER</t>
  </si>
  <si>
    <t>1-01-02-04-002-STAFF LOANPILER</t>
  </si>
  <si>
    <t>1-01-02-05-003-PREPAYMENTSPILER</t>
  </si>
  <si>
    <t>1-02-02-01-001-PLOT# ST.001, X-V, PILER CENTRPILER</t>
  </si>
  <si>
    <t>1-02-02-02-001-BUILDING LEASE HOLD LANDPILER</t>
  </si>
  <si>
    <t>1-02-02-02-002-ACCUMULATED DEPRECIATION BUILDPILER</t>
  </si>
  <si>
    <t>1-02-02-03-001-GENERATORSPILER</t>
  </si>
  <si>
    <t>1-02-02-03-002-ACCUMULATED DEPRECIATION GENERPILER</t>
  </si>
  <si>
    <t>1-02-02-04-001-ELECTRICAL INSTALLATIONSPILER</t>
  </si>
  <si>
    <t>1-02-02-04-002-ACCUMULATED DEPRECIATION ELECTPILER</t>
  </si>
  <si>
    <t>1-02-02-05-001-OFFICE EQUIPMENTSPILER</t>
  </si>
  <si>
    <t>1-02-02-05-002-ACCUMULATED DEPRECIATION OTHERPILER</t>
  </si>
  <si>
    <t>1-02-02-06-001-FURNITURE &amp; FIXTURESPILER</t>
  </si>
  <si>
    <t>1-02-02-06-002-ACCUMULATED DEPRECIATION F &amp; FPILER</t>
  </si>
  <si>
    <t>1-02-02-07-001-COMPUTER &amp; LAPTOPSPILER</t>
  </si>
  <si>
    <t>1-02-02-07-002-ACCUMULATED DEPRECIATION COMPUPILER</t>
  </si>
  <si>
    <t>1-02-02-07-003-COMPUTER SOFTWAREPILER</t>
  </si>
  <si>
    <t>1-02-02-07-004-AMMORTIZATION OF SOFTWARE LICSPILER</t>
  </si>
  <si>
    <t>1-02-02-08-001-MOTOR VEHICLESPILER</t>
  </si>
  <si>
    <t>1-02-02-08-002-ACCUMULTED DEPRECIATION MOTORSPILER</t>
  </si>
  <si>
    <t>1-02-02-09-001-BOOKSPILER</t>
  </si>
  <si>
    <t>1-02-02-09-002-ACCUMULTED DEPRECIATION BOOKSPILER</t>
  </si>
  <si>
    <t>2-01-01-01-010-AUDIT FEE PAYABLEPILER</t>
  </si>
  <si>
    <t>2-01-01-01-023-PAYABLE TO SOLIDARITYPILER</t>
  </si>
  <si>
    <t>2-01-01-01-025-PAYABLE TO HAMZA GABOOLPILER</t>
  </si>
  <si>
    <t>2-01-01-01-026-PAYABLE TO IDRCPILER</t>
  </si>
  <si>
    <t>2-01-01-01-030-PAYABLE TO SHUJAUDDINOpen Society</t>
  </si>
  <si>
    <t>2-01-01-01-030-PAYABLE TO SHUJAUDDINTrocaire</t>
  </si>
  <si>
    <t>2-01-01-01-031-NEPAL EARTHQUAKEPILER</t>
  </si>
  <si>
    <t>2-01-01-01-033-PAYABLE TO MULA BUKSHTAF</t>
  </si>
  <si>
    <t>2-01-01-01-034-PAYABLE TO ALTAF HUSSAINPILER</t>
  </si>
  <si>
    <t>2-01-01-01-036-PAYABLE TO SPOUNICEF-2</t>
  </si>
  <si>
    <t>2-01-01-01-037-PAYABLE TO GOHARPILER</t>
  </si>
  <si>
    <t>2-01-01-01-038-Payable to DanishDAI</t>
  </si>
  <si>
    <t>2-01-01-02-001-PAKISTAN LABOUR TRUSTPILER</t>
  </si>
  <si>
    <t>2-01-01-02-008-IUF - QAMAR UL HASAN &amp; M USMANPILER</t>
  </si>
  <si>
    <t>2-01-01-02-016-PAYABLE TO TROCAIRE-MLRRSPILER</t>
  </si>
  <si>
    <t>2-01-01-02-016-PAYABLE TO TROCAIRE-MLRRSTAF</t>
  </si>
  <si>
    <t>2-01-01-02-016-PAYABLE TO TROCAIRE-MLRRSUNICEF-3</t>
  </si>
  <si>
    <t>2-01-01-02-017-PAYABLE TO PILER OWNDAI</t>
  </si>
  <si>
    <t>2-01-01-02-017-PAYABLE TO PILER OWNDeezire</t>
  </si>
  <si>
    <t>2-01-01-02-017-PAYABLE TO PILER OWNETI</t>
  </si>
  <si>
    <t>2-01-01-02-017-PAYABLE TO PILER OWNFNV</t>
  </si>
  <si>
    <t>2-01-01-02-017-PAYABLE TO PILER OWNFOSI</t>
  </si>
  <si>
    <t>2-01-01-02-017-PAYABLE TO PILER OWNICCO</t>
  </si>
  <si>
    <t>2-01-01-02-017-PAYABLE TO PILER OWNOpen Society</t>
  </si>
  <si>
    <t>2-01-01-02-017-PAYABLE TO PILER OWNRRCCHR</t>
  </si>
  <si>
    <t>2-01-01-02-017-PAYABLE TO PILER OWNTAF</t>
  </si>
  <si>
    <t>2-01-01-02-017-PAYABLE TO PILER OWNTDH</t>
  </si>
  <si>
    <t>2-01-01-02-017-PAYABLE TO PILER OWNTDH &amp; MI</t>
  </si>
  <si>
    <t>2-01-01-02-017-PAYABLE TO PILER OWNTrocaire</t>
  </si>
  <si>
    <t>2-01-01-02-017-PAYABLE TO PILER OWNUnicef</t>
  </si>
  <si>
    <t>2-01-01-02-017-PAYABLE TO PILER OWNUNICEF-2</t>
  </si>
  <si>
    <t>2-01-01-02-017-PAYABLE TO PILER OWNUNICEF-3</t>
  </si>
  <si>
    <t>2-01-01-02-019-PAYABLE TO UNICEFPILER</t>
  </si>
  <si>
    <t>2-01-01-02-020-PAYABLE TO TDH-MIPILER</t>
  </si>
  <si>
    <t>2-01-01-02-020-PAYABLE TO TDH-MITDH</t>
  </si>
  <si>
    <t>2-01-01-02-021-PAYABLE TO ICCO PROJECT-THSWPILER</t>
  </si>
  <si>
    <t>2-01-01-02-022-PAYABLE TO KHADIMPILER</t>
  </si>
  <si>
    <t>2-01-01-02-026-PAYABLE TO TAFPILER</t>
  </si>
  <si>
    <t>2-01-01-02-026-PAYABLE TO TAFUNICEF-3</t>
  </si>
  <si>
    <t>2-01-01-02-027-PAYABLE TO PERVEZDAI</t>
  </si>
  <si>
    <t>2-01-01-02-027-PAYABLE TO PERVEZDeezire</t>
  </si>
  <si>
    <t>2-01-01-02-027-PAYABLE TO PERVEZPILER</t>
  </si>
  <si>
    <t>2-01-01-02-027-PAYABLE TO PERVEZUnicef</t>
  </si>
  <si>
    <t>2-01-01-02-027-PAYABLE TO PERVEZUNICEF-2</t>
  </si>
  <si>
    <t>2-01-01-02-031-PAYABLE TO DEZAIREFNV</t>
  </si>
  <si>
    <t>2-01-01-02-031-PAYABLE TO DEZAIREOpen Society</t>
  </si>
  <si>
    <t>2-01-01-02-031-PAYABLE TO DEZAIREPILER</t>
  </si>
  <si>
    <t>2-01-01-02-033-PLT LOAN PAYABLEPILER</t>
  </si>
  <si>
    <t>2-01-01-02-035-PAYABLE TO M.YOUNISPILER</t>
  </si>
  <si>
    <t>2-01-01-02-037-Payable to Maher AliOpen Society</t>
  </si>
  <si>
    <t>2-01-02-01-001-SALARIES PAYABLEDAI</t>
  </si>
  <si>
    <t>2-01-02-01-001-SALARIES PAYABLEOpen Society</t>
  </si>
  <si>
    <t>2-01-02-01-001-SALARIES PAYABLEPILER</t>
  </si>
  <si>
    <t>2-01-02-01-001-SALARIES PAYABLEUNICEF-3</t>
  </si>
  <si>
    <t>2-01-02-01-004-WATER &amp; SEWERAGE BILLPILER</t>
  </si>
  <si>
    <t>2-01-02-01-005-STAFF LUNCH CONTRIBUTIONPILER</t>
  </si>
  <si>
    <t>2-01-02-01-011-ACCURED EXPENSESDAI</t>
  </si>
  <si>
    <t>2-01-02-01-011-ACCURED EXPENSESETI</t>
  </si>
  <si>
    <t>2-01-02-01-011-ACCURED EXPENSESOpen Society</t>
  </si>
  <si>
    <t>2-01-02-01-011-ACCURED EXPENSESPILER</t>
  </si>
  <si>
    <t>2-01-02-01-011-ACCURED EXPENSESTrocaire</t>
  </si>
  <si>
    <t>2-01-02-01-011-ACCURED EXPENSESUNICEF-2</t>
  </si>
  <si>
    <t>2-01-02-01-015-EOBI PAYABLEPILER</t>
  </si>
  <si>
    <t>2-01-02-01-016-SESSI PAYABLEPILER</t>
  </si>
  <si>
    <t>2-01-02-02-001-SUPPLIER INCOME TAX WITHHOLDPILER</t>
  </si>
  <si>
    <t>2-01-02-02-002-STAFF INCOME TAX WITHHOLDPILER</t>
  </si>
  <si>
    <t>2-01-02-02-004-SALES TAX WITHHOLDPILER</t>
  </si>
  <si>
    <t>2-01-03-01-002-Other LiabilitiesPILER</t>
  </si>
  <si>
    <t>2-01-03-01-002-Other LiabilitiesTAF</t>
  </si>
  <si>
    <t>2-02-01-01-001-STAFF GRATUITY PAYABLE ACCOUNTPILER</t>
  </si>
  <si>
    <t>2-02-01-01-02-Payable to Indus Solar IntlPILER</t>
  </si>
  <si>
    <t>3-01-01-01-002-PROMOTING FUND BALANCEUNICEF-3</t>
  </si>
  <si>
    <t>3-01-01-01-007-TAF FUND BALANCETAF</t>
  </si>
  <si>
    <t>3-01-01-01-009-DEZAIRE FUND BALANCEDeezire</t>
  </si>
  <si>
    <t>3-01-01-01-001-FUND BALANCEPILER</t>
  </si>
  <si>
    <t>3-01-01-01-002-PROMOTING FUND BALANCEUnicef</t>
  </si>
  <si>
    <t>3-01-01-01-002-PROMOTING FUND BALANCEUNICEF-2</t>
  </si>
  <si>
    <t>3-01-01-01-004-TROCAIRE FUND BALANCETrocaire</t>
  </si>
  <si>
    <t>3-01-01-01-008-ICCO PROJECT FUND BALANCEICCO</t>
  </si>
  <si>
    <t>3-01-01-01-011-TDH FUND BALANCETDH</t>
  </si>
  <si>
    <t>3-01-01-01-003-TDH-MI FUND BALANCETDH &amp; MI</t>
  </si>
  <si>
    <t>3-01-01-01-005-TDH PAK FUND BALANCETDH Pak</t>
  </si>
  <si>
    <t>3-01-01-01-006-ICCO PAK FUND BALANCEICCO Pak</t>
  </si>
  <si>
    <t>3-01-01-01-001-FUND BALANCEFOSI</t>
  </si>
  <si>
    <t>3-01-01-01-001-FUND BALANCEFNV</t>
  </si>
  <si>
    <t>3-01-01-01-001-FUND BALANCEETI</t>
  </si>
  <si>
    <t>4-02-01-01-001-HOSTEL RENT INCOME WITH FOODSPILER</t>
  </si>
  <si>
    <t>4-02-02-01-001-HALL RENTAL INCOMEPILER</t>
  </si>
  <si>
    <t>4-03-01-01-001-DONATION FROM LOCAL SOURCEPILER</t>
  </si>
  <si>
    <t>4-03-01-02-034-DONATION FROM DAIDAI</t>
  </si>
  <si>
    <t>4-03-01-02-037-Donation from ETIETI</t>
  </si>
  <si>
    <t>4-04-01-01-007-OFFICE RENTAL INCOMEPILER</t>
  </si>
  <si>
    <t>5-01-01-01-001-STAFF SALARIES EXPENSEPILER</t>
  </si>
  <si>
    <t>5-01-01-01-002-STAFF OVERTIMEPILER</t>
  </si>
  <si>
    <t>5-01-01-02-001-ELECTRICITY EXPENSEPILER</t>
  </si>
  <si>
    <t>5-01-01-02-002-GAS CHARGES SSGCPILER</t>
  </si>
  <si>
    <t>5-01-01-02-003-TELEPHONE, MOBILE &amp; INTERNETPILER</t>
  </si>
  <si>
    <t>5-01-01-02-004-WATER &amp; SEWARAGE CHARGESPILER</t>
  </si>
  <si>
    <t>5-01-01-03-001-VEHICLE FUEL EXPENSEPILER</t>
  </si>
  <si>
    <t>5-01-01-03-002-GENERATOR FUEL EXPENSEPILER</t>
  </si>
  <si>
    <t>5-01-01-04-001-VEHICLE REPAIR &amp; MAINTENANCEPILER</t>
  </si>
  <si>
    <t>5-01-01-04-002-GENERAL  REPAIR &amp; MAINTENANCEPILER</t>
  </si>
  <si>
    <t>5-01-01-04-003-BUILDING REPAIR &amp; MAINTENANCEPILER</t>
  </si>
  <si>
    <t>5-01-01-04-004-EQUIPMENTS REPAIR &amp; MAINTENANCPILER</t>
  </si>
  <si>
    <t>5-01-01-04-006-COMPUTER REPAIR &amp; MAINTENANCEPILER</t>
  </si>
  <si>
    <t>5-01-01-06-001-POSTAGE &amp; COURIERPILER</t>
  </si>
  <si>
    <t>5-01-01-06-002-PRINTING &amp; STATIONERIESPILER</t>
  </si>
  <si>
    <t>5-01-01-06-003-PHOTOCOPY &amp; COMPUT ACCESSARIESPILER</t>
  </si>
  <si>
    <t>5-01-01-06-004-MISC. EXPENSESPILER</t>
  </si>
  <si>
    <t>5-01-01-06-005-VEHICLE TOLL TAXPILER</t>
  </si>
  <si>
    <t>5-01-01-06-006-TRANSPORTATION EXPENSEPILER</t>
  </si>
  <si>
    <t>5-01-01-06-007-TRAVELLING EXPENSESPILER</t>
  </si>
  <si>
    <t>5-01-01-06-012-LIBRARY BOOKS &amp; PERIODICALSPILER</t>
  </si>
  <si>
    <t>5-01-01-07-001-LEGAL &amp; PROFESSIONAL FEEPILER</t>
  </si>
  <si>
    <t>5-01-01-07-003-CONSULTANCY CHARGESPILER</t>
  </si>
  <si>
    <t>5-01-01-07-004-VEHICLE TAX &amp; REGISTRATIONSPILER</t>
  </si>
  <si>
    <t>5-01-01-08-003-EOBI CONTRIBUTIONSPILER</t>
  </si>
  <si>
    <t>5-01-01-08-004-SESSI CONTRIBUTIONSPILER</t>
  </si>
  <si>
    <t>5-01-01-08-006-STAFF WELFARE EXPENSEPILER</t>
  </si>
  <si>
    <t>5-01-01-09-001-BANK CHARGESDAI</t>
  </si>
  <si>
    <t>5-01-01-09-001-BANK CHARGESETI</t>
  </si>
  <si>
    <t>5-01-01-09-001-BANK CHARGESOpen Society</t>
  </si>
  <si>
    <t>5-01-01-09-001-BANK CHARGESPILER</t>
  </si>
  <si>
    <t>5-01-01-09-001-BANK CHARGESRRCCHR</t>
  </si>
  <si>
    <t>5-01-01-10-001-DEPRECIATION EXPENSES-BUILDINGPILER</t>
  </si>
  <si>
    <t>5-01-01-10-002-DEPRECIATION EX-GENERATORPILER</t>
  </si>
  <si>
    <t>5-01-01-10-003-DEPRECIATION EX-ELEC INSTALLAPILER</t>
  </si>
  <si>
    <t>5-01-01-10-004-DEPRECIATION EX- OFFICE EQUIPPILER</t>
  </si>
  <si>
    <t>5-01-01-10-005-DEPRECIATION EXP-FUR &amp; FIXPILER</t>
  </si>
  <si>
    <t>5-01-01-10-007-DEPRECITION EX-MOTOR VEHICLEPILER</t>
  </si>
  <si>
    <t>5-01-01-12-001-CLEANING &amp; LAUNDRYPILER</t>
  </si>
  <si>
    <t>5-01-02-06-012-SEMINARSPILER</t>
  </si>
  <si>
    <t>5-01-02-06-036-PRESS CONF &amp; MEDIA MOBLIZATIONPILER</t>
  </si>
  <si>
    <t>5-01-02-07-005-PEACE SEMINAR ACTIVITIESPILER</t>
  </si>
  <si>
    <t>5-01-02-07-013-DREAM WORLD CHARGESPILER</t>
  </si>
  <si>
    <t>5-01-02-07-014-PAYMENT OF LOCAL DONATIONSPILER</t>
  </si>
  <si>
    <t>5-01-02-07-036-WORKSHOP &amp; TRAININGPILER</t>
  </si>
  <si>
    <t>5-01-02-07-047-National Labour Council.PILER</t>
  </si>
  <si>
    <t>5-01-02-48-004-OS-1.4-Finance OfficerOpen Society</t>
  </si>
  <si>
    <t>5-01-02-48-005-OS-1.5-Admin Officer/ LogisticOpen Society</t>
  </si>
  <si>
    <t>5-01-02-48-009-OS-5.2-National conference on human rights, labour rights treaties and conventions.Open Society</t>
  </si>
  <si>
    <t>5-01-02-48-011-OS-5.4-In depth analy of const &amp; bottlenecks in imple  &amp; lab rights instru rela to GSP+Open Society</t>
  </si>
  <si>
    <t>5-01-02-48-014-OS-5.7-Qrtly media update ( incl press conf &amp; statements) on GSP plus implementation status.Open Society</t>
  </si>
  <si>
    <t>5-01-02-49-014-ETI-Surgical Instruments-Staff cost.ETI</t>
  </si>
  <si>
    <t>5-01-02-49-016-ETI-Surgical Instruments-Research ExpensesETI</t>
  </si>
  <si>
    <t>5-01-02-49-017-ETI-Surgical Instrument-PILER Over HeadETI</t>
  </si>
  <si>
    <t>5-01-02-57-009-DAI-KCD031-1.2 Engagment session in six universities (Session 2 and Three)DAI</t>
  </si>
  <si>
    <t>Cash with banks in current/PLS accounts</t>
  </si>
  <si>
    <t>Inter Project Balances</t>
  </si>
  <si>
    <t>Other receivables</t>
  </si>
  <si>
    <t>Pakistan Labour Trust</t>
  </si>
  <si>
    <t>Security deposit</t>
  </si>
  <si>
    <t>Advance against activities</t>
  </si>
  <si>
    <t>ADVANCE AGAINST SALARIES</t>
  </si>
  <si>
    <t>Staff loan</t>
  </si>
  <si>
    <t>Prepaid Insurance</t>
  </si>
  <si>
    <t>Others income</t>
  </si>
  <si>
    <t>Leasehold land</t>
  </si>
  <si>
    <t>Building on leasehold land</t>
  </si>
  <si>
    <t>Acc Dep - Building on leasehold land</t>
  </si>
  <si>
    <t>Generator</t>
  </si>
  <si>
    <t>Acc Dep - Generator</t>
  </si>
  <si>
    <t>Electrical installations</t>
  </si>
  <si>
    <t>Acc Dep - Electrical installations</t>
  </si>
  <si>
    <t>Other equipments</t>
  </si>
  <si>
    <t>Acc Dep - Other equipments</t>
  </si>
  <si>
    <t>Furniture and Fixture</t>
  </si>
  <si>
    <t>Acc Dep - Furniture and Fixture</t>
  </si>
  <si>
    <t>Computer equipments</t>
  </si>
  <si>
    <t>Acc Dep - Computer equipments</t>
  </si>
  <si>
    <t>Cost</t>
  </si>
  <si>
    <t>Accumulated amortisation</t>
  </si>
  <si>
    <t>Vehicles</t>
  </si>
  <si>
    <t>Acc Dep - Vehicles</t>
  </si>
  <si>
    <t>Books</t>
  </si>
  <si>
    <t>Acc Dep - Books</t>
  </si>
  <si>
    <t>Accrued expenses</t>
  </si>
  <si>
    <t>Other liabilities</t>
  </si>
  <si>
    <t>Deferred liability - staff retirement gratuity</t>
  </si>
  <si>
    <t>Lease payable</t>
  </si>
  <si>
    <t>Fund balance</t>
  </si>
  <si>
    <t>Hostel and hall income</t>
  </si>
  <si>
    <t>Income from donations</t>
  </si>
  <si>
    <t>Salary, wages and benefits</t>
  </si>
  <si>
    <t>Electricity, gas and water</t>
  </si>
  <si>
    <t>Telephone</t>
  </si>
  <si>
    <t>Travelling, vehicle and generator fuel</t>
  </si>
  <si>
    <t>Vehicle maintenance</t>
  </si>
  <si>
    <t>General maintenance</t>
  </si>
  <si>
    <t>Equipment repair maintenance</t>
  </si>
  <si>
    <t>Generator maintenance</t>
  </si>
  <si>
    <t>Vehicle insurance</t>
  </si>
  <si>
    <t>Postage and internet</t>
  </si>
  <si>
    <t>Stationery, photocopies and materials</t>
  </si>
  <si>
    <t>Miscellaneous</t>
  </si>
  <si>
    <t>Legal and professional charges</t>
  </si>
  <si>
    <t>Auditors' remuneration</t>
  </si>
  <si>
    <t>Consultancy charges</t>
  </si>
  <si>
    <t>Membership and subscription</t>
  </si>
  <si>
    <t>Salary, wages and benefits: Staff Welfare</t>
  </si>
  <si>
    <t>Bank charges</t>
  </si>
  <si>
    <t>Depreciation expenses</t>
  </si>
  <si>
    <t>PILER Program Activities : Peace / Labor related seminars &amp; Conferences activities</t>
  </si>
  <si>
    <t>Local Donation</t>
  </si>
  <si>
    <t>PILER Reswarch, workshop and trainings</t>
  </si>
  <si>
    <t>KCD031-Dialogue and debate in Karachi’s Universities</t>
  </si>
  <si>
    <t>NGO overheads</t>
  </si>
  <si>
    <t>Project open society</t>
  </si>
  <si>
    <t>Project: ETI Surgical Instruments</t>
  </si>
  <si>
    <t>Project CCC</t>
  </si>
  <si>
    <t>Project: Consultation on Pakistan ACCORD</t>
  </si>
  <si>
    <t>1-01-01-02-023-BANK TROCAIRE-0081-004762-06-5PILER</t>
  </si>
  <si>
    <t>1-01-02-01-018-Rec / pay with Mapping on pharmaPILER</t>
  </si>
  <si>
    <t>1-01-02-02-006-RECEIVABLE FROM PILER OWNPILER</t>
  </si>
  <si>
    <t>1-01-02-02-006-RECEIVABLE FROM PILER OWNDAI</t>
  </si>
  <si>
    <t>1-01-02-02-024-RECEIVABLE FROM ZEENIA SHOUKATETI</t>
  </si>
  <si>
    <t>1-01-02-02-038-RECEIVABLE FROM SHUJAUDDINOpen Society</t>
  </si>
  <si>
    <t>1-01-02-02-042-RECEIVABLE FROM DANISHOpen Society</t>
  </si>
  <si>
    <t>1-01-02-02-074-Rec / Pay With CCCETI</t>
  </si>
  <si>
    <t>1-01-02-02-075-Rec / Pay with ETI-DFIDPILER</t>
  </si>
  <si>
    <t>1-01-02-02-075-Rec / Pay with ETI-DFIDshort projects</t>
  </si>
  <si>
    <t>1-01-02-02-075-Rec / Pay with ETI-DFIDOpen Society</t>
  </si>
  <si>
    <t>1-01-02-02-076-Rec / Pay with AVAAZPILER</t>
  </si>
  <si>
    <t>1-01-02-02-077-Rec / Pay National Labour CouncilPILER</t>
  </si>
  <si>
    <t>1-01-02-02-078-Rec / Pay with Covid-19 ReliefPILER</t>
  </si>
  <si>
    <t>1-01-02-02-078-Rec / Pay with Covid-19 ReliefETI</t>
  </si>
  <si>
    <t>1-01-02-03-015-ADVANCE TO PERVEZRRCCHR</t>
  </si>
  <si>
    <t>1-01-02-03-116-Advance to Zameer AwanETI</t>
  </si>
  <si>
    <t>2-01-01-01-040-Payable to Zulfiqar Ali ShahOpen Society</t>
  </si>
  <si>
    <t>2-01-01-02-029-PAYABLE TO ZEENIA SHOUKATETI</t>
  </si>
  <si>
    <t>3-01-01-01-001-FUND BALANCEDAI</t>
  </si>
  <si>
    <t>3-01-01-01-002-PROMOTING FUND BALANCERRCCHR</t>
  </si>
  <si>
    <t>3-01-01-01-012-OSF-Fund balanceOpen Society</t>
  </si>
  <si>
    <t>4-03-01-01-002-DONATION FROM PLTPILER</t>
  </si>
  <si>
    <t>4-03-01-01-004-Donation for Rasheed Rizvi CentreRRCCHR</t>
  </si>
  <si>
    <t>4-03-01-01-006-Donation for Mapping on Pharmashort projects</t>
  </si>
  <si>
    <t>4-03-01-02-042-DONATION FROM WOMENS FUND ASIAPILER</t>
  </si>
  <si>
    <t>4-03-01-06-001-Donation from AVAAZ The World in ActionPILER</t>
  </si>
  <si>
    <t>5-01-01-06-008-PROGRAMME STAFF/ BAORD MEETINGPILER</t>
  </si>
  <si>
    <t>5-01-01-09-001-BANK CHARGESFNV</t>
  </si>
  <si>
    <t>5-01-02-07-023-PILER STAFF TRAINING &amp; EDUCAT.PILER</t>
  </si>
  <si>
    <t>5-01-02-07-040-MEMORIAL PROGRAMMESPILER</t>
  </si>
  <si>
    <t>5-01-02-07-048-Mapping on Pharma Sectorsshort projects</t>
  </si>
  <si>
    <t>5-01-02-48-001-OS-1.1-Project Coordinator / Manager Open Society</t>
  </si>
  <si>
    <t>5-01-02-48-002-OS-1.2-Senior Programme Staff Open Society</t>
  </si>
  <si>
    <t>5-01-02-48-008-OS-5.1-Multi-stakeholders consultation human rights treaties &amp; Core Labour Rights Open Society</t>
  </si>
  <si>
    <t>5-01-02-48-010-OS-5.3-Briefing paper on status of implement of the int treaties and convent since Jan-14Open Society</t>
  </si>
  <si>
    <t>5-01-02-48-012-OS-5.5-Awareness/ Advoccay Sessions with legislators &amp; civil society  Open Society</t>
  </si>
  <si>
    <t>5-01-02-48-013-OS-5.6-Advoccay &amp; Networking meetings Open Society</t>
  </si>
  <si>
    <t>5-01-02-59-001-Civic Charter 2019short projects</t>
  </si>
  <si>
    <t>5-01-02-61-001-Sangat feminist programPILER</t>
  </si>
  <si>
    <t>5-01-02-62-002-ETI-DFID#1.2- Project Manager ETI</t>
  </si>
  <si>
    <t>5-01-02-62-004-ETI-DFID#Administration CostETI</t>
  </si>
  <si>
    <t>5-01-02-62-005-ETI-DFID#1.7.1.1 Consultant AdvisorETI</t>
  </si>
  <si>
    <t>5-01-02-62-006-ETI-DFID#1.7.1.2 ResearcherETI</t>
  </si>
  <si>
    <t>5-01-02-62-007-ETI-DFID#1.7.1.8 transportationETI</t>
  </si>
  <si>
    <t>5-01-02-62-008-ETI-DFID#1.7.1.4 RefreshmentETI</t>
  </si>
  <si>
    <t>5-01-02-62-009-ETI-DFID#1.7.1.7 Stationery,SoundETI</t>
  </si>
  <si>
    <t>5-01-02-62-010-ETI-DFID#1.7.1.5 Reimbursement of ParticipantsETI</t>
  </si>
  <si>
    <t>5-01-02-62-011-ETI-DFID#3.1 Administration &amp; NPACETI</t>
  </si>
  <si>
    <t>5-01-02-62-012-ETI-DFID#1.7.7.1 Consultant feeETI</t>
  </si>
  <si>
    <t>5-01-02-62-013-ETI-DFID#1.7.1.6 Venue chargesETI</t>
  </si>
  <si>
    <t>5-01-02-62-014-ETI-DFID#1.7.2.2 Multimedia chargesETI</t>
  </si>
  <si>
    <t>5-01-02-62-015-ETI-DFID#1.1:Joint Director ETI</t>
  </si>
  <si>
    <t>5-01-02-62-017-ETI-DFID#1.4:Project Administration &amp; FinanceETI</t>
  </si>
  <si>
    <t>5-01-02-62-018-ETI-DFID#1.7.1.3:PILER StaffETI</t>
  </si>
  <si>
    <t>5-01-02-62-019-ETI-DFID#2.1:Digital &amp; Office Equipment for Programme StaffETI</t>
  </si>
  <si>
    <t>5-01-02-63-001-Covid-19 ReliefOpen Society</t>
  </si>
  <si>
    <t>Closing</t>
  </si>
  <si>
    <t>Mapping on Pharma sector short project</t>
  </si>
  <si>
    <t>Project civic charter 2019</t>
  </si>
  <si>
    <t>Eti-Dfid project</t>
  </si>
  <si>
    <t>Project open society Covid relief</t>
  </si>
  <si>
    <t>Debit</t>
  </si>
  <si>
    <t>Credit</t>
  </si>
  <si>
    <t>PAKISTAN INSTITUTE OF LABOUR EDUCATION AND RESEARCH</t>
  </si>
  <si>
    <t>STATEMENT OF FINANCIAL POSITION</t>
  </si>
  <si>
    <t>Note</t>
  </si>
  <si>
    <t>Rupees</t>
  </si>
  <si>
    <t>ASSETS</t>
  </si>
  <si>
    <t>Non - Current Assets</t>
  </si>
  <si>
    <t>Property and equipment</t>
  </si>
  <si>
    <t>Intangible assets</t>
  </si>
  <si>
    <t>Security deposits</t>
  </si>
  <si>
    <t>Current Assets</t>
  </si>
  <si>
    <t>Cash and bank balances</t>
  </si>
  <si>
    <t>TOTAL ASSETS</t>
  </si>
  <si>
    <t>FUNDS AND LIABILITIES</t>
  </si>
  <si>
    <t>Non - Current Liabilities</t>
  </si>
  <si>
    <t>Deferred liability - staff retirement Benefits</t>
  </si>
  <si>
    <t>Liabilities against assets subject to finance lease</t>
  </si>
  <si>
    <t>Current Liabilities</t>
  </si>
  <si>
    <t>Accrued, payables and other liabilities</t>
  </si>
  <si>
    <t>Short term liabilities</t>
  </si>
  <si>
    <t>TOTAL FUNDS AND LIABILITIES</t>
  </si>
  <si>
    <t>Chief Executive Officer</t>
  </si>
  <si>
    <t>Director</t>
  </si>
  <si>
    <t xml:space="preserve">Operating cost </t>
  </si>
  <si>
    <t>Administrative and general expenses</t>
  </si>
  <si>
    <t xml:space="preserve">    </t>
  </si>
  <si>
    <t xml:space="preserve">Other income </t>
  </si>
  <si>
    <t>Financial charges</t>
  </si>
  <si>
    <t>Taxation</t>
  </si>
  <si>
    <t>f</t>
  </si>
  <si>
    <t>---------------- Rupees --------------</t>
  </si>
  <si>
    <t>Balance as at June 30, 2014</t>
  </si>
  <si>
    <t>(Deficit) for the year ended June 30, 2018</t>
  </si>
  <si>
    <t>CASH FLOW FROM OPERATING ACTIVITIES</t>
  </si>
  <si>
    <t>Adjustment for non cash items :</t>
  </si>
  <si>
    <t>Depreciation</t>
  </si>
  <si>
    <t>Amortization of intangible assets</t>
  </si>
  <si>
    <t>(Gain) on disposal of property and equipment</t>
  </si>
  <si>
    <t>Provision for gratuity</t>
  </si>
  <si>
    <t xml:space="preserve">Financial charges </t>
  </si>
  <si>
    <t>Staff gratuity paid</t>
  </si>
  <si>
    <t>Financial charges paid</t>
  </si>
  <si>
    <t>CASH FLOW FROM INVESTING ACTIVITIES</t>
  </si>
  <si>
    <t>Capital expenditure</t>
  </si>
  <si>
    <t>Additions in intangible assets</t>
  </si>
  <si>
    <t>Sale proceeds of property and equipment</t>
  </si>
  <si>
    <t>CASH FLOW FROM FINANCING ACTIVITIES</t>
  </si>
  <si>
    <t>Cash and cash equivalent at the beginning of the year</t>
  </si>
  <si>
    <t>Cash and cash equivalent at the end of the year</t>
  </si>
  <si>
    <t>NOTES TO THE FINANCIAL STATEMENTS</t>
  </si>
  <si>
    <t>1.</t>
  </si>
  <si>
    <t>THE INSTITUTE AND ITS ACTIVITIES</t>
  </si>
  <si>
    <t>-</t>
  </si>
  <si>
    <t>Critical accounting estimates and judgements</t>
  </si>
  <si>
    <t>Estimates and judgements are continually evaluated and are based on historical experience and other factors, including expectations of future events that are believed to be reasonable under the circumstances.</t>
  </si>
  <si>
    <t>The estimates and underlying assumptions are reviewed on an ongoing basis. Revisions to accounting estimates are recognized in the period in which the estimate is revised if the revision affects only that period of the revision and future periods if the revision affects both current and future periods.</t>
  </si>
  <si>
    <t>Judgements are made by management in the application of approved accounting standards, that have significant effect on the financial statements and estimates with a significant risk of material adjustment in the next year.</t>
  </si>
  <si>
    <t>Property and equipment are stated at cost less accumulated depreciation.</t>
  </si>
  <si>
    <t>Whenever project agreement requires, capital items are expensed out in the period in which it was acquired.</t>
  </si>
  <si>
    <t>Depreciation on additions is charged from the month in which the asset is put to use and on disposals up to the month of disposal.</t>
  </si>
  <si>
    <t>Liabilities for trade and other payables are carried at cost which is the fair value of the consideration to be paid in the future for goods and services received, whether or not billed to the Company.</t>
  </si>
  <si>
    <t>Donations from sponsors / co - partners is recognized on receipt basis. Wherever amount received pertain to next project period the same is taken into its relevant period.</t>
  </si>
  <si>
    <t>Reimbursements on account of project activities  from sponsors are based on agreed rates is recognized on receipt basis, which generally coincide with the billing and collection in the project period.</t>
  </si>
  <si>
    <t>Hostel activities and auditorium operations income are recognized on accrual basis which are generally charged to relevant project activities.</t>
  </si>
  <si>
    <t>Owned</t>
  </si>
  <si>
    <t xml:space="preserve">Total </t>
  </si>
  <si>
    <t xml:space="preserve">Leasehold Land </t>
  </si>
  <si>
    <t>Building on Leasehold Land</t>
  </si>
  <si>
    <t>Electrical Installations</t>
  </si>
  <si>
    <t>Other Equipments</t>
  </si>
  <si>
    <t>Computer Equipment</t>
  </si>
  <si>
    <t>----------------------------------------------------------------------------------- Rupees --------------------------------------------------------------------------</t>
  </si>
  <si>
    <t>At June 30, 2016</t>
  </si>
  <si>
    <t>Accumulated depreciation</t>
  </si>
  <si>
    <t xml:space="preserve">Net book value </t>
  </si>
  <si>
    <t>Year ended June 30, 2017</t>
  </si>
  <si>
    <t>Opening net book value</t>
  </si>
  <si>
    <t>Additions (at cost)</t>
  </si>
  <si>
    <t>Disposals</t>
  </si>
  <si>
    <t>Depreciation charge for the year</t>
  </si>
  <si>
    <t>Net book value</t>
  </si>
  <si>
    <t>Total 2017</t>
  </si>
  <si>
    <t>As at July 01, 2016</t>
  </si>
  <si>
    <t xml:space="preserve">Additions </t>
  </si>
  <si>
    <t xml:space="preserve">Deletions </t>
  </si>
  <si>
    <t>As at June 30, 2017</t>
  </si>
  <si>
    <t xml:space="preserve">On additions </t>
  </si>
  <si>
    <t>On opening balance</t>
  </si>
  <si>
    <t>WDV as at June 30, 2017</t>
  </si>
  <si>
    <t>Rate of depreciation (%)</t>
  </si>
  <si>
    <t>As at July 01, 2018</t>
  </si>
  <si>
    <t>As at June 30, 2019</t>
  </si>
  <si>
    <t>WDV as at June 30, 2019</t>
  </si>
  <si>
    <t>INTANGIBLE ASSETS</t>
  </si>
  <si>
    <t>Net carrying value basis</t>
  </si>
  <si>
    <t>Add:</t>
  </si>
  <si>
    <t>Additions during the year</t>
  </si>
  <si>
    <t xml:space="preserve">Less: </t>
  </si>
  <si>
    <t>Amortization for the year</t>
  </si>
  <si>
    <t>Closing net book value</t>
  </si>
  <si>
    <t>Gross carrying value</t>
  </si>
  <si>
    <t>Accumulated amortization</t>
  </si>
  <si>
    <t>INTANGIBLES ASSETS</t>
  </si>
  <si>
    <t>Computer software amortized at 3 years.</t>
  </si>
  <si>
    <t>INVESTMENTS (Held to maturity)</t>
  </si>
  <si>
    <t>Investment in term deposit receipt</t>
  </si>
  <si>
    <t xml:space="preserve">Investment represents term deposit receipt of Bank Al-Habib for a period of one year at fixed rate of 5.8% per annum. </t>
  </si>
  <si>
    <t>LOANS, ADVANCES, DEPOSITS, PREPAYMENTS AND RECEIVABLES</t>
  </si>
  <si>
    <t>Prepaid insurance</t>
  </si>
  <si>
    <t>Prepayments</t>
  </si>
  <si>
    <t>Advance against salary</t>
  </si>
  <si>
    <t>Savings account</t>
  </si>
  <si>
    <t>Opening balances</t>
  </si>
  <si>
    <t>Total</t>
  </si>
  <si>
    <t>ACCRUED, PAYABLES AND OTHER LIABILITIES</t>
  </si>
  <si>
    <t>SHORT TERM LIABILITIES</t>
  </si>
  <si>
    <t>This represents balance of funds borrowed by PILER from Pakistan Labour Trust.</t>
  </si>
  <si>
    <t>OPERATING COSTS</t>
  </si>
  <si>
    <t>+</t>
  </si>
  <si>
    <t>Project: Improved multi stakeholders' coordination on GSP Plus compliance</t>
  </si>
  <si>
    <t>Project: Coordination of partners and network South Asia coaliation</t>
  </si>
  <si>
    <t>Project: DAI-KCD015: Engaging communities for development and peace building in Karachi</t>
  </si>
  <si>
    <t>Salary, wages and benefits:</t>
  </si>
  <si>
    <t>Research, education and training</t>
  </si>
  <si>
    <t>Consolidation adjustment</t>
  </si>
  <si>
    <t>Staff welfare</t>
  </si>
  <si>
    <t>balance transfer to PILER</t>
  </si>
  <si>
    <t>Staff cost</t>
  </si>
  <si>
    <t>ADMINISTRATIVE AND GENERAL EXPENSES</t>
  </si>
  <si>
    <t>Bedding and linen</t>
  </si>
  <si>
    <t>Amortisation</t>
  </si>
  <si>
    <t>Reimbursement from various parties</t>
  </si>
  <si>
    <t>Consolidated financial reporting</t>
  </si>
  <si>
    <t>Local donation</t>
  </si>
  <si>
    <t>Auditors' Remuneration</t>
  </si>
  <si>
    <t>Audit fee</t>
  </si>
  <si>
    <t>Out of pocket</t>
  </si>
  <si>
    <t>Others</t>
  </si>
  <si>
    <t>OTHER INCOME</t>
  </si>
  <si>
    <t>Interest income on TDR</t>
  </si>
  <si>
    <t>TAXATION</t>
  </si>
  <si>
    <t>REMUNERATION OF CHIEF EXECUTIVE, DIRECTORS AND EXECUTIVES</t>
  </si>
  <si>
    <t>2017</t>
  </si>
  <si>
    <t>Basic</t>
  </si>
  <si>
    <t>Allowance</t>
  </si>
  <si>
    <t>Number of persons</t>
  </si>
  <si>
    <t>Fair value of financial assets</t>
  </si>
  <si>
    <t>The Company measures fair values using the following fair value hierarchy that reflects the significance of the inputs used in making the measurements:</t>
  </si>
  <si>
    <r>
      <rPr>
        <b/>
        <sz val="10"/>
        <rFont val="Calibri"/>
        <family val="2"/>
      </rPr>
      <t xml:space="preserve">Level 1 : </t>
    </r>
    <r>
      <rPr>
        <sz val="10"/>
        <rFont val="Calibri"/>
        <family val="2"/>
      </rPr>
      <t>Fair value measurements using quoted prices (unadjusted) in active markets for identical assets or liabilities.</t>
    </r>
  </si>
  <si>
    <r>
      <rPr>
        <b/>
        <sz val="10"/>
        <rFont val="Calibri"/>
        <family val="2"/>
      </rPr>
      <t>Level 2 :</t>
    </r>
    <r>
      <rPr>
        <sz val="10"/>
        <rFont val="Calibri"/>
        <family val="2"/>
      </rPr>
      <t xml:space="preserve"> Fair value measurements using inputs other than quoted prices included within Level 1 that are observable for the asset or liability, either directly (i.e. as prices) or indirectly (i.e. derived from prices).</t>
    </r>
  </si>
  <si>
    <r>
      <rPr>
        <b/>
        <sz val="10"/>
        <rFont val="Calibri"/>
        <family val="2"/>
      </rPr>
      <t>Level 3 :</t>
    </r>
    <r>
      <rPr>
        <sz val="10"/>
        <rFont val="Calibri"/>
        <family val="2"/>
      </rPr>
      <t xml:space="preserve"> Fair value measurements using inputs for the asset or liability that are not based on observable market data (i.e. unobservable inputs).</t>
    </r>
  </si>
  <si>
    <t>Fair value of the financial assets that are traded in active markets are based on quoted market prices or dealer prices quotations.</t>
  </si>
  <si>
    <t>NUMBER OF EMPLOYEES</t>
  </si>
  <si>
    <t>Number</t>
  </si>
  <si>
    <t>Total number of employees at the end of the year</t>
  </si>
  <si>
    <t>Average number of employees during the year</t>
  </si>
  <si>
    <t>DATE OF AUTHORIZATION FOR ISSUE</t>
  </si>
  <si>
    <t>These financial statements were authorized for issue on _______________________ by the Board of Directors of the PILER.</t>
  </si>
  <si>
    <t xml:space="preserve">CORRESPONDING FIGURES </t>
  </si>
  <si>
    <t>Significant reclassification for better presentation include:</t>
  </si>
  <si>
    <t>From</t>
  </si>
  <si>
    <t>To</t>
  </si>
  <si>
    <t xml:space="preserve"> Rupees </t>
  </si>
  <si>
    <t>Prepaid rent</t>
  </si>
  <si>
    <t>GENERAL</t>
  </si>
  <si>
    <t>Figures have been rounded off to the nearest rupee.</t>
  </si>
  <si>
    <t xml:space="preserve"> </t>
  </si>
  <si>
    <t>FINANCIAL ASSETS AND LIABILITIES</t>
  </si>
  <si>
    <t>Markup bearing</t>
  </si>
  <si>
    <t>Non-Markup bearing</t>
  </si>
  <si>
    <t>Maturity</t>
  </si>
  <si>
    <t>Sub-Total</t>
  </si>
  <si>
    <t>upto one</t>
  </si>
  <si>
    <t>after one</t>
  </si>
  <si>
    <t>year</t>
  </si>
  <si>
    <t>---------------------------------------------------------Rupees ------------------------------------------------------------</t>
  </si>
  <si>
    <t>Financial Assets</t>
  </si>
  <si>
    <t>Long term investments</t>
  </si>
  <si>
    <t>Advances and other receivables</t>
  </si>
  <si>
    <t>Financial Liabilities</t>
  </si>
  <si>
    <t>Running finance</t>
  </si>
  <si>
    <t>Non Current Assets</t>
  </si>
  <si>
    <t>Tangible</t>
  </si>
  <si>
    <t>Intangible</t>
  </si>
  <si>
    <t>Non Current Liabilities</t>
  </si>
  <si>
    <t>FINANCIAL CHARGES</t>
  </si>
  <si>
    <t>Project: Mapping on Pharma Sectorsshort projects</t>
  </si>
  <si>
    <t>Project: ETI DFID</t>
  </si>
  <si>
    <t>Row Labels</t>
  </si>
  <si>
    <t>Grand Total</t>
  </si>
  <si>
    <t>Adjustments</t>
  </si>
  <si>
    <t>Net Balance</t>
  </si>
  <si>
    <t>Balance as at July 01, 2018</t>
  </si>
  <si>
    <t>1-01-01-02-031-BANK SMALL PR-0081-004762-07-6short projects</t>
  </si>
  <si>
    <t>1-01-02-01-016-Rec / Pay with Sindh Human RCshort projects</t>
  </si>
  <si>
    <t>1-01-02-02-001-R/A-PAKISTAN LABOUR TRUST(PLT)short projects</t>
  </si>
  <si>
    <t>1-01-02-02-002-W.H. TAX DEDUCTIONshort projects</t>
  </si>
  <si>
    <t>1-01-02-02-005-OTHERS RECEIVABLEshort projects</t>
  </si>
  <si>
    <t>1-01-02-02-006-RECEIVABLE FROM PILER OWNshort projects</t>
  </si>
  <si>
    <t>1-01-02-02-009-RECEIVABLE FROM UNICEFshort projects</t>
  </si>
  <si>
    <t>1-01-02-02-012-RECEIVABLE FROM DEZAIREshort projects</t>
  </si>
  <si>
    <t>1-01-02-02-017-REC / PAY WITH TDHshort projects</t>
  </si>
  <si>
    <t>1-01-02-02-043-RECEIVABLE FROM PERVEZ AHMEDshort projects</t>
  </si>
  <si>
    <t>1-01-02-02-060-REC / PAY UNICEFshort projects</t>
  </si>
  <si>
    <t>1-01-02-02-071-Rec / Pay with FNVshort projects</t>
  </si>
  <si>
    <t>1-01-02-03-008-ADVANCE TO KHADIM HUSSAINshort projects</t>
  </si>
  <si>
    <t>1-01-02-03-015-ADVANCE TO PERVEZshort projects</t>
  </si>
  <si>
    <t>1-01-02-03-017-ADVANCE TO DANISH SIDDIQUIshort projects</t>
  </si>
  <si>
    <t>2-01-01-01-025-PAYABLE TO HAMZA GABOOLshort projects</t>
  </si>
  <si>
    <t>2-01-01-02-016-PAYABLE TO TROCAIRE-MLRRSshort projects</t>
  </si>
  <si>
    <t>2-01-01-02-017-PAYABLE TO PILER OWNshort projects</t>
  </si>
  <si>
    <t>2-01-01-02-022-PAYABLE TO KHADIMshort projects</t>
  </si>
  <si>
    <t>2-01-01-02-027-PAYABLE TO PERVEZshort projects</t>
  </si>
  <si>
    <t>2-01-01-02-031-PAYABLE TO DEZAIREshort projects</t>
  </si>
  <si>
    <t>2-01-02-01-011-ACCURED EXPENSESshort projects</t>
  </si>
  <si>
    <t>3-01-01-01-010-SHORT TERM FUND BALANCEshort projects</t>
  </si>
  <si>
    <t>4-03-01-02-030-DONATION FROM CLEAN CLOTH CAMPshort projects</t>
  </si>
  <si>
    <t>5-01-01-09-001-BANK CHARGESshort projects</t>
  </si>
  <si>
    <t>5-01-02-51-002-2.CCC-Regional Coordinating Bodyshort projects</t>
  </si>
  <si>
    <t>5-01-02-58-001-CCC-ACCORDshort projects</t>
  </si>
  <si>
    <t>Pakistan Institute of Labour Education and Research</t>
  </si>
  <si>
    <t>Six Column Trial Balance From 01-Jul-2019  To  30-Jun-2020</t>
  </si>
  <si>
    <t>Exported on 09-Oct-2020</t>
  </si>
  <si>
    <t>1-01-01-01-001</t>
  </si>
  <si>
    <t>1-01-01-02-002</t>
  </si>
  <si>
    <t>1-01-01-02-011</t>
  </si>
  <si>
    <t>1-01-01-02-012</t>
  </si>
  <si>
    <t>1-01-01-02-013</t>
  </si>
  <si>
    <t>1-01-01-02-015</t>
  </si>
  <si>
    <t>1-01-01-02-016</t>
  </si>
  <si>
    <t>1-01-01-02-020</t>
  </si>
  <si>
    <t>1-01-01-02-021</t>
  </si>
  <si>
    <t>1-01-01-02-022</t>
  </si>
  <si>
    <t>1-01-01-02-023</t>
  </si>
  <si>
    <t>1-01-01-02-024</t>
  </si>
  <si>
    <t>1-01-01-02-025</t>
  </si>
  <si>
    <t>1-01-01-02-027</t>
  </si>
  <si>
    <t>1-01-01-02-029</t>
  </si>
  <si>
    <t>1-01-01-02-030</t>
  </si>
  <si>
    <t>1-01-01-02-031</t>
  </si>
  <si>
    <t>1-01-02-01-002</t>
  </si>
  <si>
    <t>1-01-02-01-005</t>
  </si>
  <si>
    <t>1-01-02-01-007</t>
  </si>
  <si>
    <t>1-01-02-01-010</t>
  </si>
  <si>
    <t>1-01-02-01-015</t>
  </si>
  <si>
    <t>1-01-02-01-016</t>
  </si>
  <si>
    <t>1-01-02-01-017</t>
  </si>
  <si>
    <t>1-01-02-01-018</t>
  </si>
  <si>
    <t>1-01-02-02-001</t>
  </si>
  <si>
    <t>1-01-02-02-002</t>
  </si>
  <si>
    <t>1-01-02-02-004</t>
  </si>
  <si>
    <t>1-01-02-02-005</t>
  </si>
  <si>
    <t>1-01-02-02-006</t>
  </si>
  <si>
    <t>1-01-02-02-008</t>
  </si>
  <si>
    <t>1-01-02-02-009</t>
  </si>
  <si>
    <t>1-01-02-02-012</t>
  </si>
  <si>
    <t>1-01-02-02-013</t>
  </si>
  <si>
    <t>1-01-02-02-016</t>
  </si>
  <si>
    <t>1-01-02-02-017</t>
  </si>
  <si>
    <t>1-01-02-02-019</t>
  </si>
  <si>
    <t>1-01-02-02-023</t>
  </si>
  <si>
    <t>1-01-02-02-024</t>
  </si>
  <si>
    <t>1-01-02-02-025</t>
  </si>
  <si>
    <t>1-01-02-02-029</t>
  </si>
  <si>
    <t>1-01-02-02-032</t>
  </si>
  <si>
    <t>1-01-02-02-033</t>
  </si>
  <si>
    <t>1-01-02-02-035</t>
  </si>
  <si>
    <t>1-01-02-02-036</t>
  </si>
  <si>
    <t>1-01-02-02-038</t>
  </si>
  <si>
    <t>1-01-02-02-039</t>
  </si>
  <si>
    <t>1-01-02-02-040</t>
  </si>
  <si>
    <t>1-01-02-02-041</t>
  </si>
  <si>
    <t>1-01-02-02-042</t>
  </si>
  <si>
    <t>1-01-02-02-043</t>
  </si>
  <si>
    <t>1-01-02-02-044</t>
  </si>
  <si>
    <t>1-01-02-02-047</t>
  </si>
  <si>
    <t>1-01-02-02-048</t>
  </si>
  <si>
    <t>1-01-02-02-049</t>
  </si>
  <si>
    <t>1-01-02-02-050</t>
  </si>
  <si>
    <t>1-01-02-02-051</t>
  </si>
  <si>
    <t>1-01-02-02-052</t>
  </si>
  <si>
    <t>1-01-02-02-053</t>
  </si>
  <si>
    <t>1-01-02-02-054</t>
  </si>
  <si>
    <t>1-01-02-02-055</t>
  </si>
  <si>
    <t>1-01-02-02-056</t>
  </si>
  <si>
    <t>1-01-02-02-057</t>
  </si>
  <si>
    <t>1-01-02-02-058</t>
  </si>
  <si>
    <t>1-01-02-02-059</t>
  </si>
  <si>
    <t>1-01-02-02-060</t>
  </si>
  <si>
    <t>1-01-02-02-061</t>
  </si>
  <si>
    <t>1-01-02-02-063</t>
  </si>
  <si>
    <t>1-01-02-02-064</t>
  </si>
  <si>
    <t>1-01-02-02-066</t>
  </si>
  <si>
    <t>1-01-02-02-067</t>
  </si>
  <si>
    <t>1-01-02-02-068</t>
  </si>
  <si>
    <t>1-01-02-02-069</t>
  </si>
  <si>
    <t>1-01-02-02-070</t>
  </si>
  <si>
    <t>1-01-02-02-071</t>
  </si>
  <si>
    <t>1-01-02-02-072</t>
  </si>
  <si>
    <t>1-01-02-02-073</t>
  </si>
  <si>
    <t>1-01-02-02-074</t>
  </si>
  <si>
    <t>1-01-02-02-075</t>
  </si>
  <si>
    <t>1-01-02-02-076</t>
  </si>
  <si>
    <t>1-01-02-02-077</t>
  </si>
  <si>
    <t>1-01-02-02-078</t>
  </si>
  <si>
    <t>1-01-02-03-001</t>
  </si>
  <si>
    <t>1-01-02-03-003</t>
  </si>
  <si>
    <t>1-01-02-03-008</t>
  </si>
  <si>
    <t>1-01-02-03-011</t>
  </si>
  <si>
    <t>1-01-02-03-013</t>
  </si>
  <si>
    <t>1-01-02-03-015</t>
  </si>
  <si>
    <t>1-01-02-03-017</t>
  </si>
  <si>
    <t>1-01-02-03-020</t>
  </si>
  <si>
    <t>1-01-02-03-033</t>
  </si>
  <si>
    <t>1-01-02-03-040</t>
  </si>
  <si>
    <t>1-01-02-03-041</t>
  </si>
  <si>
    <t>1-01-02-03-087</t>
  </si>
  <si>
    <t>1-01-02-03-116</t>
  </si>
  <si>
    <t>1-01-02-04-001</t>
  </si>
  <si>
    <t>1-01-02-04-002</t>
  </si>
  <si>
    <t>1-01-02-05-003</t>
  </si>
  <si>
    <t>1-02-02-01-001</t>
  </si>
  <si>
    <t>1-02-02-02-001</t>
  </si>
  <si>
    <t>1-02-02-02-002</t>
  </si>
  <si>
    <t>1-02-02-03-001</t>
  </si>
  <si>
    <t>1-02-02-03-002</t>
  </si>
  <si>
    <t>1-02-02-04-001</t>
  </si>
  <si>
    <t>1-02-02-04-002</t>
  </si>
  <si>
    <t>1-02-02-05-001</t>
  </si>
  <si>
    <t>1-02-02-05-002</t>
  </si>
  <si>
    <t>1-02-02-06-001</t>
  </si>
  <si>
    <t>1-02-02-06-002</t>
  </si>
  <si>
    <t>1-02-02-07-001</t>
  </si>
  <si>
    <t>1-02-02-07-002</t>
  </si>
  <si>
    <t>1-02-02-07-003</t>
  </si>
  <si>
    <t>1-02-02-07-004</t>
  </si>
  <si>
    <t>1-02-02-08-001</t>
  </si>
  <si>
    <t>1-02-02-08-002</t>
  </si>
  <si>
    <t>1-02-02-09-001</t>
  </si>
  <si>
    <t>1-02-02-09-002</t>
  </si>
  <si>
    <t>2-01-01-01-010</t>
  </si>
  <si>
    <t>2-01-01-01-023</t>
  </si>
  <si>
    <t>2-01-01-01-025</t>
  </si>
  <si>
    <t>2-01-01-01-026</t>
  </si>
  <si>
    <t>2-01-01-01-030</t>
  </si>
  <si>
    <t>2-01-01-01-031</t>
  </si>
  <si>
    <t>2-01-01-01-033</t>
  </si>
  <si>
    <t>2-01-01-01-034</t>
  </si>
  <si>
    <t>2-01-01-01-036</t>
  </si>
  <si>
    <t>2-01-01-01-037</t>
  </si>
  <si>
    <t>2-01-01-01-038</t>
  </si>
  <si>
    <t>2-01-01-01-040</t>
  </si>
  <si>
    <t>2-01-01-02-001</t>
  </si>
  <si>
    <t>2-01-01-02-008</t>
  </si>
  <si>
    <t>2-01-01-02-016</t>
  </si>
  <si>
    <t>2-01-01-02-017</t>
  </si>
  <si>
    <t>2-01-01-02-019</t>
  </si>
  <si>
    <t>2-01-01-02-020</t>
  </si>
  <si>
    <t>2-01-01-02-021</t>
  </si>
  <si>
    <t>2-01-01-02-022</t>
  </si>
  <si>
    <t>2-01-01-02-026</t>
  </si>
  <si>
    <t>2-01-01-02-027</t>
  </si>
  <si>
    <t>2-01-01-02-029</t>
  </si>
  <si>
    <t>2-01-01-02-031</t>
  </si>
  <si>
    <t>2-01-01-02-033</t>
  </si>
  <si>
    <t>2-01-01-02-035</t>
  </si>
  <si>
    <t>2-01-01-02-037</t>
  </si>
  <si>
    <t>2-01-02-01-001</t>
  </si>
  <si>
    <t>2-01-02-01-004</t>
  </si>
  <si>
    <t>2-01-02-01-005</t>
  </si>
  <si>
    <t>2-01-02-01-011</t>
  </si>
  <si>
    <t>2-01-02-01-015</t>
  </si>
  <si>
    <t>2-01-02-01-016</t>
  </si>
  <si>
    <t>2-01-02-02-001</t>
  </si>
  <si>
    <t>2-01-02-02-002</t>
  </si>
  <si>
    <t>2-01-02-02-004</t>
  </si>
  <si>
    <t>2-01-03-01-002</t>
  </si>
  <si>
    <t>2-02-01-01-001</t>
  </si>
  <si>
    <t>2-02-01-01-02</t>
  </si>
  <si>
    <t>3-01-01-01-001</t>
  </si>
  <si>
    <t>3-01-01-01-002</t>
  </si>
  <si>
    <t>3-01-01-01-003</t>
  </si>
  <si>
    <t>3-01-01-01-004</t>
  </si>
  <si>
    <t>3-01-01-01-005</t>
  </si>
  <si>
    <t>3-01-01-01-006</t>
  </si>
  <si>
    <t>3-01-01-01-007</t>
  </si>
  <si>
    <t>3-01-01-01-008</t>
  </si>
  <si>
    <t>3-01-01-01-009</t>
  </si>
  <si>
    <t>3-01-01-01-010</t>
  </si>
  <si>
    <t>3-01-01-01-011</t>
  </si>
  <si>
    <t>3-01-01-01-012</t>
  </si>
  <si>
    <t>4-02-01-01-001</t>
  </si>
  <si>
    <t>4-02-02-01-001</t>
  </si>
  <si>
    <t>4-03-01-01-001</t>
  </si>
  <si>
    <t>4-03-01-01-002</t>
  </si>
  <si>
    <t>4-03-01-01-004</t>
  </si>
  <si>
    <t>4-03-01-01-006</t>
  </si>
  <si>
    <t>4-03-01-02-030</t>
  </si>
  <si>
    <t>4-03-01-02-034</t>
  </si>
  <si>
    <t>4-03-01-02-037</t>
  </si>
  <si>
    <t>4-03-01-02-042</t>
  </si>
  <si>
    <t>4-03-01-06-001</t>
  </si>
  <si>
    <t>4-04-01-01-007</t>
  </si>
  <si>
    <t>5-01-01-01-001</t>
  </si>
  <si>
    <t>5-01-01-01-002</t>
  </si>
  <si>
    <t>5-01-01-02-001</t>
  </si>
  <si>
    <t>5-01-01-02-002</t>
  </si>
  <si>
    <t>5-01-01-02-003</t>
  </si>
  <si>
    <t>5-01-01-02-004</t>
  </si>
  <si>
    <t>5-01-01-03-001</t>
  </si>
  <si>
    <t>5-01-01-03-002</t>
  </si>
  <si>
    <t>5-01-01-04-001</t>
  </si>
  <si>
    <t>5-01-01-04-002</t>
  </si>
  <si>
    <t>5-01-01-04-003</t>
  </si>
  <si>
    <t>5-01-01-04-004</t>
  </si>
  <si>
    <t>5-01-01-04-006</t>
  </si>
  <si>
    <t>5-01-01-06-001</t>
  </si>
  <si>
    <t>5-01-01-06-002</t>
  </si>
  <si>
    <t>5-01-01-06-003</t>
  </si>
  <si>
    <t>5-01-01-06-004</t>
  </si>
  <si>
    <t>5-01-01-06-005</t>
  </si>
  <si>
    <t>5-01-01-06-006</t>
  </si>
  <si>
    <t>5-01-01-06-007</t>
  </si>
  <si>
    <t>5-01-01-06-008</t>
  </si>
  <si>
    <t>5-01-01-06-012</t>
  </si>
  <si>
    <t>5-01-01-07-001</t>
  </si>
  <si>
    <t>5-01-01-07-003</t>
  </si>
  <si>
    <t>5-01-01-07-004</t>
  </si>
  <si>
    <t>5-01-01-08-003</t>
  </si>
  <si>
    <t>5-01-01-08-004</t>
  </si>
  <si>
    <t>5-01-01-08-006</t>
  </si>
  <si>
    <t>5-01-01-09-001</t>
  </si>
  <si>
    <t>5-01-01-10-001</t>
  </si>
  <si>
    <t>5-01-01-10-002</t>
  </si>
  <si>
    <t>5-01-01-10-003</t>
  </si>
  <si>
    <t>5-01-01-10-004</t>
  </si>
  <si>
    <t>5-01-01-10-005</t>
  </si>
  <si>
    <t>5-01-01-10-007</t>
  </si>
  <si>
    <t>5-01-01-12-001</t>
  </si>
  <si>
    <t>5-01-02-06-012</t>
  </si>
  <si>
    <t>5-01-02-06-036</t>
  </si>
  <si>
    <t>5-01-02-07-005</t>
  </si>
  <si>
    <t>5-01-02-07-013</t>
  </si>
  <si>
    <t>5-01-02-07-014</t>
  </si>
  <si>
    <t>5-01-02-07-023</t>
  </si>
  <si>
    <t>5-01-02-07-036</t>
  </si>
  <si>
    <t>5-01-02-07-040</t>
  </si>
  <si>
    <t>5-01-02-07-047</t>
  </si>
  <si>
    <t>5-01-02-07-048</t>
  </si>
  <si>
    <t>5-01-02-48-001</t>
  </si>
  <si>
    <t>5-01-02-48-002</t>
  </si>
  <si>
    <t>5-01-02-48-004</t>
  </si>
  <si>
    <t>5-01-02-48-005</t>
  </si>
  <si>
    <t>5-01-02-48-008</t>
  </si>
  <si>
    <t>5-01-02-48-009</t>
  </si>
  <si>
    <t>5-01-02-48-010</t>
  </si>
  <si>
    <t>5-01-02-48-011</t>
  </si>
  <si>
    <t>5-01-02-48-012</t>
  </si>
  <si>
    <t>5-01-02-48-013</t>
  </si>
  <si>
    <t>5-01-02-48-014</t>
  </si>
  <si>
    <t>5-01-02-49-014</t>
  </si>
  <si>
    <t>5-01-02-49-016</t>
  </si>
  <si>
    <t>5-01-02-49-017</t>
  </si>
  <si>
    <t>5-01-02-51-002</t>
  </si>
  <si>
    <t>5-01-02-57-009</t>
  </si>
  <si>
    <t>5-01-02-58-001</t>
  </si>
  <si>
    <t>5-01-02-59-001</t>
  </si>
  <si>
    <t>5-01-02-61-001</t>
  </si>
  <si>
    <t>5-01-02-62-002</t>
  </si>
  <si>
    <t>5-01-02-62-004</t>
  </si>
  <si>
    <t>5-01-02-62-005</t>
  </si>
  <si>
    <t>5-01-02-62-006</t>
  </si>
  <si>
    <t>5-01-02-62-007</t>
  </si>
  <si>
    <t>5-01-02-62-008</t>
  </si>
  <si>
    <t>5-01-02-62-009</t>
  </si>
  <si>
    <t>5-01-02-62-010</t>
  </si>
  <si>
    <t>5-01-02-62-011</t>
  </si>
  <si>
    <t>5-01-02-62-012</t>
  </si>
  <si>
    <t>5-01-02-62-013</t>
  </si>
  <si>
    <t>5-01-02-62-014</t>
  </si>
  <si>
    <t>5-01-02-62-015</t>
  </si>
  <si>
    <t>5-01-02-62-017</t>
  </si>
  <si>
    <t>5-01-02-62-018</t>
  </si>
  <si>
    <t>5-01-02-62-019</t>
  </si>
  <si>
    <t>5-01-02-63-001</t>
  </si>
  <si>
    <t>Title</t>
  </si>
  <si>
    <t>Movement during the year</t>
  </si>
  <si>
    <t>Closing balance</t>
  </si>
  <si>
    <t>Closing balance after adjustments</t>
  </si>
  <si>
    <t>FSL1</t>
  </si>
  <si>
    <t>FSL2</t>
  </si>
  <si>
    <t>FSL3</t>
  </si>
  <si>
    <t>Account Code</t>
  </si>
  <si>
    <t>Sum of Credit5</t>
  </si>
  <si>
    <t>Sum of Net Balance</t>
  </si>
  <si>
    <t>Sum of Debit5</t>
  </si>
  <si>
    <t>Amortisation expense</t>
  </si>
  <si>
    <t>Accumulated Amortisaltion</t>
  </si>
  <si>
    <t>Posted</t>
  </si>
  <si>
    <t>Interest Expense</t>
  </si>
  <si>
    <t>Accrued Expense</t>
  </si>
  <si>
    <t>At June 30, 2020</t>
  </si>
  <si>
    <t>Assets-Addition to Electrical Installation</t>
  </si>
  <si>
    <t>Fully depreciated Assest- Write off</t>
  </si>
  <si>
    <t>Acc Depreciation</t>
  </si>
  <si>
    <t>Assest-Elec Installation</t>
  </si>
  <si>
    <t>Legal and Professional expense</t>
  </si>
  <si>
    <t>JV-20-06-0016</t>
  </si>
  <si>
    <t>S.No</t>
  </si>
  <si>
    <t>Particulars</t>
  </si>
  <si>
    <t>Finance lease payable</t>
  </si>
  <si>
    <t>Fund</t>
  </si>
  <si>
    <t>Pakistan Labour Trust-Loan</t>
  </si>
  <si>
    <t>Piler</t>
  </si>
  <si>
    <t>Open society</t>
  </si>
  <si>
    <t>Bank</t>
  </si>
  <si>
    <t>FLO</t>
  </si>
  <si>
    <t>LEGAL &amp; PROFESSIONAL FEE</t>
  </si>
  <si>
    <t>PILER</t>
  </si>
  <si>
    <t>To record Legal &amp; professional fee against PILER income tax return filling charges 2017-208</t>
  </si>
  <si>
    <t>ACCURED EXPENSES</t>
  </si>
  <si>
    <t>ADVANCE TO PERVEZ</t>
  </si>
  <si>
    <t>WORKSHOP &amp; TRAINING</t>
  </si>
  <si>
    <t>COMPUTER REPAIR &amp; MAINTENANCE</t>
  </si>
  <si>
    <t>TRANSPORTATION EXPENSE</t>
  </si>
  <si>
    <t>MISC. EXPENSES</t>
  </si>
  <si>
    <t>CLEANING &amp; LAUNDRY</t>
  </si>
  <si>
    <t>VEHICLE FUEL EXPENSE</t>
  </si>
  <si>
    <t>PEACE SEMINAR ACTIVITIES</t>
  </si>
  <si>
    <t>VEHICLE REPAIR &amp; MAINTENANCE</t>
  </si>
  <si>
    <t>VEHICLE TOLL TAX</t>
  </si>
  <si>
    <t>JV - 20-06-0017</t>
  </si>
  <si>
    <t>JV - 20-06-0018</t>
  </si>
  <si>
    <t>JV - 19-07-0048</t>
  </si>
  <si>
    <t>5-01-02-56-005</t>
  </si>
  <si>
    <t>DAI-KCD015-Finance and admin officer</t>
  </si>
  <si>
    <t>DAI</t>
  </si>
  <si>
    <t>REC / PAY WITH DAI KCD015</t>
  </si>
  <si>
    <t>EOBI CONTRIBUTIONS</t>
  </si>
  <si>
    <t>5-01-02-57-005</t>
  </si>
  <si>
    <t>DAI-KCD031-Finance officer</t>
  </si>
  <si>
    <t>5-01-02-56-007</t>
  </si>
  <si>
    <t>DAI-KCD015-Reporting and communication officer</t>
  </si>
  <si>
    <t>5-01-02-56-004</t>
  </si>
  <si>
    <t>DAI-KCD015-Program Associate</t>
  </si>
  <si>
    <t>5-01-02-56-006</t>
  </si>
  <si>
    <t>DAI-KCD015- Social mobilizer</t>
  </si>
  <si>
    <t>STAFF INCOME TAX WITHHOLD</t>
  </si>
  <si>
    <t>EOBI PAYABLE</t>
  </si>
  <si>
    <t>STAFF LUNCH CONTRIBUTION</t>
  </si>
  <si>
    <t>PAYABLE TO PILER OWN</t>
  </si>
  <si>
    <t>SALARIES PAYABLE</t>
  </si>
  <si>
    <t>JV - 19-09-0019</t>
  </si>
  <si>
    <t>JV - 19-08-0005</t>
  </si>
  <si>
    <t>Cost Center</t>
  </si>
  <si>
    <t>TDH &amp; MI</t>
  </si>
  <si>
    <t>TAF</t>
  </si>
  <si>
    <t>Trocaire</t>
  </si>
  <si>
    <t>Deezire</t>
  </si>
  <si>
    <t>ICCO Pak</t>
  </si>
  <si>
    <t>TDH Pak</t>
  </si>
  <si>
    <t>short projects</t>
  </si>
  <si>
    <t>Unicef</t>
  </si>
  <si>
    <t>ETI</t>
  </si>
  <si>
    <t>TDH</t>
  </si>
  <si>
    <t>UNICEF-2</t>
  </si>
  <si>
    <t>Open Society</t>
  </si>
  <si>
    <t>ICCO</t>
  </si>
  <si>
    <t>RRCCHR</t>
  </si>
  <si>
    <t>UNICEF-3</t>
  </si>
  <si>
    <t>FOSI</t>
  </si>
  <si>
    <t>FNV</t>
  </si>
  <si>
    <t>Unrecorded Salaries</t>
  </si>
  <si>
    <t>Reversal of expenses over recorded</t>
  </si>
  <si>
    <t>`</t>
  </si>
  <si>
    <t>2-01-01-02-033 - PLT LOAN PAYABLE</t>
  </si>
  <si>
    <t>1-01-02-02-078-Rec / Pay with Covid-19 Relief</t>
  </si>
  <si>
    <t>1-01-02-02-001-R/A-PAKISTAN LABOUR TRUST(PLT)</t>
  </si>
  <si>
    <t>1-01-02-02-006-RECEIVABLE FROM PILER OWN</t>
  </si>
  <si>
    <t>liability</t>
  </si>
  <si>
    <t>inter project balance</t>
  </si>
  <si>
    <t>Supports</t>
  </si>
  <si>
    <t>Voucher no</t>
  </si>
  <si>
    <t>PLT</t>
  </si>
  <si>
    <t>OS</t>
  </si>
  <si>
    <t xml:space="preserve">OS </t>
  </si>
  <si>
    <t>Donation in Kind</t>
  </si>
  <si>
    <t>Pakistan Inst. of Labour Edu &amp; Research</t>
  </si>
  <si>
    <t xml:space="preserve">Six Column Trial Balance </t>
  </si>
  <si>
    <t>Account Description</t>
  </si>
  <si>
    <t>FSL 4</t>
  </si>
  <si>
    <t>Cost center</t>
  </si>
  <si>
    <t>Opening Balance</t>
  </si>
  <si>
    <t>Current Activity</t>
  </si>
  <si>
    <t>Closing Balance</t>
  </si>
  <si>
    <t>Balance Sheet</t>
  </si>
  <si>
    <t>Cash And Bank Balances</t>
  </si>
  <si>
    <t>Cash With Banks In Current/Pls Accounts</t>
  </si>
  <si>
    <t>Bank Small Pr-0081-004762-07-6</t>
  </si>
  <si>
    <t>SHORT PROJECTS</t>
  </si>
  <si>
    <t>Receivable From Trocaire-Mlrrs</t>
  </si>
  <si>
    <t>Loans, Advances, Deposits, Prepayments And Receivables</t>
  </si>
  <si>
    <t>Other Receivables</t>
  </si>
  <si>
    <t>Receivable From Icco Proj-Thsw</t>
  </si>
  <si>
    <t>Receivable From Taf</t>
  </si>
  <si>
    <t>Rec / Pay With Civic Charter</t>
  </si>
  <si>
    <t>R/A-Pakistan Labour Trust(Plt)</t>
  </si>
  <si>
    <t>1-01-02-02-001-R/A-Pakistan Labour Trust(Plt)Deezire</t>
  </si>
  <si>
    <t>Short Term Liabilities</t>
  </si>
  <si>
    <t>1-01-02-02-001-R/A-Pakistan Labour Trust(Plt)Open Society</t>
  </si>
  <si>
    <t>Security Depopsit</t>
  </si>
  <si>
    <t>Others Receivable</t>
  </si>
  <si>
    <t>Receivable From Piler Own</t>
  </si>
  <si>
    <t>Receivable From Tdh-Mi</t>
  </si>
  <si>
    <t>Receivable From Unicef</t>
  </si>
  <si>
    <t>Receivable From Dezaire</t>
  </si>
  <si>
    <t>Receivable From Idrc</t>
  </si>
  <si>
    <t>Rec / Pay With Tdh</t>
  </si>
  <si>
    <t>Receivable From Solidarity Cen</t>
  </si>
  <si>
    <t>Receivable From Khadim Hussain</t>
  </si>
  <si>
    <t>Rec / Pay With Kyi</t>
  </si>
  <si>
    <t>Rec / Pay With Fes</t>
  </si>
  <si>
    <t>Rec / Pay With Kios</t>
  </si>
  <si>
    <t>Rec / Pay Amrc</t>
  </si>
  <si>
    <t>Rec / Pay Bci</t>
  </si>
  <si>
    <t>Rec / Pay With Hbs</t>
  </si>
  <si>
    <t>1-01-02-02-046</t>
  </si>
  <si>
    <t>Rec / Pay With Afwm</t>
  </si>
  <si>
    <t>Rec / Pay With Tsww</t>
  </si>
  <si>
    <t>Rec / Pay Wow</t>
  </si>
  <si>
    <t>Rec / Pay Dst</t>
  </si>
  <si>
    <t>Rec / Pay With Dai</t>
  </si>
  <si>
    <t>Rec / Pay Unicef</t>
  </si>
  <si>
    <t>Rec / Pay Actionaid</t>
  </si>
  <si>
    <t>Rec / Pay With Rrcchr</t>
  </si>
  <si>
    <t>Rec / Pay With Dp World Port Qasim</t>
  </si>
  <si>
    <t>Rec / Pay With Open Society</t>
  </si>
  <si>
    <t>Rec / Pay With Eti</t>
  </si>
  <si>
    <t>Rec / Pay With Network Ccc South Asia</t>
  </si>
  <si>
    <t>Rec / Pay With Fosi</t>
  </si>
  <si>
    <t>Rec / Pay With Ibp</t>
  </si>
  <si>
    <t>Rec / Pay With Fnv</t>
  </si>
  <si>
    <t>Rec / Pay With Dai Kcd015</t>
  </si>
  <si>
    <t>Rec / Pay With Dai Kcd031</t>
  </si>
  <si>
    <t>Rec / Pay With Ccc</t>
  </si>
  <si>
    <t>Rec / Pay With Eti-Dfid</t>
  </si>
  <si>
    <t>Rec / Pay With Avaaz</t>
  </si>
  <si>
    <t>Rec / Pay National Labour Council</t>
  </si>
  <si>
    <t>Rec / Pay With Covid-19 Relief</t>
  </si>
  <si>
    <t>1-01-02-02-079</t>
  </si>
  <si>
    <t>Rec / Pay With Network Matter</t>
  </si>
  <si>
    <t>1-01-02-02-080</t>
  </si>
  <si>
    <t>Rec / Pay With Osf- Impact Of Covid-19</t>
  </si>
  <si>
    <t>1-01-02-02-081</t>
  </si>
  <si>
    <t>Rec / Pay With Dai Kcd 115</t>
  </si>
  <si>
    <t>1-01-02-02-081-Rec / Pay With Dai Kcd 115Open Society</t>
  </si>
  <si>
    <t>Advance Against Activities</t>
  </si>
  <si>
    <t>Advance To Khadim Hussain</t>
  </si>
  <si>
    <t>Advance To Pervez</t>
  </si>
  <si>
    <t>Advance To Danish Siddiqui</t>
  </si>
  <si>
    <t>Advance To Abbas Haider</t>
  </si>
  <si>
    <t>Advance To Zameer Awan</t>
  </si>
  <si>
    <t>Advance Against Salaries</t>
  </si>
  <si>
    <t>Staff Loan</t>
  </si>
  <si>
    <t>1-01-02-04-005</t>
  </si>
  <si>
    <t>Advance To Hikmat Ali</t>
  </si>
  <si>
    <t>Leasehold Land</t>
  </si>
  <si>
    <t>Building On Leasehold Land</t>
  </si>
  <si>
    <t>Acc Dep - Building On Leasehold Land</t>
  </si>
  <si>
    <t>Acc Dep - Electrical Installations</t>
  </si>
  <si>
    <t>Acc Dep - Other Equipments</t>
  </si>
  <si>
    <t>Furniture &amp; Fixtures</t>
  </si>
  <si>
    <t>Furniture And Fixture</t>
  </si>
  <si>
    <t>Acc Dep - Furniture And Fixture</t>
  </si>
  <si>
    <t>Computer Equipments</t>
  </si>
  <si>
    <t>Acc Dep - Computer Equipments</t>
  </si>
  <si>
    <t>Ammortization Of Software Lics</t>
  </si>
  <si>
    <t>Accumulated Amortisation</t>
  </si>
  <si>
    <t>Accrued, Payables And Other Liabilities</t>
  </si>
  <si>
    <t>Accrued Expenses</t>
  </si>
  <si>
    <t>Payable To Solidarity</t>
  </si>
  <si>
    <t>Other Liabilities</t>
  </si>
  <si>
    <t>Payable To Idrc</t>
  </si>
  <si>
    <t>Iuf - Qamar Ul Hasan &amp; M Usman</t>
  </si>
  <si>
    <t>2-01-01-02-008-Iuf - Qamar Ul Hasan &amp; M Usmanpiler</t>
  </si>
  <si>
    <t>Payable To Trocaire-Mlrrs</t>
  </si>
  <si>
    <t>Payable To Piler Own</t>
  </si>
  <si>
    <t>Payable To Unicef</t>
  </si>
  <si>
    <t>Payable To Tdh-Mi</t>
  </si>
  <si>
    <t>Payable To Icco Project-Thsw</t>
  </si>
  <si>
    <t>Payable To Khadim</t>
  </si>
  <si>
    <t>Payable To Taf</t>
  </si>
  <si>
    <t>Payable To Dezaire</t>
  </si>
  <si>
    <t>Staff Income Tax Withhold</t>
  </si>
  <si>
    <t>Sales Tax Withhold</t>
  </si>
  <si>
    <t>Liabilities Against Assets Subject To Finance Lease</t>
  </si>
  <si>
    <t>Lease Payable</t>
  </si>
  <si>
    <t>Fund Balance</t>
  </si>
  <si>
    <t>Promoting Fund Balance</t>
  </si>
  <si>
    <t>Tdh-Mi Fund Balance</t>
  </si>
  <si>
    <t>Trocaire Fund Balance</t>
  </si>
  <si>
    <t>Tdh Pak Fund Balance</t>
  </si>
  <si>
    <t>Icco Pak Fund Balance</t>
  </si>
  <si>
    <t>Taf Fund Balance</t>
  </si>
  <si>
    <t>Icco Project Fund Balance</t>
  </si>
  <si>
    <t>Short Term Fund Balance</t>
  </si>
  <si>
    <t>Tdh Fund Balance</t>
  </si>
  <si>
    <t>Osf-Fund Balance</t>
  </si>
  <si>
    <t>Profit and Loss</t>
  </si>
  <si>
    <t xml:space="preserve">Other Income </t>
  </si>
  <si>
    <t>Hostel And Hall Income</t>
  </si>
  <si>
    <t>Income From Donations</t>
  </si>
  <si>
    <t>4-03-01-02-044</t>
  </si>
  <si>
    <t>4-04-01-01-001</t>
  </si>
  <si>
    <t>Other Income</t>
  </si>
  <si>
    <t>Administrative And General Expenses</t>
  </si>
  <si>
    <t>Salary, Wages And Benefits</t>
  </si>
  <si>
    <t>Electricity, Gas And Water</t>
  </si>
  <si>
    <t>Travelling, Vehicle And Generator Fuel</t>
  </si>
  <si>
    <t>Vehicle Maintenance</t>
  </si>
  <si>
    <t>General Maintenance</t>
  </si>
  <si>
    <t>Equipment Repair Maintenance</t>
  </si>
  <si>
    <t>Vehicle Insurance</t>
  </si>
  <si>
    <t>Postage And Internet</t>
  </si>
  <si>
    <t>Stationery, Photocopies And Materials</t>
  </si>
  <si>
    <t>Operating Costs</t>
  </si>
  <si>
    <t>Piler Program Activities : Peace / Labor Related Seminars &amp; Conferences Activities</t>
  </si>
  <si>
    <t>5-01-01-06-009</t>
  </si>
  <si>
    <t>Advertising &amp; Publication Exp</t>
  </si>
  <si>
    <t>Advertising And Publication Expenses</t>
  </si>
  <si>
    <t>Legal And Professional Charges</t>
  </si>
  <si>
    <t>5-01-01-07-002</t>
  </si>
  <si>
    <t>Auditor Remunerations</t>
  </si>
  <si>
    <t>Salary, Wages And Benefits: Staff Welfare</t>
  </si>
  <si>
    <t>Bank Charges</t>
  </si>
  <si>
    <t>Financial Charges</t>
  </si>
  <si>
    <t>Depreciation Expenses</t>
  </si>
  <si>
    <t>Depreciaton Exp</t>
  </si>
  <si>
    <t>5-01-01-10-006</t>
  </si>
  <si>
    <t>5-01-01-10-009</t>
  </si>
  <si>
    <t>Amortisation Expenses</t>
  </si>
  <si>
    <t>5-01-01-11-001</t>
  </si>
  <si>
    <t>Income Tax Expenses</t>
  </si>
  <si>
    <t>5-01-01-12-002</t>
  </si>
  <si>
    <t>Garden &amp; Ground Upkeep</t>
  </si>
  <si>
    <t>Salary, Wages And Benefits:</t>
  </si>
  <si>
    <t>Salary, Wages And Benefits: Research, Education And Training</t>
  </si>
  <si>
    <t>Ngo Overhead</t>
  </si>
  <si>
    <t>Overhead</t>
  </si>
  <si>
    <t>5-01-02-69-001</t>
  </si>
  <si>
    <t>5-01-02-69-002</t>
  </si>
  <si>
    <t>Glj-Ilrf:</t>
  </si>
  <si>
    <t>5-01-02-69-003</t>
  </si>
  <si>
    <t>Advertising and publication expenses</t>
  </si>
  <si>
    <t>Vehicle rental income</t>
  </si>
  <si>
    <t>Adjustments:</t>
  </si>
  <si>
    <t>S.No.</t>
  </si>
  <si>
    <t>Intangibles</t>
  </si>
  <si>
    <t>Account code</t>
  </si>
  <si>
    <t>CC</t>
  </si>
  <si>
    <t>Executives</t>
  </si>
  <si>
    <t>--------------- Rupees -------------</t>
  </si>
  <si>
    <t>Lease liabilities</t>
  </si>
  <si>
    <t>Current portion of lease liabilities</t>
  </si>
  <si>
    <t>BASIS OF PREPARATION</t>
  </si>
  <si>
    <t>Project: Global Labor Justice - International Labor Rights Forum-AFW</t>
  </si>
  <si>
    <t>Project: Impact of Covid-19 on Textile Workers</t>
  </si>
  <si>
    <t>Project:  Increased advocacy to reduce impact of COVID-19 on vulnerable workers in Pakistan</t>
  </si>
  <si>
    <t>Project: GSP+ Platform</t>
  </si>
  <si>
    <t>1-01-02-05-001</t>
  </si>
  <si>
    <t>2-01-02-01-009</t>
  </si>
  <si>
    <t>5-01-01-04-005</t>
  </si>
  <si>
    <t>5-01-02-69-006</t>
  </si>
  <si>
    <t>5-01-02-69-008</t>
  </si>
  <si>
    <t>5-01-02-69-013</t>
  </si>
  <si>
    <t>Staff Overtime</t>
  </si>
  <si>
    <t>Peace Seminar Activities</t>
  </si>
  <si>
    <t>Memorial Programmes</t>
  </si>
  <si>
    <t>National Labour Council.</t>
  </si>
  <si>
    <t>Glj-Ilrf:Meetings</t>
  </si>
  <si>
    <t>Glj-Ilrf: Translation Of Interview Guide In Urdu</t>
  </si>
  <si>
    <t>Glj-Ilrf: Consumption Survey</t>
  </si>
  <si>
    <t>Adjusted Closing Balance</t>
  </si>
  <si>
    <t>Net balance</t>
  </si>
  <si>
    <t>Amount</t>
  </si>
  <si>
    <t>Sum of Amount</t>
  </si>
  <si>
    <t>Gain on disposal of property and equipment</t>
  </si>
  <si>
    <t>An intangible asset is recognised if it is probable that the future economic benefits that are attributable to the asset will flow to the Company and that the cost of such asset can also be measured reliably.</t>
  </si>
  <si>
    <t>Generally, costs associated with developing or maintaining computer software programmes are recognised as an expense as incurred. However, costs that are directly associated with identifiable software and have probable economic benefits exceeding one year, are recognised as an intangible asset. Direct costs include the purchase cost of software and related overhead cost. Intangible assets acquired separately are measured on initial recognition at cost. Following initial recognition, intangible assets are carried at cost less accumulated amortisation and accumulated impairment losses, if any.</t>
  </si>
  <si>
    <t>The income of the institute is subject to 100% tax credit under section 100C to the Income Tax Ordinance, 2001.</t>
  </si>
  <si>
    <t>Right of use</t>
  </si>
  <si>
    <t xml:space="preserve">The preparation of these financial statements is in conformity with approved accounting standards requires the use of certain critical accounting estimates. It also requires management to exercise its judgement in the process of applying the company's accounting policies. </t>
  </si>
  <si>
    <t>1-01-02-02-082</t>
  </si>
  <si>
    <t>1-01-02-03-068</t>
  </si>
  <si>
    <t>4-03-01-02-045</t>
  </si>
  <si>
    <t>5-01-02-69-007</t>
  </si>
  <si>
    <t>5-01-02-69-015</t>
  </si>
  <si>
    <t>5-01-02-69-017</t>
  </si>
  <si>
    <t>5-01-02-74-001</t>
  </si>
  <si>
    <t>5-01-02-74-002</t>
  </si>
  <si>
    <t>5-01-02-74-003</t>
  </si>
  <si>
    <t>5-01-02-74-004</t>
  </si>
  <si>
    <t>5-01-02-74-005</t>
  </si>
  <si>
    <t>5-01-02-74-015</t>
  </si>
  <si>
    <t>Rec / Pay with GRC</t>
  </si>
  <si>
    <t>ADVANCE TO KARAMAT ALI</t>
  </si>
  <si>
    <t>ADVANCE TO ABIDA ALI</t>
  </si>
  <si>
    <t>Donation from Global Rights Compliance</t>
  </si>
  <si>
    <t>OFFICE RENTAL INCOME</t>
  </si>
  <si>
    <t>GENERATOR FUEL EXPENSE</t>
  </si>
  <si>
    <t>GLJ-ILRF:Global event interpreter</t>
  </si>
  <si>
    <t>GLJ-ILRF: JEL trainings &amp; Natl seminars etc</t>
  </si>
  <si>
    <t>GLJ-ILRF: GBVH campaign</t>
  </si>
  <si>
    <t>GRC-1.1.1#Project Manager</t>
  </si>
  <si>
    <t>GRC-1.1.2# Finance Coordinator</t>
  </si>
  <si>
    <t>GRC-1.1.3# Project Coordinator</t>
  </si>
  <si>
    <t>GRC-6.3# Office Rent</t>
  </si>
  <si>
    <t>GRC-8.1.1# Baseline Assessment (development, implementation, analysis and reporting, recruitment and</t>
  </si>
  <si>
    <t>GRC-6.1.2#Paralegal trainer/facilitator</t>
  </si>
  <si>
    <t>GRC</t>
  </si>
  <si>
    <t>SHORT</t>
  </si>
  <si>
    <t>1-01-02-02-005-Others ReceivableGRC</t>
  </si>
  <si>
    <t>2-01-02-01-015-Eobi Payableshort</t>
  </si>
  <si>
    <t>For the year ended June 30, 2023</t>
  </si>
  <si>
    <t>Project: Global Rights Compliance</t>
  </si>
  <si>
    <t>.</t>
  </si>
  <si>
    <t>FCBTS-1.9 Overheads</t>
  </si>
  <si>
    <t>Unearned Income</t>
  </si>
  <si>
    <t>5-01-02-44-009</t>
  </si>
  <si>
    <t>Advances, deposits and other receivables</t>
  </si>
  <si>
    <t>Bank balances</t>
  </si>
  <si>
    <t>Accrued and other liabilities</t>
  </si>
  <si>
    <t>Total fund balance</t>
  </si>
  <si>
    <t>Increase in current liabilities</t>
  </si>
  <si>
    <t>Net cash inflow from investing activities</t>
  </si>
  <si>
    <t>Short term liabilities - net</t>
  </si>
  <si>
    <t>Lease liabilities - net</t>
  </si>
  <si>
    <t>Statement of compliance</t>
  </si>
  <si>
    <t>Trade and other payables</t>
  </si>
  <si>
    <t>Revenue recognition</t>
  </si>
  <si>
    <t xml:space="preserve">Off - setting </t>
  </si>
  <si>
    <t xml:space="preserve">Cash and cash equivalents </t>
  </si>
  <si>
    <t xml:space="preserve">Leasehold land </t>
  </si>
  <si>
    <t>Furniture and fixture</t>
  </si>
  <si>
    <t>Computer equipment</t>
  </si>
  <si>
    <t>ADVANCES, DEPOSITS AND OTHER RECEIVABLES</t>
  </si>
  <si>
    <t>BANK BALANCES</t>
  </si>
  <si>
    <t>Current accounts</t>
  </si>
  <si>
    <t>ACCRUED AND OTHER LIABILITIES</t>
  </si>
  <si>
    <t>PILER program activities : Peace / Labor related seminars &amp; Conferences activities</t>
  </si>
  <si>
    <t>Memorial programmes</t>
  </si>
  <si>
    <t>National Labour Council</t>
  </si>
  <si>
    <t>Chief executive and directors do not receive any remuneration from the Company.</t>
  </si>
  <si>
    <t>Provision for taxation</t>
  </si>
  <si>
    <t>Taxes paid</t>
  </si>
  <si>
    <t>Cash and cash equivalents comprise of balances with banks and cash in hand (if any).</t>
  </si>
  <si>
    <t>Amortization rate</t>
  </si>
  <si>
    <t>OPERATING COST</t>
  </si>
  <si>
    <t>Project activities / output</t>
  </si>
  <si>
    <t>NPO overheads</t>
  </si>
  <si>
    <t>Interest on lease liability</t>
  </si>
  <si>
    <t>Corresponding figures' have been re-classified / rearranged, wherever necessary for the purposes of comparison.</t>
  </si>
  <si>
    <t>RELATED PARTY TRANSACTIONS</t>
  </si>
  <si>
    <t>Related party comprises of associated company, holding company, companies with common directorship and key management personnel. Transaction of the Company with related parties and balance outstanding at the year end are as follows:</t>
  </si>
  <si>
    <t>Nature of relationship</t>
  </si>
  <si>
    <t>Nature of transaction / balance</t>
  </si>
  <si>
    <t>Loan received during the year</t>
  </si>
  <si>
    <t>Amount due at the year end</t>
  </si>
  <si>
    <t>Common Directorship</t>
  </si>
  <si>
    <t>Related party</t>
  </si>
  <si>
    <t>Balance as at July 01, 2022</t>
  </si>
  <si>
    <t>Balance as at June 30, 2024</t>
  </si>
  <si>
    <t>Year ended June 30, 2024</t>
  </si>
  <si>
    <t>At June 30, 2024</t>
  </si>
  <si>
    <t>1-01-02-02-083</t>
  </si>
  <si>
    <t>Rec / Pay with GRC Own</t>
  </si>
  <si>
    <t>1-01-02-03-122</t>
  </si>
  <si>
    <t>Advance to Home Net Pakistan</t>
  </si>
  <si>
    <t>1-01-02-03-123</t>
  </si>
  <si>
    <t>Advance against Expenses</t>
  </si>
  <si>
    <t>1-01-02-03-123Advance against Expenses</t>
  </si>
  <si>
    <t>1-01-02-03-124</t>
  </si>
  <si>
    <t>Advance to Sajid Ali</t>
  </si>
  <si>
    <t>2-01-02-01-012</t>
  </si>
  <si>
    <t xml:space="preserve"> STAFF LOAN PAYABLE</t>
  </si>
  <si>
    <t>2-01-02-02-003</t>
  </si>
  <si>
    <t>PROVISION FOR INCOME TAX</t>
  </si>
  <si>
    <t>3-01-01-01-013</t>
  </si>
  <si>
    <t>RCCHR FUND BALANCE</t>
  </si>
  <si>
    <t>5-01-02-07-006</t>
  </si>
  <si>
    <t>FOOD &amp; REFRESHMENT EXPENSES</t>
  </si>
  <si>
    <t>Food &amp; Refreshment Expenses</t>
  </si>
  <si>
    <t>5-01-02-69-019</t>
  </si>
  <si>
    <t>GLJ-ILRF:Women Leadership committee meeting</t>
  </si>
  <si>
    <t>5-01-02-69-020</t>
  </si>
  <si>
    <t>GLJ-ILRF:OBS-National AFWA Convening(Sep-2023)</t>
  </si>
  <si>
    <t>5-01-02-69-021</t>
  </si>
  <si>
    <t>GLJ-ILRF:GDW-Lawyer-Legal Breif</t>
  </si>
  <si>
    <t>5-01-02-69-022</t>
  </si>
  <si>
    <t>GLJ-ILRF : Field Cordinator</t>
  </si>
  <si>
    <t>5-01-02-69-032</t>
  </si>
  <si>
    <t>GLJ-ILRF : Wage struggle working group - 2</t>
  </si>
  <si>
    <t>5-01-02-69-036</t>
  </si>
  <si>
    <t>GLJ-ILRF : WLC meeting - 2</t>
  </si>
  <si>
    <t>5-01-02-74-006</t>
  </si>
  <si>
    <t>GRC-8.1.2 # Advocacy material develoment and distribution</t>
  </si>
  <si>
    <t>5-01-02-74-007</t>
  </si>
  <si>
    <t xml:space="preserve">GRC-8.1.3 # Training workshops   </t>
  </si>
  <si>
    <t>5-01-02-74-009</t>
  </si>
  <si>
    <t>GRC-8.2.2 # National travel for participants</t>
  </si>
  <si>
    <t>GRC-8.2.4 # National travel for participants</t>
  </si>
  <si>
    <t>5-01-02-74-012</t>
  </si>
  <si>
    <t>GRC-8.2.5 # Stationary &amp; material</t>
  </si>
  <si>
    <t>5-01-02-74-013</t>
  </si>
  <si>
    <t>GRC-Total Direct Costs</t>
  </si>
  <si>
    <t>Project: GLJ-ILRF : Wage struggle working group - 2</t>
  </si>
  <si>
    <t>Project: GRC-Total Direct Costs</t>
  </si>
  <si>
    <t>Difference of inter project balance</t>
  </si>
  <si>
    <t>Difference of TB</t>
  </si>
  <si>
    <t>Difference of fund balance - opening</t>
  </si>
  <si>
    <t>STATEMENT OF CASH FLOWS</t>
  </si>
  <si>
    <t>Decrease in current assets</t>
  </si>
  <si>
    <t>MATERIAL ACCOUNTING POLICIES INFORMATION</t>
  </si>
  <si>
    <t>Income tax expense comprises current, prior and deferred tax. Income tax expense is recognized in the statement of profit or loss except to the extent that it relates to item recognized directly in other comprehensive income in which case it is recognized in other comprehensive income.</t>
  </si>
  <si>
    <t>Current tax</t>
  </si>
  <si>
    <t xml:space="preserve">Provision for current tax is based on the taxable income for the year determined in accordance with the prevailing law for taxation of income. The charge for current tax is calculated using prevailing tax rates or tax rates expected to apply to the profit for the year if enacted. </t>
  </si>
  <si>
    <t>Prior tax</t>
  </si>
  <si>
    <t>The charge for prior tax includes adjustments where considered necessary, to provision for tax made in previous years arising from assessments framed during the year for such years.</t>
  </si>
  <si>
    <t>This represents final taxes paid under section 154A of Income Tax Ordinance (ITO, 2001) representing levy in terms of requirements of IFRIC - 21 / IAS - 37.</t>
  </si>
  <si>
    <t>This represents portion of minimum tax paid under section 113, 233 &amp; 153(1)(b) of Income Tax Ordinance (ITO, 2001),  representing levy in terms of requirements of IFRIC - 21 / IAS - 37.</t>
  </si>
  <si>
    <t>This represents current tax as specified under IAS-12 guidance issued by ICAP, after classifying portion of minimum tax as levy.</t>
  </si>
  <si>
    <t>Minimum tax differential</t>
  </si>
  <si>
    <t>Short term Liabilities</t>
  </si>
  <si>
    <t>RESTATEMENT</t>
  </si>
  <si>
    <t>Impact on statement of financial position</t>
  </si>
  <si>
    <t>As at June 30, 2023</t>
  </si>
  <si>
    <t xml:space="preserve">As previously reported </t>
  </si>
  <si>
    <t>Restatements</t>
  </si>
  <si>
    <t>As restated</t>
  </si>
  <si>
    <t>Impact on statement of Income and Expenditure</t>
  </si>
  <si>
    <t>Impact on statement of Changes in Net Assets</t>
  </si>
  <si>
    <t>Impact on statement of Cash Flows</t>
  </si>
  <si>
    <t>---------------------- Rupees ---------------------</t>
  </si>
  <si>
    <t>STATEMENT OF INCOME AND EXPENDITURE</t>
  </si>
  <si>
    <t>STATEMENT OF CHANGES IN NET ASSETS</t>
  </si>
  <si>
    <t>Deficit for the year ended June 30, 2024</t>
  </si>
  <si>
    <t xml:space="preserve">Pakistan Institute of Labour Education and Research (hereinafter referred to as the Institute or PILER), is a non-government and not for profit organization. It was established in the year 1982 and was registered under the Voluntary Social Welfare Agencies Ordinance 1961. The Institute has now incorporated as company limited by guarantee on 5th September 2012 under section 42 of the Companies Ordinance, 1984 (repealed by Companies Act, 2017). The Institute has been engaged in education, research, training and advocacy in the areas of labour rights and labour legislation, social justice and human development, regional solidarity and peace.  The registered office of Pakistan Institute of Labour Education and Research is 24GF+3HG, Sector X-6 Sector X Gulshan-e-Maymar, Karachi.                                                                                       </t>
  </si>
  <si>
    <t>Maintenance and normal repairs are charged to statement of income and expenditure as and when incurred. Major renewals and improvements are capitalized. Gain or loss on disposal of assets, if any, is included in statement of income and expenditure.</t>
  </si>
  <si>
    <t>Gains or losses arising from derecognition of an intangible asset are measured as the difference between the net disposal proceeds and the carrying amount of the asset and are recognised in the statement of income and expenditure when the asset is derecognized.</t>
  </si>
  <si>
    <t xml:space="preserve">A financial asset and a financial liability is offset and the net amount is reported in the statement of financial position if the Company has a legally enforceable right to set-off the recognised amounts and intends either to settle on net basis or to realize the assets and settle the liability simultaneously. </t>
  </si>
  <si>
    <t>Project: GLJ-ILRF: Women Leadership committee meeting</t>
  </si>
  <si>
    <t xml:space="preserve">Project: GRC-8.1.3 Training workshops   </t>
  </si>
  <si>
    <t>Project: GRC-8.2.4 National travel for participants</t>
  </si>
  <si>
    <t>Project: GRC-8.2.5 Stationary &amp; material</t>
  </si>
  <si>
    <t>Project: GLJ-ILRF: OBS-National AFWA Convening</t>
  </si>
  <si>
    <t>Equipment repair and maintenance</t>
  </si>
  <si>
    <t>The income tax returns of the Company have been filed up to tax year 2022 under the Universal Self Assessment Scheme. This scheme provides that the return filed is deemed to be an assessment order. The returns may be selected for audit within five years. The Income Tax Commissioner may amend assessment if any objection is raised during audit.</t>
  </si>
  <si>
    <t>Project: GLJ-ILRF : Field Coordinator</t>
  </si>
  <si>
    <t>Project: GRC-8.1.2 Advocacy material development and distribution</t>
  </si>
  <si>
    <t>GRC-8.1.2 # Advocacy material development and distribution</t>
  </si>
  <si>
    <t>(Inter project transfer of funds eliminated)</t>
  </si>
  <si>
    <t>SECP registration</t>
  </si>
  <si>
    <t>Restatement - Note 3.10</t>
  </si>
  <si>
    <t>This restatement occurred due to error from management in the previous year, where the liability of Pakistan Labour Trust amounting to Rs. 39,791,015 was mistakenly written-off.</t>
  </si>
  <si>
    <t>Deficit before income tax</t>
  </si>
  <si>
    <t>Surplus for the year ended June 30, 2023</t>
  </si>
  <si>
    <t>Surplus / (deficit) for the year ended June 30, 2023</t>
  </si>
  <si>
    <t>Surplus / (deficit) before taxation</t>
  </si>
  <si>
    <t>Amortisation is charged to the statement of income and expenditure applying the reducing balance method, whereby, the cost of intangible asset is written off over its useful economic life. The amortization rate of the intangible assets are stated in note 6 to these financial statements. Full month's amortisation is charged in the month of addition, whereas, amortisation on disposals is charged up to the preceding month of derecognition.</t>
  </si>
  <si>
    <t>However, the management believes that the adverse financial position will not affect the primary objectives of the company. Further, the major lender, who is also a related party due to common directorship, has also confirmed its financial commitment for future needs of the company.</t>
  </si>
  <si>
    <t>Accordingly, the company will be able to continue its operations in the foreseeable future.</t>
  </si>
  <si>
    <t>GLJ-ILRF: Women Leadership committee meeting</t>
  </si>
  <si>
    <t>GLJ-ILRF:GDW-Lawyer-Legal Brief</t>
  </si>
  <si>
    <t>GLJ-ILRF : Field Coordinator</t>
  </si>
  <si>
    <t>Project: GLJ-ILRF: GDW-Lawyer-Legal Brief</t>
  </si>
  <si>
    <t>On deletion</t>
  </si>
  <si>
    <t>FOR THE YEAR ENDED JUNE 30, 2025</t>
  </si>
  <si>
    <t>Balance as at July 01, 2023</t>
  </si>
  <si>
    <t>Balance as at June 30, 2025</t>
  </si>
  <si>
    <t>Year ended June 30, 2025</t>
  </si>
  <si>
    <t>At June 30, 2025</t>
  </si>
  <si>
    <t>4-03-01-08-001</t>
  </si>
  <si>
    <t>Donation from Labour Behind The Label</t>
  </si>
  <si>
    <t>4-03-01-08-001-Donation from Labour Behind The LabelPILER</t>
  </si>
  <si>
    <t>4-03-02-01-001</t>
  </si>
  <si>
    <t>Donation from American Bar association</t>
  </si>
  <si>
    <t>4-03-02-01-001-Donation from American Bar associationPILER</t>
  </si>
  <si>
    <t>4-04-01-01-009</t>
  </si>
  <si>
    <t>Closing Account Profit and Loss</t>
  </si>
  <si>
    <t>4-04-01-01-009-Closing Account Profit and LossPILER</t>
  </si>
  <si>
    <t>5-01-01-01-005</t>
  </si>
  <si>
    <t>STAFF GRATUITY EXPENSE</t>
  </si>
  <si>
    <t>5-01-01-01-005-STAFF GRATUITY EXPENSEPILER</t>
  </si>
  <si>
    <t>5-01-01-09-002</t>
  </si>
  <si>
    <t>BANK MARK-UP / INTEREST</t>
  </si>
  <si>
    <t>5-01-01-09-002-BANK MARK-UP / INTERESTPILER</t>
  </si>
  <si>
    <t>5-01-02-06-044</t>
  </si>
  <si>
    <t>BASIC UTENSILS &amp; COOKING STOVE</t>
  </si>
  <si>
    <t>5-01-02-06-044-BASIC UTENSILS &amp; COOKING STOVEPILER</t>
  </si>
  <si>
    <t>5-01-02-10-020</t>
  </si>
  <si>
    <t>Shirkat Gah#2.5-Awareness Session with Trade Unions Members &amp; Workers Groups</t>
  </si>
  <si>
    <t>5-01-02-10-020-Shirkat Gah#2.5-Awareness Session with Trade Unions Members &amp; Workers GroupsPILER</t>
  </si>
  <si>
    <t>5-01-02-69-038</t>
  </si>
  <si>
    <t>GLJ-ILRF : Revised SCA translation</t>
  </si>
  <si>
    <t>5-01-02-69-038-GLJ-ILRF : Revised SCA translationPILER</t>
  </si>
  <si>
    <t>5-01-02-69-040</t>
  </si>
  <si>
    <t>GLJ-ILRF : AFWA National Convenings - 1</t>
  </si>
  <si>
    <t>5-01-02-69-040-GLJ-ILRF : AFWA National Convenings - 1PILER</t>
  </si>
  <si>
    <t>5-01-02-69-041</t>
  </si>
  <si>
    <t>GLJ-ILRF : FTH Campaign</t>
  </si>
  <si>
    <t>5-01-02-69-041-GLJ-ILRF : FTH CampaignPILER</t>
  </si>
  <si>
    <t>5-01-02-69-042</t>
  </si>
  <si>
    <t xml:space="preserve">GLJ-ILRF : OBS-A.49-Field Coordinator </t>
  </si>
  <si>
    <t>5-01-02-69-042-GLJ-ILRF : OBS-A.49-Field Coordinator PILER</t>
  </si>
  <si>
    <t>5-01-02-69-043</t>
  </si>
  <si>
    <t xml:space="preserve">GLJ-ILRF : OBS-A.50-Field Coordinator </t>
  </si>
  <si>
    <t>5-01-02-69-043-GLJ-ILRF : OBS-A.50-Field Coordinator PILER</t>
  </si>
  <si>
    <t>5-01-02-69-081</t>
  </si>
  <si>
    <t>GLJ-ILRF : OBS-B.5.16-all program</t>
  </si>
  <si>
    <t>5-01-02-69-081-GLJ-ILRF : OBS-B.5.16-all programPILER</t>
  </si>
  <si>
    <t>5-01-02-74-008</t>
  </si>
  <si>
    <t>GRC-8.2.1 # Venue, including food and drinks</t>
  </si>
  <si>
    <t>5-01-02-74-008-GRC-8.2.1 # Venue, including food and drinksPILER</t>
  </si>
  <si>
    <t>5-01-02-74-008-GRC-8.2.1 # Venue, including food and drinksGRC</t>
  </si>
  <si>
    <t>5-01-02-74-010</t>
  </si>
  <si>
    <t>GRC-8.2.3 # Accommodation for participants</t>
  </si>
  <si>
    <t>5-01-02-74-010-GRC-8.2.3 # Accommodation for participantsGRC</t>
  </si>
  <si>
    <t>5-01-02-74-011</t>
  </si>
  <si>
    <t>GRC-8.2.4 # Facilitators fee</t>
  </si>
  <si>
    <t>5-01-02-74-011-GRC-8.2.4 # Facilitators feeGRC</t>
  </si>
  <si>
    <t>5-01-02-86-001</t>
  </si>
  <si>
    <t>GRC-A.1.1#Project Manager</t>
  </si>
  <si>
    <t>5-01-02-86-001-GRC-A.1.1#Project ManagerGRC</t>
  </si>
  <si>
    <t>5-01-02-86-002</t>
  </si>
  <si>
    <t>GRC-A.1.2#Finance Coordinator</t>
  </si>
  <si>
    <t>5-01-02-86-002-GRC-A.1.2#Finance CoordinatorGRC</t>
  </si>
  <si>
    <t>5-01-02-86-003</t>
  </si>
  <si>
    <t>GRC-A.1.3#Project Coordinator</t>
  </si>
  <si>
    <t>5-01-02-86-003-GRC-A.1.3#Project CoordinatorGRC</t>
  </si>
  <si>
    <t>5-01-02-86-004</t>
  </si>
  <si>
    <t>GRC-A.1.#Admn Officer</t>
  </si>
  <si>
    <t>5-01-02-86-004-GRC-A.1.#Admn OfficerGRC</t>
  </si>
  <si>
    <t>5-01-02-86-005</t>
  </si>
  <si>
    <t>GRC-B.1.1#EOBI Contribution</t>
  </si>
  <si>
    <t>5-01-02-86-005-GRC-B.1.1#EOBI ContributionGRC</t>
  </si>
  <si>
    <t>5-01-02-86-007</t>
  </si>
  <si>
    <t>GRC-C.1.1#International Travel</t>
  </si>
  <si>
    <t>5-01-02-86-007-GRC-C.1.1#International TravelGRC</t>
  </si>
  <si>
    <t>5-01-02-86-011</t>
  </si>
  <si>
    <t>GRC-C.1.5#Visa Fee</t>
  </si>
  <si>
    <t>5-01-02-86-011-GRC-C.1.5#Visa FeeGRC</t>
  </si>
  <si>
    <t>5-01-02-86-014</t>
  </si>
  <si>
    <t>GRC-F.2#Office Rent</t>
  </si>
  <si>
    <t>5-01-02-86-014-GRC-F.2#Office RentGRC</t>
  </si>
  <si>
    <t>5-01-02-86-015</t>
  </si>
  <si>
    <t>GRC-H.1.2#Advocacy material development and distribution</t>
  </si>
  <si>
    <t>5-01-02-86-015-GRC-H.1.2#Advocacy material development and distributionGRC</t>
  </si>
  <si>
    <t>5-01-02-86-025</t>
  </si>
  <si>
    <t>GRC-Data collector</t>
  </si>
  <si>
    <t>5-01-02-86-025-GRC-Data collectorGRC</t>
  </si>
  <si>
    <t>5-01-02-86-026</t>
  </si>
  <si>
    <t>GRC-Data Analyst-Quantitative</t>
  </si>
  <si>
    <t>5-01-02-86-026-GRC-Data Analyst-QuantitativeGRC</t>
  </si>
  <si>
    <t>5-01-02-86-027</t>
  </si>
  <si>
    <t>GRC-Expenses Allowance for Data Analyst and Collectors</t>
  </si>
  <si>
    <t>5-01-02-86-027-GRC-Expenses Allowance for Data Analyst and CollectorsGRC</t>
  </si>
  <si>
    <t>5-01-02-86-029</t>
  </si>
  <si>
    <t>GRC- Project Management Cost</t>
  </si>
  <si>
    <t>5-01-02-86-029-GRC- Project Management CostPILER</t>
  </si>
  <si>
    <t>5-01-02-86-029-GRC- Project Management CostGRC</t>
  </si>
  <si>
    <t>5-01-02-88-001</t>
  </si>
  <si>
    <t>SAPPK-1#Formation of Women Empowerment Forum in each District</t>
  </si>
  <si>
    <t>5-01-02-88-001-SAPPK-1#Formation of Women Empowerment Forum in each DistrictPILER</t>
  </si>
  <si>
    <t>5-01-02-94-001</t>
  </si>
  <si>
    <t>ABA-1.1#Project Manager</t>
  </si>
  <si>
    <t>5-01-02-94-001-ABA-1.1#Project ManagerPILER</t>
  </si>
  <si>
    <t>5-01-02-94-002</t>
  </si>
  <si>
    <t>ABA-1.2#Executive Director</t>
  </si>
  <si>
    <t>5-01-02-94-002-ABA-1.2#Executive DirectorPILER</t>
  </si>
  <si>
    <t>5-01-02-94-003</t>
  </si>
  <si>
    <t>ABA-1.3 #Project Coordinator</t>
  </si>
  <si>
    <t>5-01-02-94-003-ABA-1.3 #Project CoordinatorPILER</t>
  </si>
  <si>
    <t>5-01-02-94-004</t>
  </si>
  <si>
    <t>ABA-1.4#Labour Center Coordinators(2)</t>
  </si>
  <si>
    <t>5-01-02-94-004-ABA-1.4#Labour Center Coordinators(2)PILER</t>
  </si>
  <si>
    <t>5-01-02-94-005</t>
  </si>
  <si>
    <t>ABA-1.5#Field Mobilizing Coordinator</t>
  </si>
  <si>
    <t>5-01-02-94-005-ABA-1.5#Field Mobilizing CoordinatorPILER</t>
  </si>
  <si>
    <t>5-01-02-94-006</t>
  </si>
  <si>
    <t>ABA-1.6#Finance Manager</t>
  </si>
  <si>
    <t>5-01-02-94-006-ABA-1.6#Finance ManagerPILER</t>
  </si>
  <si>
    <t>5-01-02-94-009</t>
  </si>
  <si>
    <t>ABA-1.9#Media &amp; IT Coordinator</t>
  </si>
  <si>
    <t>5-01-02-94-009-ABA-1.9#Media &amp; IT CoordinatorPILER</t>
  </si>
  <si>
    <t>5-01-02-94-019</t>
  </si>
  <si>
    <t>ABA-2.1-(a)#Campaign Help Prevent Child-Ground transport for Staff</t>
  </si>
  <si>
    <t>5-01-02-94-019-ABA-2.1-(a)#Campaign Help Prevent Child-Ground transport for StaffPILER</t>
  </si>
  <si>
    <t>5-01-02-94-028</t>
  </si>
  <si>
    <t>ABA-2.4-(a)#Supplies-2 Laptop</t>
  </si>
  <si>
    <t>5-01-02-94-028-ABA-2.4-(a)#Supplies-2 LaptopPILER</t>
  </si>
  <si>
    <t>5-01-02-94-033</t>
  </si>
  <si>
    <t>ABA-2.1-(e)#Campaign Help Prevent Child-Refreshment</t>
  </si>
  <si>
    <t>5-01-02-94-033-ABA-2.1-(e)#Campaign Help Prevent Child-RefreshmentPILER</t>
  </si>
  <si>
    <t>5-01-02-94-042</t>
  </si>
  <si>
    <t>ABA#Transport Expenses</t>
  </si>
  <si>
    <t>5-01-02-94-042-ABA#Transport ExpensesPILER</t>
  </si>
  <si>
    <t>5-01-02-94-043</t>
  </si>
  <si>
    <t>ABA#Printing &amp; Stationery Expenses</t>
  </si>
  <si>
    <t>5-01-02-94-043-ABA#Printing &amp; Stationery ExpensesPILER</t>
  </si>
  <si>
    <t>5-01-02-94-044</t>
  </si>
  <si>
    <t>ABA#Food/Refreshment Expenses</t>
  </si>
  <si>
    <t>5-01-02-94-044-ABA#Food/Refreshment ExpensesPILER</t>
  </si>
  <si>
    <t>5-01-02-94-046</t>
  </si>
  <si>
    <t>ABA#1.1-Identify Law and Policy Proposals through Legal Mapping of Traffficking,Child Protection &amp; L</t>
  </si>
  <si>
    <t>5-01-02-94-046-ABA#1.1-Identify Law and Policy Proposals through Legal Mapping of Traffficking,Child Protection &amp; LPILER</t>
  </si>
  <si>
    <t>5-01-02-94-051</t>
  </si>
  <si>
    <t>ABA#Office Attandent</t>
  </si>
  <si>
    <t>5-01-02-94-051-ABA#Office AttandentPILER</t>
  </si>
  <si>
    <t>5-01-02-94-052</t>
  </si>
  <si>
    <t>ABA#  Child safeguarding Policy by reviewing relevant laws &amp; UN guiding principles</t>
  </si>
  <si>
    <t>5-01-02-94-052-ABA#  Child safeguarding Policy by reviewing relevant laws &amp; UN guiding principlesPILER</t>
  </si>
  <si>
    <t>5-01-05-01-001</t>
  </si>
  <si>
    <t>LBL#1-Surveyor Cost</t>
  </si>
  <si>
    <t>5-01-05-01-001-LBL#1-Surveyor CostPILER</t>
  </si>
  <si>
    <t>CASH IN HAND</t>
  </si>
  <si>
    <t>PILER OWN BAHL A/C. 818-04-2</t>
  </si>
  <si>
    <t>PILER TDH &amp; MI BH A/C.818-09-7</t>
  </si>
  <si>
    <t>PILER UBL-012-1940-6</t>
  </si>
  <si>
    <t>PILER UBL-012-1707-3</t>
  </si>
  <si>
    <t>PILER FNV PROJECT 06-0</t>
  </si>
  <si>
    <t>PILER EU PROJECT BAHL-GJ 06-2</t>
  </si>
  <si>
    <t>PILER BAH-A/C.0081-004762-01-0</t>
  </si>
  <si>
    <t>PILER TAF BAH-0081-004762-02-1</t>
  </si>
  <si>
    <t>BANK UNICEF-0081-004762-04-3</t>
  </si>
  <si>
    <t>BANK TROCAIRE-0081-004762-06-5</t>
  </si>
  <si>
    <t>BANK TDH-0081-004762-05-4</t>
  </si>
  <si>
    <t>BANK GRATUITY-0081-004762-09-8</t>
  </si>
  <si>
    <t>BANK DOLLAR-0112-004762-10-9</t>
  </si>
  <si>
    <t>BANK ICCO PAK-0081-004762-08-7</t>
  </si>
  <si>
    <t>BANK TDH PAK-0081-004762-03-2</t>
  </si>
  <si>
    <t>BANK SMALL PR-0081-004762-07-6</t>
  </si>
  <si>
    <t>R/A-TDH-MI REBUILDING LIVE PRO</t>
  </si>
  <si>
    <t>RECEIVABLE FROM IUF-QAMARULL</t>
  </si>
  <si>
    <t>Rec / Pay with Sindh Human RC</t>
  </si>
  <si>
    <t>R/A-PAKISTAN LABOUR TRUST(PLT)</t>
  </si>
  <si>
    <t>W.H. TAX DEDUCTION</t>
  </si>
  <si>
    <t>SECURITY DEPOPSIT</t>
  </si>
  <si>
    <t>OTHERS RECEIVABLE</t>
  </si>
  <si>
    <t>RECEIVABLE FROM RIDA ALI</t>
  </si>
  <si>
    <t>RECEIVABLE FROM ZULFIQAR SHAH</t>
  </si>
  <si>
    <t>RECEIVABLE FROM ZEENIA SHOUKAT</t>
  </si>
  <si>
    <t>RECEIVABLE FROM FARHAT FATIMA</t>
  </si>
  <si>
    <t>RECEIVABLE FROM NOBAHAR</t>
  </si>
  <si>
    <t>RECEIVABLE FROM SHUJAUDDIN</t>
  </si>
  <si>
    <t>RECEIVABLE FROM KARAMAT ALI</t>
  </si>
  <si>
    <t>RECEIVABLE FROM DANISH</t>
  </si>
  <si>
    <t>RECEIVABLE FROM PERVEZ AHMED</t>
  </si>
  <si>
    <t>RECEIVABLE FROM GHULAM ASGHAR</t>
  </si>
  <si>
    <t>RECEIVABLE FROM MAHER ALI</t>
  </si>
  <si>
    <t>RECEIVABLE FROM SHAKEEL AHMED</t>
  </si>
  <si>
    <t>RECEIVABLE FROM SHAZAD ALI SHA</t>
  </si>
  <si>
    <t>RECEIVABLE FROM FARHAN</t>
  </si>
  <si>
    <t>RECEIVABLE FROM ABBAS HAIDER</t>
  </si>
  <si>
    <t>RECEIVABLE FROM ABIDA SHARAFAT</t>
  </si>
  <si>
    <t>RECEIVABLE FROM MIR MULADAD</t>
  </si>
  <si>
    <t>RECEIVABLE FROM SANA RUBAB</t>
  </si>
  <si>
    <t>ADVANCE TO GOHAR ALI</t>
  </si>
  <si>
    <t>ADVANCE TO KHADIM HUSSAIN</t>
  </si>
  <si>
    <t>ADVANCE TO ABBAS HAIDER</t>
  </si>
  <si>
    <t>ADVANCE TO M.RAFIQUE</t>
  </si>
  <si>
    <t>Advance to Zameer Awan</t>
  </si>
  <si>
    <t>STAFF LOAN</t>
  </si>
  <si>
    <t>Advance to hikmat ali</t>
  </si>
  <si>
    <t>PREPAID INSURANCE</t>
  </si>
  <si>
    <t>PREPAYMENTS</t>
  </si>
  <si>
    <t>PLOT# ST.001, X-V, PILER CENTR</t>
  </si>
  <si>
    <t>BUILDING LEASE HOLD LAND</t>
  </si>
  <si>
    <t>ACCUMULATED DEPRECIATION BUILD</t>
  </si>
  <si>
    <t>GENERATORS</t>
  </si>
  <si>
    <t>ACCUMULATED DEPRECIATION GENER</t>
  </si>
  <si>
    <t>ELECTRICAL INSTALLATIONS</t>
  </si>
  <si>
    <t>ACCUMULATED DEPRECIATION ELECT</t>
  </si>
  <si>
    <t>OFFICE EQUIPMENTS</t>
  </si>
  <si>
    <t>ACCUMULATED DEPRECIATION OTHER</t>
  </si>
  <si>
    <t>FURNITURE &amp; FIXTURES</t>
  </si>
  <si>
    <t>ACCUMULATED DEPRECIATION F &amp; F</t>
  </si>
  <si>
    <t>COMPUTER &amp; LAPTOPS</t>
  </si>
  <si>
    <t>ACCUMULATED DEPRECIATION COMPU</t>
  </si>
  <si>
    <t>COMPUTER SOFTWARE</t>
  </si>
  <si>
    <t>AMMORTIZATION OF SOFTWARE LICS</t>
  </si>
  <si>
    <t>MOTOR VEHICLES</t>
  </si>
  <si>
    <t>ACCUMULTED DEPRECIATION MOTORS</t>
  </si>
  <si>
    <t>BOOKS</t>
  </si>
  <si>
    <t>ACCUMULTED DEPRECIATION BOOKS</t>
  </si>
  <si>
    <t>AUDIT FEE PAYABLE</t>
  </si>
  <si>
    <t>PAYABLE TO HAMZA GABOOL</t>
  </si>
  <si>
    <t>PAYABLE TO SHUJAUDDIN</t>
  </si>
  <si>
    <t>NEPAL EARTHQUAKE</t>
  </si>
  <si>
    <t>PAYABLE TO MULA BUKSH</t>
  </si>
  <si>
    <t>PAYABLE TO ALTAF HUSSAIN</t>
  </si>
  <si>
    <t>PAYABLE TO SPO</t>
  </si>
  <si>
    <t>PAYABLE TO GOHAR</t>
  </si>
  <si>
    <t>Payable to Danish</t>
  </si>
  <si>
    <t>Payable to Zulfiqar Ali Shah</t>
  </si>
  <si>
    <t>PAKISTAN LABOUR TRUST</t>
  </si>
  <si>
    <t>PAYABLE TO KHADIM</t>
  </si>
  <si>
    <t>PAYABLE TO PERVEZ</t>
  </si>
  <si>
    <t>PLT LOAN PAYABLE</t>
  </si>
  <si>
    <t>PAYABLE TO M.YOUNIS</t>
  </si>
  <si>
    <t>Payable to Maher Ali</t>
  </si>
  <si>
    <t>WATER &amp; SEWERAGE BILL</t>
  </si>
  <si>
    <t>ACCRUED LIABILITIES - 2010</t>
  </si>
  <si>
    <t>SESSI PAYABLE</t>
  </si>
  <si>
    <t>SUPPLIER INCOME TAX WITHHOLD</t>
  </si>
  <si>
    <t>SALES TAX WITHHOLD</t>
  </si>
  <si>
    <t>STAFF GRATUITY PAYABLE ACCOUNT</t>
  </si>
  <si>
    <t>Payable to Indus Solar Intl</t>
  </si>
  <si>
    <t>FUND BALANCE</t>
  </si>
  <si>
    <t>DEZAIRE FUND BALANCE</t>
  </si>
  <si>
    <t>HOSTEL RENT INCOME WITH FOODS</t>
  </si>
  <si>
    <t>HALL RENTAL INCOME</t>
  </si>
  <si>
    <t>DONATION FROM LOCAL SOURCE</t>
  </si>
  <si>
    <t>Donation from Global Justice-International Labour Rights Forum</t>
  </si>
  <si>
    <t>STAFF SALARIES EXPENSE</t>
  </si>
  <si>
    <t>STAFF OVERTIME</t>
  </si>
  <si>
    <t>ELECTRICITY EXPENSE</t>
  </si>
  <si>
    <t>GAS CHARGES SSGC</t>
  </si>
  <si>
    <t>TELEPHONE, MOBILE &amp; INTERNET</t>
  </si>
  <si>
    <t>WATER &amp; SEWARAGE CHARGES</t>
  </si>
  <si>
    <t>GENERAL  REPAIR &amp; MAINTENANCE</t>
  </si>
  <si>
    <t>BUILDING REPAIR &amp; MAINTENANCE</t>
  </si>
  <si>
    <t>EQUIPMENTS REPAIR &amp; MAINTENANC</t>
  </si>
  <si>
    <t>GENERATOR REPAIR &amp; MAINTENANCE</t>
  </si>
  <si>
    <t>POSTAGE &amp; COURIER</t>
  </si>
  <si>
    <t>PRINTING &amp; STATIONERIES</t>
  </si>
  <si>
    <t>PHOTOCOPY &amp; COMPUT ACCESSARIES</t>
  </si>
  <si>
    <t>TRAVELLING EXPENSES</t>
  </si>
  <si>
    <t>PROGRAMME STAFF/ BAORD MEETING</t>
  </si>
  <si>
    <t>ADVERTISING &amp; PUBLICATION EXP</t>
  </si>
  <si>
    <t>LIBRARY BOOKS &amp; PERIODICALS</t>
  </si>
  <si>
    <t>AUDITOR REMUNERATIONS</t>
  </si>
  <si>
    <t>CONSULTANCY CHARGES</t>
  </si>
  <si>
    <t>VEHICLE TAX &amp; REGISTRATIONS</t>
  </si>
  <si>
    <t>SESSI CONTRIBUTIONS</t>
  </si>
  <si>
    <t>BANK CHARGES</t>
  </si>
  <si>
    <t>DEPRECIATION EXPENSES-BUILDING</t>
  </si>
  <si>
    <t>DEPRECIATION EX-GENERATOR</t>
  </si>
  <si>
    <t>DEPRECIATION EX-ELEC INSTALLA</t>
  </si>
  <si>
    <t>DEPRECIATION EX- OFFICE EQUIP</t>
  </si>
  <si>
    <t>DEPRECIATION EXP-FUR &amp; FIX</t>
  </si>
  <si>
    <t>DEPRECIATION EX-COM &amp; LAPTOP</t>
  </si>
  <si>
    <t>DEPRECITION EX-MOTOR VEHICLE</t>
  </si>
  <si>
    <t>SOFTWARE AMORTIZATION</t>
  </si>
  <si>
    <t>INCOME TAX EXPENSES</t>
  </si>
  <si>
    <t>GARDEN &amp; GROUND UPKEEP</t>
  </si>
  <si>
    <t>SEMINARS</t>
  </si>
  <si>
    <t>PRESS CONF &amp; MEDIA MOBLIZATION</t>
  </si>
  <si>
    <t>PAYMENT OF LOCAL DONATIONS</t>
  </si>
  <si>
    <t>MEMORIAL PROGRAMMES</t>
  </si>
  <si>
    <t>GLJ-ILRF: Coordinator</t>
  </si>
  <si>
    <t xml:space="preserve">GLJ-ILRF: 4 Field Activists </t>
  </si>
  <si>
    <t>GLJ-ILRF: Misc Cost/ OH</t>
  </si>
  <si>
    <t>GLJ-ILRF:Meetings</t>
  </si>
  <si>
    <t>GLJ-ILRF: Translation of interview guide in Urdu</t>
  </si>
  <si>
    <t>GLJ-ILRF: Consumption survey</t>
  </si>
  <si>
    <t>GRC-Indirect Costs</t>
  </si>
  <si>
    <t>Karachi</t>
  </si>
  <si>
    <t>GRC Own</t>
  </si>
  <si>
    <t>1-01-01-01-001-CASH IN HANDKarachi</t>
  </si>
  <si>
    <t>1-01-01-02-024-BANK TDH-0081-004762-05-4PILER</t>
  </si>
  <si>
    <t>1-01-01-02-025-BANK GRATUITY-0081-004762-09-8SHORT</t>
  </si>
  <si>
    <t>1-01-01-02-025-BANK GRATUITY-0081-004762-09-8GRC</t>
  </si>
  <si>
    <t>1-01-01-02-025-BANK GRATUITY-0081-004762-09-8GRC Own</t>
  </si>
  <si>
    <t>1-01-01-02-031-BANK SMALL PR-0081-004762-07-6SHORT PROJECTS</t>
  </si>
  <si>
    <t>1-01-02-01-016-Rec / Pay with Sindh Human RCSHORT PROJECTS</t>
  </si>
  <si>
    <t>1-01-02-02-002-W.H. TAX DEDUCTIONSHORT PROJECTS</t>
  </si>
  <si>
    <t>1-01-02-02-005-OTHERS RECEIVABLESHORT PROJECTS</t>
  </si>
  <si>
    <t>1-01-02-02-043-RECEIVABLE FROM PERVEZ AHMEDSHORT PROJECTS</t>
  </si>
  <si>
    <t>1-01-02-02-053-RECEIVABLE FROM ABBAS HAIDERGRC</t>
  </si>
  <si>
    <t>1-01-02-03-008-ADVANCE TO KHADIM HUSSAINSHORT PROJECTS</t>
  </si>
  <si>
    <t>1-01-02-03-008-Advance To Khadim HussainOpen Society</t>
  </si>
  <si>
    <t>1-01-02-03-008-ADVANCE TO KHADIM HUSSAINDAI</t>
  </si>
  <si>
    <t>1-01-02-03-008-ADVANCE TO KHADIM HUSSAINGRC</t>
  </si>
  <si>
    <t>1-01-02-03-008-ADVANCE TO KHADIM HUSSAINGRC Own</t>
  </si>
  <si>
    <t>1-01-02-03-020-ADVANCE TO ABBAS HAIDERSHORT PROJECTS</t>
  </si>
  <si>
    <t>1-01-02-03-116-Advance to Zameer AwanPILER</t>
  </si>
  <si>
    <t>1-01-02-03-123-Advance against ExpensesGRC</t>
  </si>
  <si>
    <t>1-01-02-03-123-Advance against ExpensesGRC Own</t>
  </si>
  <si>
    <t>1-01-02-04-001-ADVANCE AGAINST SALARIESSHORT PROJECTS</t>
  </si>
  <si>
    <t>1-01-02-04-001-ADVANCE AGAINST SALARIESGRC Own</t>
  </si>
  <si>
    <t>1-01-02-04-002-STAFF LOANGRC</t>
  </si>
  <si>
    <t>1-01-02-04-005-Advance to hikmat aliPILER</t>
  </si>
  <si>
    <t>1-02-02-06-001-Furniture &amp; FixturesGRC</t>
  </si>
  <si>
    <t>1-02-02-04-001-Electrical InstallationsGRC</t>
  </si>
  <si>
    <t>2-01-01-02-022-PAYABLE TO KHADIMSHORT PROJECTS</t>
  </si>
  <si>
    <t>2-01-01-02-027-PAYABLE TO PERVEZSHORT PROJECTS</t>
  </si>
  <si>
    <t>2-01-02-01-001-SALARIES PAYABLEGRC</t>
  </si>
  <si>
    <t>2-01-02-01-009-ACCRUED LIABILITIES - 2010PILER</t>
  </si>
  <si>
    <t>2-01-02-01-011-ACCURED EXPENSESSHORT PROJECTS</t>
  </si>
  <si>
    <t>2-01-02-01-012- STAFF LOAN PAYABLE</t>
  </si>
  <si>
    <t>2-01-02-01-011-ACCURED EXPENSESGRC</t>
  </si>
  <si>
    <t>2-01-02-02-001-SUPPLIER INCOME TAX WITHHOLDGRC</t>
  </si>
  <si>
    <t>2-01-02-02-001-SUPPLIER INCOME TAX WITHHOLDGRC Own</t>
  </si>
  <si>
    <t>2-01-02-02-002-STAFF INCOME TAX WITHHOLDGRC Own</t>
  </si>
  <si>
    <t>2-01-02-02-003-PROVISION FOR INCOME TAX</t>
  </si>
  <si>
    <t>3-01-01-01-013-RCCHR FUND BALANCE</t>
  </si>
  <si>
    <t>4-03-01-01-001-DONATION FROM LOCAL SOURCESHORT PROJECTS</t>
  </si>
  <si>
    <t>4-03-01-01-001-DONATION FROM LOCAL SOURCERRCCHR</t>
  </si>
  <si>
    <t>4-03-01-01-001-DONATION FROM LOCAL SOURCEETI</t>
  </si>
  <si>
    <t>4-03-01-01-001-DONATION FROM LOCAL SOURCEFNV</t>
  </si>
  <si>
    <t>4-03-01-01-001-DONATION FROM LOCAL SOURCEDAI</t>
  </si>
  <si>
    <t>4-03-01-02-044-Donation from Global Justice-International Labour Rights ForumPILER</t>
  </si>
  <si>
    <t>4-03-01-02-044-Donation from Global Justice-International Labour Rights ForumSHORT PROJECTS</t>
  </si>
  <si>
    <t>4-03-01-02-045-Donation from Global Rights ComplianceGRC</t>
  </si>
  <si>
    <t>4-04-01-01-001-OTHER INCOMEPILER</t>
  </si>
  <si>
    <t>5-01-01-04-005-GENERATOR REPAIR &amp; MAINTENANCEPILER</t>
  </si>
  <si>
    <t>5-01-01-06-009-ADVERTISING &amp; PUBLICATION EXPPILER</t>
  </si>
  <si>
    <t>5-01-01-07-002-AUDITOR REMUNERATIONSPILER</t>
  </si>
  <si>
    <t>5-01-01-09-001-BANK CHARGESSHORT PROJECTS</t>
  </si>
  <si>
    <t>5-01-01-09-001-BANK CHARGESGRC</t>
  </si>
  <si>
    <t>5-01-01-10-006-DEPRECIATION EX-COM &amp; LAPTOPPILER</t>
  </si>
  <si>
    <t>5-01-01-10-009-SOFTWARE AMORTIZATIONPILER</t>
  </si>
  <si>
    <t>5-01-01-11-001-INCOME TAX EXPENSESPILER</t>
  </si>
  <si>
    <t>5-01-01-11-001-INCOME TAX EXPENSESSHORT PROJECTS</t>
  </si>
  <si>
    <t>5-01-01-11-001-INCOME TAX EXPENSESGRC</t>
  </si>
  <si>
    <t>5-01-01-11-001-INCOME TAX EXPENSESGRC Own</t>
  </si>
  <si>
    <t>5-01-01-12-002-GARDEN &amp; GROUND UPKEEPPILER</t>
  </si>
  <si>
    <t>5-01-02-07-006-FOOD &amp; REFRESHMENT EXPENSESPILER</t>
  </si>
  <si>
    <t>5-01-02-44-009-FCBTS-1.9 OverheadsSHORT PROJECTS</t>
  </si>
  <si>
    <t>5-01-02-69-001-GLJ-ILRF: CoordinatorPILER</t>
  </si>
  <si>
    <t>5-01-02-69-001-GLJ-ILRF: CoordinatorSHORT PROJECTS</t>
  </si>
  <si>
    <t>5-01-02-69-002-GLJ-ILRF: 4 Field Activists SHORT PROJECTS</t>
  </si>
  <si>
    <t>5-01-02-69-003-GLJ-ILRF: Misc Cost/ OHPILER</t>
  </si>
  <si>
    <t>5-01-02-69-003-GLJ-ILRF: Misc Cost/ OHSHORT PROJECTS</t>
  </si>
  <si>
    <t>5-01-02-69-006-GLJ-ILRF:MeetingsPILER</t>
  </si>
  <si>
    <t>5-01-02-69-007-GLJ-ILRF:Global event interpreterPILER</t>
  </si>
  <si>
    <t>5-01-02-69-007-GLJ-ILRF:Global event interpreterSHORT PROJECTS</t>
  </si>
  <si>
    <t>5-01-02-69-008-GLJ-ILRF: Translation of interview guide in UrduSHORT PROJECTS</t>
  </si>
  <si>
    <t>5-01-02-69-013-GLJ-ILRF: Consumption surveyPILER</t>
  </si>
  <si>
    <t>5-01-02-69-015-GLJ-ILRF: JEL trainings &amp; Natl seminars etcPILER</t>
  </si>
  <si>
    <t>5-01-02-69-015-GLJ-ILRF: JEL trainings &amp; Natl seminars etcSHORT PROJECTS</t>
  </si>
  <si>
    <t>5-01-02-69-017-GLJ-ILRF: GBVH campaignPILER</t>
  </si>
  <si>
    <t>5-01-02-69-019-GLJ-ILRF:Women Leadership committee meetingPILER</t>
  </si>
  <si>
    <t>5-01-02-69-020-GLJ-ILRF:OBS-National AFWA Convening(Sep-2023)PILER</t>
  </si>
  <si>
    <t>5-01-02-69-021-GLJ-ILRF:GDW-Lawyer-Legal BreifPILER</t>
  </si>
  <si>
    <t>5-01-02-69-022-GLJ-ILRF : Field CordinatorPILER</t>
  </si>
  <si>
    <t>5-01-02-69-032-GLJ-ILRF : Wage struggle working group - 2PILER</t>
  </si>
  <si>
    <t>5-01-02-69-036-GLJ-ILRF : WLC meeting - 2PILER</t>
  </si>
  <si>
    <t>5-01-02-74-001-GRC-1.1.1#Project ManagerGRC</t>
  </si>
  <si>
    <t>5-01-02-74-002-GRC-1.1.2# Finance CoordinatorGRC</t>
  </si>
  <si>
    <t>5-01-02-74-003-GRC-1.1.3# Project CoordinatorGRC</t>
  </si>
  <si>
    <t>5-01-02-74-004-GRC-6.3# Office RentGRC</t>
  </si>
  <si>
    <t>5-01-02-74-004-GRC-6.3# Office RentGRC Own</t>
  </si>
  <si>
    <t>5-01-02-74-005-GRC-8.1.1# Baseline Assessment (development, implementation, analysis and reporting, recruitment andGRC</t>
  </si>
  <si>
    <t>5-01-02-74-006-GRC-8.1.2 # Advocacy material develoment and distributionGRC</t>
  </si>
  <si>
    <t>5-01-02-74-007-GRC-8.1.3 # Training workshops   GRC</t>
  </si>
  <si>
    <t>5-01-02-74-009-GRC-8.2.2 # National travel for participantsGRC</t>
  </si>
  <si>
    <t>5-01-02-74-012-GRC-8.2.5 # Stationary &amp; materialGRC</t>
  </si>
  <si>
    <t>5-01-02-74-013-GRC-Indirect CostsGRC</t>
  </si>
  <si>
    <t>5-01-02-74-015-GRC-6.1.2#Paralegal trainer/facilitatorGRC</t>
  </si>
  <si>
    <t>5-01-02-74-015-GRC-6.1.2#Paralegal trainer/facilitatorGRC Own</t>
  </si>
  <si>
    <t>1-01-02-02-001-R/A-Pakistan Labour Trust(Plt)ICCO</t>
  </si>
  <si>
    <t>1-01-02-02-001-R/A-Pakistan Labour Trust(Plt)TDH &amp; MI</t>
  </si>
  <si>
    <t>1-01-02-02-001-R/A-Pakistan Labour Trust(Plt)SHORT PROJECTS</t>
  </si>
  <si>
    <t>1-01-02-02-025-Receivable From Khadim HussainSHORT PROJECTS</t>
  </si>
  <si>
    <t>3-01-01-01-001-Fund BalanceETI</t>
  </si>
  <si>
    <t>3-01-01-01-001-Fund BalanceFNV</t>
  </si>
  <si>
    <t>3-01-01-01-001-Fund BalanceFOSI</t>
  </si>
  <si>
    <t>2-01-02-02-002-Staff Income Tax WithholdGRC</t>
  </si>
  <si>
    <t>3-01-01-01-001-Fund BalanceDAI</t>
  </si>
  <si>
    <t>3-01-01-01-002-Promoting Fund BalanceUnicef</t>
  </si>
  <si>
    <t>3-01-01-01-002-Promoting Fund BalanceUNICEF-2</t>
  </si>
  <si>
    <t>3-01-01-01-002-Promoting Fund BalanceUNICEF-3</t>
  </si>
  <si>
    <t>3-01-01-01-002-Promoting Fund BalanceRRCCHR</t>
  </si>
  <si>
    <t>3-01-01-01-003-Tdh-Mi Fund BalanceTDH &amp; MI</t>
  </si>
  <si>
    <t>3-01-01-01-004-Trocaire Fund BalanceTrocaire</t>
  </si>
  <si>
    <t>3-01-01-01-005-Tdh Pak Fund BalanceTDH Pak</t>
  </si>
  <si>
    <t>3-01-01-01-006-Icco Pak Fund BalanceICCO Pak</t>
  </si>
  <si>
    <t>3-01-01-01-007-Taf Fund BalanceTAF</t>
  </si>
  <si>
    <t>3-01-01-01-008-Icco Project Fund BalanceICCO</t>
  </si>
  <si>
    <t>3-01-01-01-010-Short Term Fund BalanceSHORT PROJECTS</t>
  </si>
  <si>
    <t>3-01-01-01-011-Tdh Fund BalanceTDH</t>
  </si>
  <si>
    <t>3-01-01-01-012-Osf-Fund BalanceOpen Society</t>
  </si>
  <si>
    <t>1-01-02-03-015-Advance To PervezDAI</t>
  </si>
  <si>
    <t>1-01-02-03-017-Advance To Danish SiddiquiDAI</t>
  </si>
  <si>
    <t>1-01-02-03-020-Advance To Abbas HaiderGRC</t>
  </si>
  <si>
    <t>1-01-02-03-116-Advance To Zameer AwanSHORT PROJECTS</t>
  </si>
  <si>
    <t>1-01-02-04-005-Advance To Hikmat AliOpen Society</t>
  </si>
  <si>
    <t>1-01-02-03-068-ADVANCE TO ABIDA ALIPILER</t>
  </si>
  <si>
    <t>1-01-02-03-068-ADVANCE TO ABIDA ALISHORT</t>
  </si>
  <si>
    <t>1-01-02-03-122-Advance to Home Net Pakistan</t>
  </si>
  <si>
    <t>1-01-02-03-124-Advance to Sajid Ali</t>
  </si>
  <si>
    <t>1-01-02-01-002-Receivable From Trocaire-MlrrsPILER</t>
  </si>
  <si>
    <t>1-01-02-01-007-Receivable From Icco Proj-ThswPILER</t>
  </si>
  <si>
    <t>1-01-02-01-010-Receivable From TafTrocaire</t>
  </si>
  <si>
    <t>1-01-02-01-010-Receivable From TafPILER</t>
  </si>
  <si>
    <t>1-01-02-01-017-Rec / Pay With Civic CharterPILER</t>
  </si>
  <si>
    <t>1-01-02-02-006-Receivable From Piler OwnUnicef</t>
  </si>
  <si>
    <t>1-01-02-02-006-Receivable From Piler OwnTrocaire</t>
  </si>
  <si>
    <t>1-01-02-02-006-Receivable From Piler OwnDeezire</t>
  </si>
  <si>
    <t>1-01-02-02-006-Receivable From Piler OwnPILER</t>
  </si>
  <si>
    <t>1-01-02-02-006-Receivable From Piler OwnICCO</t>
  </si>
  <si>
    <t>1-01-02-02-006-Receivable From Piler OwnTDH &amp; MI</t>
  </si>
  <si>
    <t>1-01-02-02-006-Receivable From Piler OwnTAF</t>
  </si>
  <si>
    <t>1-01-02-02-006-Receivable From Piler OwnTDH</t>
  </si>
  <si>
    <t>1-01-02-02-006-Receivable From Piler OwnSHORT PROJECTS</t>
  </si>
  <si>
    <t>1-01-02-02-006-Receivable From Piler OwnUNICEF-2</t>
  </si>
  <si>
    <t>1-01-02-02-006-Receivable From Piler OwnUNICEF-3</t>
  </si>
  <si>
    <t>1-01-02-02-006-Receivable From Piler OwnOpen Society</t>
  </si>
  <si>
    <t>1-01-02-02-006-Receivable From Piler OwnETI</t>
  </si>
  <si>
    <t>1-01-02-02-006-Receivable From Piler OwnFNV</t>
  </si>
  <si>
    <t>1-01-02-02-006-Receivable From Piler OwnDAI</t>
  </si>
  <si>
    <t>1-01-02-02-006-Receivable From Piler OwnGRC</t>
  </si>
  <si>
    <t>1-01-02-02-008-Receivable From Tdh-MiPILER</t>
  </si>
  <si>
    <t>1-01-02-02-008-Receivable From Tdh-MiTDH</t>
  </si>
  <si>
    <t>1-01-02-02-009-Receivable From UnicefPILER</t>
  </si>
  <si>
    <t>1-01-02-02-009-Receivable From UnicefSHORT PROJECTS</t>
  </si>
  <si>
    <t>1-01-02-02-012-Receivable From DezairePILER</t>
  </si>
  <si>
    <t>1-01-02-02-012-Receivable From DezaireSHORT PROJECTS</t>
  </si>
  <si>
    <t>1-01-02-02-012-Receivable From DezaireUNICEF-3</t>
  </si>
  <si>
    <t>1-01-02-02-016-Receivable From IdrcPILER</t>
  </si>
  <si>
    <t>1-01-02-02-017-Rec / Pay With TdhPILER</t>
  </si>
  <si>
    <t>1-01-02-02-017-Rec / Pay With TdhTDH &amp; MI</t>
  </si>
  <si>
    <t>1-01-02-02-017-Rec / Pay With TdhSHORT PROJECTS</t>
  </si>
  <si>
    <t>1-01-02-02-019-Receivable From Solidarity CenPILER</t>
  </si>
  <si>
    <t>1-01-02-02-032-Rec / Pay With KyiPILER</t>
  </si>
  <si>
    <t>1-01-02-02-033-Rec / Pay With FesPILER</t>
  </si>
  <si>
    <t>1-01-02-02-035-Rec / Pay With KiosPILER</t>
  </si>
  <si>
    <t>1-01-02-02-039-Rec / Pay AmrcTDH</t>
  </si>
  <si>
    <t>1-01-02-02-041-Rec / Pay BciPILER</t>
  </si>
  <si>
    <t>1-01-02-02-041-Rec / Pay BciTDH</t>
  </si>
  <si>
    <t>1-01-02-02-044-Rec / Pay With HbsDeezire</t>
  </si>
  <si>
    <t>1-01-02-02-044-Rec / Pay With HbsPILER</t>
  </si>
  <si>
    <t>1-01-02-02-044-Rec / Pay With HbsUNICEF-2</t>
  </si>
  <si>
    <t>1-01-02-02-044-Rec / Pay With HbsFNV</t>
  </si>
  <si>
    <t>1-01-02-02-046-Rec / Pay With AfwmPILER</t>
  </si>
  <si>
    <t>1-01-02-02-049-Rec / Pay With TswwDeezire</t>
  </si>
  <si>
    <t>1-01-02-02-049-Rec / Pay With TswwPILER</t>
  </si>
  <si>
    <t>1-01-02-02-057-Rec / Pay WowPILER</t>
  </si>
  <si>
    <t>1-01-02-02-058-Rec / Pay DstPILER</t>
  </si>
  <si>
    <t>1-01-02-02-059-Rec / Pay With DaiTrocaire</t>
  </si>
  <si>
    <t>1-01-02-02-059-Rec / Pay With DaiPILER</t>
  </si>
  <si>
    <t>1-01-02-02-059-Rec / Pay With DaiUNICEF-3</t>
  </si>
  <si>
    <t>1-01-02-02-060-Rec / Pay UnicefTrocaire</t>
  </si>
  <si>
    <t>1-01-02-02-060-Rec / Pay UnicefDeezire</t>
  </si>
  <si>
    <t>1-01-02-02-060-Rec / Pay UnicefPILER</t>
  </si>
  <si>
    <t>1-01-02-02-060-Rec / Pay UnicefTAF</t>
  </si>
  <si>
    <t>1-01-02-02-060-Rec / Pay UnicefSHORT PROJECTS</t>
  </si>
  <si>
    <t>1-01-02-02-061-Rec / Pay ActionaidPILER</t>
  </si>
  <si>
    <t>1-01-02-02-063-Rec / Pay With RrcchrPILER</t>
  </si>
  <si>
    <t>1-01-02-02-064-Rec / Pay With Dp World Port QasimPILER</t>
  </si>
  <si>
    <t>1-01-02-02-066-Rec / Pay With Open SocietyDeezire</t>
  </si>
  <si>
    <t>1-01-02-02-066-Rec / Pay With Open SocietyPILER</t>
  </si>
  <si>
    <t>1-01-02-02-066-Rec / Pay With Open SocietyETI</t>
  </si>
  <si>
    <t>1-01-02-02-066-Rec / Pay With Open SocietyFNV</t>
  </si>
  <si>
    <t>1-01-02-02-067-Rec / Pay With EtiPILER</t>
  </si>
  <si>
    <t>1-01-02-02-068-Rec / Pay With Network Ccc South AsiaPILER</t>
  </si>
  <si>
    <t>1-01-02-02-068-Rec / Pay With Network Ccc South AsiaFNV</t>
  </si>
  <si>
    <t>1-01-02-02-069-Rec / Pay With FosiPILER</t>
  </si>
  <si>
    <t>1-01-02-02-070-Rec / Pay With IbpPILER</t>
  </si>
  <si>
    <t>1-01-02-02-071-Rec / Pay With FnvDeezire</t>
  </si>
  <si>
    <t>1-01-02-02-071-Rec / Pay With FnvPILER</t>
  </si>
  <si>
    <t>1-01-02-02-071-Rec / Pay With FnvSHORT PROJECTS</t>
  </si>
  <si>
    <t>1-01-02-02-071-Rec / Pay With FnvOpen Society</t>
  </si>
  <si>
    <t>1-01-02-02-072-Rec / Pay With Dai Kcd015PILER</t>
  </si>
  <si>
    <t>1-01-02-02-073-Rec / Pay With Dai Kcd031PILER</t>
  </si>
  <si>
    <t>1-01-02-02-074-Rec / Pay With CccPILER</t>
  </si>
  <si>
    <t>1-01-02-02-074-Rec / Pay With CccETI</t>
  </si>
  <si>
    <t>1-01-02-02-075-Rec / Pay With Eti-DfidPILER</t>
  </si>
  <si>
    <t>1-01-02-02-075-Rec / Pay With Eti-DfidSHORT PROJECTS</t>
  </si>
  <si>
    <t>1-01-02-02-075-Rec / Pay With Eti-DfidOpen Society</t>
  </si>
  <si>
    <t>1-01-02-02-076-Rec / Pay With AvaazPILER</t>
  </si>
  <si>
    <t>1-01-02-02-078-Rec / Pay With Covid-19 ReliefPILER</t>
  </si>
  <si>
    <t>1-01-02-02-078-Rec / Pay With Covid-19 ReliefETI</t>
  </si>
  <si>
    <t>1-01-02-02-079-Rec / Pay With Network MatterPILER</t>
  </si>
  <si>
    <t>1-01-02-02-080-Rec / Pay With Osf- Impact Of Covid-19PILER</t>
  </si>
  <si>
    <t>1-01-02-02-080-Rec / Pay With Osf- Impact Of Covid-19DAI</t>
  </si>
  <si>
    <t>1-01-02-02-081-Rec / Pay With Dai Kcd 115PILER</t>
  </si>
  <si>
    <t>2-01-01-01-023-Payable To SolidarityPILER</t>
  </si>
  <si>
    <t>2-01-01-01-026-Payable To IdrcPILER</t>
  </si>
  <si>
    <t>2-01-01-02-016-Payable To Trocaire-MlrrsPILER</t>
  </si>
  <si>
    <t>2-01-01-02-016-Payable To Trocaire-MlrrsTAF</t>
  </si>
  <si>
    <t>2-01-01-02-016-Payable To Trocaire-MlrrsSHORT PROJECTS</t>
  </si>
  <si>
    <t>2-01-01-02-016-Payable To Trocaire-MlrrsUNICEF-3</t>
  </si>
  <si>
    <t>2-01-01-02-017-Payable To Piler OwnUnicef</t>
  </si>
  <si>
    <t>2-01-01-02-017-Payable To Piler OwnTrocaire</t>
  </si>
  <si>
    <t>2-01-01-02-017-Payable To Piler OwnDeezire</t>
  </si>
  <si>
    <t>2-01-01-02-017-Payable To Piler OwnPILER</t>
  </si>
  <si>
    <t>2-01-01-02-017-Payable To Piler OwnICCO</t>
  </si>
  <si>
    <t>2-01-01-02-017-Payable To Piler OwnTDH &amp; MI</t>
  </si>
  <si>
    <t>2-01-01-02-017-Payable To Piler OwnTAF</t>
  </si>
  <si>
    <t>2-01-01-02-017-Payable To Piler OwnTDH</t>
  </si>
  <si>
    <t>2-01-01-02-017-Payable To Piler OwnSHORT PROJECTS</t>
  </si>
  <si>
    <t>2-01-01-02-017-Payable To Piler OwnUNICEF-2</t>
  </si>
  <si>
    <t>2-01-01-02-017-Payable To Piler OwnUNICEF-3</t>
  </si>
  <si>
    <t>2-01-01-02-017-Payable To Piler OwnRRCCHR</t>
  </si>
  <si>
    <t>2-01-01-02-017-Payable To Piler OwnOpen Society</t>
  </si>
  <si>
    <t>2-01-01-02-017-Payable To Piler OwnETI</t>
  </si>
  <si>
    <t>2-01-01-02-017-Payable To Piler OwnFOSI</t>
  </si>
  <si>
    <t>2-01-01-02-017-Payable To Piler OwnFNV</t>
  </si>
  <si>
    <t>2-01-01-02-017-Payable To Piler OwnDAI</t>
  </si>
  <si>
    <t>2-01-01-02-017-Payable To Piler OwnGRC</t>
  </si>
  <si>
    <t>2-01-01-02-019-Payable To UnicefPILER</t>
  </si>
  <si>
    <t>2-01-01-02-020-Payable To Tdh-MiPILER</t>
  </si>
  <si>
    <t>2-01-01-02-020-Payable To Tdh-MiTDH</t>
  </si>
  <si>
    <t>2-01-01-02-021-Payable To Icco Project-ThswPILER</t>
  </si>
  <si>
    <t>2-01-01-02-026-Payable To TafPILER</t>
  </si>
  <si>
    <t>2-01-01-02-026-Payable To TafUNICEF-3</t>
  </si>
  <si>
    <t>2-01-01-02-031-Payable To DezairePILER</t>
  </si>
  <si>
    <t>2-01-01-02-031-Payable To DezaireSHORT PROJECTS</t>
  </si>
  <si>
    <t>2-01-01-02-031-Payable To DezaireOpen Society</t>
  </si>
  <si>
    <t>2-01-01-02-031-Payable To DezaireFNV</t>
  </si>
  <si>
    <t>1-01-02-02-079-Rec / Pay With Network MatterDAI</t>
  </si>
  <si>
    <t>1-01-02-02-081-Rec / Pay With Dai Kcd 115SHORT PROJECTS</t>
  </si>
  <si>
    <t>1-01-02-02-082-Rec / Pay with GRCPILER</t>
  </si>
  <si>
    <t>1-01-02-02-082-Rec / Pay with GRCGRC</t>
  </si>
  <si>
    <t>1-01-02-02-083-Rec / Pay with GRC OwnPILER</t>
  </si>
  <si>
    <t>1-01-02-02-083-Rec / Pay with GRC OwnGRC Own</t>
  </si>
  <si>
    <t>2-01-01-02-017-PAYABLE TO PILER OWNGRC Own</t>
  </si>
  <si>
    <t xml:space="preserve">1-01-02-03-020 </t>
  </si>
  <si>
    <t>Misc exp</t>
  </si>
  <si>
    <t>Adv ICCO</t>
  </si>
  <si>
    <t>Adv Short projects</t>
  </si>
  <si>
    <t>Adv(negative) PILER</t>
  </si>
  <si>
    <t>Other inc</t>
  </si>
  <si>
    <t>Adv(negative) Short projects</t>
  </si>
  <si>
    <t>ADVANCE TO M.RAFIQUE TDH&amp;MI</t>
  </si>
  <si>
    <t>Adv PILER Opening</t>
  </si>
  <si>
    <t>adv RRCCHR</t>
  </si>
  <si>
    <t>ABA Transport exp</t>
  </si>
  <si>
    <t>Receivable from abbas haider</t>
  </si>
  <si>
    <t>Adv DIA</t>
  </si>
  <si>
    <t>Adv GRC</t>
  </si>
  <si>
    <t>ABA-2.4-(a)#supplies-2 laptop</t>
  </si>
  <si>
    <t>Dep exp</t>
  </si>
  <si>
    <t>Acc Dep</t>
  </si>
  <si>
    <t>Capital expenditure inccured</t>
  </si>
  <si>
    <t>Amortization of software</t>
  </si>
  <si>
    <t>GRC-8.2.1#software exp</t>
  </si>
  <si>
    <t>Computer softeware</t>
  </si>
  <si>
    <t>Software amortization exp</t>
  </si>
  <si>
    <t>Software expense</t>
  </si>
  <si>
    <t>Accumulated  deficit</t>
  </si>
  <si>
    <t>Surplus / (deficit) for the year</t>
  </si>
  <si>
    <t>Net increase in cash and cash equivalent</t>
  </si>
  <si>
    <t>Net cash (used in) / inflow from financing activities</t>
  </si>
  <si>
    <t>Net cash inflow from operating activities</t>
  </si>
  <si>
    <t>Operating surplus before working capital changes</t>
  </si>
  <si>
    <t>Surplus / (deficit) from operating activities</t>
  </si>
  <si>
    <t>Surplus for the year ended June 30, 2025</t>
  </si>
  <si>
    <t xml:space="preserve">Depreciation is computed applying the straight line method at the rates given in note 5 to the financial statements. The residual values of the assets are considered zero while calculating depreciation. </t>
  </si>
  <si>
    <t>Project: Labour behind the label</t>
  </si>
  <si>
    <t>Project: American bar association</t>
  </si>
  <si>
    <t>Project: GLJ-ILRF: Consumption survey</t>
  </si>
  <si>
    <t>Value</t>
  </si>
  <si>
    <t>Rate</t>
  </si>
  <si>
    <t>Tax Amount</t>
  </si>
  <si>
    <t>Higher of All</t>
  </si>
  <si>
    <t>Minimum Tax @ 1.25%</t>
  </si>
  <si>
    <t>Revenue</t>
  </si>
  <si>
    <t>Coporate Tax @ 29% of Taxable Profit</t>
  </si>
  <si>
    <t>Profit Before Tax</t>
  </si>
  <si>
    <t>Less:</t>
  </si>
  <si>
    <t>Inadmisible Expenses</t>
  </si>
  <si>
    <t>Repair Allowance</t>
  </si>
  <si>
    <t>Initial Allowance</t>
  </si>
  <si>
    <t>Tax Amortisation</t>
  </si>
  <si>
    <t>Tax Depreciation</t>
  </si>
  <si>
    <t>Accounting Amortisation</t>
  </si>
  <si>
    <t>Interest Expense on ROU</t>
  </si>
  <si>
    <t>Accounting Depreciation</t>
  </si>
  <si>
    <t>Dep on ROU Assets</t>
  </si>
  <si>
    <t>Taxable Income before WPPF</t>
  </si>
  <si>
    <t>Less: WPPF</t>
  </si>
  <si>
    <t>Taxable Income</t>
  </si>
  <si>
    <t>Alternate Corporate Tax @ 17%</t>
  </si>
  <si>
    <t>Current Tax</t>
  </si>
  <si>
    <t>Super Tax  4%</t>
  </si>
  <si>
    <t>Income Tax Refundable</t>
  </si>
  <si>
    <t>Total Tax Expense</t>
  </si>
  <si>
    <t>Description</t>
  </si>
  <si>
    <t>WDV (BF)/ 2022)</t>
  </si>
  <si>
    <t>Deletion</t>
  </si>
  <si>
    <t>Addition (Used in Pakistan)</t>
  </si>
  <si>
    <t>Addition (New on or after 1st July 2021)</t>
  </si>
  <si>
    <t>Initial Allowance %</t>
  </si>
  <si>
    <t>WDV (CF) as at June 30, 2023</t>
  </si>
  <si>
    <t>Computer Hardware / Allied Items / Equipment used in manufacture of IT products</t>
  </si>
  <si>
    <t>Plant and Machinery</t>
  </si>
  <si>
    <t>Furniture (including fittings)</t>
  </si>
  <si>
    <t>Motor Vehicle (not plying for hire)</t>
  </si>
  <si>
    <t>WDV (BF)/ 2024</t>
  </si>
  <si>
    <t>Furniture</t>
  </si>
  <si>
    <t>Buildings</t>
  </si>
  <si>
    <t>Plant and Machinary</t>
  </si>
  <si>
    <t>Computers</t>
  </si>
  <si>
    <t>Technical Professional Books</t>
  </si>
  <si>
    <t>WDV (CF) as at June 30, 2025</t>
  </si>
  <si>
    <t>Advance tax</t>
  </si>
  <si>
    <t>Tax expense</t>
  </si>
  <si>
    <t>Taxation - net</t>
  </si>
  <si>
    <t>CHANGE IN ACCOUNTING POLICY</t>
  </si>
  <si>
    <t xml:space="preserve">Taxation </t>
  </si>
  <si>
    <t>During the year, the company transitioned its accounting policy from International Financial Reporting Standards (IFRS) to the Accounting and Financial Reporting framework for Small-Sized Entities (AFRS for SSE).</t>
  </si>
  <si>
    <t>These financial statements have been prepared in accordance with approved accounting standards, as applicable in Pakistan. Approved accounting standards comprise of Revised Accounting and Financial Reporting Standard for Small-sized Entities (AFRS for SSEs) and Accounting Standard for Not for Profit Organisations (NPOs) issued by Institute of Chartered Accountants of Pakistan (ICAP).</t>
  </si>
  <si>
    <t xml:space="preserve">Surplus / (deficit) before income tax </t>
  </si>
  <si>
    <t>These financial statements have been prepared in accordance with the accounting and reporting standards as applicable in Pakistan. The accounting and reporting standards as applicable in Pakistan comprise of:</t>
  </si>
  <si>
    <t>Provisions of and directives issued under the Companies Act, 2017.</t>
  </si>
  <si>
    <t>Where the provisions of and directives issued under the Companies Act, 2017 differ, the provisions of and directives issued under the Companies Act, 2017 have been followed.</t>
  </si>
  <si>
    <t>Revised Accounting and Financial Reporting Standard for Small-sized Entities (AFRS for SSEs) issued by ICAP in 2015 and Accounting Standard for Not for Profit Organization (Accounting standards for NPOs) issued by the Institute of Chartered Accountants of Pakistan as notified under Companies Act, 2017; and</t>
  </si>
  <si>
    <t>Transfer</t>
  </si>
  <si>
    <t xml:space="preserve">Cost </t>
  </si>
  <si>
    <t>SRB</t>
  </si>
  <si>
    <t>This includes major part of the remuneration has been allocated to project activities.</t>
  </si>
  <si>
    <t>expense out</t>
  </si>
  <si>
    <t>Six Column Trial Balance From 01-Jul-2025  To  30-Jun-2026</t>
  </si>
  <si>
    <t>Open Socie</t>
  </si>
  <si>
    <t>RECEIVABLE FROM TROCAIRE-MLRRS</t>
  </si>
  <si>
    <t>RECEIVABLE FROM ICCO PROJ-THSW</t>
  </si>
  <si>
    <t>RECEIVABLE FROM TAF</t>
  </si>
  <si>
    <t>Rec / pay with civic charter</t>
  </si>
  <si>
    <t>RECEIVABLE FROM PILER OWN</t>
  </si>
  <si>
    <t>RECEIVABLE FROM TDH-MI</t>
  </si>
  <si>
    <t>RECEIVABLE FROM UNICEF</t>
  </si>
  <si>
    <t>RECEIVABLE FROM DEZAIRE</t>
  </si>
  <si>
    <t>RECEIVABLE FROM IDRC</t>
  </si>
  <si>
    <t>REC / PAY WITH TDH</t>
  </si>
  <si>
    <t>RECEIVABLE FROM SOLIDARITY CEN</t>
  </si>
  <si>
    <t>REC / PAY WITH KYI</t>
  </si>
  <si>
    <t>REC / PAY WITH KIOS</t>
  </si>
  <si>
    <t>REC / PAY AMRC</t>
  </si>
  <si>
    <t>REC / PAY BCI</t>
  </si>
  <si>
    <t>REC / PAY WITH HBS</t>
  </si>
  <si>
    <t>REC / PAY WITH AFWM</t>
  </si>
  <si>
    <t>REC / PAY WITH TSWW</t>
  </si>
  <si>
    <t>REC / PAY WOW</t>
  </si>
  <si>
    <t>REC / PAY DST</t>
  </si>
  <si>
    <t>REC / PAY WITH DAI</t>
  </si>
  <si>
    <t>REC / PAY UNICEF</t>
  </si>
  <si>
    <t>REC / PAY ACTIONAID</t>
  </si>
  <si>
    <t>Rec / Pay with RRCCHR</t>
  </si>
  <si>
    <t>REC / Pay with DP World Port Qasim</t>
  </si>
  <si>
    <t>Rec / Pay with Open Society</t>
  </si>
  <si>
    <t>Rec / Pay with ETI</t>
  </si>
  <si>
    <t>Rec / Pay with Network CCC South Asia</t>
  </si>
  <si>
    <t>Rec / pay with FOSI</t>
  </si>
  <si>
    <t>Rec / Pay with IBP</t>
  </si>
  <si>
    <t>Rec / Pay with FNV</t>
  </si>
  <si>
    <t>REC / PAY WITH DAI KCD031</t>
  </si>
  <si>
    <t>Rec / Pay With CCC</t>
  </si>
  <si>
    <t>Rec / Pay with ETI-DFID</t>
  </si>
  <si>
    <t>Rec / Pay with AVAAZ</t>
  </si>
  <si>
    <t>Rec / Pay with Covid-19 Relief</t>
  </si>
  <si>
    <t>Rec / Pay with Network Matter</t>
  </si>
  <si>
    <t>Rec / Pay with OSF- impact of COVID-19</t>
  </si>
  <si>
    <t>Rec / Pay with DAI KCD 115</t>
  </si>
  <si>
    <t>1-01-02-03-125</t>
  </si>
  <si>
    <t>Advance to Farhan Haider</t>
  </si>
  <si>
    <t>PAYABLE TO SOLIDARITY</t>
  </si>
  <si>
    <t>PAYABLE TO IDRC</t>
  </si>
  <si>
    <t>PAYABLE TO TROCAIRE-MLRRS</t>
  </si>
  <si>
    <t>PAYABLE TO UNICEF</t>
  </si>
  <si>
    <t>PAYABLE TO TDH-MI</t>
  </si>
  <si>
    <t>PAYABLE TO ICCO PROJECT-THSW</t>
  </si>
  <si>
    <t>PAYABLE TO TAF</t>
  </si>
  <si>
    <t>PAYABLE TO DEZAIRE</t>
  </si>
  <si>
    <t>4-03-01-09-001</t>
  </si>
  <si>
    <t>Donation from The Social Change Nest</t>
  </si>
  <si>
    <t>STAFF WELFARE EXPENSE</t>
  </si>
  <si>
    <t>PILER STAFF TRAINING &amp; EDUCAT.</t>
  </si>
  <si>
    <t>5-01-02-69-049</t>
  </si>
  <si>
    <t xml:space="preserve">GLJ-ILRF : OBS-B.1.11.a-Translation of the materials ( 2 languages transaltion) </t>
  </si>
  <si>
    <t>5-01-02-69-053</t>
  </si>
  <si>
    <t>GLJ-ILRF : OBS-B.2.1.2.c-Report Translation</t>
  </si>
  <si>
    <t>5-01-02-69-055</t>
  </si>
  <si>
    <t xml:space="preserve">GLJ-ILRF : OBS-B.2.2.2-Wage Group Meeting </t>
  </si>
  <si>
    <t>5-01-02-69-056</t>
  </si>
  <si>
    <t>GLJ-ILRF : OBS-B.2.2.5-Public discussion/seminar-Round Table consultation</t>
  </si>
  <si>
    <t>5-01-02-69-080</t>
  </si>
  <si>
    <t>GLJ-ILRF : OBS-B.5.10-National Meeting</t>
  </si>
  <si>
    <t>5-01-02-69-083</t>
  </si>
  <si>
    <t>GLJ-ILRF:INKOTA-Gender Justice Coordinator</t>
  </si>
  <si>
    <t>5-01-02-69-084</t>
  </si>
  <si>
    <t>GLJ-ILRF:INKOTA-Field Coordinator</t>
  </si>
  <si>
    <t>5-01-02-69-085</t>
  </si>
  <si>
    <t>GLJ-ILRF:INKOTA-2.1.a#Organizing strategy-Geographic focus including field strategy &amp; designated tea</t>
  </si>
  <si>
    <t>5-01-02-69-086</t>
  </si>
  <si>
    <t>GLJ-ILRF:INKOTA-3.1.a#Organizing training &amp; Capacity development for partner union</t>
  </si>
  <si>
    <t>5-01-02-69-088</t>
  </si>
  <si>
    <t xml:space="preserve">GLJ-ILRF:INKOTA-4.1.b#Consumption survey resulting in LW figure to support nation wage bargaining &amp; </t>
  </si>
  <si>
    <t>5-01-02-69-091</t>
  </si>
  <si>
    <t>GLJ-ILRF:INKOTA-5.3.c#coordinated day of Action WLC</t>
  </si>
  <si>
    <t>5-01-02-69-093</t>
  </si>
  <si>
    <t>GLJ-ILRF:INKOTA-6.1..a#Convening of National Committee to Strengthening the alliance through regular</t>
  </si>
  <si>
    <t>5-01-02-69-094</t>
  </si>
  <si>
    <t>GLJ-ILRF:INKOTA-6.2.a#Public dicussion on wage(MW &amp; LW)</t>
  </si>
  <si>
    <t>5-01-02-69-097</t>
  </si>
  <si>
    <t>GLJ-ILRF:INKOTA-6.9.a#Interpreter-Regional event</t>
  </si>
  <si>
    <t>5-01-02-86-013</t>
  </si>
  <si>
    <t>GRC-D.1#Laptop for office use</t>
  </si>
  <si>
    <t>5-01-02-86-017</t>
  </si>
  <si>
    <t>GRC-H.1.4#Venue, including food and drinks</t>
  </si>
  <si>
    <t>5-01-02-86-018</t>
  </si>
  <si>
    <t>GRC-H.1.5#Travel for participants</t>
  </si>
  <si>
    <t>5-01-02-86-019</t>
  </si>
  <si>
    <t>GRC-H.1.7#Facilitators fee</t>
  </si>
  <si>
    <t>5-01-02-86-020</t>
  </si>
  <si>
    <t>GRC-H.1.8#Stationary &amp; material</t>
  </si>
  <si>
    <t>5-01-02-88-005</t>
  </si>
  <si>
    <t>SAPPK-5#Cultural Events engaging all Stakeholders(one in each district)</t>
  </si>
  <si>
    <t>5-01-05--002</t>
  </si>
  <si>
    <t>GCE#2-Community Engagement</t>
  </si>
  <si>
    <t>5-01-05--004</t>
  </si>
  <si>
    <t>GCE#4-Multistake holder Consultation</t>
  </si>
  <si>
    <t>5-01-05-0-001</t>
  </si>
  <si>
    <t>GCE#6-Report Writer</t>
  </si>
  <si>
    <t>Debit2</t>
  </si>
  <si>
    <t>Credit2</t>
  </si>
  <si>
    <t>Debit3</t>
  </si>
  <si>
    <t>Credit3</t>
  </si>
  <si>
    <t>Debit4</t>
  </si>
  <si>
    <t>Credit4</t>
  </si>
  <si>
    <t>Debit5</t>
  </si>
  <si>
    <t>Credit5</t>
  </si>
  <si>
    <t>AS AT JUNE 30, 2026</t>
  </si>
  <si>
    <t>Opening Balance July-2025</t>
  </si>
  <si>
    <t>Net book value as on June-2026</t>
  </si>
  <si>
    <t>At June 30, 2026</t>
  </si>
  <si>
    <t>Sum of Credit3</t>
  </si>
  <si>
    <t>1-02-02-01-001PLOT# ST.001, X-V, PILER CENTR</t>
  </si>
  <si>
    <t>1-02-02-02-001BUILDING LEASE HOLD LAND</t>
  </si>
  <si>
    <t>1-02-02-02-002ACCUMULATED DEPRECIATION BUILD</t>
  </si>
  <si>
    <t>1-02-02-03-001GENERATORS</t>
  </si>
  <si>
    <t>1-02-02-03-002ACCUMULATED DEPRECIATION GENER</t>
  </si>
  <si>
    <t>1-02-02-04-001ELECTRICAL INSTALLATIONS</t>
  </si>
  <si>
    <t>1-02-02-04-002ACCUMULATED DEPRECIATION ELECT</t>
  </si>
  <si>
    <t>1-02-02-05-001OFFICE EQUIPMENTS</t>
  </si>
  <si>
    <t>1-02-02-05-002ACCUMULATED DEPRECIATION OTHER</t>
  </si>
  <si>
    <t>1-02-02-06-001FURNITURE &amp; FIXTURES</t>
  </si>
  <si>
    <t>1-02-02-06-002ACCUMULATED DEPRECIATION F &amp; F</t>
  </si>
  <si>
    <t>1-02-02-07-001COMPUTER &amp; LAPTOPS</t>
  </si>
  <si>
    <t>1-02-02-07-002ACCUMULATED DEPRECIATION COMPU</t>
  </si>
  <si>
    <t>1-02-02-07-003COMPUTER SOFTWARE</t>
  </si>
  <si>
    <t>1-02-02-07-004AMMORTIZATION OF SOFTWARE LICS</t>
  </si>
  <si>
    <t>1-02-02-08-001MOTOR VEHICLES</t>
  </si>
  <si>
    <t>1-02-02-08-002ACCUMULTED DEPRECIATION MOTORS</t>
  </si>
  <si>
    <t>1-02-02-09-001BOOKS</t>
  </si>
  <si>
    <t>1-02-02-09-002ACCUMULTED DEPRECIATION BOOKS</t>
  </si>
  <si>
    <t>PROPERTY AND EQUIPMENT</t>
  </si>
  <si>
    <t>DR</t>
  </si>
  <si>
    <t>CR</t>
  </si>
  <si>
    <t>Net</t>
  </si>
  <si>
    <t>Category</t>
  </si>
  <si>
    <t>1-01-01-01-001CASH IN HAND</t>
  </si>
  <si>
    <t>1-01-01-02-002PILER OWN BAHL A/C. 818-04-2</t>
  </si>
  <si>
    <t>1-01-01-02-011PILER TDH &amp; MI BH A/C.818-09-7</t>
  </si>
  <si>
    <t>1-01-01-02-012PILER UBL-012-1940-6</t>
  </si>
  <si>
    <t>1-01-01-02-013PILER UBL-012-1707-3</t>
  </si>
  <si>
    <t>1-01-01-02-015PILER FNV PROJECT 06-0</t>
  </si>
  <si>
    <t>1-01-01-02-016PILER EU PROJECT BAHL-GJ 06-2</t>
  </si>
  <si>
    <t>1-01-01-02-020PILER BAH-A/C.0081-004762-01-0</t>
  </si>
  <si>
    <t>1-01-01-02-021PILER TAF BAH-0081-004762-02-1</t>
  </si>
  <si>
    <t>1-01-01-02-022BANK UNICEF-0081-004762-04-3</t>
  </si>
  <si>
    <t>1-01-01-02-023BANK TROCAIRE-0081-004762-06-5</t>
  </si>
  <si>
    <t>1-01-01-02-024BANK TDH-0081-004762-05-4</t>
  </si>
  <si>
    <t>1-01-01-02-025BANK GRATUITY-0081-004762-09-8</t>
  </si>
  <si>
    <t>1-01-01-02-027BANK DOLLAR-0112-004762-10-9</t>
  </si>
  <si>
    <t>1-01-01-02-029BANK ICCO PAK-0081-004762-08-7</t>
  </si>
  <si>
    <t>1-01-01-02-030BANK TDH PAK-0081-004762-03-2</t>
  </si>
  <si>
    <t>1-01-01-02-031BANK SMALL PR-0081-004762-07-6</t>
  </si>
  <si>
    <t>1-01-02-01-015RECEIVABLE FROM IUF-QAMARULL</t>
  </si>
  <si>
    <t>1-01-02-01-016Rec / Pay with Sindh Human RC</t>
  </si>
  <si>
    <t>1-01-02-02-001R/A-PAKISTAN LABOUR TRUST(PLT)</t>
  </si>
  <si>
    <t>1-01-02-02-002W.H. TAX DEDUCTION</t>
  </si>
  <si>
    <t>1-01-02-02-004SECURITY DEPOPSIT</t>
  </si>
  <si>
    <t>1-01-02-02-005OTHERS RECEIVABLE</t>
  </si>
  <si>
    <t>1-01-02-02-013RECEIVABLE FROM RIDA ALI</t>
  </si>
  <si>
    <t>1-01-02-02-019RECEIVABLE FROM SOLIDARITY CEN</t>
  </si>
  <si>
    <t>1-01-02-02-023RECEIVABLE FROM ZULFIQAR SHAH</t>
  </si>
  <si>
    <t>1-01-02-02-024RECEIVABLE FROM ZEENIA SHOUKAT</t>
  </si>
  <si>
    <t>1-01-02-02-029RECEIVABLE FROM FARHAT FATIMA</t>
  </si>
  <si>
    <t>1-01-02-02-036RECEIVABLE FROM NOBAHAR</t>
  </si>
  <si>
    <t>1-01-02-02-038RECEIVABLE FROM SHUJAUDDIN</t>
  </si>
  <si>
    <t>1-01-02-02-040RECEIVABLE FROM KARAMAT ALI</t>
  </si>
  <si>
    <t>1-01-02-02-042RECEIVABLE FROM DANISH</t>
  </si>
  <si>
    <t>1-01-02-02-043RECEIVABLE FROM PERVEZ AHMED</t>
  </si>
  <si>
    <t>1-01-02-02-047RECEIVABLE FROM GHULAM ASGHAR</t>
  </si>
  <si>
    <t>1-01-02-02-048RECEIVABLE FROM MAHER ALI</t>
  </si>
  <si>
    <t>1-01-02-02-050RECEIVABLE FROM SHAKEEL AHMED</t>
  </si>
  <si>
    <t>1-01-02-02-051RECEIVABLE FROM SHAZAD ALI SHA</t>
  </si>
  <si>
    <t>1-01-02-02-052RECEIVABLE FROM FARHAN</t>
  </si>
  <si>
    <t>1-01-02-02-053RECEIVABLE FROM ABBAS HAIDER</t>
  </si>
  <si>
    <t>1-01-02-02-054RECEIVABLE FROM ABIDA SHARAFAT</t>
  </si>
  <si>
    <t>1-01-02-02-055RECEIVABLE FROM MIR MULADAD</t>
  </si>
  <si>
    <t>1-01-02-02-056RECEIVABLE FROM SANA RUBAB</t>
  </si>
  <si>
    <t>1-01-02-03-003ADVANCE TO GOHAR ALI</t>
  </si>
  <si>
    <t>1-01-02-03-008ADVANCE TO KHADIM HUSSAIN</t>
  </si>
  <si>
    <t>1-01-02-03-020ADVANCE TO ABBAS HAIDER</t>
  </si>
  <si>
    <t>1-01-02-03-116Advance to Zameer Awan</t>
  </si>
  <si>
    <t>1-01-02-03-125Advance to Farhan Haider</t>
  </si>
  <si>
    <t>1-01-02-04-001ADVANCE AGAINST SALARIES</t>
  </si>
  <si>
    <t>1-01-02-04-002STAFF LOAN</t>
  </si>
  <si>
    <t>1-01-02-04-005Advance to hikmat ali</t>
  </si>
  <si>
    <t>1-01-02-05-001PREPAID INSURANCE</t>
  </si>
  <si>
    <t>1-01-02-05-003PREPAYMENTS</t>
  </si>
  <si>
    <t>2-01-01-01-010AUDIT FEE PAYABLE</t>
  </si>
  <si>
    <t>2-01-01-01-023PAYABLE TO SOLIDARITY</t>
  </si>
  <si>
    <t>2-01-01-01-025PAYABLE TO HAMZA GABOOL</t>
  </si>
  <si>
    <t>2-01-01-01-026PAYABLE TO IDRC</t>
  </si>
  <si>
    <t>2-01-01-01-030PAYABLE TO SHUJAUDDIN</t>
  </si>
  <si>
    <t>2-01-01-01-031NEPAL EARTHQUAKE</t>
  </si>
  <si>
    <t>2-01-01-01-033PAYABLE TO MULA BUKSH</t>
  </si>
  <si>
    <t>2-01-01-01-034PAYABLE TO ALTAF HUSSAIN</t>
  </si>
  <si>
    <t>2-01-01-01-036PAYABLE TO SPO</t>
  </si>
  <si>
    <t>2-01-01-01-037PAYABLE TO GOHAR</t>
  </si>
  <si>
    <t>2-01-01-01-038Payable to Danish</t>
  </si>
  <si>
    <t>2-01-01-01-040Payable to Zulfiqar Ali Shah</t>
  </si>
  <si>
    <t>2-01-01-02-001PAKISTAN LABOUR TRUST</t>
  </si>
  <si>
    <t>2-01-01-02-016PAYABLE TO TROCAIRE-MLRRS</t>
  </si>
  <si>
    <t>2-01-01-02-017PAYABLE TO PILER OWN</t>
  </si>
  <si>
    <t>2-01-01-02-019PAYABLE TO UNICEF</t>
  </si>
  <si>
    <t>2-01-01-02-020PAYABLE TO TDH-MI</t>
  </si>
  <si>
    <t>2-01-01-02-021PAYABLE TO ICCO PROJECT-THSW</t>
  </si>
  <si>
    <t>2-01-01-02-022PAYABLE TO KHADIM</t>
  </si>
  <si>
    <t>2-01-01-02-026PAYABLE TO TAF</t>
  </si>
  <si>
    <t>2-01-01-02-027PAYABLE TO PERVEZ</t>
  </si>
  <si>
    <t>2-01-01-02-031PAYABLE TO DEZAIRE</t>
  </si>
  <si>
    <t>2-01-01-02-033PLT LOAN PAYABLE</t>
  </si>
  <si>
    <t>2-01-01-02-035PAYABLE TO M.YOUNIS</t>
  </si>
  <si>
    <t>2-01-01-02-037Payable to Maher Ali</t>
  </si>
  <si>
    <t>2-01-02-01-001SALARIES PAYABLE</t>
  </si>
  <si>
    <t>2-01-02-01-004WATER &amp; SEWERAGE BILL</t>
  </si>
  <si>
    <t>2-01-02-01-005STAFF LUNCH CONTRIBUTION</t>
  </si>
  <si>
    <t>2-01-02-01-009ACCRUED LIABILITIES - 2010</t>
  </si>
  <si>
    <t>2-01-02-01-011ACCURED EXPENSES</t>
  </si>
  <si>
    <t>2-01-02-01-015EOBI PAYABLE</t>
  </si>
  <si>
    <t>2-01-02-01-016SESSI PAYABLE</t>
  </si>
  <si>
    <t>2-01-02-02-001SUPPLIER INCOME TAX WITHHOLD</t>
  </si>
  <si>
    <t>2-01-02-02-002STAFF INCOME TAX WITHHOLD</t>
  </si>
  <si>
    <t>2-01-02-02-003PROVISION FOR INCOME TAX</t>
  </si>
  <si>
    <t>2-01-02-02-004SALES TAX WITHHOLD</t>
  </si>
  <si>
    <t>2-01-03-01-002Other Liabilities</t>
  </si>
  <si>
    <t>2-02-01-01-001STAFF GRATUITY PAYABLE ACCOUNT</t>
  </si>
  <si>
    <t>2-02-01-01-02Payable to Indus Solar Intl</t>
  </si>
  <si>
    <t>3-01-01-01-001FUND BALANCE</t>
  </si>
  <si>
    <t>3-01-01-01-009DEZAIRE FUND BALANCE</t>
  </si>
  <si>
    <t>3-01-01-01-013RCCHR FUND BALANCE</t>
  </si>
  <si>
    <t>4-02-01-01-001HOSTEL RENT INCOME WITH FOODS</t>
  </si>
  <si>
    <t>4-02-02-01-001HALL RENTAL INCOME</t>
  </si>
  <si>
    <t>4-03-01-01-001DONATION FROM LOCAL SOURCE</t>
  </si>
  <si>
    <t>4-03-01-02-045Donation from Global Rights Compliance</t>
  </si>
  <si>
    <t>4-03-01-09-001Donation from The Social Change Nest</t>
  </si>
  <si>
    <t>4-04-01-01-007OFFICE RENTAL INCOME</t>
  </si>
  <si>
    <t>5-01-01-01-001STAFF SALARIES EXPENSE</t>
  </si>
  <si>
    <t>5-01-01-02-001ELECTRICITY EXPENSE</t>
  </si>
  <si>
    <t>5-01-01-02-002GAS CHARGES SSGC</t>
  </si>
  <si>
    <t>5-01-01-02-003TELEPHONE, MOBILE &amp; INTERNET</t>
  </si>
  <si>
    <t>5-01-01-02-004WATER &amp; SEWARAGE CHARGES</t>
  </si>
  <si>
    <t>5-01-01-03-001VEHICLE FUEL EXPENSE</t>
  </si>
  <si>
    <t>5-01-01-04-001VEHICLE REPAIR &amp; MAINTENANCE</t>
  </si>
  <si>
    <t>5-01-01-04-003BUILDING REPAIR &amp; MAINTENANCE</t>
  </si>
  <si>
    <t>5-01-01-04-004EQUIPMENTS REPAIR &amp; MAINTENANC</t>
  </si>
  <si>
    <t>5-01-01-04-005GENERATOR REPAIR &amp; MAINTENANCE</t>
  </si>
  <si>
    <t>5-01-01-04-006COMPUTER REPAIR &amp; MAINTENANCE</t>
  </si>
  <si>
    <t>5-01-01-06-001POSTAGE &amp; COURIER</t>
  </si>
  <si>
    <t>5-01-01-06-002PRINTING &amp; STATIONERIES</t>
  </si>
  <si>
    <t>5-01-01-06-003PHOTOCOPY &amp; COMPUT ACCESSARIES</t>
  </si>
  <si>
    <t>5-01-01-06-004MISC. EXPENSES</t>
  </si>
  <si>
    <t>5-01-01-06-005VEHICLE TOLL TAX</t>
  </si>
  <si>
    <t>5-01-01-06-006TRANSPORTATION EXPENSE</t>
  </si>
  <si>
    <t>5-01-01-06-007TRAVELLING EXPENSES</t>
  </si>
  <si>
    <t>5-01-01-06-012LIBRARY BOOKS &amp; PERIODICALS</t>
  </si>
  <si>
    <t>5-01-01-07-001LEGAL &amp; PROFESSIONAL FEE</t>
  </si>
  <si>
    <t>5-01-01-07-002AUDITOR REMUNERATIONS</t>
  </si>
  <si>
    <t>5-01-01-07-003CONSULTANCY CHARGES</t>
  </si>
  <si>
    <t>5-01-01-08-003EOBI CONTRIBUTIONS</t>
  </si>
  <si>
    <t>5-01-01-08-004SESSI CONTRIBUTIONS</t>
  </si>
  <si>
    <t>5-01-01-08-006STAFF WELFARE EXPENSE</t>
  </si>
  <si>
    <t>5-01-01-09-001BANK CHARGES</t>
  </si>
  <si>
    <t>5-01-01-10-001DEPRECIATION EXPENSES-BUILDING</t>
  </si>
  <si>
    <t>5-01-01-10-002DEPRECIATION EX-GENERATOR</t>
  </si>
  <si>
    <t>5-01-01-10-003DEPRECIATION EX-ELEC INSTALLA</t>
  </si>
  <si>
    <t>5-01-01-10-004DEPRECIATION EX- OFFICE EQUIP</t>
  </si>
  <si>
    <t>5-01-01-10-005DEPRECIATION EXP-FUR &amp; FIX</t>
  </si>
  <si>
    <t>5-01-01-10-009SOFTWARE AMORTIZATION</t>
  </si>
  <si>
    <t>5-01-01-11-001INCOME TAX EXPENSES</t>
  </si>
  <si>
    <t>5-01-01-12-001CLEANING &amp; LAUNDRY</t>
  </si>
  <si>
    <t>5-01-01-12-002GARDEN &amp; GROUND UPKEEP</t>
  </si>
  <si>
    <t>5-01-02-06-044BASIC UTENSILS &amp; COOKING STOVE</t>
  </si>
  <si>
    <t>5-01-02-07-014PAYMENT OF LOCAL DONATIONS</t>
  </si>
  <si>
    <t>5-01-02-07-023PILER STAFF TRAINING &amp; EDUCAT.</t>
  </si>
  <si>
    <t>5-01-02-07-036WORKSHOP &amp; TRAINING</t>
  </si>
  <si>
    <t>5-01-02-10-020Shirkat Gah#2.5-Awareness Session with Trade Unions Members &amp; Workers Groups</t>
  </si>
  <si>
    <t xml:space="preserve">5-01-02-69-042GLJ-ILRF : OBS-A.49-Field Coordinator </t>
  </si>
  <si>
    <t xml:space="preserve">5-01-02-69-049GLJ-ILRF : OBS-B.1.11.a-Translation of the materials ( 2 languages transaltion) </t>
  </si>
  <si>
    <t>5-01-02-69-053GLJ-ILRF : OBS-B.2.1.2.c-Report Translation</t>
  </si>
  <si>
    <t xml:space="preserve">5-01-02-69-055GLJ-ILRF : OBS-B.2.2.2-Wage Group Meeting </t>
  </si>
  <si>
    <t>5-01-02-69-056GLJ-ILRF : OBS-B.2.2.5-Public discussion/seminar-Round Table consultation</t>
  </si>
  <si>
    <t>5-01-02-69-080GLJ-ILRF : OBS-B.5.10-National Meeting</t>
  </si>
  <si>
    <t>5-01-02-69-083GLJ-ILRF:INKOTA-Gender Justice Coordinator</t>
  </si>
  <si>
    <t>5-01-02-69-084GLJ-ILRF:INKOTA-Field Coordinator</t>
  </si>
  <si>
    <t>5-01-02-69-085GLJ-ILRF:INKOTA-2.1.a#Organizing strategy-Geographic focus including field strategy &amp; designated tea</t>
  </si>
  <si>
    <t>5-01-02-69-086GLJ-ILRF:INKOTA-3.1.a#Organizing training &amp; Capacity development for partner union</t>
  </si>
  <si>
    <t xml:space="preserve">5-01-02-69-088GLJ-ILRF:INKOTA-4.1.b#Consumption survey resulting in LW figure to support nation wage bargaining &amp; </t>
  </si>
  <si>
    <t>5-01-02-69-091GLJ-ILRF:INKOTA-5.3.c#coordinated day of Action WLC</t>
  </si>
  <si>
    <t>5-01-02-69-093GLJ-ILRF:INKOTA-6.1..a#Convening of National Committee to Strengthening the alliance through regular</t>
  </si>
  <si>
    <t>5-01-02-69-094GLJ-ILRF:INKOTA-6.2.a#Public dicussion on wage(MW &amp; LW)</t>
  </si>
  <si>
    <t>5-01-02-69-097GLJ-ILRF:INKOTA-6.9.a#Interpreter-Regional event</t>
  </si>
  <si>
    <t>5-01-02-74-004GRC-6.3# Office Rent</t>
  </si>
  <si>
    <t>5-01-02-74-005GRC-8.1.1# Baseline Assessment (development, implementation, analysis and reporting, recruitment and</t>
  </si>
  <si>
    <t>5-01-02-74-012GRC-8.2.5 # Stationary &amp; material</t>
  </si>
  <si>
    <t>5-01-02-74-013GRC-Indirect Costs</t>
  </si>
  <si>
    <t>5-01-02-74-015GRC-6.1.2#Paralegal trainer/facilitator</t>
  </si>
  <si>
    <t>5-01-02-86-001GRC-A.1.1#Project Manager</t>
  </si>
  <si>
    <t>5-01-02-86-002GRC-A.1.2#Finance Coordinator</t>
  </si>
  <si>
    <t>5-01-02-86-003GRC-A.1.3#Project Coordinator</t>
  </si>
  <si>
    <t>5-01-02-86-004GRC-A.1.#Admn Officer</t>
  </si>
  <si>
    <t>5-01-02-86-005GRC-B.1.1#EOBI Contribution</t>
  </si>
  <si>
    <t>5-01-02-86-013GRC-D.1#Laptop for office use</t>
  </si>
  <si>
    <t>5-01-02-86-014GRC-F.2#Office Rent</t>
  </si>
  <si>
    <t>5-01-02-86-017GRC-H.1.4#Venue, including food and drinks</t>
  </si>
  <si>
    <t>5-01-02-86-018GRC-H.1.5#Travel for participants</t>
  </si>
  <si>
    <t>5-01-02-86-019GRC-H.1.7#Facilitators fee</t>
  </si>
  <si>
    <t>5-01-02-86-020GRC-H.1.8#Stationary &amp; material</t>
  </si>
  <si>
    <t>5-01-02-88-005SAPPK-5#Cultural Events engaging all Stakeholders(one in each district)</t>
  </si>
  <si>
    <t>5-01-05-0-001GCE#6-Report Writer</t>
  </si>
  <si>
    <t>5-01-05--002GCE#2-Community Engagement</t>
  </si>
  <si>
    <t>5-01-05--004GCE#4-Multistake holder Consultation</t>
  </si>
  <si>
    <t>Details for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</si>
</sst>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_(* #,##0_);_(* \(#,##0\);_(* &quot;-&quot;_);_(@_)"/>
    <numFmt numFmtId="165" formatCode="_(&quot;$&quot;* #,##0.00_);_(&quot;$&quot;* \(#,##0.00\);_(&quot;$&quot;* &quot;-&quot;??_);_(@_)"/>
    <numFmt numFmtId="166" formatCode="_(* #,##0.00_);_(* \(#,##0.00\);_(* &quot;-&quot;??_);_(@_)"/>
    <numFmt numFmtId="167" formatCode="_(* #,##0_);_(* \(#,##0\);_(* &quot;-&quot;??_);_(@_)"/>
    <numFmt numFmtId="168" formatCode="#"/>
    <numFmt numFmtId="169" formatCode="#."/>
    <numFmt numFmtId="170" formatCode="#,##0.0_);\(#,##0.0\)"/>
    <numFmt numFmtId="171" formatCode="0."/>
    <numFmt numFmtId="172" formatCode="#.0"/>
    <numFmt numFmtId="173" formatCode="#,##0.0_ ;\-#,##0.0\ "/>
    <numFmt numFmtId="174" formatCode="[$-10409]#,##0;\(#,##0\);&quot;&quot;"/>
    <numFmt numFmtId="175" formatCode="[$-409]dddd\,\ mmmm\ dd\,\ yyyy"/>
    <numFmt numFmtId="176" formatCode="0.0"/>
    <numFmt numFmtId="177" formatCode="0_)"/>
    <numFmt numFmtId="178" formatCode="#.#"/>
    <numFmt numFmtId="179" formatCode="_(* #,##0_);_(* \(#,##0\);_(* \-??_);_(@_)"/>
    <numFmt numFmtId="180" formatCode="[$-10409]#,##0.00;\(#,##0.00\);&quot;&quot;"/>
    <numFmt numFmtId="181" formatCode="#,##0.0000000_);\(#,##0.0000000\)"/>
  </numFmts>
  <fonts count="62">
    <font>
      <sz val="11"/>
      <color theme="1"/>
      <name val="Calibri"/>
      <family val="2"/>
      <scheme val="minor"/>
    </font>
    <font>
      <sz val="10"/>
      <color theme="1"/>
      <name val="Calibri"/>
      <family val="2"/>
      <scheme val="minor"/>
    </font>
    <font>
      <sz val="11"/>
      <color theme="1"/>
      <name val="Calibri"/>
      <family val="2"/>
      <scheme val="minor"/>
    </font>
    <font>
      <b/>
      <sz val="11"/>
      <color theme="1"/>
      <name val="Calibri"/>
      <family val="2"/>
      <scheme val="minor"/>
    </font>
    <font>
      <sz val="10"/>
      <color rgb="FF000000"/>
      <name val="Arial"/>
      <family val="2"/>
    </font>
    <font>
      <sz val="10"/>
      <name val="Courier"/>
      <family val="3"/>
    </font>
    <font>
      <b/>
      <sz val="10"/>
      <name val="Calibri"/>
      <family val="2"/>
    </font>
    <font>
      <sz val="10"/>
      <name val="Calibri"/>
      <family val="2"/>
    </font>
    <font>
      <sz val="10"/>
      <name val="Arial"/>
      <family val="2"/>
    </font>
    <font>
      <b/>
      <i/>
      <sz val="10"/>
      <name val="Calibri"/>
      <family val="2"/>
    </font>
    <font>
      <sz val="10"/>
      <color indexed="8"/>
      <name val="MS Sans Serif"/>
    </font>
    <font>
      <b/>
      <sz val="10"/>
      <color indexed="8"/>
      <name val="Calibri"/>
      <family val="2"/>
    </font>
    <font>
      <i/>
      <sz val="10"/>
      <name val="Calibri"/>
      <family val="2"/>
    </font>
    <font>
      <sz val="10"/>
      <color indexed="8"/>
      <name val="Calibri"/>
      <family val="2"/>
    </font>
    <font>
      <b/>
      <sz val="14.05"/>
      <color indexed="8"/>
      <name val="Times New Roman"/>
      <family val="1"/>
    </font>
    <font>
      <sz val="10"/>
      <color rgb="FFFF0000"/>
      <name val="Calibri"/>
      <family val="2"/>
    </font>
    <font>
      <sz val="11"/>
      <color indexed="8"/>
      <name val="Calibri"/>
      <family val="2"/>
    </font>
    <font>
      <b/>
      <sz val="10"/>
      <color rgb="FFFF0000"/>
      <name val="Calibri"/>
      <family val="2"/>
    </font>
    <font>
      <sz val="10"/>
      <name val="Calibri"/>
      <family val="2"/>
      <scheme val="minor"/>
    </font>
    <font>
      <b/>
      <sz val="10"/>
      <name val="Calibri"/>
      <family val="2"/>
      <scheme val="minor"/>
    </font>
    <font>
      <b/>
      <sz val="9"/>
      <name val="Calibri"/>
      <family val="2"/>
      <scheme val="minor"/>
    </font>
    <font>
      <sz val="9"/>
      <name val="Calibri"/>
      <family val="2"/>
      <scheme val="minor"/>
    </font>
    <font>
      <sz val="9"/>
      <color theme="1"/>
      <name val="Calibri"/>
      <family val="2"/>
      <scheme val="minor"/>
    </font>
    <font>
      <sz val="10"/>
      <color indexed="9"/>
      <name val="Calibri"/>
      <family val="2"/>
    </font>
    <font>
      <b/>
      <i/>
      <sz val="10"/>
      <name val="Calibri"/>
      <family val="2"/>
      <scheme val="minor"/>
    </font>
    <font>
      <sz val="9"/>
      <name val="Calibri"/>
      <family val="2"/>
    </font>
    <font>
      <sz val="10"/>
      <color indexed="8"/>
      <name val="MS Sans Serif"/>
      <family val="2"/>
    </font>
    <font>
      <sz val="10"/>
      <color indexed="8"/>
      <name val="Calibri"/>
      <family val="2"/>
      <scheme val="minor"/>
    </font>
    <font>
      <b/>
      <u/>
      <sz val="10"/>
      <name val="Calibri"/>
      <family val="2"/>
      <scheme val="minor"/>
    </font>
    <font>
      <sz val="10"/>
      <color theme="1"/>
      <name val="Calibri"/>
      <family val="2"/>
    </font>
    <font>
      <b/>
      <sz val="10"/>
      <color indexed="8"/>
      <name val="Calibri"/>
      <family val="2"/>
      <scheme val="minor"/>
    </font>
    <font>
      <b/>
      <sz val="16"/>
      <color indexed="8"/>
      <name val="Arial"/>
      <family val="2"/>
    </font>
    <font>
      <b/>
      <sz val="11"/>
      <color indexed="8"/>
      <name val="Arial"/>
      <family val="2"/>
    </font>
    <font>
      <b/>
      <sz val="9"/>
      <color indexed="8"/>
      <name val="Arial"/>
      <family val="2"/>
    </font>
    <font>
      <sz val="8"/>
      <color indexed="8"/>
      <name val="Arial"/>
      <family val="2"/>
    </font>
    <font>
      <b/>
      <sz val="9"/>
      <color rgb="FF000000"/>
      <name val="Arial"/>
      <family val="2"/>
    </font>
    <font>
      <b/>
      <sz val="10"/>
      <color rgb="FF00B050"/>
      <name val="Arial"/>
      <family val="2"/>
    </font>
    <font>
      <b/>
      <sz val="10"/>
      <color rgb="FF00B050"/>
      <name val="Calibri"/>
      <family val="2"/>
      <scheme val="minor"/>
    </font>
    <font>
      <sz val="11"/>
      <color indexed="8"/>
      <name val="Arial"/>
      <family val="2"/>
    </font>
    <font>
      <b/>
      <sz val="11"/>
      <color rgb="FF00B050"/>
      <name val="Calibri"/>
      <family val="2"/>
      <scheme val="minor"/>
    </font>
    <font>
      <sz val="11"/>
      <name val="Calibri"/>
      <family val="2"/>
      <scheme val="minor"/>
    </font>
    <font>
      <b/>
      <sz val="11"/>
      <color indexed="8"/>
      <name val="Calibri"/>
      <family val="2"/>
      <scheme val="minor"/>
    </font>
    <font>
      <sz val="11"/>
      <color indexed="8"/>
      <name val="Calibri"/>
      <family val="2"/>
      <scheme val="minor"/>
    </font>
    <font>
      <b/>
      <i/>
      <sz val="11"/>
      <color theme="1"/>
      <name val="Calibri"/>
      <family val="2"/>
      <scheme val="minor"/>
    </font>
    <font>
      <sz val="12"/>
      <name val="Arial MT"/>
    </font>
    <font>
      <b/>
      <sz val="10"/>
      <color theme="1"/>
      <name val="Calibri"/>
      <family val="2"/>
      <scheme val="minor"/>
    </font>
    <font>
      <sz val="10"/>
      <color theme="1"/>
      <name val="Calibri"/>
      <family val="2"/>
      <scheme val="minor"/>
    </font>
    <font>
      <sz val="11"/>
      <color theme="0"/>
      <name val="Calibri"/>
      <family val="2"/>
      <scheme val="minor"/>
    </font>
    <font>
      <b/>
      <sz val="11"/>
      <name val="Calibri"/>
      <family val="2"/>
      <scheme val="minor"/>
    </font>
    <font>
      <sz val="10"/>
      <name val="Comic Sans MS"/>
      <family val="4"/>
    </font>
    <font>
      <sz val="11"/>
      <color theme="1"/>
      <name val="Times New Roman"/>
      <family val="1"/>
    </font>
    <font>
      <i/>
      <sz val="10"/>
      <name val="Calibri"/>
      <family val="2"/>
      <scheme val="minor"/>
    </font>
    <font>
      <b/>
      <i/>
      <sz val="10"/>
      <color theme="1"/>
      <name val="Calibri"/>
      <family val="2"/>
      <scheme val="minor"/>
    </font>
    <font>
      <i/>
      <sz val="10"/>
      <color theme="1"/>
      <name val="Calibri"/>
      <family val="2"/>
      <scheme val="minor"/>
    </font>
    <font>
      <b/>
      <sz val="9"/>
      <color theme="1"/>
      <name val="Calibri"/>
      <family val="2"/>
      <scheme val="minor"/>
    </font>
    <font>
      <sz val="11"/>
      <color rgb="FF000000"/>
      <name val="Calibri"/>
      <family val="2"/>
    </font>
    <font>
      <u/>
      <sz val="11"/>
      <color rgb="FF000000"/>
      <name val="Calibri"/>
      <family val="2"/>
    </font>
    <font>
      <b/>
      <sz val="16"/>
      <color indexed="8"/>
      <name val="Arial"/>
      <family val="2"/>
    </font>
    <font>
      <sz val="8"/>
      <color indexed="8"/>
      <name val="Arial"/>
      <family val="2"/>
    </font>
    <font>
      <b/>
      <sz val="11"/>
      <color indexed="8"/>
      <name val="Arial"/>
      <family val="2"/>
    </font>
    <font>
      <b/>
      <sz val="9"/>
      <color indexed="8"/>
      <name val="Arial"/>
      <family val="2"/>
    </font>
    <font>
      <sz val="12"/>
      <color indexed="8"/>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2" tint="-0.249977111117893"/>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499984740745262"/>
        <bgColor indexed="64"/>
      </patternFill>
    </fill>
    <fill>
      <patternFill patternType="solid">
        <fgColor theme="8" tint="0.59999389629810485"/>
        <bgColor indexed="64"/>
      </patternFill>
    </fill>
  </fills>
  <borders count="61">
    <border>
      <left/>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double">
        <color indexed="64"/>
      </bottom>
      <diagonal/>
    </border>
    <border>
      <left/>
      <right/>
      <top/>
      <bottom style="medium">
        <color indexed="64"/>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double">
        <color indexed="64"/>
      </bottom>
      <diagonal/>
    </border>
    <border>
      <left style="thin">
        <color indexed="64"/>
      </left>
      <right/>
      <top/>
      <bottom/>
      <diagonal/>
    </border>
    <border>
      <left style="medium">
        <color indexed="64"/>
      </left>
      <right/>
      <top/>
      <bottom/>
      <diagonal/>
    </border>
    <border>
      <left/>
      <right style="thin">
        <color indexed="64"/>
      </right>
      <top/>
      <bottom/>
      <diagonal/>
    </border>
    <border>
      <left/>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8"/>
      </bottom>
      <diagonal/>
    </border>
    <border>
      <left style="medium">
        <color indexed="64"/>
      </left>
      <right/>
      <top style="thin">
        <color indexed="8"/>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s>
  <cellStyleXfs count="36">
    <xf numFmtId="0" fontId="0" fillId="0" borderId="0"/>
    <xf numFmtId="166" fontId="2" fillId="0" borderId="0" applyFont="0" applyFill="0" applyBorder="0" applyAlignment="0" applyProtection="0"/>
    <xf numFmtId="0" fontId="4" fillId="0" borderId="0"/>
    <xf numFmtId="37" fontId="5" fillId="0" borderId="0"/>
    <xf numFmtId="166" fontId="8" fillId="0" borderId="0" applyFont="0" applyFill="0" applyBorder="0" applyAlignment="0" applyProtection="0"/>
    <xf numFmtId="0" fontId="8" fillId="0" borderId="0"/>
    <xf numFmtId="0" fontId="10" fillId="0" borderId="0"/>
    <xf numFmtId="166" fontId="14" fillId="0" borderId="0" applyFont="0" applyFill="0" applyBorder="0" applyAlignment="0" applyProtection="0"/>
    <xf numFmtId="166" fontId="16" fillId="0" borderId="0" applyFont="0" applyFill="0" applyBorder="0" applyAlignment="0" applyProtection="0"/>
    <xf numFmtId="165" fontId="8" fillId="0" borderId="0" applyFont="0" applyFill="0" applyBorder="0" applyAlignment="0" applyProtection="0"/>
    <xf numFmtId="166" fontId="14" fillId="0" borderId="0" applyFont="0" applyFill="0" applyBorder="0" applyAlignment="0" applyProtection="0"/>
    <xf numFmtId="0" fontId="8" fillId="0" borderId="0"/>
    <xf numFmtId="0" fontId="2" fillId="0" borderId="0"/>
    <xf numFmtId="166" fontId="2" fillId="0" borderId="0" applyFont="0" applyFill="0" applyBorder="0" applyAlignment="0" applyProtection="0"/>
    <xf numFmtId="0" fontId="8" fillId="0" borderId="0"/>
    <xf numFmtId="9" fontId="26" fillId="0" borderId="0" applyFont="0" applyFill="0" applyBorder="0" applyAlignment="0" applyProtection="0"/>
    <xf numFmtId="0" fontId="26" fillId="0" borderId="0"/>
    <xf numFmtId="0" fontId="26" fillId="0" borderId="0"/>
    <xf numFmtId="0" fontId="8" fillId="0" borderId="0"/>
    <xf numFmtId="0" fontId="2" fillId="0" borderId="0"/>
    <xf numFmtId="0" fontId="8" fillId="0" borderId="0"/>
    <xf numFmtId="0" fontId="8" fillId="0" borderId="0"/>
    <xf numFmtId="0" fontId="2" fillId="0" borderId="0"/>
    <xf numFmtId="9" fontId="2" fillId="0" borderId="0" applyFont="0" applyFill="0" applyBorder="0" applyAlignment="0" applyProtection="0"/>
    <xf numFmtId="177" fontId="44" fillId="0" borderId="0"/>
    <xf numFmtId="175" fontId="8" fillId="0" borderId="0"/>
    <xf numFmtId="166" fontId="8" fillId="0" borderId="0" applyFont="0" applyFill="0" applyBorder="0" applyAlignment="0" applyProtection="0"/>
    <xf numFmtId="0" fontId="8" fillId="0" borderId="0"/>
    <xf numFmtId="166" fontId="49" fillId="0" borderId="0" applyFont="0" applyFill="0" applyBorder="0" applyAlignment="0" applyProtection="0"/>
    <xf numFmtId="0" fontId="8" fillId="0" borderId="0"/>
    <xf numFmtId="166" fontId="8" fillId="0" borderId="0" applyFont="0" applyFill="0" applyBorder="0" applyAlignment="0" applyProtection="0"/>
    <xf numFmtId="0" fontId="50" fillId="0" borderId="0">
      <alignment vertical="top"/>
    </xf>
    <xf numFmtId="0" fontId="8" fillId="0" borderId="0"/>
    <xf numFmtId="0" fontId="2" fillId="0" borderId="0"/>
    <xf numFmtId="0" fontId="2" fillId="0" borderId="0"/>
    <xf numFmtId="43" fontId="8" fillId="0" borderId="0" applyFont="0" applyFill="0" applyBorder="0" applyAlignment="0" applyProtection="0"/>
  </cellStyleXfs>
  <cellXfs count="859">
    <xf numFmtId="0" fontId="0" fillId="0" borderId="0" xfId="0"/>
    <xf numFmtId="167" fontId="0" fillId="0" borderId="0" xfId="1" applyNumberFormat="1" applyFont="1"/>
    <xf numFmtId="167" fontId="0" fillId="0" borderId="0" xfId="0" applyNumberFormat="1"/>
    <xf numFmtId="37" fontId="6" fillId="0" borderId="0" xfId="3" applyFont="1" applyAlignment="1">
      <alignment vertical="top"/>
    </xf>
    <xf numFmtId="37" fontId="7" fillId="0" borderId="0" xfId="3" applyFont="1" applyAlignment="1">
      <alignment vertical="top"/>
    </xf>
    <xf numFmtId="1" fontId="6" fillId="0" borderId="0" xfId="4" quotePrefix="1" applyNumberFormat="1" applyFont="1" applyFill="1" applyBorder="1" applyAlignment="1">
      <alignment horizontal="center" vertical="top"/>
    </xf>
    <xf numFmtId="37" fontId="6" fillId="0" borderId="0" xfId="3" applyFont="1" applyAlignment="1">
      <alignment horizontal="center"/>
    </xf>
    <xf numFmtId="37" fontId="6" fillId="0" borderId="0" xfId="3" applyFont="1" applyAlignment="1">
      <alignment horizontal="center" vertical="top"/>
    </xf>
    <xf numFmtId="0" fontId="6" fillId="0" borderId="0" xfId="5" applyFont="1" applyAlignment="1">
      <alignment vertical="center"/>
    </xf>
    <xf numFmtId="37" fontId="7" fillId="0" borderId="0" xfId="3" applyFont="1" applyAlignment="1">
      <alignment vertical="center"/>
    </xf>
    <xf numFmtId="37" fontId="9" fillId="0" borderId="0" xfId="3" applyFont="1" applyAlignment="1">
      <alignment horizontal="center" vertical="center"/>
    </xf>
    <xf numFmtId="167" fontId="7" fillId="0" borderId="0" xfId="4" applyNumberFormat="1" applyFont="1" applyFill="1" applyBorder="1" applyAlignment="1">
      <alignment horizontal="center" vertical="center"/>
    </xf>
    <xf numFmtId="167" fontId="7" fillId="0" borderId="0" xfId="4" applyNumberFormat="1" applyFont="1" applyBorder="1" applyAlignment="1">
      <alignment horizontal="right" vertical="center"/>
    </xf>
    <xf numFmtId="167" fontId="7" fillId="0" borderId="1" xfId="4" applyNumberFormat="1" applyFont="1" applyFill="1" applyBorder="1" applyAlignment="1">
      <alignment horizontal="center" vertical="center"/>
    </xf>
    <xf numFmtId="37" fontId="9" fillId="0" borderId="0" xfId="3" applyFont="1" applyAlignment="1">
      <alignment vertical="center"/>
    </xf>
    <xf numFmtId="167" fontId="7" fillId="0" borderId="0" xfId="4" applyNumberFormat="1" applyFont="1" applyFill="1" applyBorder="1" applyAlignment="1">
      <alignment vertical="center"/>
    </xf>
    <xf numFmtId="37" fontId="6" fillId="0" borderId="0" xfId="3" applyFont="1" applyAlignment="1">
      <alignment vertical="center"/>
    </xf>
    <xf numFmtId="37" fontId="9" fillId="0" borderId="0" xfId="3" quotePrefix="1" applyFont="1" applyAlignment="1">
      <alignment horizontal="center" vertical="center"/>
    </xf>
    <xf numFmtId="167" fontId="7" fillId="0" borderId="0" xfId="4" quotePrefix="1" applyNumberFormat="1" applyFont="1" applyFill="1" applyBorder="1" applyAlignment="1">
      <alignment horizontal="right" vertical="center"/>
    </xf>
    <xf numFmtId="167" fontId="7" fillId="0" borderId="1" xfId="4" quotePrefix="1" applyNumberFormat="1" applyFont="1" applyFill="1" applyBorder="1" applyAlignment="1">
      <alignment horizontal="right" vertical="center"/>
    </xf>
    <xf numFmtId="167" fontId="7" fillId="0" borderId="0" xfId="4" applyNumberFormat="1" applyFont="1" applyFill="1" applyBorder="1" applyAlignment="1">
      <alignment horizontal="right" vertical="center"/>
    </xf>
    <xf numFmtId="167" fontId="6" fillId="0" borderId="6" xfId="4" applyNumberFormat="1" applyFont="1" applyFill="1" applyBorder="1" applyAlignment="1">
      <alignment horizontal="right" vertical="center"/>
    </xf>
    <xf numFmtId="167" fontId="6" fillId="0" borderId="0" xfId="4" applyNumberFormat="1" applyFont="1" applyFill="1" applyBorder="1" applyAlignment="1">
      <alignment horizontal="right" vertical="center"/>
    </xf>
    <xf numFmtId="167" fontId="7" fillId="0" borderId="0" xfId="4" quotePrefix="1" applyNumberFormat="1" applyFont="1" applyFill="1" applyBorder="1" applyAlignment="1">
      <alignment horizontal="center" vertical="center"/>
    </xf>
    <xf numFmtId="0" fontId="7" fillId="0" borderId="0" xfId="3" applyNumberFormat="1" applyFont="1" applyAlignment="1">
      <alignment vertical="center"/>
    </xf>
    <xf numFmtId="40" fontId="7" fillId="0" borderId="0" xfId="6" applyNumberFormat="1" applyFont="1" applyAlignment="1">
      <alignment vertical="top"/>
    </xf>
    <xf numFmtId="37" fontId="7" fillId="0" borderId="0" xfId="3" applyFont="1" applyAlignment="1">
      <alignment vertical="center" wrapText="1"/>
    </xf>
    <xf numFmtId="0" fontId="11" fillId="0" borderId="0" xfId="5" applyFont="1"/>
    <xf numFmtId="167" fontId="6" fillId="0" borderId="6" xfId="4" applyNumberFormat="1" applyFont="1" applyFill="1" applyBorder="1" applyAlignment="1">
      <alignment vertical="center"/>
    </xf>
    <xf numFmtId="167" fontId="6" fillId="0" borderId="0" xfId="4" applyNumberFormat="1" applyFont="1" applyFill="1" applyBorder="1" applyAlignment="1">
      <alignment vertical="center"/>
    </xf>
    <xf numFmtId="37" fontId="12" fillId="0" borderId="0" xfId="3" applyFont="1" applyAlignment="1">
      <alignment vertical="center"/>
    </xf>
    <xf numFmtId="0" fontId="13" fillId="0" borderId="0" xfId="5" applyFont="1"/>
    <xf numFmtId="37" fontId="7" fillId="0" borderId="7" xfId="3" applyFont="1" applyBorder="1" applyAlignment="1">
      <alignment vertical="center"/>
    </xf>
    <xf numFmtId="37" fontId="6" fillId="0" borderId="8" xfId="3" applyFont="1" applyBorder="1" applyAlignment="1">
      <alignment horizontal="centerContinuous" vertical="top"/>
    </xf>
    <xf numFmtId="0" fontId="7" fillId="0" borderId="0" xfId="5" applyFont="1"/>
    <xf numFmtId="37" fontId="7" fillId="0" borderId="0" xfId="3" applyFont="1" applyAlignment="1">
      <alignment horizontal="left"/>
    </xf>
    <xf numFmtId="37" fontId="7" fillId="0" borderId="0" xfId="3" applyFont="1"/>
    <xf numFmtId="37" fontId="9" fillId="0" borderId="0" xfId="3" quotePrefix="1" applyFont="1" applyAlignment="1">
      <alignment horizontal="center"/>
    </xf>
    <xf numFmtId="167" fontId="7" fillId="0" borderId="0" xfId="4" applyNumberFormat="1" applyFont="1" applyFill="1" applyBorder="1"/>
    <xf numFmtId="167" fontId="7" fillId="0" borderId="0" xfId="4" applyNumberFormat="1" applyFont="1" applyBorder="1"/>
    <xf numFmtId="167" fontId="7" fillId="0" borderId="4" xfId="4" applyNumberFormat="1" applyFont="1" applyFill="1" applyBorder="1"/>
    <xf numFmtId="167" fontId="7" fillId="0" borderId="9" xfId="4" applyNumberFormat="1" applyFont="1" applyBorder="1"/>
    <xf numFmtId="37" fontId="9" fillId="0" borderId="0" xfId="5" applyNumberFormat="1" applyFont="1" applyAlignment="1">
      <alignment horizontal="center"/>
    </xf>
    <xf numFmtId="167" fontId="7" fillId="0" borderId="1" xfId="4" applyNumberFormat="1" applyFont="1" applyFill="1" applyBorder="1"/>
    <xf numFmtId="167" fontId="7" fillId="0" borderId="10" xfId="4" applyNumberFormat="1" applyFont="1" applyBorder="1"/>
    <xf numFmtId="37" fontId="9" fillId="0" borderId="11" xfId="5" applyNumberFormat="1" applyFont="1" applyBorder="1" applyAlignment="1">
      <alignment horizontal="center"/>
    </xf>
    <xf numFmtId="167" fontId="7" fillId="0" borderId="11" xfId="4" applyNumberFormat="1" applyFont="1" applyFill="1" applyBorder="1"/>
    <xf numFmtId="167" fontId="7" fillId="0" borderId="11" xfId="4" applyNumberFormat="1" applyFont="1" applyBorder="1"/>
    <xf numFmtId="0" fontId="6" fillId="0" borderId="0" xfId="5" applyFont="1"/>
    <xf numFmtId="0" fontId="9" fillId="0" borderId="0" xfId="5" applyFont="1"/>
    <xf numFmtId="167" fontId="6" fillId="0" borderId="0" xfId="4" applyNumberFormat="1" applyFont="1" applyFill="1" applyBorder="1"/>
    <xf numFmtId="167" fontId="7" fillId="0" borderId="0" xfId="4" applyNumberFormat="1" applyFont="1" applyBorder="1" applyAlignment="1"/>
    <xf numFmtId="167" fontId="6" fillId="0" borderId="0" xfId="4" applyNumberFormat="1" applyFont="1" applyBorder="1"/>
    <xf numFmtId="37" fontId="12" fillId="0" borderId="0" xfId="5" applyNumberFormat="1" applyFont="1" applyAlignment="1">
      <alignment horizontal="center"/>
    </xf>
    <xf numFmtId="37" fontId="12" fillId="0" borderId="11" xfId="5" applyNumberFormat="1" applyFont="1" applyBorder="1" applyAlignment="1">
      <alignment horizontal="center"/>
    </xf>
    <xf numFmtId="167" fontId="6" fillId="0" borderId="6" xfId="4" applyNumberFormat="1" applyFont="1" applyBorder="1"/>
    <xf numFmtId="167" fontId="7" fillId="0" borderId="0" xfId="5" applyNumberFormat="1" applyFont="1"/>
    <xf numFmtId="167" fontId="7" fillId="0" borderId="0" xfId="4" applyNumberFormat="1" applyFont="1"/>
    <xf numFmtId="37" fontId="6" fillId="0" borderId="0" xfId="3" applyFont="1" applyAlignment="1">
      <alignment horizontal="centerContinuous" vertical="top"/>
    </xf>
    <xf numFmtId="37" fontId="7" fillId="0" borderId="0" xfId="3" applyFont="1" applyAlignment="1">
      <alignment wrapText="1"/>
    </xf>
    <xf numFmtId="37" fontId="7" fillId="0" borderId="0" xfId="3" applyFont="1" applyAlignment="1">
      <alignment horizontal="left" vertical="center"/>
    </xf>
    <xf numFmtId="0" fontId="11" fillId="0" borderId="0" xfId="5" applyFont="1" applyAlignment="1">
      <alignment horizontal="centerContinuous" vertical="center"/>
    </xf>
    <xf numFmtId="0" fontId="15" fillId="0" borderId="0" xfId="5" applyFont="1"/>
    <xf numFmtId="0" fontId="7" fillId="0" borderId="0" xfId="5" applyFont="1" applyAlignment="1">
      <alignment horizontal="right"/>
    </xf>
    <xf numFmtId="167" fontId="11" fillId="0" borderId="0" xfId="8" applyNumberFormat="1" applyFont="1" applyFill="1"/>
    <xf numFmtId="167" fontId="17" fillId="0" borderId="0" xfId="5" applyNumberFormat="1" applyFont="1"/>
    <xf numFmtId="167" fontId="13" fillId="0" borderId="0" xfId="8" applyNumberFormat="1" applyFont="1" applyFill="1"/>
    <xf numFmtId="167" fontId="15" fillId="0" borderId="0" xfId="5" applyNumberFormat="1" applyFont="1"/>
    <xf numFmtId="167" fontId="13" fillId="0" borderId="11" xfId="8" applyNumberFormat="1" applyFont="1" applyFill="1" applyBorder="1"/>
    <xf numFmtId="167" fontId="15" fillId="0" borderId="11" xfId="8" applyNumberFormat="1" applyFont="1" applyFill="1" applyBorder="1"/>
    <xf numFmtId="167" fontId="11" fillId="0" borderId="0" xfId="8" applyNumberFormat="1" applyFont="1" applyFill="1" applyBorder="1"/>
    <xf numFmtId="167" fontId="6" fillId="0" borderId="0" xfId="8" applyNumberFormat="1" applyFont="1" applyFill="1" applyBorder="1"/>
    <xf numFmtId="167" fontId="13" fillId="0" borderId="0" xfId="8" applyNumberFormat="1" applyFont="1" applyFill="1" applyBorder="1"/>
    <xf numFmtId="167" fontId="7" fillId="0" borderId="11" xfId="5" applyNumberFormat="1" applyFont="1" applyBorder="1"/>
    <xf numFmtId="167" fontId="11" fillId="0" borderId="0" xfId="5" applyNumberFormat="1" applyFont="1"/>
    <xf numFmtId="167" fontId="6" fillId="0" borderId="0" xfId="5" applyNumberFormat="1" applyFont="1"/>
    <xf numFmtId="167" fontId="6" fillId="0" borderId="6" xfId="5" applyNumberFormat="1" applyFont="1" applyBorder="1"/>
    <xf numFmtId="0" fontId="6" fillId="0" borderId="0" xfId="5" applyFont="1" applyAlignment="1">
      <alignment horizontal="center"/>
    </xf>
    <xf numFmtId="1" fontId="6" fillId="0" borderId="0" xfId="9" quotePrefix="1" applyNumberFormat="1" applyFont="1" applyFill="1" applyBorder="1" applyAlignment="1">
      <alignment horizontal="center" vertical="top"/>
    </xf>
    <xf numFmtId="0" fontId="6" fillId="0" borderId="0" xfId="5" applyFont="1" applyAlignment="1">
      <alignment vertical="top"/>
    </xf>
    <xf numFmtId="0" fontId="7" fillId="0" borderId="0" xfId="5" applyFont="1" applyAlignment="1">
      <alignment vertical="top"/>
    </xf>
    <xf numFmtId="167" fontId="7" fillId="0" borderId="0" xfId="4" applyNumberFormat="1" applyFont="1" applyFill="1"/>
    <xf numFmtId="0" fontId="7" fillId="0" borderId="0" xfId="5" applyFont="1" applyAlignment="1">
      <alignment horizontal="left" vertical="top"/>
    </xf>
    <xf numFmtId="167" fontId="6" fillId="0" borderId="0" xfId="4" applyNumberFormat="1" applyFont="1" applyFill="1"/>
    <xf numFmtId="167" fontId="7" fillId="0" borderId="0" xfId="10" applyNumberFormat="1" applyFont="1"/>
    <xf numFmtId="167" fontId="7" fillId="0" borderId="4" xfId="10" applyNumberFormat="1" applyFont="1" applyFill="1" applyBorder="1" applyAlignment="1">
      <alignment horizontal="right"/>
    </xf>
    <xf numFmtId="167" fontId="7" fillId="0" borderId="5" xfId="10" applyNumberFormat="1" applyFont="1" applyFill="1" applyBorder="1" applyAlignment="1">
      <alignment horizontal="right"/>
    </xf>
    <xf numFmtId="167" fontId="7" fillId="0" borderId="1" xfId="10" applyNumberFormat="1" applyFont="1" applyFill="1" applyBorder="1"/>
    <xf numFmtId="167" fontId="6" fillId="0" borderId="6" xfId="4" applyNumberFormat="1" applyFont="1" applyFill="1" applyBorder="1"/>
    <xf numFmtId="37" fontId="7" fillId="0" borderId="7" xfId="3" applyFont="1" applyBorder="1" applyAlignment="1">
      <alignment vertical="top"/>
    </xf>
    <xf numFmtId="37" fontId="6" fillId="0" borderId="0" xfId="3" applyFont="1"/>
    <xf numFmtId="37" fontId="6" fillId="0" borderId="0" xfId="3" quotePrefix="1" applyFont="1"/>
    <xf numFmtId="0" fontId="7" fillId="0" borderId="0" xfId="5" applyFont="1" applyAlignment="1">
      <alignment vertical="top" wrapText="1"/>
    </xf>
    <xf numFmtId="0" fontId="7" fillId="0" borderId="0" xfId="5" applyFont="1" applyAlignment="1">
      <alignment horizontal="justify" vertical="top"/>
    </xf>
    <xf numFmtId="0" fontId="7" fillId="0" borderId="0" xfId="5" applyFont="1" applyAlignment="1">
      <alignment horizontal="justify" vertical="top" wrapText="1"/>
    </xf>
    <xf numFmtId="0" fontId="7" fillId="0" borderId="0" xfId="5" applyFont="1" applyAlignment="1">
      <alignment horizontal="center" vertical="top" wrapText="1"/>
    </xf>
    <xf numFmtId="0" fontId="19" fillId="0" borderId="0" xfId="11" quotePrefix="1" applyFont="1" applyAlignment="1">
      <alignment horizontal="left" vertical="top"/>
    </xf>
    <xf numFmtId="167" fontId="20" fillId="0" borderId="0" xfId="13" quotePrefix="1" applyNumberFormat="1" applyFont="1" applyFill="1" applyBorder="1" applyAlignment="1">
      <alignment horizontal="center" vertical="top"/>
    </xf>
    <xf numFmtId="0" fontId="18" fillId="0" borderId="0" xfId="11" applyFont="1"/>
    <xf numFmtId="167" fontId="20" fillId="0" borderId="16" xfId="13" quotePrefix="1" applyNumberFormat="1" applyFont="1" applyBorder="1" applyAlignment="1">
      <alignment horizontal="center" vertical="top"/>
    </xf>
    <xf numFmtId="0" fontId="6" fillId="0" borderId="2" xfId="5" quotePrefix="1" applyFont="1" applyBorder="1" applyAlignment="1">
      <alignment horizontal="centerContinuous" vertical="center"/>
    </xf>
    <xf numFmtId="0" fontId="6" fillId="0" borderId="15" xfId="5" quotePrefix="1" applyFont="1" applyBorder="1" applyAlignment="1">
      <alignment horizontal="centerContinuous" vertical="center"/>
    </xf>
    <xf numFmtId="0" fontId="6" fillId="0" borderId="3" xfId="5" quotePrefix="1" applyFont="1" applyBorder="1" applyAlignment="1">
      <alignment horizontal="centerContinuous" vertical="center"/>
    </xf>
    <xf numFmtId="167" fontId="21" fillId="0" borderId="0" xfId="10" applyNumberFormat="1" applyFont="1" applyAlignment="1">
      <alignment vertical="top"/>
    </xf>
    <xf numFmtId="167" fontId="20" fillId="0" borderId="0" xfId="10" quotePrefix="1" applyNumberFormat="1" applyFont="1" applyAlignment="1">
      <alignment horizontal="center" vertical="top"/>
    </xf>
    <xf numFmtId="167" fontId="20" fillId="0" borderId="0" xfId="10" applyNumberFormat="1" applyFont="1" applyAlignment="1">
      <alignment horizontal="center" vertical="top"/>
    </xf>
    <xf numFmtId="167" fontId="18" fillId="0" borderId="0" xfId="10" applyNumberFormat="1" applyFont="1"/>
    <xf numFmtId="167" fontId="21" fillId="0" borderId="0" xfId="10" quotePrefix="1" applyNumberFormat="1" applyFont="1" applyAlignment="1">
      <alignment horizontal="center" vertical="top"/>
    </xf>
    <xf numFmtId="167" fontId="19" fillId="0" borderId="0" xfId="10" applyNumberFormat="1" applyFont="1"/>
    <xf numFmtId="167" fontId="20" fillId="0" borderId="0" xfId="13" quotePrefix="1" applyNumberFormat="1" applyFont="1" applyAlignment="1">
      <alignment horizontal="center" vertical="top"/>
    </xf>
    <xf numFmtId="167" fontId="21" fillId="0" borderId="0" xfId="10" applyNumberFormat="1" applyFont="1" applyAlignment="1">
      <alignment horizontal="center" vertical="top"/>
    </xf>
    <xf numFmtId="167" fontId="21" fillId="0" borderId="4" xfId="10" applyNumberFormat="1" applyFont="1" applyBorder="1" applyAlignment="1">
      <alignment vertical="top"/>
    </xf>
    <xf numFmtId="167" fontId="21" fillId="0" borderId="4" xfId="10" quotePrefix="1" applyNumberFormat="1" applyFont="1" applyBorder="1" applyAlignment="1">
      <alignment horizontal="center" vertical="top"/>
    </xf>
    <xf numFmtId="167" fontId="21" fillId="0" borderId="20" xfId="10" quotePrefix="1" applyNumberFormat="1" applyFont="1" applyBorder="1" applyAlignment="1">
      <alignment horizontal="center" vertical="top"/>
    </xf>
    <xf numFmtId="167" fontId="19" fillId="0" borderId="4" xfId="10" applyNumberFormat="1" applyFont="1" applyBorder="1"/>
    <xf numFmtId="167" fontId="21" fillId="0" borderId="1" xfId="10" applyNumberFormat="1" applyFont="1" applyBorder="1" applyAlignment="1">
      <alignment vertical="top"/>
    </xf>
    <xf numFmtId="167" fontId="21" fillId="0" borderId="1" xfId="10" quotePrefix="1" applyNumberFormat="1" applyFont="1" applyBorder="1" applyAlignment="1">
      <alignment horizontal="center" vertical="top"/>
    </xf>
    <xf numFmtId="167" fontId="21" fillId="0" borderId="11" xfId="10" quotePrefix="1" applyNumberFormat="1" applyFont="1" applyBorder="1" applyAlignment="1">
      <alignment horizontal="center" vertical="top"/>
    </xf>
    <xf numFmtId="167" fontId="19" fillId="0" borderId="1" xfId="10" applyNumberFormat="1" applyFont="1" applyBorder="1"/>
    <xf numFmtId="167" fontId="20" fillId="0" borderId="6" xfId="13" quotePrefix="1" applyNumberFormat="1" applyFont="1" applyBorder="1" applyAlignment="1">
      <alignment horizontal="center" vertical="top"/>
    </xf>
    <xf numFmtId="0" fontId="20" fillId="0" borderId="0" xfId="11" applyFont="1" applyAlignment="1">
      <alignment horizontal="center" vertical="top"/>
    </xf>
    <xf numFmtId="0" fontId="21" fillId="0" borderId="0" xfId="11" applyFont="1" applyAlignment="1">
      <alignment vertical="top"/>
    </xf>
    <xf numFmtId="167" fontId="20" fillId="0" borderId="6" xfId="10" applyNumberFormat="1" applyFont="1" applyBorder="1" applyAlignment="1">
      <alignment vertical="top"/>
    </xf>
    <xf numFmtId="167" fontId="22" fillId="0" borderId="0" xfId="10" applyNumberFormat="1" applyFont="1" applyAlignment="1">
      <alignment vertical="top"/>
    </xf>
    <xf numFmtId="167" fontId="20" fillId="0" borderId="0" xfId="10" applyNumberFormat="1" applyFont="1" applyBorder="1" applyAlignment="1">
      <alignment vertical="top"/>
    </xf>
    <xf numFmtId="167" fontId="18" fillId="0" borderId="0" xfId="10" applyNumberFormat="1" applyFont="1" applyFill="1"/>
    <xf numFmtId="167" fontId="23" fillId="0" borderId="0" xfId="4" applyNumberFormat="1" applyFont="1" applyFill="1"/>
    <xf numFmtId="167" fontId="23" fillId="0" borderId="0" xfId="5" applyNumberFormat="1" applyFont="1"/>
    <xf numFmtId="167" fontId="7" fillId="0" borderId="25" xfId="4" applyNumberFormat="1" applyFont="1" applyFill="1" applyBorder="1" applyAlignment="1">
      <alignment horizontal="center"/>
    </xf>
    <xf numFmtId="167" fontId="7" fillId="0" borderId="4" xfId="4" applyNumberFormat="1" applyFont="1" applyFill="1" applyBorder="1" applyAlignment="1">
      <alignment horizontal="center"/>
    </xf>
    <xf numFmtId="167" fontId="7" fillId="0" borderId="1" xfId="5" applyNumberFormat="1" applyFont="1" applyBorder="1"/>
    <xf numFmtId="167" fontId="7" fillId="0" borderId="26" xfId="5" applyNumberFormat="1" applyFont="1" applyBorder="1"/>
    <xf numFmtId="9" fontId="6" fillId="0" borderId="27" xfId="5" applyNumberFormat="1" applyFont="1" applyBorder="1" applyAlignment="1">
      <alignment horizontal="center"/>
    </xf>
    <xf numFmtId="167" fontId="21" fillId="0" borderId="0" xfId="10" applyNumberFormat="1" applyFont="1" applyFill="1" applyBorder="1" applyAlignment="1">
      <alignment vertical="top"/>
    </xf>
    <xf numFmtId="167" fontId="21" fillId="0" borderId="0" xfId="10" quotePrefix="1" applyNumberFormat="1" applyFont="1" applyFill="1" applyBorder="1" applyAlignment="1">
      <alignment horizontal="center" vertical="top"/>
    </xf>
    <xf numFmtId="167" fontId="21" fillId="0" borderId="0" xfId="10" applyNumberFormat="1" applyFont="1" applyFill="1" applyBorder="1" applyAlignment="1">
      <alignment horizontal="center" vertical="top"/>
    </xf>
    <xf numFmtId="167" fontId="18" fillId="0" borderId="0" xfId="10" applyNumberFormat="1" applyFont="1" applyFill="1" applyBorder="1"/>
    <xf numFmtId="0" fontId="7" fillId="0" borderId="0" xfId="5" quotePrefix="1" applyFont="1" applyAlignment="1">
      <alignment horizontal="center"/>
    </xf>
    <xf numFmtId="0" fontId="7" fillId="0" borderId="0" xfId="5" applyFont="1" applyAlignment="1">
      <alignment horizontal="center"/>
    </xf>
    <xf numFmtId="167" fontId="23" fillId="0" borderId="0" xfId="4" applyNumberFormat="1" applyFont="1" applyFill="1" applyBorder="1"/>
    <xf numFmtId="167" fontId="7" fillId="0" borderId="5" xfId="4" applyNumberFormat="1" applyFont="1" applyFill="1" applyBorder="1"/>
    <xf numFmtId="167" fontId="7" fillId="0" borderId="28" xfId="4" applyNumberFormat="1" applyFont="1" applyFill="1" applyBorder="1" applyAlignment="1">
      <alignment horizontal="center"/>
    </xf>
    <xf numFmtId="169" fontId="6" fillId="0" borderId="0" xfId="5" quotePrefix="1" applyNumberFormat="1" applyFont="1" applyAlignment="1">
      <alignment horizontal="left"/>
    </xf>
    <xf numFmtId="0" fontId="6" fillId="0" borderId="0" xfId="5" quotePrefix="1" applyFont="1"/>
    <xf numFmtId="37" fontId="7" fillId="0" borderId="0" xfId="3" applyFont="1" applyAlignment="1">
      <alignment horizontal="center" vertical="top"/>
    </xf>
    <xf numFmtId="37" fontId="18" fillId="0" borderId="0" xfId="3" applyFont="1"/>
    <xf numFmtId="0" fontId="19" fillId="0" borderId="0" xfId="6" applyFont="1"/>
    <xf numFmtId="0" fontId="18" fillId="0" borderId="0" xfId="6" applyFont="1" applyAlignment="1">
      <alignment horizontal="right"/>
    </xf>
    <xf numFmtId="0" fontId="19" fillId="0" borderId="0" xfId="4" applyNumberFormat="1" applyFont="1" applyFill="1" applyAlignment="1">
      <alignment horizontal="center" vertical="top"/>
    </xf>
    <xf numFmtId="167" fontId="18" fillId="0" borderId="0" xfId="4" applyNumberFormat="1" applyFont="1" applyFill="1"/>
    <xf numFmtId="167" fontId="18" fillId="0" borderId="0" xfId="4" applyNumberFormat="1" applyFont="1" applyFill="1" applyBorder="1"/>
    <xf numFmtId="37" fontId="19" fillId="0" borderId="0" xfId="3" applyFont="1" applyAlignment="1">
      <alignment horizontal="left"/>
    </xf>
    <xf numFmtId="0" fontId="18" fillId="0" borderId="0" xfId="6" applyFont="1"/>
    <xf numFmtId="167" fontId="19" fillId="0" borderId="0" xfId="4" applyNumberFormat="1" applyFont="1" applyFill="1" applyAlignment="1">
      <alignment horizontal="center"/>
    </xf>
    <xf numFmtId="167" fontId="18" fillId="0" borderId="0" xfId="4" applyNumberFormat="1" applyFont="1" applyFill="1" applyAlignment="1">
      <alignment horizontal="center"/>
    </xf>
    <xf numFmtId="0" fontId="18" fillId="0" borderId="0" xfId="6" applyFont="1" applyAlignment="1">
      <alignment horizontal="left" vertical="top"/>
    </xf>
    <xf numFmtId="0" fontId="19" fillId="0" borderId="0" xfId="6" applyFont="1" applyAlignment="1">
      <alignment horizontal="left" vertical="top"/>
    </xf>
    <xf numFmtId="0" fontId="19" fillId="0" borderId="0" xfId="6" applyFont="1" applyAlignment="1">
      <alignment horizontal="right"/>
    </xf>
    <xf numFmtId="167" fontId="19" fillId="0" borderId="6" xfId="4" applyNumberFormat="1" applyFont="1" applyFill="1" applyBorder="1"/>
    <xf numFmtId="167" fontId="19" fillId="0" borderId="0" xfId="4" applyNumberFormat="1" applyFont="1" applyFill="1" applyBorder="1"/>
    <xf numFmtId="167" fontId="18" fillId="0" borderId="27" xfId="4" applyNumberFormat="1" applyFont="1" applyFill="1" applyBorder="1" applyAlignment="1">
      <alignment horizontal="right"/>
    </xf>
    <xf numFmtId="167" fontId="18" fillId="0" borderId="0" xfId="4" applyNumberFormat="1" applyFont="1" applyFill="1" applyBorder="1" applyAlignment="1">
      <alignment horizontal="right"/>
    </xf>
    <xf numFmtId="0" fontId="19" fillId="0" borderId="0" xfId="5" applyFont="1" applyAlignment="1">
      <alignment vertical="center" wrapText="1"/>
    </xf>
    <xf numFmtId="37" fontId="19" fillId="0" borderId="0" xfId="3" applyFont="1" applyAlignment="1">
      <alignment horizontal="center"/>
    </xf>
    <xf numFmtId="0" fontId="19" fillId="0" borderId="0" xfId="4" applyNumberFormat="1" applyFont="1" applyFill="1" applyBorder="1" applyAlignment="1">
      <alignment horizontal="center" vertical="top"/>
    </xf>
    <xf numFmtId="0" fontId="18" fillId="0" borderId="0" xfId="5" applyFont="1"/>
    <xf numFmtId="37" fontId="19" fillId="0" borderId="0" xfId="3" applyFont="1"/>
    <xf numFmtId="0" fontId="24" fillId="0" borderId="0" xfId="3" applyNumberFormat="1" applyFont="1" applyAlignment="1">
      <alignment horizontal="center"/>
    </xf>
    <xf numFmtId="167" fontId="19" fillId="0" borderId="0" xfId="4" applyNumberFormat="1" applyFont="1" applyFill="1"/>
    <xf numFmtId="0" fontId="19" fillId="0" borderId="0" xfId="4" quotePrefix="1" applyNumberFormat="1" applyFont="1" applyFill="1" applyBorder="1" applyAlignment="1">
      <alignment horizontal="center" vertical="top"/>
    </xf>
    <xf numFmtId="167" fontId="19" fillId="0" borderId="27" xfId="4" applyNumberFormat="1" applyFont="1" applyFill="1" applyBorder="1"/>
    <xf numFmtId="167" fontId="19" fillId="0" borderId="6" xfId="4" applyNumberFormat="1" applyFont="1" applyFill="1" applyBorder="1" applyAlignment="1">
      <alignment horizontal="center"/>
    </xf>
    <xf numFmtId="167" fontId="19" fillId="0" borderId="0" xfId="4" applyNumberFormat="1" applyFont="1" applyFill="1" applyBorder="1" applyAlignment="1">
      <alignment horizontal="center"/>
    </xf>
    <xf numFmtId="37" fontId="18" fillId="0" borderId="0" xfId="3" applyFont="1" applyAlignment="1">
      <alignment vertical="top" wrapText="1"/>
    </xf>
    <xf numFmtId="37" fontId="18" fillId="0" borderId="0" xfId="3" applyFont="1" applyAlignment="1">
      <alignment horizontal="justify" vertical="top" wrapText="1"/>
    </xf>
    <xf numFmtId="167" fontId="18" fillId="0" borderId="4" xfId="4" applyNumberFormat="1" applyFont="1" applyFill="1" applyBorder="1"/>
    <xf numFmtId="167" fontId="18" fillId="0" borderId="5" xfId="4" applyNumberFormat="1" applyFont="1" applyFill="1" applyBorder="1"/>
    <xf numFmtId="167" fontId="18" fillId="0" borderId="1" xfId="4" applyNumberFormat="1" applyFont="1" applyFill="1" applyBorder="1"/>
    <xf numFmtId="167" fontId="19" fillId="0" borderId="6" xfId="10" applyNumberFormat="1" applyFont="1" applyFill="1" applyBorder="1"/>
    <xf numFmtId="167" fontId="19" fillId="0" borderId="0" xfId="10" applyNumberFormat="1" applyFont="1" applyFill="1" applyBorder="1"/>
    <xf numFmtId="37" fontId="18" fillId="0" borderId="0" xfId="3" applyFont="1" applyAlignment="1">
      <alignment horizontal="left"/>
    </xf>
    <xf numFmtId="171" fontId="19" fillId="0" borderId="0" xfId="3" quotePrefix="1" applyNumberFormat="1" applyFont="1" applyAlignment="1">
      <alignment horizontal="left"/>
    </xf>
    <xf numFmtId="167" fontId="18" fillId="0" borderId="7" xfId="4" applyNumberFormat="1" applyFont="1" applyFill="1" applyBorder="1"/>
    <xf numFmtId="172" fontId="24" fillId="0" borderId="0" xfId="3" applyNumberFormat="1" applyFont="1" applyAlignment="1">
      <alignment horizontal="center"/>
    </xf>
    <xf numFmtId="167" fontId="19" fillId="0" borderId="0" xfId="10" applyNumberFormat="1" applyFont="1" applyFill="1"/>
    <xf numFmtId="167" fontId="18" fillId="0" borderId="0" xfId="10" applyNumberFormat="1" applyFont="1" applyFill="1" applyBorder="1" applyAlignment="1">
      <alignment horizontal="center"/>
    </xf>
    <xf numFmtId="173" fontId="19" fillId="0" borderId="0" xfId="3" quotePrefix="1" applyNumberFormat="1" applyFont="1" applyAlignment="1">
      <alignment horizontal="left" vertical="top"/>
    </xf>
    <xf numFmtId="37" fontId="18" fillId="0" borderId="0" xfId="3" applyFont="1" applyAlignment="1">
      <alignment vertical="justify" wrapText="1"/>
    </xf>
    <xf numFmtId="39" fontId="18" fillId="0" borderId="0" xfId="3" applyNumberFormat="1" applyFont="1"/>
    <xf numFmtId="0" fontId="18" fillId="0" borderId="0" xfId="5" applyFont="1" applyAlignment="1">
      <alignment vertical="top" wrapText="1"/>
    </xf>
    <xf numFmtId="167" fontId="18" fillId="0" borderId="0" xfId="4" applyNumberFormat="1" applyFont="1" applyFill="1" applyAlignment="1"/>
    <xf numFmtId="167" fontId="18" fillId="0" borderId="4" xfId="4" applyNumberFormat="1" applyFont="1" applyFill="1" applyBorder="1" applyAlignment="1"/>
    <xf numFmtId="167" fontId="18" fillId="0" borderId="5" xfId="10" applyNumberFormat="1" applyFont="1" applyFill="1" applyBorder="1" applyAlignment="1">
      <alignment wrapText="1"/>
    </xf>
    <xf numFmtId="167" fontId="18" fillId="0" borderId="5" xfId="4" applyNumberFormat="1" applyFont="1" applyFill="1" applyBorder="1" applyAlignment="1"/>
    <xf numFmtId="167" fontId="18" fillId="0" borderId="5" xfId="4" applyNumberFormat="1" applyFont="1" applyFill="1" applyBorder="1" applyAlignment="1">
      <alignment horizontal="right"/>
    </xf>
    <xf numFmtId="167" fontId="18" fillId="0" borderId="1" xfId="4" applyNumberFormat="1" applyFont="1" applyFill="1" applyBorder="1" applyAlignment="1"/>
    <xf numFmtId="0" fontId="19" fillId="0" borderId="0" xfId="5" applyFont="1"/>
    <xf numFmtId="167" fontId="18" fillId="0" borderId="11" xfId="4" applyNumberFormat="1" applyFont="1" applyFill="1" applyBorder="1"/>
    <xf numFmtId="37" fontId="28" fillId="0" borderId="0" xfId="3" applyFont="1"/>
    <xf numFmtId="9" fontId="18" fillId="0" borderId="0" xfId="15" applyFont="1" applyFill="1"/>
    <xf numFmtId="167" fontId="27" fillId="0" borderId="0" xfId="8" applyNumberFormat="1" applyFont="1" applyFill="1"/>
    <xf numFmtId="167" fontId="27" fillId="0" borderId="0" xfId="4" applyNumberFormat="1" applyFont="1" applyFill="1" applyBorder="1" applyAlignment="1">
      <alignment horizontal="right" vertical="center"/>
    </xf>
    <xf numFmtId="167" fontId="18" fillId="0" borderId="0" xfId="10" applyNumberFormat="1" applyFont="1" applyFill="1" applyAlignment="1">
      <alignment horizontal="center"/>
    </xf>
    <xf numFmtId="167" fontId="19" fillId="0" borderId="0" xfId="10" applyNumberFormat="1" applyFont="1" applyFill="1" applyAlignment="1">
      <alignment horizontal="center"/>
    </xf>
    <xf numFmtId="167" fontId="18" fillId="0" borderId="9" xfId="10" applyNumberFormat="1" applyFont="1" applyFill="1" applyBorder="1"/>
    <xf numFmtId="167" fontId="18" fillId="0" borderId="10" xfId="10" applyNumberFormat="1" applyFont="1" applyFill="1" applyBorder="1"/>
    <xf numFmtId="167" fontId="19" fillId="0" borderId="0" xfId="4" applyNumberFormat="1" applyFont="1" applyFill="1" applyAlignment="1">
      <alignment horizontal="center" vertical="top"/>
    </xf>
    <xf numFmtId="167" fontId="19" fillId="0" borderId="0" xfId="4" applyNumberFormat="1" applyFont="1" applyFill="1" applyBorder="1" applyAlignment="1">
      <alignment horizontal="center" vertical="top"/>
    </xf>
    <xf numFmtId="167" fontId="19" fillId="0" borderId="6" xfId="10" applyNumberFormat="1" applyFont="1" applyFill="1" applyBorder="1" applyAlignment="1">
      <alignment horizontal="center"/>
    </xf>
    <xf numFmtId="167" fontId="18" fillId="0" borderId="0" xfId="4" applyNumberFormat="1" applyFont="1" applyFill="1" applyBorder="1" applyAlignment="1">
      <alignment horizontal="center"/>
    </xf>
    <xf numFmtId="0" fontId="6" fillId="0" borderId="0" xfId="6" applyFont="1" applyAlignment="1">
      <alignment vertical="top"/>
    </xf>
    <xf numFmtId="0" fontId="29" fillId="0" borderId="0" xfId="6" applyFont="1" applyAlignment="1">
      <alignment vertical="top"/>
    </xf>
    <xf numFmtId="37" fontId="18" fillId="0" borderId="0" xfId="3" applyFont="1" applyAlignment="1">
      <alignment vertical="top"/>
    </xf>
    <xf numFmtId="0" fontId="18" fillId="0" borderId="0" xfId="6" applyFont="1" applyAlignment="1">
      <alignment vertical="top" wrapText="1"/>
    </xf>
    <xf numFmtId="0" fontId="19" fillId="0" borderId="0" xfId="6" applyFont="1" applyAlignment="1">
      <alignment vertical="top"/>
    </xf>
    <xf numFmtId="0" fontId="7" fillId="0" borderId="0" xfId="20" applyFont="1" applyAlignment="1">
      <alignment vertical="top" wrapText="1"/>
    </xf>
    <xf numFmtId="0" fontId="19" fillId="0" borderId="0" xfId="6" applyFont="1" applyAlignment="1">
      <alignment horizontal="center" vertical="top"/>
    </xf>
    <xf numFmtId="0" fontId="18" fillId="0" borderId="0" xfId="6" applyFont="1" applyAlignment="1">
      <alignment vertical="top"/>
    </xf>
    <xf numFmtId="167" fontId="19" fillId="0" borderId="27" xfId="4" applyNumberFormat="1" applyFont="1" applyFill="1" applyBorder="1" applyAlignment="1">
      <alignment horizontal="center"/>
    </xf>
    <xf numFmtId="0" fontId="19" fillId="0" borderId="11" xfId="6" applyFont="1" applyBorder="1" applyAlignment="1">
      <alignment vertical="top" wrapText="1"/>
    </xf>
    <xf numFmtId="37" fontId="18" fillId="0" borderId="11" xfId="3" applyFont="1" applyBorder="1"/>
    <xf numFmtId="0" fontId="19" fillId="0" borderId="11" xfId="6" applyFont="1" applyBorder="1" applyAlignment="1">
      <alignment horizontal="center" vertical="top" wrapText="1"/>
    </xf>
    <xf numFmtId="164" fontId="18" fillId="0" borderId="0" xfId="10" applyNumberFormat="1" applyFont="1" applyFill="1" applyAlignment="1">
      <alignment vertical="top" wrapText="1"/>
    </xf>
    <xf numFmtId="0" fontId="27" fillId="0" borderId="7" xfId="5" applyFont="1" applyBorder="1"/>
    <xf numFmtId="0" fontId="27" fillId="0" borderId="0" xfId="5" applyFont="1"/>
    <xf numFmtId="0" fontId="30" fillId="0" borderId="0" xfId="5" applyFont="1"/>
    <xf numFmtId="0" fontId="30" fillId="0" borderId="0" xfId="5" applyFont="1" applyAlignment="1">
      <alignment horizontal="centerContinuous"/>
    </xf>
    <xf numFmtId="167" fontId="19" fillId="0" borderId="0" xfId="4" applyNumberFormat="1" applyFont="1" applyFill="1" applyBorder="1" applyAlignment="1"/>
    <xf numFmtId="0" fontId="19" fillId="0" borderId="0" xfId="8" applyNumberFormat="1" applyFont="1" applyFill="1" applyBorder="1"/>
    <xf numFmtId="167" fontId="18" fillId="0" borderId="0" xfId="8" applyNumberFormat="1" applyFont="1" applyFill="1" applyBorder="1"/>
    <xf numFmtId="167" fontId="18" fillId="0" borderId="0" xfId="4" applyNumberFormat="1" applyFont="1" applyFill="1" applyAlignment="1">
      <alignment horizontal="justify" vertical="top"/>
    </xf>
    <xf numFmtId="169" fontId="19" fillId="0" borderId="0" xfId="8" quotePrefix="1" applyNumberFormat="1" applyFont="1" applyFill="1" applyBorder="1" applyAlignment="1">
      <alignment horizontal="left"/>
    </xf>
    <xf numFmtId="169" fontId="18" fillId="0" borderId="0" xfId="8" applyNumberFormat="1" applyFont="1" applyFill="1" applyBorder="1" applyAlignment="1">
      <alignment horizontal="left"/>
    </xf>
    <xf numFmtId="0" fontId="18" fillId="0" borderId="0" xfId="8" applyNumberFormat="1" applyFont="1" applyFill="1" applyBorder="1"/>
    <xf numFmtId="167" fontId="19" fillId="0" borderId="2" xfId="8" applyNumberFormat="1" applyFont="1" applyFill="1" applyBorder="1" applyAlignment="1">
      <alignment horizontal="centerContinuous"/>
    </xf>
    <xf numFmtId="167" fontId="19" fillId="0" borderId="15" xfId="8" applyNumberFormat="1" applyFont="1" applyFill="1" applyBorder="1" applyAlignment="1">
      <alignment horizontal="centerContinuous"/>
    </xf>
    <xf numFmtId="167" fontId="19" fillId="0" borderId="3" xfId="8" applyNumberFormat="1" applyFont="1" applyFill="1" applyBorder="1" applyAlignment="1">
      <alignment horizontal="centerContinuous"/>
    </xf>
    <xf numFmtId="167" fontId="19" fillId="0" borderId="2" xfId="10" applyNumberFormat="1" applyFont="1" applyFill="1" applyBorder="1" applyAlignment="1">
      <alignment horizontal="centerContinuous"/>
    </xf>
    <xf numFmtId="167" fontId="19" fillId="0" borderId="15" xfId="10" applyNumberFormat="1" applyFont="1" applyFill="1" applyBorder="1" applyAlignment="1">
      <alignment horizontal="centerContinuous"/>
    </xf>
    <xf numFmtId="167" fontId="19" fillId="0" borderId="15" xfId="8" quotePrefix="1" applyNumberFormat="1" applyFont="1" applyFill="1" applyBorder="1" applyAlignment="1">
      <alignment horizontal="centerContinuous"/>
    </xf>
    <xf numFmtId="167" fontId="18" fillId="0" borderId="0" xfId="8" applyNumberFormat="1" applyFont="1" applyFill="1" applyBorder="1" applyProtection="1">
      <protection locked="0"/>
    </xf>
    <xf numFmtId="167" fontId="19" fillId="0" borderId="12" xfId="8" applyNumberFormat="1" applyFont="1" applyFill="1" applyBorder="1" applyAlignment="1">
      <alignment horizontal="center"/>
    </xf>
    <xf numFmtId="0" fontId="18" fillId="0" borderId="0" xfId="22" applyFont="1"/>
    <xf numFmtId="167" fontId="19" fillId="0" borderId="13" xfId="8" applyNumberFormat="1" applyFont="1" applyFill="1" applyBorder="1" applyAlignment="1">
      <alignment horizontal="center"/>
    </xf>
    <xf numFmtId="167" fontId="19" fillId="0" borderId="2" xfId="8" quotePrefix="1" applyNumberFormat="1" applyFont="1" applyFill="1" applyBorder="1" applyAlignment="1">
      <alignment horizontal="centerContinuous"/>
    </xf>
    <xf numFmtId="167" fontId="19" fillId="0" borderId="3" xfId="8" quotePrefix="1" applyNumberFormat="1" applyFont="1" applyFill="1" applyBorder="1" applyAlignment="1">
      <alignment horizontal="centerContinuous"/>
    </xf>
    <xf numFmtId="169" fontId="19" fillId="0" borderId="0" xfId="8" applyNumberFormat="1" applyFont="1" applyFill="1" applyBorder="1" applyAlignment="1">
      <alignment horizontal="left"/>
    </xf>
    <xf numFmtId="167" fontId="18" fillId="0" borderId="0" xfId="8" applyNumberFormat="1" applyFont="1" applyFill="1" applyBorder="1" applyAlignment="1">
      <alignment horizontal="left"/>
    </xf>
    <xf numFmtId="167" fontId="19" fillId="0" borderId="0" xfId="8" quotePrefix="1" applyNumberFormat="1" applyFont="1" applyFill="1" applyBorder="1" applyAlignment="1">
      <alignment horizontal="center"/>
    </xf>
    <xf numFmtId="169" fontId="18" fillId="0" borderId="0" xfId="8" applyNumberFormat="1" applyFont="1" applyFill="1" applyBorder="1" applyAlignment="1">
      <alignment horizontal="left" vertical="top"/>
    </xf>
    <xf numFmtId="167" fontId="18" fillId="0" borderId="0" xfId="8" applyNumberFormat="1" applyFont="1" applyFill="1"/>
    <xf numFmtId="167" fontId="30" fillId="0" borderId="0" xfId="8" applyNumberFormat="1" applyFont="1" applyFill="1"/>
    <xf numFmtId="167" fontId="19" fillId="0" borderId="0" xfId="8" applyNumberFormat="1" applyFont="1" applyFill="1" applyBorder="1"/>
    <xf numFmtId="167" fontId="19" fillId="0" borderId="0" xfId="4" applyNumberFormat="1" applyFont="1" applyFill="1" applyAlignment="1">
      <alignment horizontal="justify" vertical="top"/>
    </xf>
    <xf numFmtId="169" fontId="18" fillId="0" borderId="0" xfId="5" applyNumberFormat="1" applyFont="1" applyAlignment="1">
      <alignment horizontal="left" vertical="top"/>
    </xf>
    <xf numFmtId="167" fontId="19" fillId="0" borderId="0" xfId="8" applyNumberFormat="1" applyFont="1" applyFill="1"/>
    <xf numFmtId="167" fontId="19" fillId="0" borderId="6" xfId="8" applyNumberFormat="1" applyFont="1" applyFill="1" applyBorder="1"/>
    <xf numFmtId="167" fontId="30" fillId="0" borderId="6" xfId="8" applyNumberFormat="1" applyFont="1" applyFill="1" applyBorder="1"/>
    <xf numFmtId="167" fontId="19" fillId="0" borderId="6" xfId="4" applyNumberFormat="1" applyFont="1" applyFill="1" applyBorder="1" applyAlignment="1">
      <alignment horizontal="justify" vertical="top"/>
    </xf>
    <xf numFmtId="169" fontId="19" fillId="0" borderId="0" xfId="8" applyNumberFormat="1" applyFont="1" applyFill="1" applyBorder="1" applyAlignment="1">
      <alignment horizontal="left" vertical="top"/>
    </xf>
    <xf numFmtId="37" fontId="18" fillId="0" borderId="0" xfId="3" applyFont="1" applyAlignment="1">
      <alignment vertical="center"/>
    </xf>
    <xf numFmtId="0" fontId="18" fillId="0" borderId="0" xfId="3" applyNumberFormat="1" applyFont="1" applyAlignment="1">
      <alignment horizontal="left" vertical="center" wrapText="1"/>
    </xf>
    <xf numFmtId="167" fontId="18" fillId="0" borderId="0" xfId="4" applyNumberFormat="1" applyFont="1" applyFill="1" applyBorder="1" applyAlignment="1">
      <alignment horizontal="left" vertical="center"/>
    </xf>
    <xf numFmtId="167" fontId="30" fillId="0" borderId="0" xfId="4" applyNumberFormat="1" applyFont="1" applyFill="1" applyAlignment="1">
      <alignment horizontal="left" vertical="center"/>
    </xf>
    <xf numFmtId="167" fontId="19" fillId="0" borderId="0" xfId="4" applyNumberFormat="1" applyFont="1" applyFill="1" applyAlignment="1">
      <alignment horizontal="left" vertical="center"/>
    </xf>
    <xf numFmtId="167" fontId="18" fillId="0" borderId="0" xfId="4" applyNumberFormat="1" applyFont="1" applyFill="1" applyAlignment="1">
      <alignment vertical="top" wrapText="1"/>
    </xf>
    <xf numFmtId="37" fontId="19" fillId="0" borderId="0" xfId="3" applyFont="1" applyAlignment="1">
      <alignment horizontal="center" vertical="top"/>
    </xf>
    <xf numFmtId="37" fontId="18" fillId="0" borderId="7" xfId="3" applyFont="1" applyBorder="1" applyAlignment="1">
      <alignment vertical="top"/>
    </xf>
    <xf numFmtId="37" fontId="19" fillId="0" borderId="8" xfId="3" applyFont="1" applyBorder="1" applyAlignment="1">
      <alignment horizontal="centerContinuous" vertical="top"/>
    </xf>
    <xf numFmtId="37" fontId="19" fillId="0" borderId="0" xfId="3" applyFont="1" applyAlignment="1">
      <alignment horizontal="centerContinuous" vertical="top"/>
    </xf>
    <xf numFmtId="37" fontId="19" fillId="0" borderId="0" xfId="3" applyFont="1" applyAlignment="1">
      <alignment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16" xfId="0" applyBorder="1"/>
    <xf numFmtId="0" fontId="31" fillId="0" borderId="0" xfId="18" applyFont="1" applyAlignment="1" applyProtection="1">
      <alignment vertical="top" readingOrder="1"/>
      <protection locked="0"/>
    </xf>
    <xf numFmtId="0" fontId="8" fillId="0" borderId="0" xfId="18"/>
    <xf numFmtId="0" fontId="32" fillId="0" borderId="0" xfId="18" applyFont="1" applyAlignment="1" applyProtection="1">
      <alignment vertical="top" readingOrder="1"/>
      <protection locked="0"/>
    </xf>
    <xf numFmtId="0" fontId="8" fillId="0" borderId="0" xfId="18" applyAlignment="1">
      <alignment readingOrder="1"/>
    </xf>
    <xf numFmtId="166" fontId="8" fillId="0" borderId="0" xfId="18" applyNumberFormat="1" applyAlignment="1">
      <alignment readingOrder="1"/>
    </xf>
    <xf numFmtId="166" fontId="8" fillId="0" borderId="0" xfId="10" applyFont="1" applyAlignment="1">
      <alignment readingOrder="1"/>
    </xf>
    <xf numFmtId="0" fontId="33" fillId="0" borderId="32" xfId="18" applyFont="1" applyBorder="1" applyAlignment="1" applyProtection="1">
      <alignment vertical="top" wrapText="1" readingOrder="1"/>
      <protection locked="0"/>
    </xf>
    <xf numFmtId="167" fontId="8" fillId="0" borderId="0" xfId="10" applyNumberFormat="1" applyFont="1"/>
    <xf numFmtId="166" fontId="8" fillId="0" borderId="0" xfId="18" applyNumberFormat="1"/>
    <xf numFmtId="167" fontId="8" fillId="0" borderId="0" xfId="18" applyNumberFormat="1"/>
    <xf numFmtId="167" fontId="8" fillId="0" borderId="0" xfId="18" applyNumberFormat="1" applyAlignment="1">
      <alignment readingOrder="1"/>
    </xf>
    <xf numFmtId="167" fontId="8" fillId="0" borderId="0" xfId="1" applyNumberFormat="1" applyFont="1" applyAlignment="1">
      <alignment readingOrder="1"/>
    </xf>
    <xf numFmtId="0" fontId="3" fillId="0" borderId="16" xfId="0" applyFont="1" applyBorder="1" applyAlignment="1">
      <alignment horizontal="center"/>
    </xf>
    <xf numFmtId="167" fontId="11" fillId="0" borderId="0" xfId="1" applyNumberFormat="1" applyFont="1" applyFill="1"/>
    <xf numFmtId="0" fontId="0" fillId="0" borderId="16" xfId="0" applyBorder="1" applyAlignment="1">
      <alignment horizontal="center"/>
    </xf>
    <xf numFmtId="167" fontId="0" fillId="0" borderId="16" xfId="1" applyNumberFormat="1" applyFont="1" applyBorder="1"/>
    <xf numFmtId="0" fontId="3" fillId="0" borderId="21" xfId="0" applyFont="1" applyBorder="1" applyAlignment="1">
      <alignment horizontal="center"/>
    </xf>
    <xf numFmtId="0" fontId="3" fillId="0" borderId="2" xfId="0" applyFont="1" applyBorder="1" applyAlignment="1">
      <alignment horizontal="center"/>
    </xf>
    <xf numFmtId="0" fontId="20" fillId="0" borderId="0" xfId="0" applyFont="1" applyAlignment="1">
      <alignment vertical="top"/>
    </xf>
    <xf numFmtId="0" fontId="21" fillId="0" borderId="0" xfId="0" applyFont="1" applyAlignment="1">
      <alignment vertical="top"/>
    </xf>
    <xf numFmtId="167" fontId="21" fillId="0" borderId="6" xfId="0" applyNumberFormat="1" applyFont="1" applyBorder="1" applyAlignment="1">
      <alignment vertical="top"/>
    </xf>
    <xf numFmtId="167" fontId="20" fillId="0" borderId="6" xfId="0" applyNumberFormat="1" applyFont="1" applyBorder="1" applyAlignment="1">
      <alignment vertical="top"/>
    </xf>
    <xf numFmtId="37" fontId="7" fillId="0" borderId="2" xfId="3" applyFont="1" applyBorder="1"/>
    <xf numFmtId="0" fontId="0" fillId="0" borderId="0" xfId="0" applyAlignment="1">
      <alignment horizontal="center"/>
    </xf>
    <xf numFmtId="0" fontId="0" fillId="0" borderId="12" xfId="0" applyBorder="1"/>
    <xf numFmtId="0" fontId="0" fillId="0" borderId="13" xfId="0" applyBorder="1"/>
    <xf numFmtId="0" fontId="0" fillId="0" borderId="29" xfId="0" applyBorder="1"/>
    <xf numFmtId="0" fontId="3" fillId="0" borderId="12" xfId="0" applyFont="1" applyBorder="1" applyAlignment="1">
      <alignment horizontal="center"/>
    </xf>
    <xf numFmtId="167" fontId="0" fillId="0" borderId="12" xfId="1" applyNumberFormat="1" applyFont="1" applyBorder="1"/>
    <xf numFmtId="167" fontId="0" fillId="0" borderId="13" xfId="1" applyNumberFormat="1" applyFont="1" applyBorder="1"/>
    <xf numFmtId="167" fontId="8" fillId="0" borderId="35" xfId="1" applyNumberFormat="1" applyFont="1" applyBorder="1"/>
    <xf numFmtId="0" fontId="0" fillId="0" borderId="23" xfId="0" applyBorder="1" applyAlignment="1">
      <alignment horizontal="center"/>
    </xf>
    <xf numFmtId="0" fontId="0" fillId="0" borderId="23" xfId="0" applyBorder="1"/>
    <xf numFmtId="0" fontId="0" fillId="0" borderId="8" xfId="0" applyBorder="1"/>
    <xf numFmtId="167" fontId="0" fillId="0" borderId="8" xfId="1" applyNumberFormat="1" applyFont="1" applyBorder="1"/>
    <xf numFmtId="0" fontId="33" fillId="0" borderId="0" xfId="18" applyFont="1" applyAlignment="1" applyProtection="1">
      <alignment vertical="top" wrapText="1" readingOrder="1"/>
      <protection locked="0"/>
    </xf>
    <xf numFmtId="0" fontId="34" fillId="0" borderId="35" xfId="18" applyFont="1" applyBorder="1" applyAlignment="1" applyProtection="1">
      <alignment horizontal="left" vertical="top" wrapText="1" readingOrder="1"/>
      <protection locked="0"/>
    </xf>
    <xf numFmtId="0" fontId="34" fillId="0" borderId="41" xfId="18" applyFont="1" applyBorder="1" applyAlignment="1" applyProtection="1">
      <alignment horizontal="left" vertical="top" wrapText="1" readingOrder="1"/>
      <protection locked="0"/>
    </xf>
    <xf numFmtId="0" fontId="34" fillId="0" borderId="42" xfId="18" applyFont="1" applyBorder="1" applyAlignment="1" applyProtection="1">
      <alignment horizontal="left" vertical="top" wrapText="1" readingOrder="1"/>
      <protection locked="0"/>
    </xf>
    <xf numFmtId="0" fontId="34" fillId="0" borderId="43" xfId="18" applyFont="1" applyBorder="1" applyAlignment="1" applyProtection="1">
      <alignment horizontal="left" vertical="top" wrapText="1" readingOrder="1"/>
      <protection locked="0"/>
    </xf>
    <xf numFmtId="0" fontId="34" fillId="2" borderId="41" xfId="18" applyFont="1" applyFill="1" applyBorder="1" applyAlignment="1" applyProtection="1">
      <alignment horizontal="left" vertical="top" wrapText="1" readingOrder="1"/>
      <protection locked="0"/>
    </xf>
    <xf numFmtId="0" fontId="34" fillId="0" borderId="35" xfId="18" applyFont="1" applyBorder="1" applyAlignment="1" applyProtection="1">
      <alignment horizontal="center" vertical="top" wrapText="1" readingOrder="1"/>
      <protection locked="0"/>
    </xf>
    <xf numFmtId="0" fontId="34" fillId="0" borderId="41" xfId="18" applyFont="1" applyBorder="1" applyAlignment="1" applyProtection="1">
      <alignment horizontal="center" vertical="top" wrapText="1" readingOrder="1"/>
      <protection locked="0"/>
    </xf>
    <xf numFmtId="0" fontId="34" fillId="0" borderId="42" xfId="18" applyFont="1" applyBorder="1" applyAlignment="1" applyProtection="1">
      <alignment horizontal="center" vertical="top" wrapText="1" readingOrder="1"/>
      <protection locked="0"/>
    </xf>
    <xf numFmtId="0" fontId="34" fillId="0" borderId="43" xfId="18" applyFont="1" applyBorder="1" applyAlignment="1" applyProtection="1">
      <alignment horizontal="center" vertical="top" wrapText="1" readingOrder="1"/>
      <protection locked="0"/>
    </xf>
    <xf numFmtId="0" fontId="34" fillId="0" borderId="37" xfId="18" applyFont="1" applyBorder="1" applyAlignment="1" applyProtection="1">
      <alignment horizontal="left" vertical="top" wrapText="1" readingOrder="1"/>
      <protection locked="0"/>
    </xf>
    <xf numFmtId="0" fontId="34" fillId="0" borderId="38" xfId="18" applyFont="1" applyBorder="1" applyAlignment="1" applyProtection="1">
      <alignment horizontal="left" vertical="top" wrapText="1" readingOrder="1"/>
      <protection locked="0"/>
    </xf>
    <xf numFmtId="0" fontId="34" fillId="0" borderId="39" xfId="18" applyFont="1" applyBorder="1" applyAlignment="1" applyProtection="1">
      <alignment horizontal="left" vertical="top" wrapText="1" readingOrder="1"/>
      <protection locked="0"/>
    </xf>
    <xf numFmtId="0" fontId="34" fillId="0" borderId="40" xfId="18" applyFont="1" applyBorder="1" applyAlignment="1" applyProtection="1">
      <alignment horizontal="left" vertical="top" wrapText="1" readingOrder="1"/>
      <protection locked="0"/>
    </xf>
    <xf numFmtId="0" fontId="34" fillId="0" borderId="36" xfId="18" applyFont="1" applyBorder="1" applyAlignment="1" applyProtection="1">
      <alignment horizontal="left" vertical="top" wrapText="1" readingOrder="1"/>
      <protection locked="0"/>
    </xf>
    <xf numFmtId="167" fontId="3" fillId="0" borderId="12" xfId="1" applyNumberFormat="1" applyFont="1" applyFill="1" applyBorder="1" applyAlignment="1">
      <alignment horizontal="center"/>
    </xf>
    <xf numFmtId="49" fontId="35" fillId="0" borderId="12" xfId="2" applyNumberFormat="1" applyFont="1" applyBorder="1" applyAlignment="1">
      <alignment horizontal="center" readingOrder="1"/>
    </xf>
    <xf numFmtId="167" fontId="8" fillId="0" borderId="41" xfId="1" applyNumberFormat="1" applyFont="1" applyBorder="1"/>
    <xf numFmtId="0" fontId="3" fillId="0" borderId="29" xfId="0" applyFont="1" applyBorder="1"/>
    <xf numFmtId="0" fontId="3" fillId="0" borderId="16" xfId="0" applyFont="1" applyBorder="1"/>
    <xf numFmtId="0" fontId="3" fillId="0" borderId="21" xfId="0" applyFont="1" applyBorder="1"/>
    <xf numFmtId="167" fontId="34" fillId="0" borderId="44" xfId="1" applyNumberFormat="1" applyFont="1" applyBorder="1" applyAlignment="1" applyProtection="1">
      <alignment horizontal="right" vertical="top" wrapText="1" readingOrder="1"/>
      <protection locked="0"/>
    </xf>
    <xf numFmtId="167" fontId="34" fillId="0" borderId="45" xfId="1" applyNumberFormat="1" applyFont="1" applyBorder="1" applyAlignment="1" applyProtection="1">
      <alignment vertical="top" wrapText="1" readingOrder="1"/>
      <protection locked="0"/>
    </xf>
    <xf numFmtId="167" fontId="34" fillId="0" borderId="44" xfId="1" applyNumberFormat="1" applyFont="1" applyBorder="1" applyAlignment="1" applyProtection="1">
      <alignment vertical="top" wrapText="1" readingOrder="1"/>
      <protection locked="0"/>
    </xf>
    <xf numFmtId="167" fontId="34" fillId="0" borderId="45" xfId="1" applyNumberFormat="1" applyFont="1" applyBorder="1" applyAlignment="1" applyProtection="1">
      <alignment horizontal="right" vertical="top" wrapText="1" readingOrder="1"/>
      <protection locked="0"/>
    </xf>
    <xf numFmtId="167" fontId="8" fillId="0" borderId="31" xfId="1" applyNumberFormat="1" applyFont="1" applyBorder="1"/>
    <xf numFmtId="167" fontId="8" fillId="0" borderId="44" xfId="1" applyNumberFormat="1" applyFont="1" applyBorder="1"/>
    <xf numFmtId="167" fontId="8" fillId="0" borderId="45" xfId="1" applyNumberFormat="1" applyFont="1" applyBorder="1"/>
    <xf numFmtId="167" fontId="34" fillId="0" borderId="46" xfId="1" applyNumberFormat="1" applyFont="1" applyBorder="1" applyAlignment="1" applyProtection="1">
      <alignment horizontal="right" vertical="top" wrapText="1" readingOrder="1"/>
      <protection locked="0"/>
    </xf>
    <xf numFmtId="167" fontId="34" fillId="0" borderId="47" xfId="1" applyNumberFormat="1" applyFont="1" applyBorder="1" applyAlignment="1" applyProtection="1">
      <alignment vertical="top" wrapText="1" readingOrder="1"/>
      <protection locked="0"/>
    </xf>
    <xf numFmtId="167" fontId="34" fillId="0" borderId="46" xfId="1" applyNumberFormat="1" applyFont="1" applyBorder="1" applyAlignment="1" applyProtection="1">
      <alignment vertical="top" wrapText="1" readingOrder="1"/>
      <protection locked="0"/>
    </xf>
    <xf numFmtId="167" fontId="34" fillId="0" borderId="47" xfId="1" applyNumberFormat="1" applyFont="1" applyBorder="1" applyAlignment="1" applyProtection="1">
      <alignment horizontal="right" vertical="top" wrapText="1" readingOrder="1"/>
      <protection locked="0"/>
    </xf>
    <xf numFmtId="167" fontId="8" fillId="0" borderId="46" xfId="1" applyNumberFormat="1" applyFont="1" applyBorder="1"/>
    <xf numFmtId="167" fontId="8" fillId="0" borderId="47" xfId="1" applyNumberFormat="1" applyFont="1" applyBorder="1"/>
    <xf numFmtId="167" fontId="34" fillId="0" borderId="47" xfId="1" applyNumberFormat="1" applyFont="1" applyBorder="1" applyAlignment="1" applyProtection="1">
      <alignment horizontal="right" vertical="top" wrapText="1" readingOrder="1"/>
    </xf>
    <xf numFmtId="167" fontId="34" fillId="0" borderId="31" xfId="1" applyNumberFormat="1" applyFont="1" applyBorder="1" applyAlignment="1" applyProtection="1">
      <alignment horizontal="right" vertical="top" wrapText="1" readingOrder="1"/>
      <protection locked="0"/>
    </xf>
    <xf numFmtId="167" fontId="34" fillId="0" borderId="48" xfId="1" applyNumberFormat="1" applyFont="1" applyBorder="1" applyAlignment="1" applyProtection="1">
      <alignment horizontal="right" vertical="top" wrapText="1" readingOrder="1"/>
      <protection locked="0"/>
    </xf>
    <xf numFmtId="167" fontId="34" fillId="0" borderId="49" xfId="1" applyNumberFormat="1" applyFont="1" applyBorder="1" applyAlignment="1" applyProtection="1">
      <alignment vertical="top" wrapText="1" readingOrder="1"/>
      <protection locked="0"/>
    </xf>
    <xf numFmtId="167" fontId="34" fillId="0" borderId="49" xfId="1" applyNumberFormat="1" applyFont="1" applyBorder="1" applyAlignment="1" applyProtection="1">
      <alignment horizontal="right" vertical="top" wrapText="1" readingOrder="1"/>
      <protection locked="0"/>
    </xf>
    <xf numFmtId="167" fontId="8" fillId="0" borderId="48" xfId="1" applyNumberFormat="1" applyFont="1" applyBorder="1"/>
    <xf numFmtId="167" fontId="8" fillId="0" borderId="49" xfId="1" applyNumberFormat="1" applyFont="1" applyBorder="1"/>
    <xf numFmtId="167" fontId="8" fillId="0" borderId="36" xfId="1" applyNumberFormat="1" applyFont="1" applyBorder="1"/>
    <xf numFmtId="0" fontId="0" fillId="0" borderId="29" xfId="0" applyBorder="1" applyAlignment="1">
      <alignment horizontal="center"/>
    </xf>
    <xf numFmtId="167" fontId="18" fillId="0" borderId="0" xfId="1" applyNumberFormat="1" applyFont="1" applyFill="1"/>
    <xf numFmtId="0" fontId="34" fillId="0" borderId="16" xfId="18" applyFont="1" applyBorder="1" applyAlignment="1" applyProtection="1">
      <alignment horizontal="left" vertical="top" wrapText="1" readingOrder="1"/>
      <protection locked="0"/>
    </xf>
    <xf numFmtId="0" fontId="34" fillId="0" borderId="16" xfId="18" applyFont="1" applyBorder="1" applyAlignment="1" applyProtection="1">
      <alignment horizontal="center" vertical="top" wrapText="1" readingOrder="1"/>
      <protection locked="0"/>
    </xf>
    <xf numFmtId="0" fontId="37" fillId="0" borderId="16" xfId="0" applyFont="1" applyBorder="1"/>
    <xf numFmtId="0" fontId="36" fillId="0" borderId="16" xfId="0" applyFont="1" applyBorder="1"/>
    <xf numFmtId="0" fontId="36" fillId="0" borderId="16" xfId="18" applyFont="1" applyBorder="1" applyAlignment="1" applyProtection="1">
      <alignment horizontal="left" vertical="top" wrapText="1" readingOrder="1"/>
      <protection locked="0"/>
    </xf>
    <xf numFmtId="0" fontId="36" fillId="0" borderId="16" xfId="18" applyFont="1" applyBorder="1" applyAlignment="1" applyProtection="1">
      <alignment horizontal="center" vertical="top" wrapText="1" readingOrder="1"/>
      <protection locked="0"/>
    </xf>
    <xf numFmtId="167" fontId="38" fillId="0" borderId="16" xfId="1" applyNumberFormat="1" applyFont="1" applyBorder="1" applyAlignment="1" applyProtection="1">
      <alignment horizontal="left" vertical="top" wrapText="1" readingOrder="1"/>
      <protection locked="0"/>
    </xf>
    <xf numFmtId="0" fontId="2" fillId="0" borderId="16" xfId="0" applyFont="1" applyBorder="1"/>
    <xf numFmtId="167" fontId="2" fillId="0" borderId="16" xfId="1" applyNumberFormat="1" applyFont="1" applyFill="1" applyBorder="1"/>
    <xf numFmtId="167" fontId="39" fillId="0" borderId="16" xfId="1" applyNumberFormat="1" applyFont="1" applyBorder="1"/>
    <xf numFmtId="37" fontId="18" fillId="0" borderId="7" xfId="3" applyFont="1" applyBorder="1"/>
    <xf numFmtId="0" fontId="0" fillId="0" borderId="13" xfId="0" applyBorder="1" applyAlignment="1">
      <alignment horizontal="center"/>
    </xf>
    <xf numFmtId="167" fontId="11" fillId="0" borderId="6" xfId="5" applyNumberFormat="1" applyFont="1" applyBorder="1"/>
    <xf numFmtId="167" fontId="21" fillId="0" borderId="0" xfId="10" applyNumberFormat="1" applyFont="1" applyFill="1" applyAlignment="1">
      <alignment vertical="top"/>
    </xf>
    <xf numFmtId="167" fontId="20" fillId="0" borderId="0" xfId="10" quotePrefix="1" applyNumberFormat="1" applyFont="1" applyFill="1" applyAlignment="1">
      <alignment horizontal="center" vertical="top"/>
    </xf>
    <xf numFmtId="167" fontId="20" fillId="0" borderId="0" xfId="10" applyNumberFormat="1" applyFont="1" applyFill="1" applyAlignment="1">
      <alignment horizontal="center" vertical="top"/>
    </xf>
    <xf numFmtId="167" fontId="20" fillId="0" borderId="0" xfId="13" quotePrefix="1" applyNumberFormat="1" applyFont="1" applyFill="1" applyAlignment="1">
      <alignment horizontal="center" vertical="top"/>
    </xf>
    <xf numFmtId="167" fontId="20" fillId="0" borderId="6" xfId="10" applyNumberFormat="1" applyFont="1" applyFill="1" applyBorder="1" applyAlignment="1">
      <alignment vertical="top"/>
    </xf>
    <xf numFmtId="167" fontId="20" fillId="0" borderId="0" xfId="10" applyNumberFormat="1" applyFont="1" applyFill="1" applyBorder="1" applyAlignment="1">
      <alignment vertical="top"/>
    </xf>
    <xf numFmtId="0" fontId="18" fillId="0" borderId="0" xfId="3" applyNumberFormat="1" applyFont="1" applyAlignment="1">
      <alignment horizontal="justify" vertical="top" wrapText="1"/>
    </xf>
    <xf numFmtId="0" fontId="18" fillId="0" borderId="0" xfId="6" applyFont="1" applyAlignment="1">
      <alignment horizontal="justify" vertical="top" wrapText="1"/>
    </xf>
    <xf numFmtId="0" fontId="7" fillId="0" borderId="0" xfId="6" applyFont="1" applyAlignment="1">
      <alignment horizontal="justify" vertical="top" wrapText="1"/>
    </xf>
    <xf numFmtId="37" fontId="6" fillId="0" borderId="0" xfId="3" applyFont="1" applyAlignment="1">
      <alignment horizontal="left" vertical="top"/>
    </xf>
    <xf numFmtId="37" fontId="6" fillId="0" borderId="0" xfId="3" quotePrefix="1" applyFont="1" applyAlignment="1">
      <alignment vertical="top"/>
    </xf>
    <xf numFmtId="37" fontId="6" fillId="0" borderId="0" xfId="3" quotePrefix="1" applyFont="1" applyAlignment="1">
      <alignment horizontal="left" vertical="top"/>
    </xf>
    <xf numFmtId="37" fontId="7" fillId="0" borderId="0" xfId="3" applyFont="1" applyAlignment="1">
      <alignment horizontal="left" vertical="top"/>
    </xf>
    <xf numFmtId="169" fontId="6" fillId="0" borderId="0" xfId="3" applyNumberFormat="1" applyFont="1" applyAlignment="1">
      <alignment horizontal="left" vertical="top"/>
    </xf>
    <xf numFmtId="0" fontId="7" fillId="0" borderId="0" xfId="3" applyNumberFormat="1" applyFont="1" applyAlignment="1">
      <alignment vertical="top"/>
    </xf>
    <xf numFmtId="0" fontId="6" fillId="0" borderId="0" xfId="3" quotePrefix="1" applyNumberFormat="1" applyFont="1" applyAlignment="1">
      <alignment horizontal="left" vertical="top"/>
    </xf>
    <xf numFmtId="0" fontId="7" fillId="0" borderId="0" xfId="3" applyNumberFormat="1" applyFont="1" applyAlignment="1">
      <alignment horizontal="left" vertical="top"/>
    </xf>
    <xf numFmtId="37" fontId="7" fillId="0" borderId="0" xfId="3" applyFont="1" applyAlignment="1">
      <alignment vertical="top" wrapText="1"/>
    </xf>
    <xf numFmtId="0" fontId="7" fillId="0" borderId="0" xfId="3" applyNumberFormat="1" applyFont="1"/>
    <xf numFmtId="0" fontId="0" fillId="0" borderId="0" xfId="0" applyAlignment="1">
      <alignment vertical="top" wrapText="1"/>
    </xf>
    <xf numFmtId="169" fontId="6" fillId="0" borderId="0" xfId="5" quotePrefix="1" applyNumberFormat="1" applyFont="1" applyAlignment="1">
      <alignment horizontal="left" vertical="top"/>
    </xf>
    <xf numFmtId="0" fontId="6" fillId="0" borderId="0" xfId="5" applyFont="1" applyAlignment="1">
      <alignment horizontal="left" vertical="top"/>
    </xf>
    <xf numFmtId="166" fontId="6" fillId="0" borderId="0" xfId="4" applyFont="1" applyFill="1" applyAlignment="1">
      <alignment vertical="top"/>
    </xf>
    <xf numFmtId="0" fontId="6" fillId="0" borderId="0" xfId="4" quotePrefix="1" applyNumberFormat="1" applyFont="1" applyFill="1" applyAlignment="1">
      <alignment horizontal="left" vertical="top"/>
    </xf>
    <xf numFmtId="0" fontId="6" fillId="0" borderId="0" xfId="3" applyNumberFormat="1" applyFont="1" applyAlignment="1">
      <alignment horizontal="left" vertical="top"/>
    </xf>
    <xf numFmtId="37" fontId="6" fillId="0" borderId="0" xfId="3" applyFont="1" applyAlignment="1">
      <alignment horizontal="justify" vertical="top"/>
    </xf>
    <xf numFmtId="167" fontId="18" fillId="0" borderId="4" xfId="10" applyNumberFormat="1" applyFont="1" applyFill="1" applyBorder="1" applyAlignment="1"/>
    <xf numFmtId="167" fontId="7" fillId="0" borderId="0" xfId="1" applyNumberFormat="1" applyFont="1" applyFill="1" applyBorder="1" applyAlignment="1">
      <alignment horizontal="right" vertical="center"/>
    </xf>
    <xf numFmtId="167" fontId="7" fillId="0" borderId="0" xfId="1" applyNumberFormat="1" applyFont="1" applyFill="1" applyBorder="1" applyAlignment="1">
      <alignment vertical="center"/>
    </xf>
    <xf numFmtId="167" fontId="7" fillId="0" borderId="0" xfId="1" quotePrefix="1" applyNumberFormat="1" applyFont="1" applyFill="1" applyBorder="1" applyAlignment="1">
      <alignment horizontal="right" vertical="center"/>
    </xf>
    <xf numFmtId="167" fontId="7" fillId="0" borderId="0" xfId="1" applyNumberFormat="1" applyFont="1" applyFill="1" applyBorder="1" applyAlignment="1">
      <alignment horizontal="center" vertical="center"/>
    </xf>
    <xf numFmtId="167" fontId="7" fillId="0" borderId="0" xfId="1" applyNumberFormat="1" applyFont="1"/>
    <xf numFmtId="167" fontId="8" fillId="2" borderId="41" xfId="1" applyNumberFormat="1" applyFont="1" applyFill="1" applyBorder="1"/>
    <xf numFmtId="0" fontId="3" fillId="0" borderId="0" xfId="0" applyFont="1"/>
    <xf numFmtId="0" fontId="43" fillId="0" borderId="16" xfId="0" applyFont="1" applyBorder="1" applyAlignment="1">
      <alignment horizontal="center" vertical="center"/>
    </xf>
    <xf numFmtId="167" fontId="6" fillId="0" borderId="0" xfId="1" applyNumberFormat="1" applyFont="1"/>
    <xf numFmtId="167" fontId="7" fillId="0" borderId="0" xfId="1" applyNumberFormat="1" applyFont="1" applyFill="1"/>
    <xf numFmtId="37" fontId="7" fillId="0" borderId="0" xfId="3" quotePrefix="1" applyFont="1" applyAlignment="1">
      <alignment vertical="center"/>
    </xf>
    <xf numFmtId="37" fontId="7" fillId="0" borderId="0" xfId="3" applyFont="1" applyAlignment="1">
      <alignment horizontal="justify" vertical="top"/>
    </xf>
    <xf numFmtId="0" fontId="18" fillId="0" borderId="0" xfId="6" applyFont="1" applyAlignment="1">
      <alignment horizontal="justify" vertical="top"/>
    </xf>
    <xf numFmtId="0" fontId="7" fillId="0" borderId="0" xfId="6" applyFont="1" applyAlignment="1">
      <alignment horizontal="justify" vertical="top"/>
    </xf>
    <xf numFmtId="0" fontId="7" fillId="0" borderId="0" xfId="3" applyNumberFormat="1" applyFont="1" applyAlignment="1">
      <alignment horizontal="justify" vertical="top"/>
    </xf>
    <xf numFmtId="37" fontId="7" fillId="0" borderId="0" xfId="3" applyFont="1" applyAlignment="1">
      <alignment horizontal="justify" vertical="top" wrapText="1"/>
    </xf>
    <xf numFmtId="0" fontId="18" fillId="0" borderId="0" xfId="0" applyFont="1" applyAlignment="1">
      <alignment vertical="top" wrapText="1"/>
    </xf>
    <xf numFmtId="0" fontId="42" fillId="0" borderId="50" xfId="18" applyFont="1" applyBorder="1" applyAlignment="1" applyProtection="1">
      <alignment horizontal="left" vertical="top" wrapText="1" indent="1" readingOrder="1"/>
      <protection locked="0"/>
    </xf>
    <xf numFmtId="0" fontId="42" fillId="0" borderId="50" xfId="18" applyFont="1" applyBorder="1" applyAlignment="1" applyProtection="1">
      <alignment horizontal="left" wrapText="1" indent="1" readingOrder="1"/>
      <protection locked="0"/>
    </xf>
    <xf numFmtId="0" fontId="6" fillId="0" borderId="12" xfId="5" applyFont="1" applyBorder="1" applyAlignment="1">
      <alignment horizontal="center" vertical="center" wrapText="1"/>
    </xf>
    <xf numFmtId="0" fontId="6" fillId="0" borderId="13" xfId="5" applyFont="1" applyBorder="1" applyAlignment="1">
      <alignment horizontal="center" vertical="center" wrapText="1"/>
    </xf>
    <xf numFmtId="0" fontId="6" fillId="0" borderId="14" xfId="5" applyFont="1" applyBorder="1" applyAlignment="1">
      <alignment horizontal="center" vertical="center" wrapText="1"/>
    </xf>
    <xf numFmtId="0" fontId="42" fillId="2" borderId="50" xfId="18" applyFont="1" applyFill="1" applyBorder="1" applyAlignment="1" applyProtection="1">
      <alignment horizontal="left" vertical="top" wrapText="1" indent="1" readingOrder="1"/>
      <protection locked="0"/>
    </xf>
    <xf numFmtId="0" fontId="41" fillId="0" borderId="12" xfId="18" applyFont="1" applyBorder="1" applyAlignment="1" applyProtection="1">
      <alignment vertical="center" wrapText="1" readingOrder="1"/>
      <protection locked="0"/>
    </xf>
    <xf numFmtId="0" fontId="3" fillId="0" borderId="12" xfId="0" applyFont="1" applyBorder="1" applyAlignment="1">
      <alignment vertical="center"/>
    </xf>
    <xf numFmtId="0" fontId="41" fillId="0" borderId="12" xfId="18" applyFont="1" applyBorder="1" applyAlignment="1" applyProtection="1">
      <alignment horizontal="center" vertical="center" wrapText="1" readingOrder="1"/>
      <protection locked="0"/>
    </xf>
    <xf numFmtId="0" fontId="42" fillId="0" borderId="51" xfId="18" applyFont="1" applyBorder="1" applyAlignment="1" applyProtection="1">
      <alignment horizontal="left" vertical="top" wrapText="1" indent="1" readingOrder="1"/>
      <protection locked="0"/>
    </xf>
    <xf numFmtId="0" fontId="42" fillId="0" borderId="51" xfId="18" applyFont="1" applyBorder="1" applyAlignment="1" applyProtection="1">
      <alignment horizontal="left" wrapText="1" indent="1" readingOrder="1"/>
      <protection locked="0"/>
    </xf>
    <xf numFmtId="37" fontId="7" fillId="2" borderId="0" xfId="3" applyFont="1" applyFill="1" applyAlignment="1">
      <alignment vertical="center"/>
    </xf>
    <xf numFmtId="167" fontId="7" fillId="2" borderId="0" xfId="4" applyNumberFormat="1" applyFont="1" applyFill="1" applyBorder="1" applyAlignment="1">
      <alignment horizontal="center" vertical="center"/>
    </xf>
    <xf numFmtId="0" fontId="0" fillId="5" borderId="0" xfId="0" applyFill="1"/>
    <xf numFmtId="167" fontId="21" fillId="0" borderId="0" xfId="10" applyNumberFormat="1" applyFont="1" applyFill="1" applyAlignment="1">
      <alignment horizontal="center" vertical="top"/>
    </xf>
    <xf numFmtId="167" fontId="22" fillId="0" borderId="0" xfId="10" applyNumberFormat="1" applyFont="1" applyFill="1" applyAlignment="1">
      <alignment vertical="top"/>
    </xf>
    <xf numFmtId="167" fontId="20" fillId="0" borderId="16" xfId="13" quotePrefix="1" applyNumberFormat="1" applyFont="1" applyFill="1" applyBorder="1" applyAlignment="1">
      <alignment horizontal="center" vertical="top"/>
    </xf>
    <xf numFmtId="167" fontId="7" fillId="0" borderId="1" xfId="4" applyNumberFormat="1" applyFont="1" applyFill="1" applyBorder="1" applyAlignment="1">
      <alignment horizontal="center"/>
    </xf>
    <xf numFmtId="0" fontId="0" fillId="8" borderId="0" xfId="0" applyFill="1"/>
    <xf numFmtId="0" fontId="0" fillId="7" borderId="0" xfId="0" applyFill="1"/>
    <xf numFmtId="0" fontId="0" fillId="3" borderId="0" xfId="0" applyFill="1"/>
    <xf numFmtId="0" fontId="0" fillId="4" borderId="0" xfId="0" applyFill="1"/>
    <xf numFmtId="0" fontId="0" fillId="6" borderId="0" xfId="0" applyFill="1"/>
    <xf numFmtId="167" fontId="3" fillId="0" borderId="0" xfId="1" applyNumberFormat="1" applyFont="1"/>
    <xf numFmtId="167" fontId="0" fillId="0" borderId="0" xfId="1" applyNumberFormat="1" applyFont="1" applyFill="1"/>
    <xf numFmtId="167" fontId="18" fillId="0" borderId="1" xfId="10" applyNumberFormat="1" applyFont="1" applyFill="1" applyBorder="1" applyAlignment="1">
      <alignment wrapText="1"/>
    </xf>
    <xf numFmtId="167" fontId="7" fillId="0" borderId="4" xfId="4" quotePrefix="1" applyNumberFormat="1" applyFont="1" applyFill="1" applyBorder="1" applyAlignment="1">
      <alignment horizontal="right" vertical="center"/>
    </xf>
    <xf numFmtId="167" fontId="7" fillId="0" borderId="0" xfId="7" quotePrefix="1" applyNumberFormat="1" applyFont="1" applyFill="1" applyBorder="1" applyAlignment="1">
      <alignment horizontal="center"/>
    </xf>
    <xf numFmtId="176" fontId="6" fillId="0" borderId="0" xfId="4" quotePrefix="1" applyNumberFormat="1" applyFont="1" applyFill="1" applyAlignment="1">
      <alignment horizontal="left" vertical="top"/>
    </xf>
    <xf numFmtId="0" fontId="45" fillId="0" borderId="0" xfId="0" applyFont="1" applyAlignment="1">
      <alignment horizontal="left" vertical="top"/>
    </xf>
    <xf numFmtId="0" fontId="19" fillId="0" borderId="0" xfId="27" applyFont="1" applyAlignment="1">
      <alignment horizontal="left" vertical="top"/>
    </xf>
    <xf numFmtId="0" fontId="46" fillId="0" borderId="0" xfId="0" applyFont="1"/>
    <xf numFmtId="0" fontId="46" fillId="0" borderId="0" xfId="0" applyFont="1" applyAlignment="1">
      <alignment horizontal="justify" vertical="justify"/>
    </xf>
    <xf numFmtId="0" fontId="46" fillId="0" borderId="0" xfId="0" applyFont="1" applyAlignment="1">
      <alignment horizontal="justify" vertical="top"/>
    </xf>
    <xf numFmtId="0" fontId="46" fillId="0" borderId="0" xfId="0" applyFont="1" applyAlignment="1">
      <alignment vertical="justify"/>
    </xf>
    <xf numFmtId="0" fontId="46" fillId="0" borderId="0" xfId="0" applyFont="1" applyAlignment="1">
      <alignment horizontal="justify" vertical="top" wrapText="1"/>
    </xf>
    <xf numFmtId="37" fontId="18" fillId="2" borderId="0" xfId="3" applyFont="1" applyFill="1"/>
    <xf numFmtId="37" fontId="25" fillId="0" borderId="0" xfId="19" applyNumberFormat="1" applyFont="1"/>
    <xf numFmtId="0" fontId="6" fillId="9" borderId="0" xfId="19" applyFont="1" applyFill="1"/>
    <xf numFmtId="0" fontId="7" fillId="9" borderId="0" xfId="19" applyFont="1" applyFill="1"/>
    <xf numFmtId="0" fontId="29" fillId="9" borderId="0" xfId="6" applyFont="1" applyFill="1" applyAlignment="1">
      <alignment vertical="top"/>
    </xf>
    <xf numFmtId="0" fontId="7" fillId="9" borderId="0" xfId="20" applyFont="1" applyFill="1" applyAlignment="1">
      <alignment horizontal="justify" vertical="top" wrapText="1"/>
    </xf>
    <xf numFmtId="0" fontId="18" fillId="9" borderId="0" xfId="5" applyFont="1" applyFill="1" applyAlignment="1">
      <alignment vertical="top" wrapText="1"/>
    </xf>
    <xf numFmtId="37" fontId="18" fillId="9" borderId="0" xfId="3" applyFont="1" applyFill="1" applyAlignment="1">
      <alignment vertical="top"/>
    </xf>
    <xf numFmtId="37" fontId="18" fillId="9" borderId="0" xfId="3" applyFont="1" applyFill="1"/>
    <xf numFmtId="0" fontId="7" fillId="9" borderId="0" xfId="20" applyFont="1" applyFill="1" applyAlignment="1">
      <alignment vertical="top" wrapText="1"/>
    </xf>
    <xf numFmtId="0" fontId="7" fillId="9" borderId="0" xfId="6" applyFont="1" applyFill="1" applyAlignment="1">
      <alignment horizontal="justify" vertical="top" wrapText="1"/>
    </xf>
    <xf numFmtId="9" fontId="18" fillId="0" borderId="0" xfId="23" applyFont="1" applyFill="1" applyAlignment="1">
      <alignment horizontal="right"/>
    </xf>
    <xf numFmtId="9" fontId="18" fillId="0" borderId="0" xfId="23" applyFont="1" applyFill="1"/>
    <xf numFmtId="0" fontId="41" fillId="0" borderId="2" xfId="18" applyFont="1" applyBorder="1" applyAlignment="1" applyProtection="1">
      <alignment horizontal="center" vertical="center" wrapText="1" readingOrder="1"/>
      <protection locked="0"/>
    </xf>
    <xf numFmtId="0" fontId="41" fillId="0" borderId="16" xfId="18" applyFont="1" applyBorder="1" applyAlignment="1" applyProtection="1">
      <alignment horizontal="center" vertical="center" wrapText="1" readingOrder="1"/>
      <protection locked="0"/>
    </xf>
    <xf numFmtId="0" fontId="41" fillId="0" borderId="0" xfId="18" applyFont="1" applyAlignment="1" applyProtection="1">
      <alignment horizontal="left" vertical="top" indent="1" readingOrder="1"/>
      <protection locked="0"/>
    </xf>
    <xf numFmtId="0" fontId="40" fillId="0" borderId="0" xfId="18" applyFont="1" applyAlignment="1">
      <alignment horizontal="left" indent="1"/>
    </xf>
    <xf numFmtId="0" fontId="47" fillId="0" borderId="0" xfId="18" applyFont="1" applyAlignment="1">
      <alignment horizontal="left" indent="1"/>
    </xf>
    <xf numFmtId="167" fontId="40" fillId="0" borderId="0" xfId="18" applyNumberFormat="1" applyFont="1" applyAlignment="1">
      <alignment horizontal="left" indent="1"/>
    </xf>
    <xf numFmtId="167" fontId="2" fillId="0" borderId="0" xfId="1" applyNumberFormat="1" applyFont="1" applyFill="1" applyAlignment="1">
      <alignment horizontal="left" indent="1"/>
    </xf>
    <xf numFmtId="167" fontId="40" fillId="0" borderId="0" xfId="1" applyNumberFormat="1" applyFont="1" applyFill="1" applyAlignment="1">
      <alignment horizontal="left" indent="1"/>
    </xf>
    <xf numFmtId="167" fontId="2" fillId="0" borderId="0" xfId="18" applyNumberFormat="1" applyFont="1" applyAlignment="1">
      <alignment horizontal="left" indent="1"/>
    </xf>
    <xf numFmtId="174" fontId="2" fillId="0" borderId="0" xfId="18" applyNumberFormat="1" applyFont="1" applyAlignment="1">
      <alignment horizontal="left" indent="1"/>
    </xf>
    <xf numFmtId="0" fontId="41" fillId="0" borderId="0" xfId="18" applyFont="1" applyAlignment="1" applyProtection="1">
      <alignment vertical="top" readingOrder="1"/>
      <protection locked="0"/>
    </xf>
    <xf numFmtId="0" fontId="40" fillId="0" borderId="0" xfId="18" applyFont="1"/>
    <xf numFmtId="167" fontId="40" fillId="0" borderId="0" xfId="18" applyNumberFormat="1" applyFont="1"/>
    <xf numFmtId="167" fontId="48" fillId="0" borderId="0" xfId="1" applyNumberFormat="1" applyFont="1" applyFill="1" applyAlignment="1"/>
    <xf numFmtId="174" fontId="40" fillId="0" borderId="0" xfId="18" applyNumberFormat="1" applyFont="1"/>
    <xf numFmtId="167" fontId="40" fillId="0" borderId="0" xfId="1" applyNumberFormat="1" applyFont="1" applyFill="1"/>
    <xf numFmtId="167" fontId="40" fillId="0" borderId="1" xfId="18" applyNumberFormat="1" applyFont="1" applyBorder="1" applyAlignment="1">
      <alignment horizontal="left" indent="1"/>
    </xf>
    <xf numFmtId="166" fontId="40" fillId="0" borderId="0" xfId="18" applyNumberFormat="1" applyFont="1" applyAlignment="1">
      <alignment horizontal="left" indent="1"/>
    </xf>
    <xf numFmtId="167" fontId="7" fillId="0" borderId="4" xfId="4" applyNumberFormat="1" applyFont="1" applyFill="1" applyBorder="1" applyAlignment="1">
      <alignment horizontal="center" vertical="center"/>
    </xf>
    <xf numFmtId="166" fontId="40" fillId="0" borderId="0" xfId="18" applyNumberFormat="1" applyFont="1"/>
    <xf numFmtId="166" fontId="6" fillId="0" borderId="0" xfId="5" applyNumberFormat="1" applyFont="1"/>
    <xf numFmtId="167" fontId="13" fillId="0" borderId="0" xfId="5" applyNumberFormat="1" applyFont="1"/>
    <xf numFmtId="167" fontId="7" fillId="0" borderId="4" xfId="4" applyNumberFormat="1" applyFont="1" applyFill="1" applyBorder="1" applyAlignment="1">
      <alignment horizontal="right" vertical="center"/>
    </xf>
    <xf numFmtId="167" fontId="7" fillId="0" borderId="4" xfId="1" applyNumberFormat="1" applyFont="1" applyFill="1" applyBorder="1" applyAlignment="1">
      <alignment horizontal="right" vertical="center"/>
    </xf>
    <xf numFmtId="167" fontId="19" fillId="0" borderId="3" xfId="4" applyNumberFormat="1" applyFont="1" applyFill="1" applyBorder="1" applyAlignment="1"/>
    <xf numFmtId="0" fontId="19" fillId="0" borderId="2" xfId="4" quotePrefix="1" applyNumberFormat="1" applyFont="1" applyFill="1" applyBorder="1" applyAlignment="1">
      <alignment horizontal="center"/>
    </xf>
    <xf numFmtId="167" fontId="18" fillId="0" borderId="15" xfId="4" applyNumberFormat="1" applyFont="1" applyFill="1" applyBorder="1"/>
    <xf numFmtId="0" fontId="19" fillId="0" borderId="3" xfId="4" applyNumberFormat="1" applyFont="1" applyFill="1" applyBorder="1" applyAlignment="1">
      <alignment horizontal="center"/>
    </xf>
    <xf numFmtId="167" fontId="19" fillId="0" borderId="3" xfId="4" quotePrefix="1" applyNumberFormat="1" applyFont="1" applyFill="1" applyBorder="1" applyAlignment="1">
      <alignment horizontal="center"/>
    </xf>
    <xf numFmtId="167" fontId="19" fillId="0" borderId="3" xfId="4" quotePrefix="1" applyNumberFormat="1" applyFont="1" applyFill="1" applyBorder="1" applyAlignment="1"/>
    <xf numFmtId="167" fontId="19" fillId="0" borderId="0" xfId="4" quotePrefix="1" applyNumberFormat="1" applyFont="1" applyFill="1" applyAlignment="1">
      <alignment horizontal="center"/>
    </xf>
    <xf numFmtId="9" fontId="19" fillId="0" borderId="0" xfId="23" applyFont="1" applyFill="1"/>
    <xf numFmtId="0" fontId="19" fillId="0" borderId="0" xfId="5" quotePrefix="1" applyFont="1" applyAlignment="1">
      <alignment horizontal="left" vertical="top"/>
    </xf>
    <xf numFmtId="0" fontId="19" fillId="0" borderId="0" xfId="4" applyNumberFormat="1" applyFont="1" applyFill="1" applyBorder="1" applyAlignment="1">
      <alignment vertical="top"/>
    </xf>
    <xf numFmtId="167" fontId="18" fillId="0" borderId="0" xfId="4" applyNumberFormat="1" applyFont="1" applyFill="1" applyBorder="1" applyAlignment="1">
      <alignment vertical="top"/>
    </xf>
    <xf numFmtId="0" fontId="18" fillId="0" borderId="0" xfId="6" applyFont="1" applyAlignment="1">
      <alignment horizontal="left"/>
    </xf>
    <xf numFmtId="9" fontId="18" fillId="0" borderId="0" xfId="15" applyFont="1" applyFill="1" applyBorder="1" applyAlignment="1">
      <alignment horizontal="right" vertical="top" wrapText="1"/>
    </xf>
    <xf numFmtId="167" fontId="7" fillId="0" borderId="0" xfId="1" applyNumberFormat="1" applyFont="1" applyAlignment="1">
      <alignment vertical="top"/>
    </xf>
    <xf numFmtId="167" fontId="7" fillId="0" borderId="0" xfId="1" applyNumberFormat="1" applyFont="1" applyAlignment="1">
      <alignment vertical="center"/>
    </xf>
    <xf numFmtId="167" fontId="18" fillId="9" borderId="0" xfId="4" applyNumberFormat="1" applyFont="1" applyFill="1" applyBorder="1"/>
    <xf numFmtId="0" fontId="19" fillId="9" borderId="0" xfId="4" quotePrefix="1" applyNumberFormat="1" applyFont="1" applyFill="1" applyBorder="1" applyAlignment="1">
      <alignment horizontal="center" vertical="top"/>
    </xf>
    <xf numFmtId="167" fontId="19" fillId="9" borderId="0" xfId="4" applyNumberFormat="1" applyFont="1" applyFill="1"/>
    <xf numFmtId="10" fontId="18" fillId="0" borderId="27" xfId="23" applyNumberFormat="1" applyFont="1" applyFill="1" applyBorder="1" applyAlignment="1">
      <alignment horizontal="right"/>
    </xf>
    <xf numFmtId="167" fontId="18" fillId="0" borderId="0" xfId="1" applyNumberFormat="1" applyFont="1"/>
    <xf numFmtId="0" fontId="6" fillId="0" borderId="12" xfId="0" quotePrefix="1" applyFont="1" applyBorder="1" applyAlignment="1">
      <alignment horizontal="center" vertical="center"/>
    </xf>
    <xf numFmtId="0" fontId="19" fillId="0" borderId="14" xfId="14" applyFont="1" applyBorder="1" applyAlignment="1">
      <alignment horizontal="center" vertical="center"/>
    </xf>
    <xf numFmtId="167" fontId="18" fillId="0" borderId="27" xfId="4" applyNumberFormat="1" applyFont="1" applyFill="1" applyBorder="1" applyAlignment="1">
      <alignment horizontal="center"/>
    </xf>
    <xf numFmtId="167" fontId="7" fillId="0" borderId="4" xfId="1" applyNumberFormat="1" applyFont="1" applyBorder="1" applyAlignment="1">
      <alignment vertical="center"/>
    </xf>
    <xf numFmtId="167" fontId="7" fillId="0" borderId="5" xfId="1" applyNumberFormat="1" applyFont="1" applyBorder="1" applyAlignment="1">
      <alignment vertical="center"/>
    </xf>
    <xf numFmtId="167" fontId="7" fillId="0" borderId="1" xfId="1" applyNumberFormat="1" applyFont="1" applyBorder="1" applyAlignment="1">
      <alignment vertical="center"/>
    </xf>
    <xf numFmtId="167" fontId="17" fillId="0" borderId="0" xfId="1" applyNumberFormat="1" applyFont="1" applyAlignment="1">
      <alignment vertical="center"/>
    </xf>
    <xf numFmtId="167" fontId="15" fillId="0" borderId="0" xfId="1" applyNumberFormat="1" applyFont="1" applyAlignment="1">
      <alignment vertical="top"/>
    </xf>
    <xf numFmtId="167" fontId="18" fillId="0" borderId="0" xfId="6" applyNumberFormat="1" applyFont="1" applyAlignment="1">
      <alignment horizontal="right"/>
    </xf>
    <xf numFmtId="0" fontId="18" fillId="0" borderId="0" xfId="0" applyFont="1" applyAlignment="1">
      <alignment vertical="top"/>
    </xf>
    <xf numFmtId="0" fontId="19" fillId="0" borderId="0" xfId="0" applyFont="1" applyAlignment="1">
      <alignment vertical="top"/>
    </xf>
    <xf numFmtId="0" fontId="18" fillId="0" borderId="0" xfId="0" applyFont="1"/>
    <xf numFmtId="0" fontId="19" fillId="0" borderId="0" xfId="32" applyFont="1" applyAlignment="1">
      <alignment vertical="top"/>
    </xf>
    <xf numFmtId="0" fontId="18" fillId="0" borderId="0" xfId="32" applyFont="1" applyAlignment="1">
      <alignment vertical="top"/>
    </xf>
    <xf numFmtId="0" fontId="51" fillId="0" borderId="0" xfId="0" applyFont="1" applyAlignment="1" applyProtection="1">
      <alignment horizontal="center" vertical="top"/>
      <protection locked="0"/>
    </xf>
    <xf numFmtId="167" fontId="19" fillId="0" borderId="0" xfId="9" applyNumberFormat="1" applyFont="1" applyFill="1" applyBorder="1" applyAlignment="1">
      <alignment vertical="top"/>
    </xf>
    <xf numFmtId="0" fontId="19" fillId="0" borderId="0" xfId="0" applyFont="1" applyAlignment="1">
      <alignment horizontal="left" vertical="top"/>
    </xf>
    <xf numFmtId="0" fontId="18" fillId="0" borderId="0" xfId="0" applyFont="1" applyAlignment="1">
      <alignment horizontal="left" vertical="top"/>
    </xf>
    <xf numFmtId="0" fontId="1" fillId="0" borderId="0" xfId="0" applyFont="1" applyAlignment="1">
      <alignment vertical="top"/>
    </xf>
    <xf numFmtId="0" fontId="1" fillId="0" borderId="0" xfId="0" applyFont="1"/>
    <xf numFmtId="178" fontId="19" fillId="0" borderId="0" xfId="0" applyNumberFormat="1" applyFont="1" applyAlignment="1">
      <alignment horizontal="left" vertical="top"/>
    </xf>
    <xf numFmtId="0" fontId="1" fillId="0" borderId="0" xfId="7" applyNumberFormat="1" applyFont="1" applyFill="1" applyAlignment="1">
      <alignment vertical="top"/>
    </xf>
    <xf numFmtId="0" fontId="18" fillId="0" borderId="0" xfId="0" applyFont="1" applyAlignment="1" applyProtection="1">
      <alignment vertical="top"/>
      <protection locked="0"/>
    </xf>
    <xf numFmtId="167" fontId="53" fillId="0" borderId="0" xfId="0" applyNumberFormat="1" applyFont="1" applyAlignment="1" applyProtection="1">
      <alignment vertical="top"/>
      <protection locked="0"/>
    </xf>
    <xf numFmtId="0" fontId="51" fillId="0" borderId="0" xfId="0" applyFont="1" applyAlignment="1" applyProtection="1">
      <alignment vertical="top"/>
      <protection locked="0"/>
    </xf>
    <xf numFmtId="167" fontId="6" fillId="0" borderId="0" xfId="1" applyNumberFormat="1" applyFont="1" applyFill="1" applyBorder="1"/>
    <xf numFmtId="167" fontId="7" fillId="0" borderId="11" xfId="1" applyNumberFormat="1" applyFont="1" applyBorder="1"/>
    <xf numFmtId="167" fontId="6" fillId="0" borderId="11" xfId="1" applyNumberFormat="1" applyFont="1" applyFill="1" applyBorder="1"/>
    <xf numFmtId="167" fontId="7" fillId="0" borderId="0" xfId="1" applyNumberFormat="1" applyFont="1" applyFill="1" applyBorder="1"/>
    <xf numFmtId="167" fontId="6" fillId="0" borderId="6" xfId="1" applyNumberFormat="1" applyFont="1" applyFill="1" applyBorder="1"/>
    <xf numFmtId="0" fontId="6" fillId="0" borderId="0" xfId="5" applyFont="1" applyAlignment="1">
      <alignment horizontal="center" vertical="top"/>
    </xf>
    <xf numFmtId="167" fontId="7" fillId="0" borderId="0" xfId="4" applyNumberFormat="1" applyFont="1" applyFill="1" applyAlignment="1">
      <alignment vertical="top"/>
    </xf>
    <xf numFmtId="167" fontId="7" fillId="0" borderId="0" xfId="4" applyNumberFormat="1" applyFont="1" applyFill="1" applyBorder="1" applyAlignment="1">
      <alignment vertical="top"/>
    </xf>
    <xf numFmtId="168" fontId="9" fillId="0" borderId="0" xfId="5" applyNumberFormat="1" applyFont="1" applyAlignment="1">
      <alignment horizontal="center" vertical="top"/>
    </xf>
    <xf numFmtId="0" fontId="9" fillId="0" borderId="0" xfId="5" applyFont="1" applyAlignment="1">
      <alignment horizontal="center" vertical="top"/>
    </xf>
    <xf numFmtId="0" fontId="13" fillId="0" borderId="0" xfId="5" applyFont="1" applyAlignment="1">
      <alignment vertical="top"/>
    </xf>
    <xf numFmtId="167" fontId="7" fillId="0" borderId="11" xfId="4" applyNumberFormat="1" applyFont="1" applyFill="1" applyBorder="1" applyAlignment="1">
      <alignment vertical="top"/>
    </xf>
    <xf numFmtId="167" fontId="6" fillId="0" borderId="0" xfId="4" applyNumberFormat="1" applyFont="1" applyFill="1" applyAlignment="1">
      <alignment vertical="top"/>
    </xf>
    <xf numFmtId="167" fontId="6" fillId="0" borderId="0" xfId="4" applyNumberFormat="1" applyFont="1" applyFill="1" applyBorder="1" applyAlignment="1">
      <alignment vertical="top"/>
    </xf>
    <xf numFmtId="167" fontId="13" fillId="0" borderId="0" xfId="4" applyNumberFormat="1" applyFont="1" applyFill="1" applyAlignment="1">
      <alignment vertical="top"/>
    </xf>
    <xf numFmtId="167" fontId="13" fillId="0" borderId="0" xfId="4" applyNumberFormat="1" applyFont="1" applyFill="1" applyBorder="1" applyAlignment="1">
      <alignment vertical="top"/>
    </xf>
    <xf numFmtId="167" fontId="7" fillId="0" borderId="50" xfId="4" applyNumberFormat="1" applyFont="1" applyFill="1" applyBorder="1" applyAlignment="1">
      <alignment vertical="top"/>
    </xf>
    <xf numFmtId="167" fontId="7" fillId="0" borderId="52" xfId="10" applyNumberFormat="1" applyFont="1" applyFill="1" applyBorder="1" applyAlignment="1">
      <alignment vertical="top"/>
    </xf>
    <xf numFmtId="167" fontId="7" fillId="0" borderId="0" xfId="10" applyNumberFormat="1" applyFont="1" applyFill="1" applyBorder="1" applyAlignment="1">
      <alignment vertical="top"/>
    </xf>
    <xf numFmtId="167" fontId="7" fillId="0" borderId="1" xfId="10" applyNumberFormat="1" applyFont="1" applyFill="1" applyBorder="1" applyAlignment="1">
      <alignment vertical="top"/>
    </xf>
    <xf numFmtId="37" fontId="9" fillId="0" borderId="0" xfId="5" applyNumberFormat="1" applyFont="1" applyAlignment="1">
      <alignment horizontal="center" vertical="top"/>
    </xf>
    <xf numFmtId="167" fontId="6" fillId="0" borderId="6" xfId="4" applyNumberFormat="1" applyFont="1" applyFill="1" applyBorder="1" applyAlignment="1">
      <alignment vertical="top"/>
    </xf>
    <xf numFmtId="167" fontId="7" fillId="0" borderId="0" xfId="5" applyNumberFormat="1" applyFont="1" applyAlignment="1">
      <alignment vertical="top"/>
    </xf>
    <xf numFmtId="37" fontId="12" fillId="0" borderId="0" xfId="3" applyFont="1" applyAlignment="1">
      <alignment vertical="top"/>
    </xf>
    <xf numFmtId="166" fontId="7" fillId="0" borderId="0" xfId="5" applyNumberFormat="1" applyFont="1" applyAlignment="1">
      <alignment vertical="top"/>
    </xf>
    <xf numFmtId="0" fontId="13" fillId="0" borderId="7" xfId="5" applyFont="1" applyBorder="1" applyAlignment="1">
      <alignment vertical="top"/>
    </xf>
    <xf numFmtId="37" fontId="6" fillId="0" borderId="0" xfId="3" applyFont="1" applyAlignment="1">
      <alignment horizontal="center" vertical="center"/>
    </xf>
    <xf numFmtId="0" fontId="6" fillId="0" borderId="0" xfId="5" applyFont="1" applyAlignment="1">
      <alignment horizontal="center" vertical="center"/>
    </xf>
    <xf numFmtId="167" fontId="7" fillId="0" borderId="0" xfId="1" quotePrefix="1" applyNumberFormat="1" applyFont="1" applyFill="1" applyBorder="1" applyAlignment="1">
      <alignment horizontal="center" vertical="center"/>
    </xf>
    <xf numFmtId="167" fontId="7" fillId="0" borderId="5" xfId="1" applyNumberFormat="1" applyFont="1" applyFill="1" applyBorder="1" applyAlignment="1">
      <alignment horizontal="right" vertical="center"/>
    </xf>
    <xf numFmtId="167" fontId="7" fillId="0" borderId="1" xfId="1" applyNumberFormat="1" applyFont="1" applyFill="1" applyBorder="1" applyAlignment="1">
      <alignment horizontal="right" vertical="center"/>
    </xf>
    <xf numFmtId="167" fontId="7" fillId="0" borderId="5" xfId="4" applyNumberFormat="1" applyFont="1" applyFill="1" applyBorder="1" applyAlignment="1">
      <alignment horizontal="right" vertical="center"/>
    </xf>
    <xf numFmtId="167" fontId="7" fillId="0" borderId="1" xfId="4" applyNumberFormat="1" applyFont="1" applyFill="1" applyBorder="1" applyAlignment="1">
      <alignment horizontal="right" vertical="center"/>
    </xf>
    <xf numFmtId="0" fontId="45" fillId="0" borderId="0" xfId="33" applyFont="1" applyAlignment="1">
      <alignment vertical="center"/>
    </xf>
    <xf numFmtId="0" fontId="7" fillId="0" borderId="0" xfId="5" applyFont="1" applyAlignment="1">
      <alignment horizontal="center" vertical="top"/>
    </xf>
    <xf numFmtId="0" fontId="45" fillId="0" borderId="0" xfId="0" applyFont="1"/>
    <xf numFmtId="167" fontId="11" fillId="0" borderId="11" xfId="5" applyNumberFormat="1" applyFont="1" applyBorder="1"/>
    <xf numFmtId="167" fontId="6" fillId="0" borderId="11" xfId="5" applyNumberFormat="1" applyFont="1" applyBorder="1"/>
    <xf numFmtId="0" fontId="19" fillId="0" borderId="0" xfId="12" applyFont="1"/>
    <xf numFmtId="178" fontId="19" fillId="9" borderId="0" xfId="0" applyNumberFormat="1" applyFont="1" applyFill="1" applyAlignment="1">
      <alignment horizontal="left" vertical="top"/>
    </xf>
    <xf numFmtId="0" fontId="1" fillId="9" borderId="0" xfId="7" applyNumberFormat="1" applyFont="1" applyFill="1" applyAlignment="1">
      <alignment horizontal="justify" vertical="top"/>
    </xf>
    <xf numFmtId="167" fontId="19" fillId="9" borderId="0" xfId="4" applyNumberFormat="1" applyFont="1" applyFill="1" applyBorder="1"/>
    <xf numFmtId="167" fontId="19" fillId="9" borderId="0" xfId="4" applyNumberFormat="1" applyFont="1" applyFill="1" applyBorder="1" applyAlignment="1">
      <alignment horizontal="center"/>
    </xf>
    <xf numFmtId="0" fontId="1" fillId="9" borderId="0" xfId="0" applyFont="1" applyFill="1" applyAlignment="1">
      <alignment vertical="top"/>
    </xf>
    <xf numFmtId="0" fontId="1" fillId="9" borderId="0" xfId="0" applyFont="1" applyFill="1"/>
    <xf numFmtId="0" fontId="1" fillId="9" borderId="0" xfId="0" applyFont="1" applyFill="1" applyAlignment="1">
      <alignment horizontal="justify" vertical="center" wrapText="1"/>
    </xf>
    <xf numFmtId="0" fontId="55" fillId="0" borderId="0" xfId="0" applyFont="1" applyAlignment="1">
      <alignment vertical="center"/>
    </xf>
    <xf numFmtId="0" fontId="56" fillId="0" borderId="0" xfId="0" applyFont="1" applyAlignment="1">
      <alignment horizontal="center" vertical="center"/>
    </xf>
    <xf numFmtId="179" fontId="55" fillId="0" borderId="0" xfId="0" applyNumberFormat="1" applyFont="1"/>
    <xf numFmtId="166" fontId="55" fillId="0" borderId="0" xfId="1" applyFont="1"/>
    <xf numFmtId="167" fontId="40" fillId="0" borderId="0" xfId="1" applyNumberFormat="1" applyFont="1"/>
    <xf numFmtId="0" fontId="0" fillId="0" borderId="1" xfId="0" applyBorder="1" applyAlignment="1">
      <alignment horizontal="center"/>
    </xf>
    <xf numFmtId="0" fontId="0" fillId="0" borderId="1" xfId="0" applyBorder="1" applyAlignment="1">
      <alignment horizontal="left" indent="1"/>
    </xf>
    <xf numFmtId="0" fontId="0" fillId="0" borderId="50" xfId="0" applyBorder="1" applyAlignment="1">
      <alignment horizontal="center"/>
    </xf>
    <xf numFmtId="0" fontId="0" fillId="0" borderId="50" xfId="0" applyBorder="1" applyAlignment="1">
      <alignment horizontal="left" indent="1"/>
    </xf>
    <xf numFmtId="0" fontId="0" fillId="0" borderId="50" xfId="0" applyBorder="1"/>
    <xf numFmtId="0" fontId="0" fillId="0" borderId="50" xfId="0" applyBorder="1" applyAlignment="1">
      <alignment horizontal="left"/>
    </xf>
    <xf numFmtId="167" fontId="0" fillId="0" borderId="50" xfId="1" applyNumberFormat="1" applyFont="1" applyBorder="1"/>
    <xf numFmtId="0" fontId="0" fillId="0" borderId="53" xfId="0" applyBorder="1" applyAlignment="1">
      <alignment horizontal="center"/>
    </xf>
    <xf numFmtId="0" fontId="43" fillId="0" borderId="12" xfId="0" applyFont="1" applyBorder="1" applyAlignment="1">
      <alignment horizontal="center" vertical="center"/>
    </xf>
    <xf numFmtId="0" fontId="43" fillId="0" borderId="8" xfId="0" applyFont="1" applyBorder="1" applyAlignment="1">
      <alignment horizontal="center" vertical="center"/>
    </xf>
    <xf numFmtId="167" fontId="43" fillId="0" borderId="12" xfId="1" applyNumberFormat="1" applyFont="1" applyBorder="1" applyAlignment="1">
      <alignment horizontal="center" vertical="center"/>
    </xf>
    <xf numFmtId="0" fontId="42" fillId="0" borderId="50" xfId="18" applyFont="1" applyBorder="1" applyAlignment="1" applyProtection="1">
      <alignment horizontal="center" vertical="top" wrapText="1" readingOrder="1"/>
      <protection locked="0"/>
    </xf>
    <xf numFmtId="167" fontId="0" fillId="0" borderId="0" xfId="1" applyNumberFormat="1" applyFont="1" applyBorder="1"/>
    <xf numFmtId="0" fontId="10" fillId="0" borderId="0" xfId="6" applyAlignment="1">
      <alignment horizontal="justify" vertical="top"/>
    </xf>
    <xf numFmtId="0" fontId="21" fillId="0" borderId="0" xfId="0" applyFont="1" applyAlignment="1">
      <alignment horizontal="left" vertical="top" wrapText="1"/>
    </xf>
    <xf numFmtId="167" fontId="6" fillId="0" borderId="11" xfId="4" applyNumberFormat="1" applyFont="1" applyFill="1" applyBorder="1" applyAlignment="1">
      <alignment vertical="top"/>
    </xf>
    <xf numFmtId="0" fontId="18" fillId="0" borderId="0" xfId="30" quotePrefix="1" applyNumberFormat="1" applyFont="1" applyFill="1" applyAlignment="1">
      <alignment horizontal="left" vertical="top"/>
    </xf>
    <xf numFmtId="167" fontId="18" fillId="0" borderId="0" xfId="30" quotePrefix="1" applyNumberFormat="1" applyFont="1" applyFill="1" applyAlignment="1">
      <alignment vertical="top"/>
    </xf>
    <xf numFmtId="167" fontId="18" fillId="0" borderId="0" xfId="30" quotePrefix="1" applyNumberFormat="1" applyFont="1" applyFill="1" applyAlignment="1">
      <alignment horizontal="center"/>
    </xf>
    <xf numFmtId="0" fontId="1" fillId="0" borderId="0" xfId="29" applyFont="1" applyAlignment="1">
      <alignment horizontal="justify" vertical="top" wrapText="1"/>
    </xf>
    <xf numFmtId="167" fontId="1" fillId="0" borderId="0" xfId="30" applyNumberFormat="1" applyFont="1" applyFill="1" applyBorder="1" applyAlignment="1">
      <alignment horizontal="justify" vertical="top" wrapText="1"/>
    </xf>
    <xf numFmtId="0" fontId="45" fillId="0" borderId="0" xfId="29" quotePrefix="1" applyFont="1" applyAlignment="1">
      <alignment horizontal="justify" vertical="top" wrapText="1"/>
    </xf>
    <xf numFmtId="167" fontId="1" fillId="0" borderId="0" xfId="30" applyNumberFormat="1" applyFont="1" applyFill="1" applyBorder="1" applyAlignment="1">
      <alignment vertical="top" wrapText="1"/>
    </xf>
    <xf numFmtId="0" fontId="18" fillId="0" borderId="0" xfId="14" applyFont="1" applyAlignment="1">
      <alignment vertical="top"/>
    </xf>
    <xf numFmtId="167" fontId="18" fillId="0" borderId="30" xfId="4" applyNumberFormat="1" applyFont="1" applyFill="1" applyBorder="1"/>
    <xf numFmtId="167" fontId="18" fillId="0" borderId="5" xfId="10" applyNumberFormat="1" applyFont="1" applyFill="1" applyBorder="1" applyAlignment="1"/>
    <xf numFmtId="166" fontId="0" fillId="0" borderId="0" xfId="1" applyFont="1"/>
    <xf numFmtId="0" fontId="41" fillId="0" borderId="35" xfId="18" applyFont="1" applyBorder="1" applyAlignment="1" applyProtection="1">
      <alignment horizontal="center" vertical="center" wrapText="1" readingOrder="1"/>
      <protection locked="0"/>
    </xf>
    <xf numFmtId="0" fontId="3" fillId="0" borderId="35" xfId="0" applyFont="1" applyBorder="1" applyAlignment="1">
      <alignment horizontal="center" vertical="center"/>
    </xf>
    <xf numFmtId="0" fontId="40" fillId="0" borderId="0" xfId="18" applyFont="1" applyAlignment="1">
      <alignment horizontal="center"/>
    </xf>
    <xf numFmtId="167" fontId="48" fillId="0" borderId="0" xfId="1" applyNumberFormat="1" applyFont="1" applyFill="1" applyAlignment="1">
      <alignment horizontal="center"/>
    </xf>
    <xf numFmtId="0" fontId="20" fillId="0" borderId="0" xfId="0" applyFont="1"/>
    <xf numFmtId="0" fontId="19" fillId="0" borderId="0" xfId="0" applyFont="1"/>
    <xf numFmtId="0" fontId="19" fillId="10" borderId="0" xfId="0" applyFont="1" applyFill="1"/>
    <xf numFmtId="0" fontId="21" fillId="10" borderId="0" xfId="0" applyFont="1" applyFill="1"/>
    <xf numFmtId="164" fontId="21" fillId="0" borderId="0" xfId="35" applyNumberFormat="1" applyFont="1"/>
    <xf numFmtId="10" fontId="21" fillId="2" borderId="0" xfId="0" applyNumberFormat="1" applyFont="1" applyFill="1"/>
    <xf numFmtId="167" fontId="19" fillId="2" borderId="0" xfId="0" applyNumberFormat="1" applyFont="1" applyFill="1"/>
    <xf numFmtId="167" fontId="18" fillId="0" borderId="0" xfId="0" applyNumberFormat="1" applyFont="1"/>
    <xf numFmtId="167" fontId="21" fillId="0" borderId="0" xfId="0" applyNumberFormat="1" applyFont="1"/>
    <xf numFmtId="10" fontId="21" fillId="0" borderId="0" xfId="0" applyNumberFormat="1" applyFont="1"/>
    <xf numFmtId="167" fontId="19" fillId="0" borderId="0" xfId="0" applyNumberFormat="1" applyFont="1"/>
    <xf numFmtId="164" fontId="21" fillId="0" borderId="4" xfId="35" applyNumberFormat="1" applyFont="1" applyBorder="1"/>
    <xf numFmtId="164" fontId="21" fillId="0" borderId="5" xfId="35" applyNumberFormat="1" applyFont="1" applyBorder="1"/>
    <xf numFmtId="3" fontId="0" fillId="0" borderId="0" xfId="0" applyNumberFormat="1"/>
    <xf numFmtId="164" fontId="21" fillId="0" borderId="1" xfId="35" applyNumberFormat="1" applyFont="1" applyBorder="1"/>
    <xf numFmtId="164" fontId="21" fillId="0" borderId="20" xfId="35" applyNumberFormat="1" applyFont="1" applyBorder="1"/>
    <xf numFmtId="164" fontId="0" fillId="0" borderId="0" xfId="0" applyNumberFormat="1"/>
    <xf numFmtId="164" fontId="20" fillId="0" borderId="6" xfId="35" applyNumberFormat="1" applyFont="1" applyBorder="1"/>
    <xf numFmtId="9" fontId="21" fillId="0" borderId="0" xfId="0" applyNumberFormat="1" applyFont="1"/>
    <xf numFmtId="166" fontId="0" fillId="0" borderId="0" xfId="0" applyNumberFormat="1"/>
    <xf numFmtId="164" fontId="20" fillId="0" borderId="0" xfId="35" applyNumberFormat="1" applyFont="1"/>
    <xf numFmtId="0" fontId="20" fillId="0" borderId="0" xfId="0" applyFont="1" applyAlignment="1">
      <alignment horizontal="right"/>
    </xf>
    <xf numFmtId="167" fontId="19" fillId="0" borderId="6" xfId="0" applyNumberFormat="1" applyFont="1" applyBorder="1"/>
    <xf numFmtId="167" fontId="19" fillId="0" borderId="0" xfId="1" applyNumberFormat="1" applyFont="1"/>
    <xf numFmtId="164" fontId="19" fillId="0" borderId="6" xfId="0" applyNumberFormat="1" applyFont="1" applyBorder="1"/>
    <xf numFmtId="0" fontId="54" fillId="0" borderId="33" xfId="0" applyFont="1" applyBorder="1" applyAlignment="1">
      <alignment horizontal="center" vertical="center" wrapText="1"/>
    </xf>
    <xf numFmtId="0" fontId="54" fillId="0" borderId="54" xfId="0" applyFont="1" applyBorder="1" applyAlignment="1">
      <alignment horizontal="center" vertical="center" wrapText="1"/>
    </xf>
    <xf numFmtId="0" fontId="54" fillId="0" borderId="34" xfId="0" applyFont="1" applyBorder="1" applyAlignment="1">
      <alignment horizontal="center" vertical="center" wrapText="1"/>
    </xf>
    <xf numFmtId="0" fontId="22" fillId="0" borderId="44" xfId="0" applyFont="1" applyBorder="1" applyAlignment="1">
      <alignment horizontal="left" vertical="center" wrapText="1"/>
    </xf>
    <xf numFmtId="167" fontId="22" fillId="0" borderId="51" xfId="1" applyNumberFormat="1" applyFont="1" applyBorder="1" applyAlignment="1">
      <alignment horizontal="center" vertical="center"/>
    </xf>
    <xf numFmtId="0" fontId="22" fillId="0" borderId="51" xfId="0" applyFont="1" applyBorder="1" applyAlignment="1">
      <alignment horizontal="center" vertical="center"/>
    </xf>
    <xf numFmtId="9" fontId="22" fillId="0" borderId="51" xfId="0" applyNumberFormat="1" applyFont="1" applyBorder="1" applyAlignment="1">
      <alignment horizontal="center" vertical="center"/>
    </xf>
    <xf numFmtId="167" fontId="22" fillId="0" borderId="45" xfId="0" applyNumberFormat="1" applyFont="1" applyBorder="1" applyAlignment="1">
      <alignment horizontal="center" vertical="center"/>
    </xf>
    <xf numFmtId="0" fontId="22" fillId="0" borderId="55" xfId="0" applyFont="1" applyBorder="1" applyAlignment="1">
      <alignment horizontal="left" vertical="center" wrapText="1"/>
    </xf>
    <xf numFmtId="167" fontId="22" fillId="0" borderId="1" xfId="1" applyNumberFormat="1" applyFont="1" applyBorder="1" applyAlignment="1">
      <alignment horizontal="center" vertical="center"/>
    </xf>
    <xf numFmtId="0" fontId="22" fillId="0" borderId="1" xfId="0" applyFont="1" applyBorder="1" applyAlignment="1">
      <alignment horizontal="center" vertical="center"/>
    </xf>
    <xf numFmtId="9" fontId="22" fillId="0" borderId="1" xfId="0" applyNumberFormat="1" applyFont="1" applyBorder="1" applyAlignment="1">
      <alignment horizontal="center" vertical="center"/>
    </xf>
    <xf numFmtId="167" fontId="22" fillId="0" borderId="47" xfId="0" applyNumberFormat="1" applyFont="1" applyBorder="1" applyAlignment="1">
      <alignment horizontal="center" vertical="center"/>
    </xf>
    <xf numFmtId="0" fontId="22" fillId="0" borderId="46" xfId="0" applyFont="1" applyBorder="1" applyAlignment="1">
      <alignment horizontal="left" vertical="center" wrapText="1"/>
    </xf>
    <xf numFmtId="167" fontId="22" fillId="0" borderId="50" xfId="1" applyNumberFormat="1" applyFont="1" applyBorder="1" applyAlignment="1">
      <alignment horizontal="center" vertical="center"/>
    </xf>
    <xf numFmtId="0" fontId="22" fillId="0" borderId="50" xfId="0" applyFont="1" applyBorder="1" applyAlignment="1">
      <alignment horizontal="center" vertical="center"/>
    </xf>
    <xf numFmtId="9" fontId="22" fillId="0" borderId="50" xfId="0" applyNumberFormat="1" applyFont="1" applyBorder="1" applyAlignment="1">
      <alignment horizontal="center" vertical="center"/>
    </xf>
    <xf numFmtId="0" fontId="22" fillId="0" borderId="48" xfId="0" applyFont="1" applyBorder="1" applyAlignment="1">
      <alignment horizontal="left" vertical="center" wrapText="1"/>
    </xf>
    <xf numFmtId="167" fontId="22" fillId="0" borderId="56" xfId="1" applyNumberFormat="1" applyFont="1" applyBorder="1" applyAlignment="1">
      <alignment horizontal="center" vertical="center"/>
    </xf>
    <xf numFmtId="0" fontId="22" fillId="0" borderId="56" xfId="0" applyFont="1" applyBorder="1" applyAlignment="1">
      <alignment horizontal="center" vertical="center"/>
    </xf>
    <xf numFmtId="9" fontId="22" fillId="0" borderId="56" xfId="0" applyNumberFormat="1" applyFont="1" applyBorder="1" applyAlignment="1">
      <alignment horizontal="center" vertical="center"/>
    </xf>
    <xf numFmtId="167" fontId="22" fillId="0" borderId="57" xfId="1" applyNumberFormat="1" applyFont="1" applyBorder="1" applyAlignment="1">
      <alignment horizontal="center" vertical="center"/>
    </xf>
    <xf numFmtId="167" fontId="22" fillId="0" borderId="49" xfId="0" applyNumberFormat="1" applyFont="1" applyBorder="1" applyAlignment="1">
      <alignment horizontal="center" vertical="center"/>
    </xf>
    <xf numFmtId="0" fontId="22" fillId="0" borderId="0" xfId="0" applyFont="1" applyAlignment="1">
      <alignment horizontal="center" vertical="center" wrapText="1"/>
    </xf>
    <xf numFmtId="167" fontId="54" fillId="0" borderId="27" xfId="0" applyNumberFormat="1" applyFont="1" applyBorder="1" applyAlignment="1">
      <alignment horizontal="center" vertical="center"/>
    </xf>
    <xf numFmtId="0" fontId="22" fillId="0" borderId="0" xfId="0" applyFont="1" applyAlignment="1">
      <alignment horizontal="center" vertical="center"/>
    </xf>
    <xf numFmtId="167" fontId="22" fillId="0" borderId="58" xfId="1" applyNumberFormat="1" applyFont="1" applyBorder="1" applyAlignment="1">
      <alignment horizontal="center" vertical="center"/>
    </xf>
    <xf numFmtId="9" fontId="18" fillId="0" borderId="0" xfId="15" applyFont="1" applyFill="1" applyBorder="1" applyAlignment="1">
      <alignment horizontal="left" vertical="top" wrapText="1"/>
    </xf>
    <xf numFmtId="167" fontId="7" fillId="0" borderId="0" xfId="1" applyNumberFormat="1" applyFont="1" applyFill="1" applyBorder="1" applyAlignment="1">
      <alignment horizontal="center"/>
    </xf>
    <xf numFmtId="167" fontId="7" fillId="0" borderId="0" xfId="1" applyNumberFormat="1" applyFont="1" applyBorder="1"/>
    <xf numFmtId="169" fontId="19" fillId="0" borderId="0" xfId="3" quotePrefix="1" applyNumberFormat="1" applyFont="1" applyAlignment="1">
      <alignment horizontal="left" vertical="top"/>
    </xf>
    <xf numFmtId="37" fontId="19" fillId="0" borderId="0" xfId="3" applyFont="1" applyAlignment="1">
      <alignment horizontal="left" vertical="top"/>
    </xf>
    <xf numFmtId="37" fontId="18" fillId="0" borderId="0" xfId="3" applyFont="1" applyAlignment="1">
      <alignment horizontal="center" vertical="top"/>
    </xf>
    <xf numFmtId="0" fontId="19" fillId="0" borderId="0" xfId="3" applyNumberFormat="1" applyFont="1" applyAlignment="1">
      <alignment vertical="top"/>
    </xf>
    <xf numFmtId="0" fontId="18" fillId="0" borderId="0" xfId="5" applyFont="1" applyAlignment="1">
      <alignment vertical="top"/>
    </xf>
    <xf numFmtId="0" fontId="19" fillId="0" borderId="0" xfId="5" applyFont="1" applyAlignment="1">
      <alignment horizontal="left" vertical="top"/>
    </xf>
    <xf numFmtId="37" fontId="19" fillId="0" borderId="0" xfId="3" quotePrefix="1" applyFont="1" applyAlignment="1">
      <alignment horizontal="left" vertical="top"/>
    </xf>
    <xf numFmtId="170" fontId="19" fillId="0" borderId="0" xfId="3" applyNumberFormat="1" applyFont="1" applyAlignment="1">
      <alignment horizontal="left" vertical="top"/>
    </xf>
    <xf numFmtId="37" fontId="18" fillId="0" borderId="0" xfId="3" quotePrefix="1" applyFont="1" applyAlignment="1">
      <alignment horizontal="center" vertical="top"/>
    </xf>
    <xf numFmtId="171" fontId="19" fillId="0" borderId="0" xfId="3" quotePrefix="1" applyNumberFormat="1" applyFont="1" applyAlignment="1">
      <alignment horizontal="left" vertical="top"/>
    </xf>
    <xf numFmtId="0" fontId="18" fillId="0" borderId="0" xfId="3" applyNumberFormat="1" applyFont="1" applyAlignment="1">
      <alignment vertical="top"/>
    </xf>
    <xf numFmtId="37" fontId="18" fillId="0" borderId="0" xfId="3" applyFont="1" applyAlignment="1">
      <alignment horizontal="left" vertical="top"/>
    </xf>
    <xf numFmtId="37" fontId="19" fillId="0" borderId="0" xfId="3" quotePrefix="1" applyFont="1" applyAlignment="1">
      <alignment horizontal="center" vertical="top"/>
    </xf>
    <xf numFmtId="0" fontId="18" fillId="0" borderId="0" xfId="18" applyFont="1" applyAlignment="1">
      <alignment vertical="top"/>
    </xf>
    <xf numFmtId="0" fontId="18" fillId="0" borderId="0" xfId="4" applyNumberFormat="1" applyFont="1" applyFill="1" applyBorder="1" applyAlignment="1">
      <alignment vertical="top"/>
    </xf>
    <xf numFmtId="0" fontId="19" fillId="0" borderId="0" xfId="3" applyNumberFormat="1" applyFont="1" applyAlignment="1">
      <alignment horizontal="left" vertical="top"/>
    </xf>
    <xf numFmtId="37" fontId="18" fillId="0" borderId="0" xfId="3" quotePrefix="1" applyFont="1" applyAlignment="1">
      <alignment horizontal="left" vertical="top"/>
    </xf>
    <xf numFmtId="171" fontId="19" fillId="9" borderId="0" xfId="3" quotePrefix="1" applyNumberFormat="1" applyFont="1" applyFill="1" applyAlignment="1">
      <alignment horizontal="left" vertical="top"/>
    </xf>
    <xf numFmtId="37" fontId="19" fillId="9" borderId="0" xfId="3" applyFont="1" applyFill="1" applyAlignment="1">
      <alignment vertical="top"/>
    </xf>
    <xf numFmtId="37" fontId="19" fillId="9" borderId="0" xfId="3" quotePrefix="1" applyFont="1" applyFill="1" applyAlignment="1">
      <alignment horizontal="left" vertical="top"/>
    </xf>
    <xf numFmtId="169" fontId="19" fillId="0" borderId="0" xfId="5" applyNumberFormat="1" applyFont="1" applyAlignment="1">
      <alignment horizontal="left" vertical="top"/>
    </xf>
    <xf numFmtId="0" fontId="18" fillId="0" borderId="0" xfId="5" applyFont="1" applyAlignment="1">
      <alignment horizontal="center" vertical="top"/>
    </xf>
    <xf numFmtId="169" fontId="19" fillId="9" borderId="0" xfId="5" applyNumberFormat="1" applyFont="1" applyFill="1" applyAlignment="1">
      <alignment horizontal="left" vertical="top"/>
    </xf>
    <xf numFmtId="0" fontId="19" fillId="9" borderId="0" xfId="5" applyFont="1" applyFill="1" applyAlignment="1">
      <alignment horizontal="left" vertical="top"/>
    </xf>
    <xf numFmtId="0" fontId="18" fillId="9" borderId="0" xfId="5" applyFont="1" applyFill="1" applyAlignment="1">
      <alignment horizontal="center" vertical="top"/>
    </xf>
    <xf numFmtId="0" fontId="30" fillId="0" borderId="0" xfId="0" applyFont="1" applyAlignment="1">
      <alignment vertical="top"/>
    </xf>
    <xf numFmtId="169" fontId="19" fillId="0" borderId="0" xfId="5" quotePrefix="1" applyNumberFormat="1" applyFont="1" applyAlignment="1">
      <alignment horizontal="left" vertical="top"/>
    </xf>
    <xf numFmtId="37" fontId="18" fillId="0" borderId="7" xfId="3" applyFont="1" applyBorder="1" applyAlignment="1">
      <alignment horizontal="center" vertical="top"/>
    </xf>
    <xf numFmtId="0" fontId="27" fillId="0" borderId="0" xfId="5" applyFont="1" applyAlignment="1">
      <alignment horizontal="left" vertical="top"/>
    </xf>
    <xf numFmtId="0" fontId="27" fillId="0" borderId="0" xfId="5" applyFont="1" applyAlignment="1">
      <alignment vertical="top"/>
    </xf>
    <xf numFmtId="0" fontId="19" fillId="0" borderId="0" xfId="5" applyFont="1" applyAlignment="1">
      <alignment vertical="top"/>
    </xf>
    <xf numFmtId="0" fontId="18" fillId="0" borderId="0" xfId="6" applyFont="1" applyAlignment="1">
      <alignment horizontal="center" vertical="center"/>
    </xf>
    <xf numFmtId="167" fontId="21" fillId="0" borderId="0" xfId="10" quotePrefix="1" applyNumberFormat="1" applyFont="1" applyFill="1" applyAlignment="1">
      <alignment horizontal="center" vertical="top"/>
    </xf>
    <xf numFmtId="167" fontId="20" fillId="0" borderId="25" xfId="10" applyNumberFormat="1" applyFont="1" applyFill="1" applyBorder="1" applyAlignment="1">
      <alignment vertical="top"/>
    </xf>
    <xf numFmtId="167" fontId="20" fillId="0" borderId="20" xfId="10" quotePrefix="1" applyNumberFormat="1" applyFont="1" applyFill="1" applyBorder="1" applyAlignment="1">
      <alignment horizontal="center" vertical="top"/>
    </xf>
    <xf numFmtId="167" fontId="21" fillId="0" borderId="20" xfId="10" quotePrefix="1" applyNumberFormat="1" applyFont="1" applyFill="1" applyBorder="1" applyAlignment="1">
      <alignment horizontal="center" vertical="top"/>
    </xf>
    <xf numFmtId="167" fontId="21" fillId="0" borderId="20" xfId="10" applyNumberFormat="1" applyFont="1" applyFill="1" applyBorder="1" applyAlignment="1">
      <alignment horizontal="center" vertical="top"/>
    </xf>
    <xf numFmtId="167" fontId="21" fillId="0" borderId="20" xfId="10" applyNumberFormat="1" applyFont="1" applyFill="1" applyBorder="1" applyAlignment="1">
      <alignment vertical="top"/>
    </xf>
    <xf numFmtId="167" fontId="21" fillId="0" borderId="9" xfId="10" applyNumberFormat="1" applyFont="1" applyFill="1" applyBorder="1" applyAlignment="1">
      <alignment vertical="top"/>
    </xf>
    <xf numFmtId="167" fontId="20" fillId="0" borderId="26" xfId="10" applyNumberFormat="1" applyFont="1" applyFill="1" applyBorder="1" applyAlignment="1">
      <alignment vertical="top"/>
    </xf>
    <xf numFmtId="167" fontId="20" fillId="0" borderId="11" xfId="10" quotePrefix="1" applyNumberFormat="1" applyFont="1" applyFill="1" applyBorder="1" applyAlignment="1">
      <alignment horizontal="center" vertical="top"/>
    </xf>
    <xf numFmtId="167" fontId="21" fillId="0" borderId="11" xfId="10" quotePrefix="1" applyNumberFormat="1" applyFont="1" applyFill="1" applyBorder="1" applyAlignment="1">
      <alignment horizontal="center" vertical="top"/>
    </xf>
    <xf numFmtId="167" fontId="21" fillId="0" borderId="11" xfId="10" applyNumberFormat="1" applyFont="1" applyFill="1" applyBorder="1" applyAlignment="1">
      <alignment horizontal="center" vertical="top"/>
    </xf>
    <xf numFmtId="167" fontId="21" fillId="0" borderId="11" xfId="10" applyNumberFormat="1" applyFont="1" applyFill="1" applyBorder="1" applyAlignment="1">
      <alignment vertical="top"/>
    </xf>
    <xf numFmtId="167" fontId="21" fillId="0" borderId="10" xfId="10" applyNumberFormat="1" applyFont="1" applyFill="1" applyBorder="1" applyAlignment="1">
      <alignment vertical="top"/>
    </xf>
    <xf numFmtId="167" fontId="7" fillId="0" borderId="4" xfId="4" applyNumberFormat="1" applyFont="1" applyFill="1" applyBorder="1" applyAlignment="1">
      <alignment vertical="top"/>
    </xf>
    <xf numFmtId="167" fontId="7" fillId="0" borderId="1" xfId="4" applyNumberFormat="1" applyFont="1" applyFill="1" applyBorder="1" applyAlignment="1">
      <alignment vertical="top"/>
    </xf>
    <xf numFmtId="167" fontId="18" fillId="0" borderId="0" xfId="4" applyNumberFormat="1" applyFont="1" applyFill="1" applyAlignment="1">
      <alignment vertical="top"/>
    </xf>
    <xf numFmtId="167" fontId="18" fillId="0" borderId="0" xfId="10" applyNumberFormat="1" applyFont="1" applyFill="1" applyBorder="1" applyAlignment="1">
      <alignment vertical="top"/>
    </xf>
    <xf numFmtId="167" fontId="18" fillId="0" borderId="0" xfId="10" applyNumberFormat="1" applyFont="1" applyFill="1" applyBorder="1" applyAlignment="1">
      <alignment horizontal="center" vertical="top"/>
    </xf>
    <xf numFmtId="0" fontId="24" fillId="0" borderId="0" xfId="3" applyNumberFormat="1" applyFont="1" applyAlignment="1">
      <alignment horizontal="center" vertical="top"/>
    </xf>
    <xf numFmtId="37" fontId="24" fillId="0" borderId="0" xfId="3" applyFont="1" applyAlignment="1">
      <alignment horizontal="center" vertical="top"/>
    </xf>
    <xf numFmtId="167" fontId="19" fillId="0" borderId="6" xfId="4" applyNumberFormat="1" applyFont="1" applyFill="1" applyBorder="1" applyAlignment="1">
      <alignment vertical="top"/>
    </xf>
    <xf numFmtId="167" fontId="19" fillId="0" borderId="0" xfId="4" applyNumberFormat="1" applyFont="1" applyFill="1" applyBorder="1" applyAlignment="1">
      <alignment vertical="top"/>
    </xf>
    <xf numFmtId="0" fontId="60" fillId="0" borderId="59" xfId="0" applyFont="1" applyBorder="1" applyAlignment="1" applyProtection="1">
      <alignment horizontal="center" vertical="top" wrapText="1" readingOrder="1"/>
      <protection locked="0"/>
    </xf>
    <xf numFmtId="180" fontId="0" fillId="0" borderId="0" xfId="0" applyNumberFormat="1"/>
    <xf numFmtId="0" fontId="60" fillId="0" borderId="32" xfId="0" applyFont="1" applyBorder="1" applyAlignment="1" applyProtection="1">
      <alignment horizontal="center" vertical="top" wrapText="1" readingOrder="1"/>
      <protection locked="0"/>
    </xf>
    <xf numFmtId="0" fontId="60" fillId="0" borderId="60" xfId="0" applyFont="1" applyBorder="1" applyAlignment="1" applyProtection="1">
      <alignment horizontal="center" vertical="top" wrapText="1" readingOrder="1"/>
      <protection locked="0"/>
    </xf>
    <xf numFmtId="0" fontId="58" fillId="0" borderId="50" xfId="0" applyFont="1" applyBorder="1" applyAlignment="1" applyProtection="1">
      <alignment horizontal="center" vertical="top" wrapText="1" readingOrder="1"/>
      <protection locked="0"/>
    </xf>
    <xf numFmtId="0" fontId="58" fillId="0" borderId="50" xfId="0" applyFont="1" applyBorder="1" applyAlignment="1" applyProtection="1">
      <alignment vertical="top" wrapText="1" readingOrder="1"/>
      <protection locked="0"/>
    </xf>
    <xf numFmtId="180" fontId="58" fillId="0" borderId="50" xfId="0" applyNumberFormat="1" applyFont="1" applyBorder="1" applyAlignment="1" applyProtection="1">
      <alignment horizontal="right" vertical="top" wrapText="1" readingOrder="1"/>
      <protection locked="0"/>
    </xf>
    <xf numFmtId="0" fontId="58" fillId="2" borderId="50" xfId="0" applyFont="1" applyFill="1" applyBorder="1" applyAlignment="1" applyProtection="1">
      <alignment horizontal="center" vertical="top" wrapText="1" readingOrder="1"/>
      <protection locked="0"/>
    </xf>
    <xf numFmtId="0" fontId="58" fillId="2" borderId="50" xfId="0" applyFont="1" applyFill="1" applyBorder="1" applyAlignment="1" applyProtection="1">
      <alignment vertical="top" wrapText="1" readingOrder="1"/>
      <protection locked="0"/>
    </xf>
    <xf numFmtId="0" fontId="61" fillId="0" borderId="50" xfId="18" applyFont="1" applyBorder="1" applyAlignment="1" applyProtection="1">
      <alignment horizontal="left" wrapText="1" indent="1" readingOrder="1"/>
      <protection locked="0"/>
    </xf>
    <xf numFmtId="0" fontId="3" fillId="0" borderId="12" xfId="0" applyFont="1" applyBorder="1" applyAlignment="1">
      <alignment horizontal="center" vertical="center"/>
    </xf>
    <xf numFmtId="39" fontId="0" fillId="0" borderId="0" xfId="0" applyNumberFormat="1"/>
    <xf numFmtId="181" fontId="0" fillId="0" borderId="0" xfId="0" applyNumberFormat="1"/>
    <xf numFmtId="37" fontId="7" fillId="0" borderId="4" xfId="3" applyFont="1" applyBorder="1" applyAlignment="1">
      <alignment vertical="center"/>
    </xf>
    <xf numFmtId="37" fontId="7" fillId="0" borderId="1" xfId="3" applyFont="1" applyBorder="1" applyAlignment="1">
      <alignment vertical="center"/>
    </xf>
    <xf numFmtId="37" fontId="7" fillId="0" borderId="5" xfId="3" applyFont="1" applyBorder="1" applyAlignment="1">
      <alignment vertical="center"/>
    </xf>
    <xf numFmtId="177" fontId="19" fillId="0" borderId="22" xfId="24" applyFont="1" applyBorder="1" applyAlignment="1">
      <alignment horizontal="center" vertical="center" wrapText="1"/>
    </xf>
    <xf numFmtId="177" fontId="19" fillId="0" borderId="24" xfId="24" applyFont="1" applyBorder="1" applyAlignment="1">
      <alignment horizontal="center" vertical="center" wrapText="1"/>
    </xf>
    <xf numFmtId="0" fontId="18" fillId="0" borderId="0" xfId="6" applyFont="1" applyAlignment="1">
      <alignment horizontal="left" vertical="top" wrapText="1"/>
    </xf>
    <xf numFmtId="167" fontId="19" fillId="0" borderId="6" xfId="6" applyNumberFormat="1" applyFont="1" applyBorder="1" applyAlignment="1">
      <alignment horizontal="right"/>
    </xf>
    <xf numFmtId="167" fontId="18" fillId="0" borderId="0" xfId="1" applyNumberFormat="1" applyFont="1" applyAlignment="1">
      <alignment horizontal="right"/>
    </xf>
    <xf numFmtId="39" fontId="0" fillId="0" borderId="50" xfId="0" applyNumberFormat="1" applyBorder="1"/>
    <xf numFmtId="37" fontId="9" fillId="0" borderId="4" xfId="3" quotePrefix="1" applyFont="1" applyBorder="1" applyAlignment="1">
      <alignment horizontal="center"/>
    </xf>
    <xf numFmtId="37" fontId="9" fillId="0" borderId="1" xfId="5" applyNumberFormat="1" applyFont="1" applyBorder="1" applyAlignment="1">
      <alignment horizontal="center"/>
    </xf>
    <xf numFmtId="0" fontId="7" fillId="0" borderId="6" xfId="5" applyFont="1" applyBorder="1"/>
    <xf numFmtId="37" fontId="18" fillId="0" borderId="6" xfId="3" applyFont="1" applyBorder="1"/>
    <xf numFmtId="37" fontId="19" fillId="0" borderId="6" xfId="3" applyFont="1" applyBorder="1"/>
    <xf numFmtId="37" fontId="18" fillId="0" borderId="4" xfId="3" applyFont="1" applyBorder="1"/>
    <xf numFmtId="37" fontId="18" fillId="0" borderId="5" xfId="3" applyFont="1" applyBorder="1"/>
    <xf numFmtId="37" fontId="18" fillId="0" borderId="1" xfId="3" applyFont="1" applyBorder="1"/>
    <xf numFmtId="37" fontId="19" fillId="0" borderId="4" xfId="3" applyFont="1" applyBorder="1"/>
    <xf numFmtId="37" fontId="19" fillId="0" borderId="1" xfId="3" applyFont="1" applyBorder="1"/>
    <xf numFmtId="177" fontId="19" fillId="0" borderId="21" xfId="24" applyFont="1" applyBorder="1" applyAlignment="1">
      <alignment vertical="center" wrapText="1"/>
    </xf>
    <xf numFmtId="177" fontId="19" fillId="0" borderId="8" xfId="24" applyFont="1" applyBorder="1" applyAlignment="1">
      <alignment vertical="center" wrapText="1"/>
    </xf>
    <xf numFmtId="177" fontId="19" fillId="0" borderId="23" xfId="24" applyFont="1" applyBorder="1" applyAlignment="1">
      <alignment vertical="center" wrapText="1"/>
    </xf>
    <xf numFmtId="177" fontId="19" fillId="0" borderId="7" xfId="24" applyFont="1" applyBorder="1" applyAlignment="1">
      <alignment vertical="center" wrapText="1"/>
    </xf>
    <xf numFmtId="9" fontId="18" fillId="0" borderId="0" xfId="15" applyFont="1" applyFill="1" applyBorder="1" applyAlignment="1">
      <alignment vertical="top" wrapText="1"/>
    </xf>
    <xf numFmtId="0" fontId="58" fillId="0" borderId="4" xfId="0" applyFont="1" applyBorder="1" applyAlignment="1" applyProtection="1">
      <alignment horizontal="center" vertical="top" wrapText="1" readingOrder="1"/>
      <protection locked="0"/>
    </xf>
    <xf numFmtId="0" fontId="58" fillId="0" borderId="4" xfId="0" applyFont="1" applyBorder="1" applyAlignment="1" applyProtection="1">
      <alignment vertical="top" wrapText="1" readingOrder="1"/>
      <protection locked="0"/>
    </xf>
    <xf numFmtId="0" fontId="42" fillId="0" borderId="4" xfId="18" applyFont="1" applyBorder="1" applyAlignment="1" applyProtection="1">
      <alignment horizontal="left" vertical="top" wrapText="1" indent="1" readingOrder="1"/>
      <protection locked="0"/>
    </xf>
    <xf numFmtId="180" fontId="58" fillId="0" borderId="4" xfId="0" applyNumberFormat="1" applyFont="1" applyBorder="1" applyAlignment="1" applyProtection="1">
      <alignment horizontal="right" vertical="top" wrapText="1" readingOrder="1"/>
      <protection locked="0"/>
    </xf>
    <xf numFmtId="0" fontId="0" fillId="0" borderId="4" xfId="0" applyBorder="1"/>
    <xf numFmtId="0" fontId="0" fillId="0" borderId="0" xfId="0" applyAlignment="1">
      <alignment horizontal="center" vertical="center"/>
    </xf>
    <xf numFmtId="0" fontId="0" fillId="0" borderId="0" xfId="0" applyAlignment="1">
      <alignment horizontal="left" indent="3"/>
    </xf>
    <xf numFmtId="0" fontId="33" fillId="0" borderId="0" xfId="0" applyFont="1" applyAlignment="1" applyProtection="1">
      <alignment horizontal="center" vertical="top" wrapText="1" readingOrder="1"/>
      <protection locked="0"/>
    </xf>
    <xf numFmtId="37" fontId="6" fillId="0" borderId="8" xfId="3" applyFont="1" applyBorder="1" applyAlignment="1">
      <alignment horizontal="center" vertical="top"/>
    </xf>
    <xf numFmtId="37" fontId="6" fillId="0" borderId="0" xfId="3" applyFont="1" applyAlignment="1">
      <alignment horizontal="center" vertical="top"/>
    </xf>
    <xf numFmtId="0" fontId="11" fillId="0" borderId="12" xfId="5" applyFont="1" applyBorder="1" applyAlignment="1">
      <alignment horizontal="center" vertical="center" wrapText="1"/>
    </xf>
    <xf numFmtId="0" fontId="10" fillId="0" borderId="13" xfId="6" applyBorder="1" applyAlignment="1">
      <alignment horizontal="center" vertical="center" wrapText="1"/>
    </xf>
    <xf numFmtId="0" fontId="10" fillId="0" borderId="14" xfId="6" applyBorder="1" applyAlignment="1">
      <alignment horizontal="center" vertical="center" wrapText="1"/>
    </xf>
    <xf numFmtId="0" fontId="11" fillId="0" borderId="2" xfId="5" quotePrefix="1" applyFont="1" applyBorder="1" applyAlignment="1">
      <alignment horizontal="center" vertical="center"/>
    </xf>
    <xf numFmtId="0" fontId="11" fillId="0" borderId="15" xfId="5" quotePrefix="1" applyFont="1" applyBorder="1" applyAlignment="1">
      <alignment horizontal="center" vertical="center"/>
    </xf>
    <xf numFmtId="0" fontId="11" fillId="0" borderId="3" xfId="5" quotePrefix="1" applyFont="1" applyBorder="1" applyAlignment="1">
      <alignment horizontal="center" vertical="center"/>
    </xf>
    <xf numFmtId="0" fontId="7" fillId="0" borderId="0" xfId="6" applyFont="1" applyAlignment="1">
      <alignment horizontal="justify" vertical="top"/>
    </xf>
    <xf numFmtId="0" fontId="19" fillId="0" borderId="0" xfId="0" applyFont="1" applyAlignment="1">
      <alignment horizontal="left" vertical="top"/>
    </xf>
    <xf numFmtId="0" fontId="18" fillId="0" borderId="0" xfId="6" applyFont="1" applyAlignment="1">
      <alignment horizontal="justify" vertical="top"/>
    </xf>
    <xf numFmtId="0" fontId="18" fillId="0" borderId="0" xfId="6" applyFont="1" applyAlignment="1">
      <alignment horizontal="justify" vertical="top" wrapText="1"/>
    </xf>
    <xf numFmtId="0" fontId="10" fillId="0" borderId="0" xfId="6" applyAlignment="1">
      <alignment horizontal="justify" vertical="top"/>
    </xf>
    <xf numFmtId="37" fontId="7" fillId="0" borderId="0" xfId="3" applyFont="1" applyAlignment="1">
      <alignment horizontal="justify" vertical="top"/>
    </xf>
    <xf numFmtId="37" fontId="7" fillId="0" borderId="0" xfId="3" applyFont="1" applyAlignment="1">
      <alignment horizontal="justify" vertical="top" wrapText="1"/>
    </xf>
    <xf numFmtId="0" fontId="7" fillId="0" borderId="0" xfId="6" applyFont="1" applyAlignment="1">
      <alignment horizontal="justify" vertical="top" wrapText="1"/>
    </xf>
    <xf numFmtId="0" fontId="46" fillId="0" borderId="0" xfId="0" applyFont="1" applyAlignment="1">
      <alignment horizontal="justify" vertical="top" wrapText="1"/>
    </xf>
    <xf numFmtId="0" fontId="1" fillId="0" borderId="0" xfId="0" applyFont="1" applyAlignment="1">
      <alignment horizontal="justify" vertical="top"/>
    </xf>
    <xf numFmtId="0" fontId="46" fillId="0" borderId="0" xfId="0" applyFont="1" applyAlignment="1">
      <alignment horizontal="justify" vertical="top"/>
    </xf>
    <xf numFmtId="0" fontId="1" fillId="0" borderId="0" xfId="0" applyFont="1" applyAlignment="1">
      <alignment horizontal="justify" vertical="top" wrapText="1"/>
    </xf>
    <xf numFmtId="0" fontId="54" fillId="0" borderId="50" xfId="33" applyFont="1" applyBorder="1" applyAlignment="1">
      <alignment horizontal="center" vertical="center" wrapText="1"/>
    </xf>
    <xf numFmtId="37" fontId="6" fillId="0" borderId="50" xfId="3" quotePrefix="1" applyFont="1" applyBorder="1" applyAlignment="1">
      <alignment horizontal="center" vertical="top"/>
    </xf>
    <xf numFmtId="37" fontId="6" fillId="0" borderId="50" xfId="3" applyFont="1" applyBorder="1" applyAlignment="1">
      <alignment horizontal="center" vertical="top"/>
    </xf>
    <xf numFmtId="0" fontId="18" fillId="0" borderId="0" xfId="0" applyFont="1" applyAlignment="1">
      <alignment horizontal="justify" vertical="top"/>
    </xf>
    <xf numFmtId="0" fontId="52" fillId="0" borderId="0" xfId="0" applyFont="1" applyAlignment="1">
      <alignment vertical="top"/>
    </xf>
    <xf numFmtId="0" fontId="24" fillId="0" borderId="0" xfId="0" applyFont="1" applyAlignment="1">
      <alignment vertical="top"/>
    </xf>
    <xf numFmtId="0" fontId="18" fillId="0" borderId="0" xfId="32" applyFont="1" applyAlignment="1">
      <alignment horizontal="justify" vertical="top"/>
    </xf>
    <xf numFmtId="0" fontId="21" fillId="0" borderId="0" xfId="0" applyFont="1" applyAlignment="1">
      <alignment horizontal="left" vertical="top" wrapText="1"/>
    </xf>
    <xf numFmtId="0" fontId="6" fillId="0" borderId="17" xfId="5" applyFont="1" applyBorder="1" applyAlignment="1">
      <alignment horizontal="center" vertical="center" wrapText="1"/>
    </xf>
    <xf numFmtId="0" fontId="6" fillId="0" borderId="18" xfId="5" applyFont="1" applyBorder="1" applyAlignment="1">
      <alignment horizontal="center" vertical="center" wrapText="1"/>
    </xf>
    <xf numFmtId="0" fontId="6" fillId="0" borderId="19" xfId="5" applyFont="1" applyBorder="1" applyAlignment="1">
      <alignment horizontal="center" vertical="center" wrapText="1"/>
    </xf>
    <xf numFmtId="0" fontId="6" fillId="0" borderId="12" xfId="5" applyFont="1" applyBorder="1" applyAlignment="1">
      <alignment horizontal="center" vertical="center" wrapText="1"/>
    </xf>
    <xf numFmtId="0" fontId="6" fillId="0" borderId="13" xfId="5" applyFont="1" applyBorder="1" applyAlignment="1">
      <alignment horizontal="center" vertical="center" wrapText="1"/>
    </xf>
    <xf numFmtId="0" fontId="6" fillId="0" borderId="14" xfId="5" applyFont="1" applyBorder="1" applyAlignment="1">
      <alignment horizontal="center" vertical="center" wrapText="1"/>
    </xf>
    <xf numFmtId="0" fontId="21" fillId="0" borderId="0" xfId="0" applyFont="1" applyAlignment="1">
      <alignment vertical="top" wrapText="1"/>
    </xf>
    <xf numFmtId="0" fontId="20" fillId="0" borderId="2" xfId="0" applyFont="1" applyBorder="1" applyAlignment="1">
      <alignment horizontal="center" vertical="top"/>
    </xf>
    <xf numFmtId="0" fontId="20" fillId="0" borderId="15" xfId="0" applyFont="1" applyBorder="1" applyAlignment="1">
      <alignment horizontal="center" vertical="top"/>
    </xf>
    <xf numFmtId="0" fontId="20" fillId="0" borderId="3" xfId="0" applyFont="1" applyBorder="1" applyAlignment="1">
      <alignment horizontal="center" vertical="top"/>
    </xf>
    <xf numFmtId="0" fontId="7" fillId="0" borderId="0" xfId="14" applyFont="1" applyAlignment="1">
      <alignment horizontal="justify" vertical="top" wrapText="1"/>
    </xf>
    <xf numFmtId="0" fontId="18" fillId="0" borderId="0" xfId="3" applyNumberFormat="1" applyFont="1" applyAlignment="1">
      <alignment horizontal="justify" vertical="top" wrapText="1"/>
    </xf>
    <xf numFmtId="37" fontId="18" fillId="0" borderId="0" xfId="3" applyFont="1" applyAlignment="1">
      <alignment horizontal="justify" vertical="top" wrapText="1"/>
    </xf>
    <xf numFmtId="37" fontId="18" fillId="0" borderId="0" xfId="3" applyFont="1" applyAlignment="1">
      <alignment horizontal="justify" vertical="justify" wrapText="1"/>
    </xf>
    <xf numFmtId="0" fontId="1" fillId="9" borderId="0" xfId="7" applyNumberFormat="1" applyFont="1" applyFill="1" applyBorder="1" applyAlignment="1">
      <alignment horizontal="justify" vertical="top"/>
    </xf>
    <xf numFmtId="0" fontId="1" fillId="9" borderId="0" xfId="7" applyNumberFormat="1" applyFont="1" applyFill="1" applyAlignment="1">
      <alignment horizontal="justify" vertical="top"/>
    </xf>
    <xf numFmtId="0" fontId="1" fillId="0" borderId="0" xfId="7" applyNumberFormat="1" applyFont="1" applyFill="1" applyAlignment="1">
      <alignment horizontal="justify" vertical="top"/>
    </xf>
    <xf numFmtId="37" fontId="18" fillId="0" borderId="0" xfId="3" applyFont="1" applyAlignment="1">
      <alignment horizontal="justify" vertical="top"/>
    </xf>
    <xf numFmtId="0" fontId="18" fillId="0" borderId="0" xfId="3" applyNumberFormat="1" applyFont="1" applyAlignment="1">
      <alignment horizontal="justify" vertical="top"/>
    </xf>
    <xf numFmtId="167" fontId="19" fillId="0" borderId="2" xfId="4" quotePrefix="1" applyNumberFormat="1" applyFont="1" applyFill="1" applyBorder="1" applyAlignment="1">
      <alignment horizontal="center"/>
    </xf>
    <xf numFmtId="167" fontId="19" fillId="0" borderId="15" xfId="4" quotePrefix="1" applyNumberFormat="1" applyFont="1" applyFill="1" applyBorder="1" applyAlignment="1">
      <alignment horizontal="center"/>
    </xf>
    <xf numFmtId="167" fontId="19" fillId="0" borderId="3" xfId="4" quotePrefix="1" applyNumberFormat="1" applyFont="1" applyFill="1" applyBorder="1" applyAlignment="1">
      <alignment horizontal="center"/>
    </xf>
    <xf numFmtId="167" fontId="19" fillId="0" borderId="2" xfId="4" applyNumberFormat="1" applyFont="1" applyFill="1" applyBorder="1" applyAlignment="1">
      <alignment horizontal="center"/>
    </xf>
    <xf numFmtId="167" fontId="19" fillId="0" borderId="15" xfId="4" applyNumberFormat="1" applyFont="1" applyFill="1" applyBorder="1" applyAlignment="1">
      <alignment horizontal="center"/>
    </xf>
    <xf numFmtId="167" fontId="19" fillId="0" borderId="3" xfId="4" applyNumberFormat="1" applyFont="1" applyFill="1" applyBorder="1" applyAlignment="1">
      <alignment horizontal="center"/>
    </xf>
    <xf numFmtId="0" fontId="7" fillId="9" borderId="0" xfId="19" applyFont="1" applyFill="1" applyAlignment="1">
      <alignment horizontal="justify" vertical="top" wrapText="1"/>
    </xf>
    <xf numFmtId="0" fontId="7" fillId="9" borderId="0" xfId="6" applyFont="1" applyFill="1" applyAlignment="1">
      <alignment horizontal="justify" vertical="top" wrapText="1"/>
    </xf>
    <xf numFmtId="0" fontId="7" fillId="9" borderId="0" xfId="21" applyFont="1" applyFill="1" applyAlignment="1">
      <alignment horizontal="justify" vertical="top" wrapText="1"/>
    </xf>
    <xf numFmtId="0" fontId="7" fillId="9" borderId="0" xfId="19" applyFont="1" applyFill="1" applyAlignment="1">
      <alignment horizontal="justify" vertical="top"/>
    </xf>
    <xf numFmtId="0" fontId="18" fillId="0" borderId="0" xfId="6" applyFont="1" applyAlignment="1">
      <alignment vertical="top"/>
    </xf>
    <xf numFmtId="0" fontId="19" fillId="0" borderId="0" xfId="6" applyFont="1" applyAlignment="1">
      <alignment vertical="center" wrapText="1"/>
    </xf>
    <xf numFmtId="0" fontId="18" fillId="0" borderId="0" xfId="6" applyFont="1" applyAlignment="1">
      <alignment vertical="top" wrapText="1"/>
    </xf>
    <xf numFmtId="177" fontId="19" fillId="0" borderId="21" xfId="24" applyFont="1" applyBorder="1" applyAlignment="1">
      <alignment horizontal="center" vertical="center" wrapText="1"/>
    </xf>
    <xf numFmtId="177" fontId="19" fillId="0" borderId="8" xfId="24" applyFont="1" applyBorder="1" applyAlignment="1">
      <alignment horizontal="center" vertical="center" wrapText="1"/>
    </xf>
    <xf numFmtId="177" fontId="19" fillId="0" borderId="22" xfId="24" applyFont="1" applyBorder="1" applyAlignment="1">
      <alignment horizontal="center" vertical="center" wrapText="1"/>
    </xf>
    <xf numFmtId="177" fontId="19" fillId="0" borderId="23" xfId="24" applyFont="1" applyBorder="1" applyAlignment="1">
      <alignment horizontal="center" vertical="center" wrapText="1"/>
    </xf>
    <xf numFmtId="177" fontId="19" fillId="0" borderId="7" xfId="24" applyFont="1" applyBorder="1" applyAlignment="1">
      <alignment horizontal="center" vertical="center" wrapText="1"/>
    </xf>
    <xf numFmtId="177" fontId="19" fillId="0" borderId="24" xfId="24" applyFont="1" applyBorder="1" applyAlignment="1">
      <alignment horizontal="center" vertical="center" wrapText="1"/>
    </xf>
    <xf numFmtId="0" fontId="19" fillId="0" borderId="21" xfId="24" applyNumberFormat="1" applyFont="1" applyBorder="1" applyAlignment="1">
      <alignment horizontal="center" vertical="center" wrapText="1"/>
    </xf>
    <xf numFmtId="0" fontId="19" fillId="0" borderId="22" xfId="24" applyNumberFormat="1" applyFont="1" applyBorder="1" applyAlignment="1">
      <alignment horizontal="center" vertical="center" wrapText="1"/>
    </xf>
    <xf numFmtId="0" fontId="19" fillId="0" borderId="23" xfId="24" applyNumberFormat="1" applyFont="1" applyBorder="1" applyAlignment="1">
      <alignment horizontal="center" vertical="center" wrapText="1"/>
    </xf>
    <xf numFmtId="0" fontId="19" fillId="0" borderId="24" xfId="24" applyNumberFormat="1" applyFont="1" applyBorder="1" applyAlignment="1">
      <alignment horizontal="center" vertical="center" wrapText="1"/>
    </xf>
    <xf numFmtId="0" fontId="19" fillId="0" borderId="11" xfId="6" applyFont="1" applyBorder="1" applyAlignment="1">
      <alignment horizontal="left" vertical="top" wrapText="1"/>
    </xf>
    <xf numFmtId="0" fontId="18" fillId="0" borderId="0" xfId="6" applyFont="1" applyAlignment="1">
      <alignment horizontal="left" vertical="top" wrapText="1"/>
    </xf>
    <xf numFmtId="0" fontId="30" fillId="0" borderId="0" xfId="5" applyFont="1" applyAlignment="1">
      <alignment horizontal="center"/>
    </xf>
    <xf numFmtId="0" fontId="19" fillId="0" borderId="12" xfId="10" quotePrefix="1" applyNumberFormat="1" applyFont="1" applyFill="1" applyBorder="1" applyAlignment="1">
      <alignment horizontal="center" vertical="center" wrapText="1"/>
    </xf>
    <xf numFmtId="0" fontId="19" fillId="0" borderId="13" xfId="8" quotePrefix="1" applyNumberFormat="1" applyFont="1" applyFill="1" applyBorder="1" applyAlignment="1">
      <alignment horizontal="center" vertical="center" wrapText="1"/>
    </xf>
    <xf numFmtId="0" fontId="19" fillId="0" borderId="14" xfId="8" quotePrefix="1" applyNumberFormat="1" applyFont="1" applyFill="1" applyBorder="1" applyAlignment="1">
      <alignment horizontal="center" vertical="center" wrapText="1"/>
    </xf>
    <xf numFmtId="167" fontId="19" fillId="0" borderId="12" xfId="8" applyNumberFormat="1" applyFont="1" applyFill="1" applyBorder="1" applyAlignment="1">
      <alignment horizontal="center" vertical="center"/>
    </xf>
    <xf numFmtId="167" fontId="19" fillId="0" borderId="13" xfId="8" applyNumberFormat="1" applyFont="1" applyFill="1" applyBorder="1" applyAlignment="1">
      <alignment horizontal="center" vertical="center"/>
    </xf>
    <xf numFmtId="167" fontId="19" fillId="0" borderId="14" xfId="8" applyNumberFormat="1" applyFont="1" applyFill="1" applyBorder="1" applyAlignment="1">
      <alignment horizontal="center" vertical="center"/>
    </xf>
    <xf numFmtId="0" fontId="48" fillId="0" borderId="0" xfId="18" applyFont="1" applyAlignment="1">
      <alignment horizontal="center" vertical="center"/>
    </xf>
    <xf numFmtId="0" fontId="41" fillId="0" borderId="2" xfId="18" applyFont="1" applyBorder="1" applyAlignment="1" applyProtection="1">
      <alignment horizontal="center" vertical="center" wrapText="1" readingOrder="1"/>
      <protection locked="0"/>
    </xf>
    <xf numFmtId="0" fontId="41" fillId="0" borderId="3" xfId="18" applyFont="1" applyBorder="1" applyAlignment="1" applyProtection="1">
      <alignment horizontal="center" vertical="center" wrapText="1" readingOrder="1"/>
      <protection locked="0"/>
    </xf>
    <xf numFmtId="0" fontId="57" fillId="0" borderId="0" xfId="0" applyFont="1" applyAlignment="1" applyProtection="1">
      <alignment horizontal="left" vertical="top" wrapText="1" readingOrder="1"/>
      <protection locked="0"/>
    </xf>
    <xf numFmtId="0" fontId="0" fillId="0" borderId="0" xfId="0"/>
    <xf numFmtId="0" fontId="59" fillId="0" borderId="0" xfId="0" applyFont="1" applyAlignment="1" applyProtection="1">
      <alignment vertical="top" wrapText="1" readingOrder="1"/>
      <protection locked="0"/>
    </xf>
    <xf numFmtId="0" fontId="20" fillId="0" borderId="0" xfId="0" applyFont="1" applyAlignment="1">
      <alignment horizontal="right"/>
    </xf>
    <xf numFmtId="0" fontId="54" fillId="0" borderId="2" xfId="0" applyFont="1" applyBorder="1" applyAlignment="1">
      <alignment horizontal="center" vertical="center" wrapText="1"/>
    </xf>
    <xf numFmtId="0" fontId="54" fillId="0" borderId="15" xfId="0" applyFont="1" applyBorder="1" applyAlignment="1">
      <alignment horizontal="center" vertical="center" wrapText="1"/>
    </xf>
    <xf numFmtId="0" fontId="54" fillId="0" borderId="3" xfId="0" applyFont="1" applyBorder="1" applyAlignment="1">
      <alignment horizontal="center" vertical="center" wrapText="1"/>
    </xf>
    <xf numFmtId="0" fontId="3" fillId="0" borderId="33" xfId="0" applyFont="1" applyBorder="1" applyAlignment="1">
      <alignment horizontal="center" vertical="center"/>
    </xf>
    <xf numFmtId="0" fontId="3" fillId="0" borderId="34" xfId="0" applyFont="1" applyBorder="1" applyAlignment="1">
      <alignment horizontal="center" vertical="center"/>
    </xf>
    <xf numFmtId="167" fontId="3" fillId="0" borderId="34" xfId="1" applyNumberFormat="1" applyFont="1" applyFill="1" applyBorder="1" applyAlignment="1">
      <alignment horizontal="center" vertical="center"/>
    </xf>
    <xf numFmtId="0" fontId="0" fillId="0" borderId="0" xfId="0" applyNumberFormat="1"/>
  </cellXfs>
  <cellStyles count="36">
    <cellStyle name="=C:\WINNT\SYSTEM32\COMMAND.COM 2 2 2" xfId="32" xr:uid="{00000000-0005-0000-0000-000000000000}"/>
    <cellStyle name="=C:\WINNT\SYSTEM32\COMMAND.COM 2_TB Clubbing 2010 2" xfId="29" xr:uid="{00000000-0005-0000-0000-000001000000}"/>
    <cellStyle name="=C:\WINNT35\SYSTEM32\COMMAND.COM 2" xfId="25" xr:uid="{00000000-0005-0000-0000-000002000000}"/>
    <cellStyle name="Comma" xfId="1" builtinId="3"/>
    <cellStyle name="Comma 10" xfId="13" xr:uid="{00000000-0005-0000-0000-000004000000}"/>
    <cellStyle name="Comma 10 2" xfId="30" xr:uid="{00000000-0005-0000-0000-000005000000}"/>
    <cellStyle name="Comma 10 3 2" xfId="35" xr:uid="{00000000-0005-0000-0000-000006000000}"/>
    <cellStyle name="Comma 12" xfId="10" xr:uid="{00000000-0005-0000-0000-000007000000}"/>
    <cellStyle name="Comma 2" xfId="4" xr:uid="{00000000-0005-0000-0000-000008000000}"/>
    <cellStyle name="Comma 2 2" xfId="9" xr:uid="{00000000-0005-0000-0000-000009000000}"/>
    <cellStyle name="Comma 24 5" xfId="26" xr:uid="{00000000-0005-0000-0000-00000A000000}"/>
    <cellStyle name="Comma 3" xfId="7" xr:uid="{00000000-0005-0000-0000-00000B000000}"/>
    <cellStyle name="Comma 3 2" xfId="8" xr:uid="{00000000-0005-0000-0000-00000C000000}"/>
    <cellStyle name="Comma 7" xfId="28" xr:uid="{00000000-0005-0000-0000-00000D000000}"/>
    <cellStyle name="Normal" xfId="0" builtinId="0"/>
    <cellStyle name="Normal - Style1" xfId="18" xr:uid="{00000000-0005-0000-0000-00000F000000}"/>
    <cellStyle name="Normal - Style1 2" xfId="20" xr:uid="{00000000-0005-0000-0000-000010000000}"/>
    <cellStyle name="Normal 10" xfId="2" xr:uid="{00000000-0005-0000-0000-000011000000}"/>
    <cellStyle name="Normal 111" xfId="34" xr:uid="{00000000-0005-0000-0000-000012000000}"/>
    <cellStyle name="Normal 2" xfId="5" xr:uid="{00000000-0005-0000-0000-000013000000}"/>
    <cellStyle name="Normal 2 2" xfId="12" xr:uid="{00000000-0005-0000-0000-000014000000}"/>
    <cellStyle name="Normal 2 3" xfId="17" xr:uid="{00000000-0005-0000-0000-000015000000}"/>
    <cellStyle name="Normal 25" xfId="31" xr:uid="{00000000-0005-0000-0000-000016000000}"/>
    <cellStyle name="Normal 3" xfId="6" xr:uid="{00000000-0005-0000-0000-000017000000}"/>
    <cellStyle name="Normal 3 2" xfId="11" xr:uid="{00000000-0005-0000-0000-000018000000}"/>
    <cellStyle name="Normal 3 4" xfId="22" xr:uid="{00000000-0005-0000-0000-000019000000}"/>
    <cellStyle name="Normal 5 8" xfId="33" xr:uid="{00000000-0005-0000-0000-00001A000000}"/>
    <cellStyle name="Normal 6" xfId="16" xr:uid="{00000000-0005-0000-0000-00001B000000}"/>
    <cellStyle name="Normal 7 2" xfId="21" xr:uid="{00000000-0005-0000-0000-00001C000000}"/>
    <cellStyle name="Normal 9" xfId="19" xr:uid="{00000000-0005-0000-0000-00001D000000}"/>
    <cellStyle name="Normal_Accounts 2002 &amp; 2003" xfId="14" xr:uid="{00000000-0005-0000-0000-00001E000000}"/>
    <cellStyle name="Normal_Financial Statements Oct 05 2 2" xfId="27" xr:uid="{00000000-0005-0000-0000-00001F000000}"/>
    <cellStyle name="Normal_HUSAINI ACCOUNTS 98" xfId="3" xr:uid="{00000000-0005-0000-0000-000020000000}"/>
    <cellStyle name="Normal_Notes June 2005_23_9_05" xfId="24" xr:uid="{00000000-0005-0000-0000-000021000000}"/>
    <cellStyle name="Percent" xfId="23" builtinId="5"/>
    <cellStyle name="Percent 2" xfId="15" xr:uid="{00000000-0005-0000-0000-000023000000}"/>
  </cellStyles>
  <dxfs count="371">
    <dxf>
      <numFmt numFmtId="167" formatCode="_(* #,##0_);_(* \(#,##0\);_(* &quot;-&quot;??_);_(@_)"/>
    </dxf>
    <dxf>
      <numFmt numFmtId="7" formatCode="#,##0.0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indexed="8"/>
        <name val="Arial"/>
        <charset val="1"/>
        <scheme val="none"/>
      </font>
      <numFmt numFmtId="180" formatCode="[$-10409]#,##0.00;\(#,##0.00\);&quot;&quot;"/>
      <alignment horizontal="right"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Arial"/>
        <charset val="1"/>
        <scheme val="none"/>
      </font>
      <numFmt numFmtId="180" formatCode="[$-10409]#,##0.00;\(#,##0.00\);&quot;&quot;"/>
      <alignment horizontal="right"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Arial"/>
        <charset val="1"/>
        <scheme val="none"/>
      </font>
      <numFmt numFmtId="180" formatCode="[$-10409]#,##0.00;\(#,##0.00\);&quot;&quot;"/>
      <alignment horizontal="right"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Arial"/>
        <charset val="1"/>
        <scheme val="none"/>
      </font>
      <numFmt numFmtId="180" formatCode="[$-10409]#,##0.00;\(#,##0.00\);&quot;&quot;"/>
      <alignment horizontal="right"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Arial"/>
        <charset val="1"/>
        <scheme val="none"/>
      </font>
      <numFmt numFmtId="180" formatCode="[$-10409]#,##0.00;\(#,##0.00\);&quot;&quot;"/>
      <alignment horizontal="right"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Arial"/>
        <charset val="1"/>
        <scheme val="none"/>
      </font>
      <alignment horizontal="general"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Arial"/>
        <charset val="1"/>
        <scheme val="none"/>
      </font>
      <alignment horizontal="general"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Arial"/>
        <charset val="1"/>
        <scheme val="none"/>
      </font>
      <alignment horizontal="general"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Arial"/>
        <charset val="1"/>
        <scheme val="none"/>
      </font>
      <alignment horizontal="general"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indexed="8"/>
        <name val="Calibri"/>
        <family val="2"/>
        <scheme val="minor"/>
      </font>
      <alignment horizontal="left" vertical="top" textRotation="0" wrapText="1" indent="1"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indexed="8"/>
        <name val="Calibri"/>
        <family val="2"/>
        <scheme val="minor"/>
      </font>
      <alignment horizontal="left" vertical="top" textRotation="0" wrapText="1" indent="1"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Arial"/>
        <charset val="1"/>
        <scheme val="none"/>
      </font>
      <alignment horizontal="general"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Arial"/>
        <charset val="1"/>
        <scheme val="none"/>
      </font>
      <fill>
        <patternFill patternType="solid">
          <fgColor indexed="64"/>
          <bgColor rgb="FFFFFF00"/>
        </patternFill>
      </fill>
      <alignment horizontal="general"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Arial"/>
        <family val="2"/>
        <scheme val="none"/>
      </font>
      <alignment horizontal="center"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Arial"/>
        <charset val="1"/>
        <scheme val="none"/>
      </font>
      <alignment horizontal="center"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protection locked="0" hidden="0"/>
    </dxf>
    <dxf>
      <border outline="0">
        <bottom style="thin">
          <color indexed="64"/>
        </bottom>
      </border>
    </dxf>
    <dxf>
      <font>
        <b val="0"/>
        <i val="0"/>
        <strike val="0"/>
        <condense val="0"/>
        <extend val="0"/>
        <outline val="0"/>
        <shadow val="0"/>
        <u val="none"/>
        <vertAlign val="baseline"/>
        <sz val="8"/>
        <color indexed="8"/>
        <name val="Arial"/>
        <charset val="1"/>
        <scheme val="none"/>
      </font>
      <alignment horizontal="right" vertical="top" textRotation="0" wrapText="1" indent="0" justifyLastLine="0" shrinkToFit="0" readingOrder="1"/>
      <protection locked="0" hidden="0"/>
    </dxf>
    <dxf>
      <font>
        <b/>
        <i val="0"/>
        <strike val="0"/>
        <condense val="0"/>
        <extend val="0"/>
        <outline val="0"/>
        <shadow val="0"/>
        <u val="none"/>
        <vertAlign val="baseline"/>
        <sz val="9"/>
        <color indexed="8"/>
        <name val="Arial"/>
        <charset val="1"/>
        <scheme val="none"/>
      </font>
      <alignment horizontal="center" vertical="top" textRotation="0" wrapText="1" indent="0" justifyLastLine="0" shrinkToFit="0" readingOrder="1"/>
      <border diagonalUp="0" diagonalDown="0" outline="0">
        <left style="thin">
          <color indexed="8"/>
        </left>
        <right style="thin">
          <color indexed="8"/>
        </right>
        <top/>
        <bottom/>
      </border>
      <protection locked="0" hidden="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fill>
        <patternFill patternType="solid">
          <bgColor theme="2" tint="-0.249977111117893"/>
        </patternFill>
      </fill>
    </dxf>
    <dxf>
      <fill>
        <patternFill patternType="solid">
          <bgColor theme="2"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3" tint="0.39997558519241921"/>
        </patternFill>
      </fill>
    </dxf>
    <dxf>
      <fill>
        <patternFill patternType="solid">
          <bgColor theme="3" tint="0.39997558519241921"/>
        </patternFill>
      </fill>
    </dxf>
    <dxf>
      <fill>
        <patternFill patternType="solid">
          <bgColor rgb="FFFFC000"/>
        </patternFill>
      </fill>
    </dxf>
    <dxf>
      <fill>
        <patternFill patternType="solid">
          <bgColor rgb="FFFFC000"/>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alignment horizontal="center"/>
    </dxf>
    <dxf>
      <alignment vertical="center"/>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36.61119664352" createdVersion="8" refreshedVersion="8" minRefreshableVersion="3" recordCount="514" xr:uid="{00000000-000A-0000-FFFF-FFFF00000000}">
  <cacheSource type="worksheet">
    <worksheetSource ref="D349:G349" sheet="Trial Balance June 2025"/>
  </cacheSource>
  <cacheFields count="19">
    <cacheField name="Account Code" numFmtId="0">
      <sharedItems containsBlank="1"/>
    </cacheField>
    <cacheField name="Account Description" numFmtId="0">
      <sharedItems/>
    </cacheField>
    <cacheField name="Title" numFmtId="0">
      <sharedItems/>
    </cacheField>
    <cacheField name="FSL1" numFmtId="0">
      <sharedItems count="3">
        <s v="Balance Sheet"/>
        <s v="Profit and Loss"/>
        <s v="-"/>
      </sharedItems>
    </cacheField>
    <cacheField name="FSL2" numFmtId="0">
      <sharedItems count="12">
        <s v="Current Assets"/>
        <s v="Current Liabilities"/>
        <s v="Non Current Assets"/>
        <s v="Non Current Liabilities"/>
        <s v="Fund Balance"/>
        <s v="Other Income "/>
        <s v="Income From Donations"/>
        <s v="Administrative And General Expenses"/>
        <s v="Operating Costs"/>
        <s v="Financial Charges"/>
        <s v="Taxation"/>
        <s v="Inter Project Balances"/>
      </sharedItems>
    </cacheField>
    <cacheField name="FSL3" numFmtId="0">
      <sharedItems count="113">
        <s v="Cash And Bank Balances"/>
        <s v="Loans, Advances, Deposits, Prepayments And Receivables"/>
        <s v="Short Term Liabilities"/>
        <s v="Tangible"/>
        <s v="Intangible"/>
        <s v="Accrued, Payables And Other Liabilities"/>
        <s v="Liabilities Against Assets Subject To Finance Lease"/>
        <s v="Fund Balance"/>
        <s v="Hostel And Hall Income"/>
        <s v="Income From Donations"/>
        <s v="Others"/>
        <s v="Salary, Wages And Benefits"/>
        <s v="Staff Overtime"/>
        <s v="Electricity, Gas And Water"/>
        <s v="Telephone"/>
        <s v="Travelling, Vehicle And Generator Fuel"/>
        <s v="Vehicle Maintenance"/>
        <s v="General Maintenance"/>
        <s v="Equipment Repair Maintenance"/>
        <s v="Postage And Internet"/>
        <s v="Stationery, Photocopies And Materials"/>
        <s v="Miscellaneous"/>
        <s v="Piler Program Activities : Peace / Labor Related Seminars &amp; Conferences Activities"/>
        <s v="Advertising And Publication Expenses"/>
        <s v="Legal And Professional Charges"/>
        <s v="Auditors' Remuneration"/>
        <s v="Vehicle Insurance"/>
        <s v="Salary, Wages And Benefits: Staff Welfare"/>
        <s v="Bank Charges"/>
        <s v="Depreciation Expenses"/>
        <s v="Amortisation"/>
        <s v="Income Tax Expenses"/>
        <s v="Peace Seminar Activities"/>
        <s v="Administrative And General Expenses"/>
        <s v="Local Donation"/>
        <s v="Memorial Programmes"/>
        <s v="National Labour Council."/>
        <s v="Ngo Overhead"/>
        <s v="Glj-Ilrf:Meetings"/>
        <s v="GLJ-ILRF:Global event interpreter"/>
        <s v="Glj-Ilrf: Translation Of Interview Guide In Urdu"/>
        <s v="Glj-Ilrf: Consumption Survey"/>
        <s v="GLJ-ILRF: JEL trainings &amp; Natl seminars etc"/>
        <s v="GLJ-ILRF: GBVH campaign"/>
        <s v="GLJ-ILRF:Women Leadership committee meeting"/>
        <s v="GLJ-ILRF:OBS-National AFWA Convening(Sep-2023)"/>
        <s v="GLJ-ILRF:GDW-Lawyer-Legal Breif"/>
        <s v="GLJ-ILRF : Field Cordinator"/>
        <s v="GLJ-ILRF : Wage struggle working group - 2"/>
        <s v="GLJ-ILRF : Revised SCA translation"/>
        <s v="GLJ-ILRF : AFWA National Convenings - 1"/>
        <s v="GLJ-ILRF : FTH Campaign"/>
        <s v="GLJ-ILRF : OBS-A.49-Field Coordinator "/>
        <s v="GLJ-ILRF : OBS-A.50-Field Coordinator "/>
        <s v="GLJ-ILRF : OBS-B.5.16-all program"/>
        <s v="Salary, Wages And Benefits:"/>
        <s v="GRC-6.3# Office Rent"/>
        <s v="GRC-8.1.1# Baseline Assessment (development, implementation, analysis and reporting, recruitment and"/>
        <s v="GRC-8.1.2 # Advocacy material develoment and distribution"/>
        <s v="GRC-8.1.3 # Training workshops   "/>
        <s v="GRC-8.2.1 # Venue, including food and drinks"/>
        <s v="GRC-8.2.4 # National travel for participants"/>
        <s v="GRC-8.2.3 # Accommodation for participants"/>
        <s v="GRC-8.2.4 # Facilitators fee"/>
        <s v="GRC-8.2.5 # Stationary &amp; material"/>
        <s v="GRC-Total Direct Costs"/>
        <s v="Software expense"/>
        <s v="GRC-B.1.1#EOBI Contribution"/>
        <s v="GRC-C.1.1#International Travel"/>
        <s v="GRC-C.1.5#Visa Fee"/>
        <s v="GRC-F.2#Office Rent"/>
        <s v="GRC-H.1.2#Advocacy material development and distribution"/>
        <s v="GRC-Data collector"/>
        <s v="GRC-Data Analyst-Quantitative"/>
        <s v="GRC-Expenses Allowance for Data Analyst and Collectors"/>
        <s v="GRC- Project Management Cost"/>
        <s v="SAPPK-1#Formation of Women Empowerment Forum in each District"/>
        <s v="ABA-2.1-(a)#Campaign Help Prevent Child-Ground transport for Staff"/>
        <s v="ABA-2.4-(a)#Supplies-2 Laptop"/>
        <s v="ABA-2.1-(e)#Campaign Help Prevent Child-Refreshment"/>
        <s v="ABA#Transport Expenses"/>
        <s v="ABA#Printing &amp; Stationery Expenses"/>
        <s v="ABA#Food/Refreshment Expenses"/>
        <s v="ABA#1.1-Identify Law and Policy Proposals through Legal Mapping of Traffficking,Child Protection &amp; L"/>
        <s v="ABA#  Child safeguarding Policy by reviewing relevant laws &amp; UN guiding principles"/>
        <s v="LBL#1-Surveyor Cost"/>
        <s v="Inter Project Balances"/>
        <s v="Vehcile Rental Income" u="1"/>
        <s v="Membership and subscription" u="1"/>
        <s v="Interest expense" u="1"/>
        <s v="Covid-19 Relief To Workers" u="1"/>
        <s v="Ccc-Covid Relief" u="1"/>
        <s v="Project:Networks Matter Epenses" u="1"/>
        <s v="Project: Ilo Covid" u="1"/>
        <s v="Impact Of Covid" u="1"/>
        <s v="Project: Ccc-Glj-Ilrf" u="1"/>
        <s v="Dai-Kcd115" u="1"/>
        <s v="Fes-Training Programme For Workers In Sindh May-Nov 2021" u="1"/>
        <s v="Fes-Formation Of Pakistan Workers Confederation May-Aug 2021" u="1"/>
        <s v="Gain/(Loss) On Disposal" u="1"/>
        <s v="Eti-Covid 19 Response Learning Sharing Event" u="1"/>
        <s v="Baldia Factory Fire-2Nd Annive" u="1"/>
        <s v="Impact Of Covid-19:1.6.1 Press Conferences" u="1"/>
        <s v="Glj-Ilrf: Case Studies" u="1"/>
        <s v="Dai-Kcd115-Peace Advocacy Awareness Sessions-Refreshment" u="1"/>
        <s v="Dai-Kcd115-Peace Advocacy Awareness Sessions-Venue" u="1"/>
        <s v="Dai-Kcd115-Networking Work Shop - Venue " u="1"/>
        <s v="Dai-Kcd115-Networking Work Shop - Refreshment " u="1"/>
        <s v="Dai-Kcd115-Peace Dialogues - Venue" u="1"/>
        <s v="Dai-Kcd115-Peace Dialogues -Refreshment " u="1"/>
        <s v="Dai-Kcd115-Training Material " u="1"/>
        <s v="Dai-Kcd115-Publication Material For Project" u="1"/>
        <s v="Dai-Kcd115-Travel And Transportation  For Workshops " u="1"/>
      </sharedItems>
    </cacheField>
    <cacheField name="FSL 4" numFmtId="0">
      <sharedItems count="140">
        <s v="Cash With Banks In Current/Pls Accounts"/>
        <s v="Other Receivables"/>
        <s v="Pakistan Labour Trust"/>
        <s v="Security Depopsit"/>
        <s v="Others Receivable"/>
        <s v="Advance Against Activities"/>
        <s v="Advance Against Salaries"/>
        <s v="Staff Loan"/>
        <s v="Prepaid Insurance"/>
        <s v="Leasehold Land"/>
        <s v="Building On Leasehold Land"/>
        <s v="Acc Dep - Building On Leasehold Land"/>
        <s v="Generator"/>
        <s v="Acc Dep - Generator"/>
        <s v="Electrical Installations"/>
        <s v="Acc Dep - Electrical Installations"/>
        <s v="Other Equipments"/>
        <s v="Acc Dep - Other Equipments"/>
        <s v="Furniture And Fixture"/>
        <s v="Acc Dep - Furniture And Fixture"/>
        <s v="Computer Equipments"/>
        <s v="Acc Dep - Computer Equipments"/>
        <s v="Cost"/>
        <s v="Accumulated Amortisation"/>
        <s v="Vehicles"/>
        <s v="Acc Dep - Vehicles"/>
        <s v="Books"/>
        <s v="Acc Dep - Books"/>
        <s v="Accrued Expenses"/>
        <s v="Other Liabilities"/>
        <s v="Provision for taxation"/>
        <s v="Lease Payable"/>
        <s v="Fund Balance"/>
        <s v="Hostel And Hall Income"/>
        <s v="Income From Donations"/>
        <s v="Other Income"/>
        <s v="Salary, Wages And Benefits"/>
        <s v="Staff Overtime"/>
        <s v="Electricity, Gas And Water"/>
        <s v="Telephone"/>
        <s v="Travelling, Vehicle And Generator Fuel"/>
        <s v="Vehicle Maintenance"/>
        <s v="General Maintenance"/>
        <s v="Equipment Repair Maintenance"/>
        <s v="Postage And Internet"/>
        <s v="Stationery, Photocopies And Materials"/>
        <s v="Miscellaneous"/>
        <s v="Piler Program Activities : Peace / Labor Related Seminars &amp; Conferences Activities"/>
        <s v="Advertising &amp; Publication Exp"/>
        <s v="Legal And Professional Charges"/>
        <s v="Auditor Remunerations"/>
        <s v="Vehicle Insurance"/>
        <s v="Salary, Wages And Benefits: Staff Welfare"/>
        <s v="Bank Charges"/>
        <s v="Depreciaton Exp"/>
        <s v="Amortisation Expenses"/>
        <s v="Income Tax Expenses"/>
        <s v="Garden &amp; Ground Upkeep"/>
        <s v="Peace Seminar Activities"/>
        <s v="Food &amp; Refreshment Expenses"/>
        <s v="Local Donation"/>
        <s v="Memorial Programmes"/>
        <s v="National Labour Council."/>
        <s v="Overhead"/>
        <s v="Salary, Wages And Benefits: Research, Education And Training"/>
        <s v="Glj-Ilrf:"/>
        <s v="Glj-Ilrf:Meetings"/>
        <s v="GLJ-ILRF:Global event interpreter"/>
        <s v="Glj-Ilrf: Translation Of Interview Guide In Urdu"/>
        <s v="Glj-Ilrf: Consumption Survey"/>
        <s v="GLJ-ILRF: JEL trainings &amp; Natl seminars etc"/>
        <s v="GLJ-ILRF: GBVH campaign"/>
        <s v="GLJ-ILRF:Women Leadership committee meeting"/>
        <s v="GLJ-ILRF:OBS-National AFWA Convening(Sep-2023)"/>
        <s v="GLJ-ILRF:GDW-Lawyer-Legal Breif"/>
        <s v="GLJ-ILRF : Field Cordinator"/>
        <s v="GLJ-ILRF : Wage struggle working group - 2"/>
        <s v="GLJ-ILRF : Revised SCA translation"/>
        <s v="GLJ-ILRF : AFWA National Convenings - 1"/>
        <s v="GLJ-ILRF : FTH Campaign"/>
        <s v="GLJ-ILRF : OBS-A.49-Field Coordinator "/>
        <s v="GLJ-ILRF : OBS-A.50-Field Coordinator "/>
        <s v="GLJ-ILRF : OBS-B.5.16-all program"/>
        <s v="GRC-6.3# Office Rent"/>
        <s v="GRC-8.1.1# Baseline Assessment (development, implementation, analysis and reporting, recruitment and"/>
        <s v="GRC-8.1.2 # Advocacy material develoment and distribution"/>
        <s v="GRC-8.1.3 # Training workshops   "/>
        <s v="GRC-8.2.1 # Venue, including food and drinks"/>
        <s v="GRC-8.2.4 # National travel for participants"/>
        <s v="GRC-8.2.3 # Accommodation for participants"/>
        <s v="GRC-8.2.4 # Facilitators fee"/>
        <s v="GRC-8.2.5 # Stationary &amp; material"/>
        <s v="GRC-Total Direct Costs"/>
        <s v="Software expense"/>
        <s v="GRC-B.1.1#EOBI Contribution"/>
        <s v="GRC-C.1.1#International Travel"/>
        <s v="GRC-C.1.5#Visa Fee"/>
        <s v="GRC-F.2#Office Rent"/>
        <s v="GRC-H.1.2#Advocacy material development and distribution"/>
        <s v="GRC-Data collector"/>
        <s v="GRC-Data Analyst-Quantitative"/>
        <s v="GRC-Expenses Allowance for Data Analyst and Collectors"/>
        <s v="GRC- Project Management Cost"/>
        <s v="SAPPK-1#Formation of Women Empowerment Forum in each District"/>
        <s v="ABA-2.1-(a)#Campaign Help Prevent Child-Ground transport for Staff"/>
        <s v="ABA-2.4-(a)#Supplies-2 Laptop"/>
        <s v="ABA-2.1-(e)#Campaign Help Prevent Child-Refreshment"/>
        <s v="ABA#Transport Expenses"/>
        <s v="ABA#Printing &amp; Stationery Expenses"/>
        <s v="ABA#Food/Refreshment Expenses"/>
        <s v="ABA#1.1-Identify Law and Policy Proposals through Legal Mapping of Traffficking,Child Protection &amp; L"/>
        <s v="ABA#  Child safeguarding Policy by reviewing relevant laws &amp; UN guiding principles"/>
        <s v="LBL#1-Surveyor Cost"/>
        <s v="Inter Project Balances"/>
        <s v="Vehcile Rental Income" u="1"/>
        <s v="Membership and subscription" u="1"/>
        <s v="Interest expense" u="1"/>
        <s v="Covid-19 Relief-Osf" u="1"/>
        <s v="Ccc-Covid Relief" u="1"/>
        <s v="Networks Matter Epenses" u="1"/>
        <s v="Ilo Covid" u="1"/>
        <s v="Impact Of Covid" u="1"/>
        <s v="Dai-Kcd115" u="1"/>
        <s v="Fes-Training Programme For Workers In Sindh May-Nov 2021" u="1"/>
        <s v="Fes-Formation Of Pakistan Workers Confederation May-Aug 2021" u="1"/>
        <s v="Ammortization Of Software Lics" u="1"/>
        <s v="Gain/(Loss) On Disposal" u="1"/>
        <s v="Eti-Covid 19 Response Learning Sharing Event" u="1"/>
        <s v="Baldia Factory Fire-2Nd Annive" u="1"/>
        <s v="Impact Of Covid-19:1.6.1 Press Conferences" u="1"/>
        <s v="Glj-Ilrf: Case Studies" u="1"/>
        <s v="Dai-Kcd115-Peace Advocacy Awareness Sessions-Refreshment" u="1"/>
        <s v="Dai-Kcd115-Peace Advocacy Awareness Sessions-Venue" u="1"/>
        <s v="Dai-Kcd115-Networking Work Shop - Venue " u="1"/>
        <s v="Dai-Kcd115-Networking Work Shop - Refreshment " u="1"/>
        <s v="Dai-Kcd115-Peace Dialogues - Venue" u="1"/>
        <s v="Dai-Kcd115-Peace Dialogues -Refreshment " u="1"/>
        <s v="Dai-Kcd115-Training Material " u="1"/>
        <s v="Dai-Kcd115-Publication Material For Project" u="1"/>
        <s v="Dai-Kcd115-Travel And Transportation  For Workshops " u="1"/>
      </sharedItems>
    </cacheField>
    <cacheField name="Cost center" numFmtId="0">
      <sharedItems containsBlank="1"/>
    </cacheField>
    <cacheField name="Debit" numFmtId="167">
      <sharedItems containsString="0" containsBlank="1" containsNumber="1" minValue="0" maxValue="73356131.310025007"/>
    </cacheField>
    <cacheField name="Credit" numFmtId="167">
      <sharedItems containsString="0" containsBlank="1" containsNumber="1" minValue="0" maxValue="72802368"/>
    </cacheField>
    <cacheField name="Debit2" numFmtId="167">
      <sharedItems containsString="0" containsBlank="1" containsNumber="1" minValue="0" maxValue="24208665.719999999"/>
    </cacheField>
    <cacheField name="Credit2" numFmtId="167">
      <sharedItems containsString="0" containsBlank="1" containsNumber="1" minValue="0" maxValue="20796992.870000001"/>
    </cacheField>
    <cacheField name="Debit3" numFmtId="167">
      <sharedItems containsSemiMixedTypes="0" containsString="0" containsNumber="1" minValue="0" maxValue="73356131.310025007"/>
    </cacheField>
    <cacheField name="Credit3" numFmtId="167">
      <sharedItems containsSemiMixedTypes="0" containsString="0" containsNumber="1" minValue="0" maxValue="72802368"/>
    </cacheField>
    <cacheField name="Debit4" numFmtId="167">
      <sharedItems containsString="0" containsBlank="1" containsNumber="1" minValue="0" maxValue="2619012"/>
    </cacheField>
    <cacheField name="Credit4" numFmtId="167">
      <sharedItems containsString="0" containsBlank="1" containsNumber="1" minValue="0" maxValue="4130432.33"/>
    </cacheField>
    <cacheField name="Debit5" numFmtId="167">
      <sharedItems containsSemiMixedTypes="0" containsString="0" containsNumber="1" minValue="0" maxValue="73356131.310025007"/>
    </cacheField>
    <cacheField name="Credit5" numFmtId="167">
      <sharedItems containsSemiMixedTypes="0" containsString="0" containsNumber="1" minValue="0" maxValue="72802368"/>
    </cacheField>
    <cacheField name="Amount" numFmtId="167">
      <sharedItems containsSemiMixedTypes="0" containsString="0" containsNumber="1" minValue="-36635222" maxValue="73356131.31002500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36.611197453705" createdVersion="5" refreshedVersion="8" minRefreshableVersion="3" recordCount="418" xr:uid="{00000000-000A-0000-FFFF-FFFF01000000}">
  <cacheSource type="worksheet">
    <worksheetSource ref="A6:R424" sheet="TB (Grouping)"/>
  </cacheSource>
  <cacheFields count="18">
    <cacheField name="Account Code" numFmtId="0">
      <sharedItems/>
    </cacheField>
    <cacheField name="Title" numFmtId="0">
      <sharedItems/>
    </cacheField>
    <cacheField name="FSL1" numFmtId="0">
      <sharedItems count="11">
        <s v="Current Assets"/>
        <s v="Inter Project Balances"/>
        <s v="Current Liabilities"/>
        <s v="Non Current Assets"/>
        <s v="Non Current Liabilities"/>
        <s v="Fund balance"/>
        <s v="Other income "/>
        <s v="Income from donations"/>
        <s v="ADMINISTRATIVE AND GENERAL EXPENSES"/>
        <s v="OPERATING COSTS"/>
        <s v="FINANCIAL CHARGES"/>
      </sharedItems>
    </cacheField>
    <cacheField name="FSL2" numFmtId="0">
      <sharedItems count="44">
        <s v="Cash and bank balances"/>
        <s v="Inter Project Balances"/>
        <s v="LOANS, ADVANCES, DEPOSITS, PREPAYMENTS AND RECEIVABLES"/>
        <s v="SHORT TERM LIABILITIES"/>
        <s v="Tangible"/>
        <s v="Intangible"/>
        <s v="ACCRUED, PAYABLES AND OTHER LIABILITIES"/>
        <s v="Deferred liability - staff retirement Benefits"/>
        <s v="Liabilities against assets subject to finance lease"/>
        <s v="Fund balance"/>
        <s v="Hostel and hall income"/>
        <s v="Income from donations"/>
        <s v="Others"/>
        <s v="Salary, wages and benefits"/>
        <s v="Electricity, gas and water"/>
        <s v="Telephone"/>
        <s v="Travelling, vehicle and generator fuel"/>
        <s v="Vehicle maintenance"/>
        <s v="General maintenance"/>
        <s v="Equipment repair maintenance"/>
        <s v="Postage and internet"/>
        <s v="Stationery, photocopies and materials"/>
        <s v="Miscellaneous"/>
        <s v="PILER Program Activities : Peace / Labor related seminars &amp; Conferences activities"/>
        <s v="Legal and professional charges"/>
        <s v="Consultancy charges"/>
        <s v="Vehicle insurance"/>
        <s v="Salary, wages and benefits: Staff Welfare"/>
        <s v="Bank charges"/>
        <s v="Depreciation expenses"/>
        <s v="Membership and subscription"/>
        <s v="Local donation"/>
        <s v="PILER Reswarch, workshop and trainings"/>
        <s v="Project: Mapping on Pharma Sectorsshort projects"/>
        <s v="Salary, wages and benefits:"/>
        <s v="Project: Improved multi stakeholders' coordination on GSP Plus compliance"/>
        <s v="Project: ETI Surgical Instruments"/>
        <s v="Project: Coordination of partners and network South Asia coaliation"/>
        <s v="Project: DAI-KCD015: Engaging communities for development and peace building in Karachi"/>
        <s v="Project: Consultation on Pakistan ACCORD"/>
        <s v="Project civic charter 2019"/>
        <s v="NGO overheads"/>
        <s v="Project: ETI DFID"/>
        <s v="Project open society Covid relief"/>
      </sharedItems>
    </cacheField>
    <cacheField name="FSL3" numFmtId="0">
      <sharedItems count="67">
        <s v="Cash with banks in current/PLS accounts"/>
        <s v="Inter Project Balances"/>
        <s v="Other receivables"/>
        <s v="Pakistan Labour Trust"/>
        <s v="Security deposit"/>
        <s v="Advance against activities"/>
        <s v="ADVANCE AGAINST SALARIES"/>
        <s v="Staff loan"/>
        <s v="Prepaid Insurance"/>
        <s v="Leasehold land"/>
        <s v="Building on leasehold land"/>
        <s v="Acc Dep - Building on leasehold land"/>
        <s v="Generator"/>
        <s v="Acc Dep - Generator"/>
        <s v="Electrical installations"/>
        <s v="Acc Dep - Electrical installations"/>
        <s v="Other equipments"/>
        <s v="Acc Dep - Other equipments"/>
        <s v="Furniture and Fixture"/>
        <s v="Acc Dep - Furniture and Fixture"/>
        <s v="Computer equipments"/>
        <s v="Acc Dep - Computer equipments"/>
        <s v="Cost"/>
        <s v="Accumulated amortisation"/>
        <s v="Vehicles"/>
        <s v="Acc Dep - Vehicles"/>
        <s v="Books"/>
        <s v="Acc Dep - Books"/>
        <s v="Accrued expenses"/>
        <s v="Other liabilities"/>
        <s v="Deferred liability - staff retirement gratuity"/>
        <s v="Lease payable"/>
        <s v="Fund balance"/>
        <s v="Hostel and hall income"/>
        <s v="Income from donations"/>
        <s v="Others income"/>
        <s v="Salary, wages and benefits"/>
        <s v="Electricity, gas and water"/>
        <s v="Telephone"/>
        <s v="Travelling, vehicle and generator fuel"/>
        <s v="Vehicle maintenance"/>
        <s v="General maintenance"/>
        <s v="Equipment repair maintenance"/>
        <s v="Postage and internet"/>
        <s v="Stationery, photocopies and materials"/>
        <s v="Miscellaneous"/>
        <s v="PILER Program Activities : Peace / Labor related seminars &amp; Conferences activities"/>
        <s v="Legal and professional charges"/>
        <s v="Consultancy charges"/>
        <s v="Vehicle insurance"/>
        <s v="Salary, wages and benefits: Staff Welfare"/>
        <s v="Bank charges"/>
        <s v="Depreciation expenses"/>
        <s v="Membership and subscription"/>
        <s v="Local Donation"/>
        <s v="PILER Reswarch, workshop and trainings"/>
        <s v="Mapping on Pharma sector short project"/>
        <s v="Project: Improved multi stakeholders' coordination on GSP Plus compliance"/>
        <s v="Project open society"/>
        <s v="Project: ETI Surgical Instruments"/>
        <s v="Project CCC"/>
        <s v="KCD031-Dialogue and debate in Karachi’s Universities"/>
        <s v="Project: Consultation on Pakistan ACCORD"/>
        <s v="Project civic charter 2019"/>
        <s v="NGO overheads"/>
        <s v="Eti-Dfid project"/>
        <s v="Project open society Covid relief"/>
      </sharedItems>
    </cacheField>
    <cacheField name="Cost Center" numFmtId="0">
      <sharedItems/>
    </cacheField>
    <cacheField name="Debit" numFmtId="167">
      <sharedItems containsString="0" containsBlank="1" containsNumber="1" minValue="0" maxValue="28795088.59"/>
    </cacheField>
    <cacheField name="Credit" numFmtId="167">
      <sharedItems containsString="0" containsBlank="1" containsNumber="1" minValue="0" maxValue="30140656"/>
    </cacheField>
    <cacheField name="Debit2" numFmtId="167">
      <sharedItems containsSemiMixedTypes="0" containsString="0" containsNumber="1" minValue="0" maxValue="14002024"/>
    </cacheField>
    <cacheField name="Credit2" numFmtId="167">
      <sharedItems containsString="0" containsBlank="1" containsNumber="1" minValue="0" maxValue="15715481.35"/>
    </cacheField>
    <cacheField name="Debit3" numFmtId="167">
      <sharedItems containsString="0" containsBlank="1" containsNumber="1" minValue="0" maxValue="28795088.59"/>
    </cacheField>
    <cacheField name="Credit3" numFmtId="167">
      <sharedItems containsString="0" containsBlank="1" containsNumber="1" minValue="0" maxValue="30587441"/>
    </cacheField>
    <cacheField name="Debit4" numFmtId="167">
      <sharedItems containsString="0" containsBlank="1" containsNumber="1" containsInteger="1" minValue="0" maxValue="0"/>
    </cacheField>
    <cacheField name="Debit5" numFmtId="167">
      <sharedItems containsString="0" containsBlank="1" containsNumber="1" containsInteger="1" minValue="0" maxValue="315575"/>
    </cacheField>
    <cacheField name="Credit4" numFmtId="167">
      <sharedItems containsString="0" containsBlank="1" containsNumber="1" containsInteger="1" minValue="0" maxValue="726889"/>
    </cacheField>
    <cacheField name="Debit6" numFmtId="167">
      <sharedItems containsSemiMixedTypes="0" containsString="0" containsNumber="1" minValue="0" maxValue="28795088.59"/>
    </cacheField>
    <cacheField name="Credit5" numFmtId="167">
      <sharedItems containsSemiMixedTypes="0" containsString="0" containsNumber="1" minValue="0" maxValue="30587441"/>
    </cacheField>
    <cacheField name="Net Balance" numFmtId="167">
      <sharedItems containsSemiMixedTypes="0" containsString="0" containsNumber="1" minValue="-30587441" maxValue="28795088.5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nus" refreshedDate="46223.611691203703" createdVersion="8" refreshedVersion="8" minRefreshableVersion="3" recordCount="401" xr:uid="{EC63D2A4-AD11-4443-935B-442F0188EDD6}">
  <cacheSource type="worksheet">
    <worksheetSource name="Table2"/>
  </cacheSource>
  <cacheFields count="15">
    <cacheField name="Account Code" numFmtId="0">
      <sharedItems count="237">
        <s v="1-01-01-01-001"/>
        <s v="1-01-01-02-002"/>
        <s v="1-01-01-02-011"/>
        <s v="1-01-01-02-012"/>
        <s v="1-01-01-02-013"/>
        <s v="1-01-01-02-015"/>
        <s v="1-01-01-02-016"/>
        <s v="1-01-01-02-020"/>
        <s v="1-01-01-02-021"/>
        <s v="1-01-01-02-022"/>
        <s v="1-01-01-02-023"/>
        <s v="1-01-01-02-024"/>
        <s v="1-01-01-02-025"/>
        <s v="1-01-01-02-027"/>
        <s v="1-01-01-02-029"/>
        <s v="1-01-01-02-030"/>
        <s v="1-01-01-02-031"/>
        <s v="1-01-02-01-002"/>
        <s v="1-01-02-01-005"/>
        <s v="1-01-02-01-007"/>
        <s v="1-01-02-01-010"/>
        <s v="1-01-02-01-015"/>
        <s v="1-01-02-01-016"/>
        <s v="1-01-02-01-017"/>
        <s v="1-01-02-02-001"/>
        <s v="1-01-02-02-002"/>
        <s v="1-01-02-02-004"/>
        <s v="1-01-02-02-005"/>
        <s v="1-01-02-02-006"/>
        <s v="1-01-02-02-008"/>
        <s v="1-01-02-02-009"/>
        <s v="1-01-02-02-012"/>
        <s v="1-01-02-02-013"/>
        <s v="1-01-02-02-016"/>
        <s v="1-01-02-02-017"/>
        <s v="1-01-02-02-019"/>
        <s v="1-01-02-02-023"/>
        <s v="1-01-02-02-024"/>
        <s v="1-01-02-02-029"/>
        <s v="1-01-02-02-032"/>
        <s v="1-01-02-02-035"/>
        <s v="1-01-02-02-036"/>
        <s v="1-01-02-02-038"/>
        <s v="1-01-02-02-039"/>
        <s v="1-01-02-02-040"/>
        <s v="1-01-02-02-041"/>
        <s v="1-01-02-02-042"/>
        <s v="1-01-02-02-043"/>
        <s v="1-01-02-02-044"/>
        <s v="1-01-02-02-046"/>
        <s v="1-01-02-02-047"/>
        <s v="1-01-02-02-048"/>
        <s v="1-01-02-02-049"/>
        <s v="1-01-02-02-050"/>
        <s v="1-01-02-02-051"/>
        <s v="1-01-02-02-052"/>
        <s v="1-01-02-02-053"/>
        <s v="1-01-02-02-054"/>
        <s v="1-01-02-02-055"/>
        <s v="1-01-02-02-056"/>
        <s v="1-01-02-02-057"/>
        <s v="1-01-02-02-058"/>
        <s v="1-01-02-02-059"/>
        <s v="1-01-02-02-060"/>
        <s v="1-01-02-02-061"/>
        <s v="1-01-02-02-063"/>
        <s v="1-01-02-02-064"/>
        <s v="1-01-02-02-066"/>
        <s v="1-01-02-02-067"/>
        <s v="1-01-02-02-068"/>
        <s v="1-01-02-02-069"/>
        <s v="1-01-02-02-070"/>
        <s v="1-01-02-02-071"/>
        <s v="1-01-02-02-072"/>
        <s v="1-01-02-02-073"/>
        <s v="1-01-02-02-074"/>
        <s v="1-01-02-02-075"/>
        <s v="1-01-02-02-076"/>
        <s v="1-01-02-02-078"/>
        <s v="1-01-02-02-079"/>
        <s v="1-01-02-02-080"/>
        <s v="1-01-02-02-081"/>
        <s v="1-01-02-02-082"/>
        <s v="1-01-02-02-083"/>
        <s v="1-01-02-03-003"/>
        <s v="1-01-02-03-008"/>
        <s v="1-01-02-03-020"/>
        <s v="1-01-02-03-116"/>
        <s v="1-01-02-03-123"/>
        <s v="1-01-02-03-125"/>
        <s v="1-01-02-04-001"/>
        <s v="1-01-02-04-002"/>
        <s v="1-01-02-04-005"/>
        <s v="1-01-02-05-001"/>
        <s v="1-01-02-05-003"/>
        <s v="1-02-02-01-001"/>
        <s v="1-02-02-02-001"/>
        <s v="1-02-02-02-002"/>
        <s v="1-02-02-03-001"/>
        <s v="1-02-02-03-002"/>
        <s v="1-02-02-04-001"/>
        <s v="1-02-02-04-002"/>
        <s v="1-02-02-05-001"/>
        <s v="1-02-02-05-002"/>
        <s v="1-02-02-06-001"/>
        <s v="1-02-02-06-002"/>
        <s v="1-02-02-07-001"/>
        <s v="1-02-02-07-002"/>
        <s v="1-02-02-07-003"/>
        <s v="1-02-02-07-004"/>
        <s v="1-02-02-08-001"/>
        <s v="1-02-02-08-002"/>
        <s v="1-02-02-09-001"/>
        <s v="1-02-02-09-002"/>
        <s v="2-01-01-01-010"/>
        <s v="2-01-01-01-023"/>
        <s v="2-01-01-01-025"/>
        <s v="2-01-01-01-026"/>
        <s v="2-01-01-01-030"/>
        <s v="2-01-01-01-031"/>
        <s v="2-01-01-01-033"/>
        <s v="2-01-01-01-034"/>
        <s v="2-01-01-01-036"/>
        <s v="2-01-01-01-037"/>
        <s v="2-01-01-01-038"/>
        <s v="2-01-01-01-040"/>
        <s v="2-01-01-02-001"/>
        <s v="2-01-01-02-016"/>
        <s v="2-01-01-02-017"/>
        <s v="2-01-01-02-019"/>
        <s v="2-01-01-02-020"/>
        <s v="2-01-01-02-021"/>
        <s v="2-01-01-02-022"/>
        <s v="2-01-01-02-026"/>
        <s v="2-01-01-02-027"/>
        <s v="2-01-01-02-031"/>
        <s v="2-01-01-02-033"/>
        <s v="2-01-01-02-035"/>
        <s v="2-01-01-02-037"/>
        <s v="2-01-02-01-001"/>
        <s v="2-01-02-01-004"/>
        <s v="2-01-02-01-005"/>
        <s v="2-01-02-01-009"/>
        <s v="2-01-02-01-011"/>
        <s v="2-01-02-01-015"/>
        <s v="2-01-02-01-016"/>
        <s v="2-01-02-02-001"/>
        <s v="2-01-02-02-002"/>
        <s v="2-01-02-02-003"/>
        <s v="2-01-02-02-004"/>
        <s v="2-01-03-01-002"/>
        <s v="2-02-01-01-001"/>
        <s v="2-02-01-01-02"/>
        <s v="3-01-01-01-001"/>
        <s v="3-01-01-01-009"/>
        <s v="3-01-01-01-013"/>
        <s v="4-02-01-01-001"/>
        <s v="4-02-02-01-001"/>
        <s v="4-03-01-01-001"/>
        <s v="4-03-01-02-045"/>
        <s v="4-03-01-09-001"/>
        <s v="4-04-01-01-007"/>
        <s v="5-01-01-01-001"/>
        <s v="5-01-01-02-001"/>
        <s v="5-01-01-02-002"/>
        <s v="5-01-01-02-003"/>
        <s v="5-01-01-02-004"/>
        <s v="5-01-01-03-001"/>
        <s v="5-01-01-04-001"/>
        <s v="5-01-01-04-003"/>
        <s v="5-01-01-04-004"/>
        <s v="5-01-01-04-005"/>
        <s v="5-01-01-04-006"/>
        <s v="5-01-01-06-001"/>
        <s v="5-01-01-06-002"/>
        <s v="5-01-01-06-003"/>
        <s v="5-01-01-06-004"/>
        <s v="5-01-01-06-005"/>
        <s v="5-01-01-06-006"/>
        <s v="5-01-01-06-007"/>
        <s v="5-01-01-06-012"/>
        <s v="5-01-01-07-001"/>
        <s v="5-01-01-07-002"/>
        <s v="5-01-01-07-003"/>
        <s v="5-01-01-08-003"/>
        <s v="5-01-01-08-004"/>
        <s v="5-01-01-08-006"/>
        <s v="5-01-01-09-001"/>
        <s v="5-01-01-10-001"/>
        <s v="5-01-01-10-002"/>
        <s v="5-01-01-10-003"/>
        <s v="5-01-01-10-004"/>
        <s v="5-01-01-10-005"/>
        <s v="5-01-01-10-009"/>
        <s v="5-01-01-11-001"/>
        <s v="5-01-01-12-001"/>
        <s v="5-01-01-12-002"/>
        <s v="5-01-02-06-044"/>
        <s v="5-01-02-07-014"/>
        <s v="5-01-02-07-023"/>
        <s v="5-01-02-07-036"/>
        <s v="5-01-02-10-020"/>
        <s v="5-01-02-69-042"/>
        <s v="5-01-02-69-049"/>
        <s v="5-01-02-69-053"/>
        <s v="5-01-02-69-055"/>
        <s v="5-01-02-69-056"/>
        <s v="5-01-02-69-080"/>
        <s v="5-01-02-69-083"/>
        <s v="5-01-02-69-084"/>
        <s v="5-01-02-69-085"/>
        <s v="5-01-02-69-086"/>
        <s v="5-01-02-69-088"/>
        <s v="5-01-02-69-091"/>
        <s v="5-01-02-69-093"/>
        <s v="5-01-02-69-094"/>
        <s v="5-01-02-69-097"/>
        <s v="5-01-02-74-004"/>
        <s v="5-01-02-74-005"/>
        <s v="5-01-02-74-012"/>
        <s v="5-01-02-74-013"/>
        <s v="5-01-02-74-015"/>
        <s v="5-01-02-86-001"/>
        <s v="5-01-02-86-002"/>
        <s v="5-01-02-86-003"/>
        <s v="5-01-02-86-004"/>
        <s v="5-01-02-86-005"/>
        <s v="5-01-02-86-013"/>
        <s v="5-01-02-86-014"/>
        <s v="5-01-02-86-017"/>
        <s v="5-01-02-86-018"/>
        <s v="5-01-02-86-019"/>
        <s v="5-01-02-86-020"/>
        <s v="5-01-02-88-005"/>
        <s v="5-01-05--002"/>
        <s v="5-01-05--004"/>
        <s v="5-01-05-0-001"/>
      </sharedItems>
    </cacheField>
    <cacheField name="Account Description" numFmtId="0">
      <sharedItems/>
    </cacheField>
    <cacheField name="Title" numFmtId="0">
      <sharedItems/>
    </cacheField>
    <cacheField name="FSL1" numFmtId="0">
      <sharedItems count="3">
        <s v="Balance Sheet"/>
        <s v="Inter Project Balances"/>
        <s v="Profit and Loss"/>
      </sharedItems>
    </cacheField>
    <cacheField name="FSL2" numFmtId="0">
      <sharedItems count="12">
        <s v="Current Assets"/>
        <s v="Inter Project Balances"/>
        <s v="Non Current Assets"/>
        <s v="Current Liabilities"/>
        <s v="Non Current Liabilities"/>
        <s v="Fund Balance"/>
        <s v="Other Income "/>
        <s v="Income From Donations"/>
        <s v="Administrative And General Expenses"/>
        <s v="Operating Costs"/>
        <s v="Financial Charges"/>
        <s v="Taxation"/>
      </sharedItems>
    </cacheField>
    <cacheField name="FSL3" numFmtId="0">
      <sharedItems/>
    </cacheField>
    <cacheField name="FSL 4" numFmtId="0">
      <sharedItems/>
    </cacheField>
    <cacheField name="Cost center" numFmtId="0">
      <sharedItems/>
    </cacheField>
    <cacheField name="Debit" numFmtId="0">
      <sharedItems containsString="0" containsBlank="1" containsNumber="1" minValue="0" maxValue="66295094.659999996"/>
    </cacheField>
    <cacheField name="Credit" numFmtId="180">
      <sharedItems containsString="0" containsBlank="1" containsNumber="1" minValue="0" maxValue="72802368"/>
    </cacheField>
    <cacheField name="Debit2" numFmtId="180">
      <sharedItems containsSemiMixedTypes="0" containsString="0" containsNumber="1" minValue="0" maxValue="19887862.510000002"/>
    </cacheField>
    <cacheField name="Credit3" numFmtId="180">
      <sharedItems containsSemiMixedTypes="0" containsString="0" containsNumber="1" minValue="0" maxValue="20628914.25"/>
    </cacheField>
    <cacheField name="Debit4" numFmtId="180">
      <sharedItems containsSemiMixedTypes="0" containsString="0" containsNumber="1" minValue="0" maxValue="86182957.170000002"/>
    </cacheField>
    <cacheField name="Credit5" numFmtId="180">
      <sharedItems containsSemiMixedTypes="0" containsString="0" containsNumber="1" minValue="0" maxValue="81592024.890000001"/>
    </cacheField>
    <cacheField name="Amount" numFmtId="0">
      <sharedItems containsString="0" containsBlank="1" containsNumber="1" minValue="-36635222" maxValue="39574329.29999999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Younus" refreshedDate="46223.72444583333" createdVersion="5" refreshedVersion="8" minRefreshableVersion="3" recordCount="401" xr:uid="{00000000-000A-0000-FFFF-FFFF28000000}">
  <cacheSource type="worksheet">
    <worksheetSource ref="A6:P407" sheet="Trial Balance June-2026"/>
  </cacheSource>
  <cacheFields count="16">
    <cacheField name="Account Code" numFmtId="0">
      <sharedItems/>
    </cacheField>
    <cacheField name="Category" numFmtId="0">
      <sharedItems containsNonDate="0" containsString="0" containsBlank="1"/>
    </cacheField>
    <cacheField name="Account Description" numFmtId="0">
      <sharedItems/>
    </cacheField>
    <cacheField name="Title" numFmtId="0">
      <sharedItems/>
    </cacheField>
    <cacheField name="FSL1" numFmtId="0">
      <sharedItems count="3">
        <s v="Balance Sheet"/>
        <s v="Inter Project Balances"/>
        <s v="Profit and Loss"/>
      </sharedItems>
    </cacheField>
    <cacheField name="FSL2" numFmtId="0">
      <sharedItems count="12">
        <s v="Current Assets"/>
        <s v="Inter Project Balances"/>
        <s v="Non Current Assets"/>
        <s v="Current Liabilities"/>
        <s v="Non Current Liabilities"/>
        <s v="Fund Balance"/>
        <s v="Other Income "/>
        <s v="Income From Donations"/>
        <s v="Administrative And General Expenses"/>
        <s v="Operating Costs"/>
        <s v="Financial Charges"/>
        <s v="Taxation"/>
      </sharedItems>
    </cacheField>
    <cacheField name="FSL3" numFmtId="0">
      <sharedItems count="65">
        <s v="Cash And Bank Balances"/>
        <s v="Loans, Advances, Deposits, Prepayments And Receivables"/>
        <s v="Inter Project Balances"/>
        <s v="Tangible"/>
        <s v="Intangible"/>
        <s v="Accrued, Payables And Other Liabilities"/>
        <s v="Short Term Liabilities"/>
        <s v="Liabilities Against Assets Subject To Finance Lease"/>
        <s v="Fund Balance"/>
        <s v="Hostel And Hall Income"/>
        <s v="Income From Donations"/>
        <s v="Salary, Wages And Benefits"/>
        <s v="Electricity, Gas And Water"/>
        <s v="Telephone"/>
        <s v="Travelling, Vehicle And Generator Fuel"/>
        <s v="Vehicle Maintenance"/>
        <s v="Equipment Repair Maintenance"/>
        <s v="Postage And Internet"/>
        <s v="Stationery, Photocopies And Materials"/>
        <s v="Miscellaneous"/>
        <s v="Legal And Professional Charges"/>
        <s v="Auditors' Remuneration"/>
        <s v="Salary, Wages And Benefits: Staff Welfare"/>
        <s v="Bank Charges"/>
        <s v="Depreciation Expenses"/>
        <s v="Amortisation"/>
        <s v="Income Tax Expenses"/>
        <s v="Local Donation"/>
        <s v="Piler Program Activities : Peace / Labor Related Seminars &amp; Conferences Activities"/>
        <s v="Shirkat Gah#2.5-Awareness Session with Trade Unions Members &amp; Workers Groups"/>
        <s v="GLJ-ILRF : OBS-A.49-Field Coordinator "/>
        <s v="GLJ-ILRF : OBS-B.1.11.a-Translation of the materials ( 2 languages transaltion) "/>
        <s v="GLJ-ILRF : OBS-B.2.1.2.c-Report Translation"/>
        <s v="GLJ-ILRF : OBS-B.2.2.2-Wage Group Meeting "/>
        <s v="GLJ-ILRF : OBS-B.2.2.5-Public discussion/seminar-Round Table consultation"/>
        <s v="GLJ-ILRF : OBS-B.5.10-National Meeting"/>
        <s v="GLJ-ILRF:INKOTA-Gender Justice Coordinator"/>
        <s v="GLJ-ILRF:INKOTA-Field Coordinator"/>
        <s v="GLJ-ILRF:INKOTA-2.1.a#Organizing strategy-Geographic focus including field strategy &amp; designated tea"/>
        <s v="GLJ-ILRF:INKOTA-3.1.a#Organizing training &amp; Capacity development for partner union"/>
        <s v="GLJ-ILRF:INKOTA-4.1.b#Consumption survey resulting in LW figure to support nation wage bargaining &amp; "/>
        <s v="GLJ-ILRF:INKOTA-5.3.c#coordinated day of Action WLC"/>
        <s v="GLJ-ILRF:INKOTA-6.1..a#Convening of National Committee to Strengthening the alliance through regular"/>
        <s v="GLJ-ILRF:INKOTA-6.2.a#Public dicussion on wage(MW &amp; LW)"/>
        <s v="GLJ-ILRF:INKOTA-6.9.a#Interpreter-Regional event"/>
        <s v="GRC-6.3# Office Rent"/>
        <s v="GRC-8.1.1# Baseline Assessment (development, implementation, analysis and reporting, recruitment and"/>
        <s v="GRC-8.2.5 # Stationary &amp; material"/>
        <s v="GRC-Indirect Costs"/>
        <s v="GRC-6.1.2#Paralegal trainer/facilitator"/>
        <s v="GRC-A.1.1#Project Manager"/>
        <s v="GRC-A.1.2#Finance Coordinator"/>
        <s v="GRC-A.1.3#Project Coordinator"/>
        <s v="GRC-A.1.#Admn Officer"/>
        <s v="GRC-B.1.1#EOBI Contribution"/>
        <s v="GRC-D.1#Laptop for office use"/>
        <s v="GRC-F.2#Office Rent"/>
        <s v="GRC-H.1.4#Venue, including food and drinks"/>
        <s v="GRC-H.1.5#Travel for participants"/>
        <s v="GRC-H.1.7#Facilitators fee"/>
        <s v="GRC-H.1.8#Stationary &amp; material"/>
        <s v="SAPPK-5#Cultural Events engaging all Stakeholders(one in each district)"/>
        <s v="GCE#2-Community Engagement"/>
        <s v="GCE#4-Multistake holder Consultation"/>
        <s v="GCE#6-Report Writer"/>
      </sharedItems>
    </cacheField>
    <cacheField name="FSL 4" numFmtId="0">
      <sharedItems/>
    </cacheField>
    <cacheField name="Cost center" numFmtId="0">
      <sharedItems/>
    </cacheField>
    <cacheField name="Debit" numFmtId="0">
      <sharedItems containsString="0" containsBlank="1" containsNumber="1" minValue="0" maxValue="66295094.659999996"/>
    </cacheField>
    <cacheField name="Credit" numFmtId="180">
      <sharedItems containsString="0" containsBlank="1" containsNumber="1" minValue="0" maxValue="72802368"/>
    </cacheField>
    <cacheField name="Debit2" numFmtId="180">
      <sharedItems containsSemiMixedTypes="0" containsString="0" containsNumber="1" minValue="0" maxValue="19887862.510000002"/>
    </cacheField>
    <cacheField name="Credit3" numFmtId="180">
      <sharedItems containsSemiMixedTypes="0" containsString="0" containsNumber="1" minValue="0" maxValue="20628914.25"/>
    </cacheField>
    <cacheField name="Debit4" numFmtId="180">
      <sharedItems containsSemiMixedTypes="0" containsString="0" containsNumber="1" minValue="0" maxValue="86182957.170000002"/>
    </cacheField>
    <cacheField name="Credit5" numFmtId="180">
      <sharedItems containsSemiMixedTypes="0" containsString="0" containsNumber="1" minValue="0" maxValue="81592024.890000001"/>
    </cacheField>
    <cacheField name="Amount" numFmtId="0">
      <sharedItems containsString="0" containsBlank="1" containsNumber="1" minValue="-36635222" maxValue="39574329.299999997" count="234">
        <n v="3"/>
        <n v="0"/>
        <n v="143120"/>
        <n v="-809205"/>
        <n v="62500"/>
        <n v="51853"/>
        <n v="15489"/>
        <n v="29198"/>
        <n v="4590932.2800000012"/>
        <n v="381502.10000000003"/>
        <n v="4367.6500000000233"/>
        <n v="21.5"/>
        <n v="-1024695.76"/>
        <n v="-2057921.0000000075"/>
        <n v="-329878.93999999948"/>
        <n v="6261.86"/>
        <n v="70567.039999999994"/>
        <n v="260.10000000000002"/>
        <n v="210024.4299999997"/>
        <n v="-14070"/>
        <n v="7638"/>
        <n v="398399"/>
        <n v="95515"/>
        <n v="8160"/>
        <n v="-8065"/>
        <n v="11000"/>
        <n v="-5900471"/>
        <n v="12147.56"/>
        <n v="119700"/>
        <n v="60000"/>
        <n v="3591736"/>
        <n v="10000"/>
        <n v="16440"/>
        <n v="3268048"/>
        <n v="693696"/>
        <n v="1400"/>
        <n v="367608"/>
        <n v="233849"/>
        <n v="66466"/>
        <n v="31562"/>
        <n v="17670"/>
        <n v="95"/>
        <n v="-849896"/>
        <n v="-186921"/>
        <n v="50"/>
        <n v="918"/>
        <n v="11780"/>
        <n v="2901"/>
        <n v="80"/>
        <n v="250000"/>
        <n v="-496339"/>
        <n v="-210640"/>
        <n v="-240"/>
        <n v="65268"/>
        <n v="124685"/>
        <n v="2100"/>
        <n v="33907"/>
        <n v="22000"/>
        <n v="115"/>
        <n v="15372"/>
        <n v="61500"/>
        <n v="-1251971"/>
        <n v="427177"/>
        <n v="35108"/>
        <n v="28375"/>
        <n v="50000"/>
        <n v="-2662608"/>
        <n v="-913998"/>
        <n v="-315909"/>
        <n v="416467"/>
        <n v="-809850"/>
        <n v="3947407"/>
        <n v="-200000"/>
        <n v="-656980"/>
        <n v="114969"/>
        <n v="-2437135.4900000002"/>
        <n v="5818.88"/>
        <n v="795432"/>
        <n v="63467.590000000084"/>
        <n v="2450"/>
        <n v="-186000"/>
        <n v="77000"/>
        <n v="42000"/>
        <n v="30000"/>
        <n v="120000"/>
        <n v="256282"/>
        <n v="-15000"/>
        <n v="-40000"/>
        <n v="154000"/>
        <n v="37500"/>
        <n v="6000"/>
        <n v="1721000"/>
        <n v="22763814"/>
        <n v="-10541900"/>
        <n v="1244075"/>
        <n v="-1268049"/>
        <n v="4970458"/>
        <n v="-4494600"/>
        <n v="911914"/>
        <n v="-889370"/>
        <n v="-848374"/>
        <n v="2906533"/>
        <n v="-2903534"/>
        <n v="457189"/>
        <n v="-528261.66666666674"/>
        <n v="-451373.66666666674"/>
        <n v="1108605"/>
        <n v="-1108605"/>
        <n v="308439"/>
        <n v="-308439"/>
        <n v="-259922"/>
        <n v="-368297"/>
        <n v="-177"/>
        <n v="-251835"/>
        <n v="-50"/>
        <n v="-75698"/>
        <n v="-464"/>
        <n v="-500"/>
        <n v="-35940"/>
        <n v="-68623"/>
        <n v="-275"/>
        <n v="-370"/>
        <n v="-143529"/>
        <n v="-2256317"/>
        <n v="-27914"/>
        <n v="-24669"/>
        <n v="6105"/>
        <n v="-2935000"/>
        <n v="-1931265"/>
        <n v="-299904"/>
        <n v="-131479"/>
        <n v="-391647"/>
        <n v="-2020"/>
        <n v="-3516379.55"/>
        <n v="-36635222"/>
        <n v="-96906"/>
        <n v="-2"/>
        <n v="87104"/>
        <n v="-33496"/>
        <n v="-2400"/>
        <n v="758858.7033717325"/>
        <n v="10545"/>
        <n v="9796"/>
        <n v="-169937"/>
        <n v="-43216"/>
        <n v="-7263"/>
        <n v="-3106"/>
        <n v="-188888"/>
        <n v="-1940564"/>
        <n v="-510000"/>
        <n v="39574329.299999997"/>
        <n v="-1641568"/>
        <n v="-103190.28"/>
        <n v="-30000"/>
        <n v="-10940035"/>
        <n v="-10470408.869999999"/>
        <n v="-3694211.23"/>
        <n v="-932099"/>
        <n v="3029593"/>
        <n v="538432"/>
        <n v="53000"/>
        <n v="245940"/>
        <n v="34780"/>
        <n v="186380"/>
        <n v="213040"/>
        <n v="238270"/>
        <n v="85490"/>
        <n v="3110"/>
        <n v="78650"/>
        <n v="17540"/>
        <n v="50585"/>
        <n v="8926"/>
        <n v="17551"/>
        <n v="33740"/>
        <n v="39458"/>
        <n v="188423"/>
        <n v="32460"/>
        <n v="303956"/>
        <n v="21600"/>
        <n v="172296"/>
        <n v="-4527"/>
        <n v="239700"/>
        <n v="18374"/>
        <n v="12367.25"/>
        <n v="9913.24"/>
        <n v="455276"/>
        <n v="42323"/>
        <n v="358157"/>
        <n v="892"/>
        <n v="1093"/>
        <n v="76888"/>
        <n v="73015.149999999994"/>
        <n v="42235.789999999994"/>
        <n v="80045"/>
        <n v="19400"/>
        <n v="81480"/>
        <n v="35000"/>
        <n v="41990"/>
        <n v="56900"/>
        <n v="3764557"/>
        <n v="781000"/>
        <n v="5000"/>
        <n v="115000"/>
        <n v="480810"/>
        <n v="217055"/>
        <n v="452000"/>
        <n v="605000"/>
        <n v="1100"/>
        <n v="163397"/>
        <n v="521188"/>
        <n v="160000"/>
        <n v="-84000"/>
        <n v="94400"/>
        <n v="114520"/>
        <n v="4990"/>
        <n v="679879"/>
        <n v="-691990"/>
        <n v="1112154.6799999997"/>
        <n v="2468400"/>
        <n v="1604727"/>
        <n v="1205282"/>
        <n v="88799"/>
        <n v="916237"/>
        <n v="54231"/>
        <n v="148000"/>
        <n v="932099"/>
        <n v="2000369"/>
        <n v="785528"/>
        <n v="333058"/>
        <n v="206350"/>
        <n v="112360"/>
        <n v="139315"/>
        <n v="1553283"/>
        <m/>
      </sharedItems>
      <fieldGroup base="15">
        <rangePr startNum="-36635222" endNum="39574329.299999997" groupInterval="10000000"/>
        <groupItems count="10">
          <s v="(blank)"/>
          <s v="-36635222--26635222"/>
          <s v="-26635222--16635222"/>
          <s v="-16635222--6635222"/>
          <s v="-6635222-3364778"/>
          <s v="3364778-13364778"/>
          <s v="13364778-23364778"/>
          <s v="23364778-33364778"/>
          <s v="33364778-43364778"/>
          <s v="&gt;4336477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4">
  <r>
    <s v="1-01-01-01-001"/>
    <s v="CASH IN HAND"/>
    <s v="1-01-01-01-001-CASH IN HANDPILER"/>
    <x v="0"/>
    <x v="0"/>
    <x v="0"/>
    <x v="0"/>
    <s v="PILER"/>
    <n v="3"/>
    <m/>
    <n v="0"/>
    <n v="0"/>
    <n v="3"/>
    <n v="0"/>
    <m/>
    <m/>
    <n v="3"/>
    <n v="0"/>
    <n v="3"/>
  </r>
  <r>
    <s v="1-01-01-01-001"/>
    <s v="CASH IN HAND"/>
    <s v="1-01-01-01-001-CASH IN HANDKarachi"/>
    <x v="0"/>
    <x v="0"/>
    <x v="0"/>
    <x v="0"/>
    <s v="Karachi"/>
    <n v="0"/>
    <n v="0"/>
    <n v="0"/>
    <n v="0"/>
    <n v="0"/>
    <n v="0"/>
    <m/>
    <m/>
    <n v="0"/>
    <n v="0"/>
    <n v="0"/>
  </r>
  <r>
    <s v="1-01-01-02-002"/>
    <s v="PILER OWN BAHL A/C. 818-04-2"/>
    <s v="1-01-01-02-002-PILER OWN BAHL A/C. 818-04-2PILER"/>
    <x v="0"/>
    <x v="0"/>
    <x v="0"/>
    <x v="0"/>
    <s v="PILER"/>
    <n v="143120"/>
    <n v="0"/>
    <n v="0"/>
    <n v="0"/>
    <n v="143120"/>
    <n v="0"/>
    <m/>
    <m/>
    <n v="143120"/>
    <n v="0"/>
    <n v="143120"/>
  </r>
  <r>
    <s v="1-01-01-02-011"/>
    <s v="PILER TDH &amp; MI BH A/C.818-09-7"/>
    <s v="1-01-01-02-011-PILER TDH &amp; MI BH A/C.818-09-7TDH &amp; MI"/>
    <x v="0"/>
    <x v="0"/>
    <x v="0"/>
    <x v="0"/>
    <s v="TDH &amp; MI"/>
    <n v="0"/>
    <n v="809205"/>
    <n v="0"/>
    <n v="0"/>
    <n v="0"/>
    <n v="809205"/>
    <m/>
    <m/>
    <n v="0"/>
    <n v="809205"/>
    <n v="-809205"/>
  </r>
  <r>
    <s v="1-01-01-02-011"/>
    <s v="PILER TDH &amp; MI BH A/C.818-09-7"/>
    <s v="1-01-01-02-011-PILER TDH &amp; MI BH A/C.818-09-7TDH"/>
    <x v="0"/>
    <x v="0"/>
    <x v="0"/>
    <x v="0"/>
    <s v="TDH"/>
    <n v="581067"/>
    <n v="0"/>
    <n v="0"/>
    <n v="0"/>
    <n v="581067"/>
    <n v="0"/>
    <m/>
    <m/>
    <n v="581067"/>
    <n v="0"/>
    <n v="581067"/>
  </r>
  <r>
    <s v="1-01-01-02-012"/>
    <s v="PILER UBL-012-1940-6"/>
    <s v="1-01-01-02-012-PILER UBL-012-1940-6PILER"/>
    <x v="0"/>
    <x v="0"/>
    <x v="0"/>
    <x v="0"/>
    <s v="PILER"/>
    <n v="62500"/>
    <n v="0"/>
    <n v="0"/>
    <n v="0"/>
    <n v="62500"/>
    <n v="0"/>
    <m/>
    <m/>
    <n v="62500"/>
    <n v="0"/>
    <n v="62500"/>
  </r>
  <r>
    <s v="1-01-01-02-013"/>
    <s v="PILER UBL-012-1707-3"/>
    <s v="1-01-01-02-013-PILER UBL-012-1707-3PILER"/>
    <x v="0"/>
    <x v="0"/>
    <x v="0"/>
    <x v="0"/>
    <s v="PILER"/>
    <n v="51853"/>
    <n v="0"/>
    <n v="0"/>
    <n v="0"/>
    <n v="51853"/>
    <n v="0"/>
    <m/>
    <m/>
    <n v="51853"/>
    <n v="0"/>
    <n v="51853"/>
  </r>
  <r>
    <s v="1-01-01-02-015"/>
    <s v="PILER FNV PROJECT 06-0"/>
    <s v="1-01-01-02-015-PILER FNV PROJECT 06-0PILER"/>
    <x v="0"/>
    <x v="0"/>
    <x v="0"/>
    <x v="0"/>
    <s v="PILER"/>
    <n v="15489"/>
    <n v="0"/>
    <n v="0"/>
    <n v="0"/>
    <n v="15489"/>
    <n v="0"/>
    <m/>
    <m/>
    <n v="15489"/>
    <n v="0"/>
    <n v="15489"/>
  </r>
  <r>
    <s v="1-01-01-02-016"/>
    <s v="PILER EU PROJECT BAHL-GJ 06-2"/>
    <s v="1-01-01-02-016-PILER EU PROJECT BAHL-GJ 06-2PILER"/>
    <x v="0"/>
    <x v="0"/>
    <x v="0"/>
    <x v="0"/>
    <s v="PILER"/>
    <n v="29198"/>
    <n v="0"/>
    <n v="0"/>
    <n v="0"/>
    <n v="29198"/>
    <n v="0"/>
    <m/>
    <m/>
    <n v="29198"/>
    <n v="0"/>
    <n v="29198"/>
  </r>
  <r>
    <s v="1-01-01-02-020"/>
    <s v="PILER BAH-A/C.0081-004762-01-0"/>
    <s v="1-01-01-02-020-PILER BAH-A/C.0081-004762-01-0PILER"/>
    <x v="0"/>
    <x v="0"/>
    <x v="0"/>
    <x v="0"/>
    <s v="PILER"/>
    <n v="42086428.939999998"/>
    <n v="40166117.770000003"/>
    <n v="24208665.719999999"/>
    <n v="20796992.870000001"/>
    <n v="66295094.659999996"/>
    <n v="60963110.640000001"/>
    <m/>
    <m/>
    <n v="66295094.659999996"/>
    <n v="60963110.640000001"/>
    <n v="5331984.0199999958"/>
  </r>
  <r>
    <s v="1-01-01-02-021"/>
    <s v="PILER TAF BAH-0081-004762-02-1"/>
    <s v="1-01-01-02-021-PILER TAF BAH-0081-004762-02-1TAF"/>
    <x v="0"/>
    <x v="0"/>
    <x v="0"/>
    <x v="0"/>
    <s v="TAF"/>
    <n v="381581.2"/>
    <n v="79.099999999999994"/>
    <n v="0"/>
    <n v="0"/>
    <n v="381581.2"/>
    <n v="79.099999999999994"/>
    <m/>
    <m/>
    <n v="381581.2"/>
    <n v="79.099999999999994"/>
    <n v="381502.10000000003"/>
  </r>
  <r>
    <s v="1-01-01-02-021"/>
    <s v="PILER TAF BAH-0081-004762-02-1"/>
    <s v="1-01-01-02-021-PILER TAF BAH-0081-004762-02-1ETI"/>
    <x v="0"/>
    <x v="0"/>
    <x v="0"/>
    <x v="0"/>
    <s v="ETI"/>
    <n v="239707"/>
    <n v="621187.48"/>
    <n v="0"/>
    <n v="21.62"/>
    <n v="239707"/>
    <n v="621209.1"/>
    <m/>
    <m/>
    <n v="239707"/>
    <n v="621209.1"/>
    <n v="-381502.1"/>
  </r>
  <r>
    <s v="1-01-01-02-022"/>
    <s v="BANK UNICEF-0081-004762-04-3"/>
    <s v="1-01-01-02-022-BANK UNICEF-0081-004762-04-3PILER"/>
    <x v="0"/>
    <x v="0"/>
    <x v="0"/>
    <x v="0"/>
    <s v="PILER"/>
    <n v="351956.05"/>
    <n v="347588.39999999997"/>
    <n v="0"/>
    <n v="0"/>
    <n v="351956.05"/>
    <n v="347588.39999999997"/>
    <m/>
    <m/>
    <n v="351956.05"/>
    <n v="347588.39999999997"/>
    <n v="4367.6500000000233"/>
  </r>
  <r>
    <s v="1-01-01-02-022"/>
    <s v="BANK UNICEF-0081-004762-04-3"/>
    <s v="1-01-01-02-022-BANK UNICEF-0081-004762-04-3UNICEF-2"/>
    <x v="0"/>
    <x v="0"/>
    <x v="0"/>
    <x v="0"/>
    <s v="UNICEF-2"/>
    <n v="73944.37"/>
    <n v="0"/>
    <n v="0"/>
    <n v="0"/>
    <n v="73944.37"/>
    <n v="0"/>
    <m/>
    <m/>
    <n v="73944.37"/>
    <n v="0"/>
    <n v="73944.37"/>
  </r>
  <r>
    <s v="1-01-01-02-022"/>
    <s v="BANK UNICEF-0081-004762-04-3"/>
    <s v="1-01-01-02-022-BANK UNICEF-0081-004762-04-3UNICEF-3"/>
    <x v="0"/>
    <x v="0"/>
    <x v="0"/>
    <x v="0"/>
    <s v="UNICEF-3"/>
    <n v="0"/>
    <n v="73924.7"/>
    <n v="0"/>
    <n v="0"/>
    <n v="0"/>
    <n v="73924.7"/>
    <m/>
    <m/>
    <n v="0"/>
    <n v="73924.7"/>
    <n v="-73924.7"/>
  </r>
  <r>
    <s v="1-01-01-02-023"/>
    <s v="BANK TROCAIRE-0081-004762-06-5"/>
    <s v="1-01-01-02-023-BANK TROCAIRE-0081-004762-06-5Trocaire"/>
    <x v="0"/>
    <x v="0"/>
    <x v="0"/>
    <x v="0"/>
    <s v="Trocaire"/>
    <n v="100.6"/>
    <n v="79.099999999999994"/>
    <n v="0"/>
    <n v="0"/>
    <n v="100.6"/>
    <n v="79.099999999999994"/>
    <m/>
    <m/>
    <n v="100.6"/>
    <n v="79.099999999999994"/>
    <n v="21.5"/>
  </r>
  <r>
    <s v="1-01-01-02-023"/>
    <s v="BANK TROCAIRE-0081-004762-06-5"/>
    <s v="1-01-01-02-023-BANK TROCAIRE-0081-004762-06-5PILER"/>
    <x v="0"/>
    <x v="0"/>
    <x v="0"/>
    <x v="0"/>
    <s v="PILER"/>
    <n v="780447.25"/>
    <n v="0"/>
    <n v="0"/>
    <n v="20.99"/>
    <n v="780447.25"/>
    <n v="20.99"/>
    <m/>
    <m/>
    <n v="780447.25"/>
    <n v="20.99"/>
    <n v="780426.26"/>
  </r>
  <r>
    <s v="1-01-01-02-023"/>
    <s v="BANK TROCAIRE-0081-004762-06-5"/>
    <s v="1-01-01-02-023-BANK TROCAIRE-0081-004762-06-5FOSI"/>
    <x v="0"/>
    <x v="0"/>
    <x v="0"/>
    <x v="0"/>
    <s v="FOSI"/>
    <n v="19147.189999999999"/>
    <n v="0"/>
    <n v="0"/>
    <n v="0"/>
    <n v="19147.189999999999"/>
    <n v="0"/>
    <m/>
    <m/>
    <n v="19147.189999999999"/>
    <n v="0"/>
    <n v="19147.189999999999"/>
  </r>
  <r>
    <s v="1-01-01-02-023"/>
    <s v="BANK TROCAIRE-0081-004762-06-5"/>
    <s v="1-01-01-02-023-BANK TROCAIRE-0081-004762-06-5DAI"/>
    <x v="0"/>
    <x v="0"/>
    <x v="0"/>
    <x v="0"/>
    <s v="DAI"/>
    <n v="5686929"/>
    <n v="6486523.9500000002"/>
    <n v="0"/>
    <n v="0"/>
    <n v="5686929"/>
    <n v="6486523.9500000002"/>
    <m/>
    <m/>
    <n v="5686929"/>
    <n v="6486523.9500000002"/>
    <n v="-799594.95000000019"/>
  </r>
  <r>
    <s v="1-01-01-02-024"/>
    <s v="BANK TDH-0081-004762-05-4"/>
    <s v="1-01-01-02-024-BANK TDH-0081-004762-05-4Deezire"/>
    <x v="0"/>
    <x v="0"/>
    <x v="0"/>
    <x v="0"/>
    <s v="Deezire"/>
    <n v="100"/>
    <n v="1024795.76"/>
    <n v="0"/>
    <n v="0"/>
    <n v="100"/>
    <n v="1024795.76"/>
    <m/>
    <m/>
    <n v="100"/>
    <n v="1024795.76"/>
    <n v="-1024695.76"/>
  </r>
  <r>
    <s v="1-01-01-02-024"/>
    <s v="BANK TDH-0081-004762-05-4"/>
    <s v="1-01-01-02-024-BANK TDH-0081-004762-05-4PILER"/>
    <x v="0"/>
    <x v="0"/>
    <x v="0"/>
    <x v="0"/>
    <s v="PILER"/>
    <n v="0"/>
    <n v="118.65"/>
    <n v="0"/>
    <n v="21.06"/>
    <n v="0"/>
    <n v="139.71"/>
    <m/>
    <m/>
    <n v="0"/>
    <n v="139.71"/>
    <n v="-139.71"/>
  </r>
  <r>
    <s v="1-01-01-02-024"/>
    <s v="BANK TDH-0081-004762-05-4"/>
    <s v="1-01-01-02-024-BANK TDH-0081-004762-05-4TDH"/>
    <x v="0"/>
    <x v="0"/>
    <x v="0"/>
    <x v="0"/>
    <s v="TDH"/>
    <n v="40198.14"/>
    <n v="0"/>
    <n v="0"/>
    <n v="0"/>
    <n v="40198.14"/>
    <n v="0"/>
    <m/>
    <m/>
    <n v="40198.14"/>
    <n v="0"/>
    <n v="40198.14"/>
  </r>
  <r>
    <s v="1-01-01-02-024"/>
    <s v="BANK TDH-0081-004762-05-4"/>
    <s v="1-01-01-02-024-BANK TDH-0081-004762-05-4FNV"/>
    <x v="0"/>
    <x v="0"/>
    <x v="0"/>
    <x v="0"/>
    <s v="FNV"/>
    <n v="1024932.63"/>
    <n v="40295.300000000003"/>
    <n v="0"/>
    <n v="0"/>
    <n v="1024932.63"/>
    <n v="40295.300000000003"/>
    <m/>
    <m/>
    <n v="1024932.63"/>
    <n v="40295.300000000003"/>
    <n v="984637.33"/>
  </r>
  <r>
    <s v="1-01-01-02-025"/>
    <s v="BANK GRATUITY-0081-004762-09-8"/>
    <s v="1-01-01-02-025-BANK GRATUITY-0081-004762-09-8PILER"/>
    <x v="0"/>
    <x v="0"/>
    <x v="0"/>
    <x v="0"/>
    <s v="PILER"/>
    <n v="22826301.579999998"/>
    <n v="23721004.059999999"/>
    <n v="0"/>
    <n v="0"/>
    <n v="22826301.579999998"/>
    <n v="23721004.059999999"/>
    <m/>
    <m/>
    <n v="22826301.579999998"/>
    <n v="23721004.059999999"/>
    <n v="-894702.48000000045"/>
  </r>
  <r>
    <s v="1-01-01-02-025"/>
    <s v="BANK GRATUITY-0081-004762-09-8"/>
    <s v="1-01-01-02-025-BANK GRATUITY-0081-004762-09-8SHORT"/>
    <x v="0"/>
    <x v="0"/>
    <x v="0"/>
    <x v="0"/>
    <s v="SHORT"/>
    <n v="714000"/>
    <n v="0"/>
    <n v="0"/>
    <n v="0"/>
    <n v="714000"/>
    <n v="0"/>
    <m/>
    <m/>
    <n v="714000"/>
    <n v="0"/>
    <n v="714000"/>
  </r>
  <r>
    <s v="1-01-01-02-025"/>
    <s v="BANK GRATUITY-0081-004762-09-8"/>
    <s v="1-01-01-02-025-BANK GRATUITY-0081-004762-09-8GRC"/>
    <x v="0"/>
    <x v="0"/>
    <x v="0"/>
    <x v="0"/>
    <s v="GRC"/>
    <n v="10118959.199999999"/>
    <n v="9249677.6500000004"/>
    <n v="13903195.390000001"/>
    <n v="13259959.16"/>
    <n v="24022154.59"/>
    <n v="22509636.810000002"/>
    <m/>
    <m/>
    <n v="24022154.59"/>
    <n v="22509636.810000002"/>
    <n v="1512517.7799999975"/>
  </r>
  <r>
    <s v="1-01-01-02-025"/>
    <s v="BANK GRATUITY-0081-004762-09-8"/>
    <s v="1-01-01-02-025-BANK GRATUITY-0081-004762-09-8GRC Own"/>
    <x v="0"/>
    <x v="0"/>
    <x v="0"/>
    <x v="0"/>
    <s v="GRC Own"/>
    <n v="0"/>
    <n v="0"/>
    <n v="9430038.5999999996"/>
    <n v="9551036.7100000009"/>
    <n v="9430038.5999999996"/>
    <n v="9551036.7100000009"/>
    <m/>
    <m/>
    <n v="9430038.5999999996"/>
    <n v="9551036.7100000009"/>
    <n v="-120998.11000000127"/>
  </r>
  <r>
    <s v="1-01-01-02-027"/>
    <s v="BANK DOLLAR-0112-004762-10-9"/>
    <s v="1-01-01-02-027-BANK DOLLAR-0112-004762-10-9PILER"/>
    <x v="0"/>
    <x v="0"/>
    <x v="0"/>
    <x v="0"/>
    <s v="PILER"/>
    <n v="6261.86"/>
    <n v="0"/>
    <n v="0"/>
    <n v="0"/>
    <n v="6261.86"/>
    <n v="0"/>
    <m/>
    <m/>
    <n v="6261.86"/>
    <n v="0"/>
    <n v="6261.86"/>
  </r>
  <r>
    <s v="1-01-01-02-029"/>
    <s v="BANK ICCO PAK-0081-004762-08-7"/>
    <s v="1-01-01-02-029-BANK ICCO PAK-0081-004762-08-7ICCO Pak"/>
    <x v="0"/>
    <x v="0"/>
    <x v="0"/>
    <x v="0"/>
    <s v="ICCO Pak"/>
    <n v="70646.14"/>
    <n v="79.099999999999994"/>
    <n v="0"/>
    <n v="0"/>
    <n v="70646.14"/>
    <n v="79.099999999999994"/>
    <m/>
    <m/>
    <n v="70646.14"/>
    <n v="79.099999999999994"/>
    <n v="70567.039999999994"/>
  </r>
  <r>
    <s v="1-01-01-02-029"/>
    <s v="BANK ICCO PAK-0081-004762-08-7"/>
    <s v="1-01-01-02-029-BANK ICCO PAK-0081-004762-08-7Open Society"/>
    <x v="0"/>
    <x v="0"/>
    <x v="0"/>
    <x v="0"/>
    <s v="Open Society"/>
    <n v="12334249.59"/>
    <n v="12403022.299999999"/>
    <n v="0"/>
    <n v="0"/>
    <n v="12334249.59"/>
    <n v="12403022.299999999"/>
    <m/>
    <m/>
    <n v="12334249.59"/>
    <n v="12403022.299999999"/>
    <n v="-68772.709999999031"/>
  </r>
  <r>
    <s v="1-01-01-02-030"/>
    <s v="BANK TDH PAK-0081-004762-03-2"/>
    <s v="1-01-01-02-030-BANK TDH PAK-0081-004762-03-2TDH Pak"/>
    <x v="0"/>
    <x v="0"/>
    <x v="0"/>
    <x v="0"/>
    <s v="TDH Pak"/>
    <n v="260.10000000000002"/>
    <n v="0"/>
    <n v="0"/>
    <n v="0"/>
    <n v="260.10000000000002"/>
    <n v="0"/>
    <m/>
    <m/>
    <n v="260.10000000000002"/>
    <n v="0"/>
    <n v="260.10000000000002"/>
  </r>
  <r>
    <s v="1-01-01-02-030"/>
    <s v="BANK TDH PAK-0081-004762-03-2"/>
    <s v="1-01-01-02-030-BANK TDH PAK-0081-004762-03-2RRCCHR"/>
    <x v="0"/>
    <x v="0"/>
    <x v="0"/>
    <x v="0"/>
    <s v="RRCCHR"/>
    <n v="0"/>
    <n v="133.94999999999999"/>
    <n v="0"/>
    <n v="0"/>
    <n v="0"/>
    <n v="133.94999999999999"/>
    <m/>
    <m/>
    <n v="0"/>
    <n v="133.94999999999999"/>
    <n v="-133.94999999999999"/>
  </r>
  <r>
    <s v="1-01-01-02-031"/>
    <s v="BANK SMALL PR-0081-004762-07-6"/>
    <s v="1-01-01-02-031-BANK SMALL PR-0081-004762-07-6SHORT PROJECTS"/>
    <x v="0"/>
    <x v="0"/>
    <x v="0"/>
    <x v="0"/>
    <s v="SHORT PROJECTS"/>
    <n v="13399790.25"/>
    <n v="13189765.82"/>
    <n v="0"/>
    <n v="0"/>
    <n v="13399790.25"/>
    <n v="13189765.82"/>
    <m/>
    <m/>
    <n v="13399790.25"/>
    <n v="13189765.82"/>
    <n v="210024.4299999997"/>
  </r>
  <r>
    <s v="1-01-01-02-031"/>
    <s v="BANK SMALL PR-0081-004762-07-6"/>
    <s v="Bank Small Pr-0081-004762-07-6"/>
    <x v="0"/>
    <x v="0"/>
    <x v="0"/>
    <x v="0"/>
    <s v="DAI"/>
    <n v="0"/>
    <n v="180000"/>
    <n v="0"/>
    <n v="0"/>
    <n v="0"/>
    <n v="180000"/>
    <m/>
    <m/>
    <n v="0"/>
    <n v="180000"/>
    <n v="-180000"/>
  </r>
  <r>
    <s v="1-01-02-01-005"/>
    <s v="R/A-TDH-MI REBUILDING LIVE PRO"/>
    <s v="1-01-02-01-005-R/A-TDH-MI REBUILDING LIVE PRODeezire"/>
    <x v="0"/>
    <x v="0"/>
    <x v="1"/>
    <x v="1"/>
    <s v="Deezire"/>
    <n v="7638"/>
    <n v="0"/>
    <n v="0"/>
    <n v="0"/>
    <n v="7638"/>
    <n v="0"/>
    <m/>
    <m/>
    <n v="7638"/>
    <n v="0"/>
    <n v="7638"/>
  </r>
  <r>
    <s v="1-01-02-01-005"/>
    <s v="R/A-TDH-MI REBUILDING LIVE PRO"/>
    <s v="1-01-02-01-005-R/A-TDH-MI REBUILDING LIVE PROPILER"/>
    <x v="0"/>
    <x v="0"/>
    <x v="1"/>
    <x v="1"/>
    <s v="PILER"/>
    <n v="32238"/>
    <n v="0"/>
    <n v="0"/>
    <n v="0"/>
    <n v="32238"/>
    <n v="0"/>
    <m/>
    <m/>
    <n v="32238"/>
    <n v="0"/>
    <n v="32238"/>
  </r>
  <r>
    <s v="1-01-02-01-015"/>
    <s v="RECEIVABLE FROM IUF-QAMARULL"/>
    <s v="1-01-02-01-015-RECEIVABLE FROM IUF-QAMARULLPILER"/>
    <x v="0"/>
    <x v="0"/>
    <x v="1"/>
    <x v="1"/>
    <s v="PILER"/>
    <n v="8160"/>
    <n v="0"/>
    <n v="0"/>
    <n v="0"/>
    <n v="8160"/>
    <n v="0"/>
    <m/>
    <m/>
    <n v="8160"/>
    <n v="0"/>
    <n v="8160"/>
  </r>
  <r>
    <s v="1-01-02-01-016"/>
    <s v="Rec / Pay with Sindh Human RC"/>
    <s v="1-01-02-01-016-Rec / Pay with Sindh Human RCSHORT PROJECTS"/>
    <x v="0"/>
    <x v="0"/>
    <x v="1"/>
    <x v="1"/>
    <s v="SHORT PROJECTS"/>
    <n v="0"/>
    <n v="8065"/>
    <n v="0"/>
    <n v="0"/>
    <n v="0"/>
    <n v="8065"/>
    <m/>
    <m/>
    <n v="0"/>
    <n v="8065"/>
    <n v="-8065"/>
  </r>
  <r>
    <s v="1-01-02-02-001"/>
    <s v="R/A-PAKISTAN LABOUR TRUST(PLT)"/>
    <s v="1-01-02-02-001-R/A-PAKISTAN LABOUR TRUST(PLT)PILER"/>
    <x v="0"/>
    <x v="1"/>
    <x v="2"/>
    <x v="2"/>
    <s v="PILER"/>
    <n v="4846426"/>
    <n v="10746897"/>
    <n v="0"/>
    <n v="0"/>
    <n v="4846426"/>
    <n v="10746897"/>
    <m/>
    <m/>
    <n v="4846426"/>
    <n v="10746897"/>
    <n v="-5900471"/>
  </r>
  <r>
    <s v="1-01-02-02-002"/>
    <s v="W.H. TAX DEDUCTION"/>
    <s v="1-01-02-02-002-W.H. TAX DEDUCTIONDeezire"/>
    <x v="0"/>
    <x v="0"/>
    <x v="1"/>
    <x v="1"/>
    <s v="Deezire"/>
    <n v="12147.56"/>
    <n v="0"/>
    <n v="0"/>
    <n v="0"/>
    <n v="12147.56"/>
    <n v="0"/>
    <m/>
    <m/>
    <n v="12147.56"/>
    <n v="0"/>
    <n v="12147.56"/>
  </r>
  <r>
    <s v="1-01-02-02-002"/>
    <s v="W.H. TAX DEDUCTION"/>
    <s v="1-01-02-02-002-W.H. TAX DEDUCTIONPILER"/>
    <x v="0"/>
    <x v="0"/>
    <x v="1"/>
    <x v="1"/>
    <s v="PILER"/>
    <n v="434455.6"/>
    <n v="0"/>
    <n v="0"/>
    <n v="0"/>
    <n v="434455.6"/>
    <n v="0"/>
    <m/>
    <m/>
    <n v="434455.6"/>
    <n v="0"/>
    <n v="434455.6"/>
  </r>
  <r>
    <s v="1-01-02-02-002"/>
    <s v="W.H. TAX DEDUCTION"/>
    <s v="1-01-02-02-002-W.H. TAX DEDUCTIONTDH &amp; MI"/>
    <x v="0"/>
    <x v="0"/>
    <x v="1"/>
    <x v="1"/>
    <s v="TDH &amp; MI"/>
    <n v="54597"/>
    <n v="0"/>
    <n v="0"/>
    <n v="0"/>
    <n v="54597"/>
    <n v="0"/>
    <m/>
    <m/>
    <n v="54597"/>
    <n v="0"/>
    <n v="54597"/>
  </r>
  <r>
    <s v="1-01-02-02-002"/>
    <s v="W.H. TAX DEDUCTION"/>
    <s v="1-01-02-02-002-W.H. TAX DEDUCTIONSHORT PROJECTS"/>
    <x v="0"/>
    <x v="0"/>
    <x v="1"/>
    <x v="1"/>
    <s v="SHORT PROJECTS"/>
    <n v="18270.469999999998"/>
    <n v="0"/>
    <n v="0"/>
    <n v="0"/>
    <n v="18270.469999999998"/>
    <n v="0"/>
    <m/>
    <m/>
    <n v="18270.469999999998"/>
    <n v="0"/>
    <n v="18270.469999999998"/>
  </r>
  <r>
    <s v="1-01-02-02-002"/>
    <s v="W.H. TAX DEDUCTION"/>
    <s v="1-01-02-02-002-W.H. TAX DEDUCTIONUNICEF-3"/>
    <x v="0"/>
    <x v="0"/>
    <x v="1"/>
    <x v="1"/>
    <s v="UNICEF-3"/>
    <n v="5422.94"/>
    <n v="0"/>
    <n v="0"/>
    <n v="0"/>
    <n v="5422.94"/>
    <n v="0"/>
    <m/>
    <m/>
    <n v="5422.94"/>
    <n v="0"/>
    <n v="5422.94"/>
  </r>
  <r>
    <s v="1-01-02-02-002"/>
    <s v="W.H. TAX DEDUCTION"/>
    <s v="1-01-02-02-002-W.H. TAX DEDUCTIONRRCCHR"/>
    <x v="0"/>
    <x v="0"/>
    <x v="1"/>
    <x v="1"/>
    <s v="RRCCHR"/>
    <n v="25.1"/>
    <n v="0"/>
    <n v="0"/>
    <n v="0"/>
    <n v="25.1"/>
    <n v="0"/>
    <m/>
    <m/>
    <n v="25.1"/>
    <n v="0"/>
    <n v="25.1"/>
  </r>
  <r>
    <s v="1-01-02-02-002"/>
    <s v="W.H. TAX DEDUCTION"/>
    <s v="1-01-02-02-002-W.H. TAX DEDUCTIONOpen Society"/>
    <x v="0"/>
    <x v="0"/>
    <x v="1"/>
    <x v="1"/>
    <s v="Open Society"/>
    <n v="21544.61"/>
    <n v="0"/>
    <n v="0"/>
    <n v="0"/>
    <n v="21544.61"/>
    <n v="0"/>
    <m/>
    <m/>
    <n v="21544.61"/>
    <n v="0"/>
    <n v="21544.61"/>
  </r>
  <r>
    <s v="1-01-02-02-002"/>
    <s v="W.H. TAX DEDUCTION"/>
    <s v="1-01-02-02-002-W.H. TAX DEDUCTIONETI"/>
    <x v="0"/>
    <x v="0"/>
    <x v="1"/>
    <x v="1"/>
    <s v="ETI"/>
    <n v="15526.27"/>
    <n v="0"/>
    <n v="0"/>
    <n v="0"/>
    <n v="15526.27"/>
    <n v="0"/>
    <m/>
    <m/>
    <n v="15526.27"/>
    <n v="0"/>
    <n v="15526.27"/>
  </r>
  <r>
    <s v="1-01-02-02-002"/>
    <s v="W.H. TAX DEDUCTION"/>
    <s v="1-01-02-02-002-W.H. TAX DEDUCTIONFOSI"/>
    <x v="0"/>
    <x v="0"/>
    <x v="1"/>
    <x v="1"/>
    <s v="FOSI"/>
    <n v="15961.81"/>
    <n v="0"/>
    <n v="0"/>
    <n v="0"/>
    <n v="15961.81"/>
    <n v="0"/>
    <m/>
    <m/>
    <n v="15961.81"/>
    <n v="0"/>
    <n v="15961.81"/>
  </r>
  <r>
    <s v="1-01-02-02-002"/>
    <s v="W.H. TAX DEDUCTION"/>
    <s v="1-01-02-02-002-W.H. TAX DEDUCTIONFNV"/>
    <x v="0"/>
    <x v="0"/>
    <x v="1"/>
    <x v="1"/>
    <s v="FNV"/>
    <n v="2595.3200000000002"/>
    <n v="0"/>
    <n v="0"/>
    <n v="0"/>
    <n v="2595.3200000000002"/>
    <n v="0"/>
    <m/>
    <m/>
    <n v="2595.3200000000002"/>
    <n v="0"/>
    <n v="2595.3200000000002"/>
  </r>
  <r>
    <s v="1-01-02-02-002"/>
    <s v="W.H. TAX DEDUCTION"/>
    <s v="1-01-02-02-002-W.H. TAX DEDUCTIONDAI"/>
    <x v="0"/>
    <x v="0"/>
    <x v="1"/>
    <x v="1"/>
    <s v="DAI"/>
    <n v="4.55"/>
    <n v="0"/>
    <n v="0"/>
    <n v="0"/>
    <n v="4.55"/>
    <n v="0"/>
    <m/>
    <m/>
    <n v="4.55"/>
    <n v="0"/>
    <n v="4.55"/>
  </r>
  <r>
    <s v="1-01-02-02-004"/>
    <s v="SECURITY DEPOPSIT"/>
    <s v="1-01-02-02-004-SECURITY DEPOPSITPILER"/>
    <x v="0"/>
    <x v="0"/>
    <x v="1"/>
    <x v="3"/>
    <s v="PILER"/>
    <n v="319700"/>
    <n v="200000"/>
    <n v="0"/>
    <n v="0"/>
    <n v="319700"/>
    <n v="200000"/>
    <m/>
    <m/>
    <n v="319700"/>
    <n v="200000"/>
    <n v="119700"/>
  </r>
  <r>
    <s v="1-01-02-02-005"/>
    <s v="OTHERS RECEIVABLE"/>
    <s v="1-01-02-02-005-OTHERS RECEIVABLEPILER"/>
    <x v="0"/>
    <x v="0"/>
    <x v="1"/>
    <x v="4"/>
    <s v="PILER"/>
    <n v="2810000"/>
    <n v="2750000"/>
    <n v="0"/>
    <n v="0"/>
    <n v="2810000"/>
    <n v="2750000"/>
    <m/>
    <m/>
    <n v="2810000"/>
    <n v="2750000"/>
    <n v="60000"/>
  </r>
  <r>
    <s v="1-01-02-02-005"/>
    <s v="OTHERS RECEIVABLE"/>
    <s v="1-01-02-02-005-OTHERS RECEIVABLESHORT PROJECTS"/>
    <x v="0"/>
    <x v="0"/>
    <x v="1"/>
    <x v="4"/>
    <s v="SHORT PROJECTS"/>
    <n v="3571"/>
    <n v="0"/>
    <n v="0"/>
    <n v="0"/>
    <n v="3571"/>
    <n v="0"/>
    <m/>
    <m/>
    <n v="3571"/>
    <n v="0"/>
    <n v="3571"/>
  </r>
  <r>
    <s v="1-01-02-02-005"/>
    <s v="OTHERS RECEIVABLE"/>
    <s v="1-01-02-02-005-OTHERS RECEIVABLEUNICEF-2"/>
    <x v="0"/>
    <x v="0"/>
    <x v="1"/>
    <x v="4"/>
    <s v="UNICEF-2"/>
    <n v="100"/>
    <n v="0"/>
    <n v="0"/>
    <n v="0"/>
    <n v="100"/>
    <n v="0"/>
    <m/>
    <m/>
    <n v="100"/>
    <n v="0"/>
    <n v="100"/>
  </r>
  <r>
    <s v="1-01-02-02-005"/>
    <s v="OTHERS RECEIVABLE"/>
    <s v="1-01-02-02-005-OTHERS RECEIVABLEOpen Society"/>
    <x v="0"/>
    <x v="0"/>
    <x v="1"/>
    <x v="4"/>
    <s v="Open Society"/>
    <n v="37320"/>
    <n v="0"/>
    <n v="0"/>
    <n v="0"/>
    <n v="37320"/>
    <n v="0"/>
    <m/>
    <m/>
    <n v="37320"/>
    <n v="0"/>
    <n v="37320"/>
  </r>
  <r>
    <s v="1-01-02-02-013"/>
    <s v="RECEIVABLE FROM RIDA ALI"/>
    <s v="1-01-02-02-013-RECEIVABLE FROM RIDA ALIPILER"/>
    <x v="0"/>
    <x v="0"/>
    <x v="1"/>
    <x v="1"/>
    <s v="PILER"/>
    <n v="1400"/>
    <n v="0"/>
    <n v="0"/>
    <n v="0"/>
    <n v="1400"/>
    <n v="0"/>
    <m/>
    <m/>
    <n v="1400"/>
    <n v="0"/>
    <n v="1400"/>
  </r>
  <r>
    <s v="1-01-02-02-023"/>
    <s v="RECEIVABLE FROM ZULFIQAR SHAH"/>
    <s v="1-01-02-02-023-RECEIVABLE FROM ZULFIQAR SHAHPILER"/>
    <x v="0"/>
    <x v="0"/>
    <x v="1"/>
    <x v="1"/>
    <s v="PILER"/>
    <n v="372335"/>
    <n v="340773"/>
    <n v="0"/>
    <n v="0"/>
    <n v="372335"/>
    <n v="340773"/>
    <m/>
    <m/>
    <n v="372335"/>
    <n v="340773"/>
    <n v="31562"/>
  </r>
  <r>
    <s v="1-01-02-02-024"/>
    <s v="RECEIVABLE FROM ZEENIA SHOUKAT"/>
    <s v="1-01-02-02-024-RECEIVABLE FROM ZEENIA SHOUKATETI"/>
    <x v="0"/>
    <x v="0"/>
    <x v="1"/>
    <x v="1"/>
    <s v="ETI"/>
    <n v="17670"/>
    <n v="0"/>
    <n v="0"/>
    <n v="0"/>
    <n v="17670"/>
    <n v="0"/>
    <m/>
    <m/>
    <n v="17670"/>
    <n v="0"/>
    <n v="17670"/>
  </r>
  <r>
    <s v="1-01-02-02-029"/>
    <s v="RECEIVABLE FROM FARHAT FATIMA"/>
    <s v="1-01-02-02-029-RECEIVABLE FROM FARHAT FATIMAPILER"/>
    <x v="0"/>
    <x v="0"/>
    <x v="1"/>
    <x v="1"/>
    <s v="PILER"/>
    <n v="95"/>
    <n v="0"/>
    <n v="0"/>
    <n v="0"/>
    <n v="95"/>
    <n v="0"/>
    <m/>
    <m/>
    <n v="95"/>
    <n v="0"/>
    <n v="95"/>
  </r>
  <r>
    <s v="1-01-02-02-029"/>
    <s v="RECEIVABLE FROM FARHAT FATIMA"/>
    <s v="1-01-02-02-029-RECEIVABLE FROM FARHAT FATIMAUNICEF-2"/>
    <x v="0"/>
    <x v="0"/>
    <x v="1"/>
    <x v="1"/>
    <s v="UNICEF-2"/>
    <n v="50"/>
    <n v="0"/>
    <n v="0"/>
    <n v="0"/>
    <n v="50"/>
    <n v="0"/>
    <m/>
    <m/>
    <n v="50"/>
    <n v="0"/>
    <n v="50"/>
  </r>
  <r>
    <s v="1-01-02-02-036"/>
    <s v="RECEIVABLE FROM NOBAHAR"/>
    <s v="1-01-02-02-036-RECEIVABLE FROM NOBAHARTrocaire"/>
    <x v="0"/>
    <x v="0"/>
    <x v="1"/>
    <x v="1"/>
    <s v="Trocaire"/>
    <n v="50"/>
    <n v="0"/>
    <n v="0"/>
    <n v="0"/>
    <n v="50"/>
    <n v="0"/>
    <m/>
    <m/>
    <n v="50"/>
    <n v="0"/>
    <n v="50"/>
  </r>
  <r>
    <s v="1-01-02-02-038"/>
    <s v="RECEIVABLE FROM SHUJAUDDIN"/>
    <s v="1-01-02-02-038-RECEIVABLE FROM SHUJAUDDINTrocaire"/>
    <x v="0"/>
    <x v="0"/>
    <x v="1"/>
    <x v="1"/>
    <s v="Trocaire"/>
    <n v="50"/>
    <n v="0"/>
    <n v="0"/>
    <n v="0"/>
    <n v="50"/>
    <n v="0"/>
    <m/>
    <m/>
    <n v="50"/>
    <n v="0"/>
    <n v="50"/>
  </r>
  <r>
    <s v="1-01-02-02-038"/>
    <s v="RECEIVABLE FROM SHUJAUDDIN"/>
    <s v="1-01-02-02-038-RECEIVABLE FROM SHUJAUDDINPILER"/>
    <x v="0"/>
    <x v="0"/>
    <x v="1"/>
    <x v="1"/>
    <s v="PILER"/>
    <n v="129540"/>
    <n v="0"/>
    <n v="0"/>
    <n v="0"/>
    <n v="129540"/>
    <n v="0"/>
    <m/>
    <m/>
    <n v="129540"/>
    <n v="0"/>
    <n v="129540"/>
  </r>
  <r>
    <s v="1-01-02-02-040"/>
    <s v="RECEIVABLE FROM KARAMAT ALI"/>
    <s v="1-01-02-02-040-RECEIVABLE FROM KARAMAT ALIDeezire"/>
    <x v="0"/>
    <x v="0"/>
    <x v="1"/>
    <x v="1"/>
    <s v="Deezire"/>
    <n v="11780"/>
    <n v="0"/>
    <n v="0"/>
    <n v="0"/>
    <n v="11780"/>
    <n v="0"/>
    <m/>
    <m/>
    <n v="11780"/>
    <n v="0"/>
    <n v="11780"/>
  </r>
  <r>
    <s v="1-01-02-02-040"/>
    <s v="RECEIVABLE FROM KARAMAT ALI"/>
    <s v="1-01-02-02-040-RECEIVABLE FROM KARAMAT ALIPILER"/>
    <x v="0"/>
    <x v="0"/>
    <x v="1"/>
    <x v="1"/>
    <s v="PILER"/>
    <n v="38713"/>
    <n v="0"/>
    <n v="0"/>
    <n v="0"/>
    <n v="38713"/>
    <n v="0"/>
    <m/>
    <m/>
    <n v="38713"/>
    <n v="0"/>
    <n v="38713"/>
  </r>
  <r>
    <s v="1-01-02-02-042"/>
    <s v="RECEIVABLE FROM DANISH"/>
    <s v="1-01-02-02-042-RECEIVABLE FROM DANISHTrocaire"/>
    <x v="0"/>
    <x v="0"/>
    <x v="1"/>
    <x v="1"/>
    <s v="Trocaire"/>
    <n v="50"/>
    <n v="0"/>
    <n v="0"/>
    <n v="0"/>
    <n v="50"/>
    <n v="0"/>
    <m/>
    <m/>
    <n v="50"/>
    <n v="0"/>
    <n v="50"/>
  </r>
  <r>
    <s v="1-01-02-02-042"/>
    <s v="RECEIVABLE FROM DANISH"/>
    <s v="1-01-02-02-042-RECEIVABLE FROM DANISHETI"/>
    <x v="0"/>
    <x v="0"/>
    <x v="1"/>
    <x v="1"/>
    <s v="ETI"/>
    <n v="90"/>
    <n v="0"/>
    <n v="0"/>
    <n v="0"/>
    <n v="90"/>
    <n v="0"/>
    <m/>
    <m/>
    <n v="90"/>
    <n v="0"/>
    <n v="90"/>
  </r>
  <r>
    <s v="1-01-02-02-043"/>
    <s v="RECEIVABLE FROM PERVEZ AHMED"/>
    <s v="1-01-02-02-043-RECEIVABLE FROM PERVEZ AHMEDDeezire"/>
    <x v="0"/>
    <x v="0"/>
    <x v="1"/>
    <x v="1"/>
    <s v="Deezire"/>
    <n v="80"/>
    <n v="0"/>
    <n v="0"/>
    <n v="0"/>
    <n v="80"/>
    <n v="0"/>
    <m/>
    <m/>
    <n v="80"/>
    <n v="0"/>
    <n v="80"/>
  </r>
  <r>
    <s v="1-01-02-02-043"/>
    <s v="RECEIVABLE FROM PERVEZ AHMED"/>
    <s v="1-01-02-02-043-RECEIVABLE FROM PERVEZ AHMEDPILER"/>
    <x v="0"/>
    <x v="0"/>
    <x v="1"/>
    <x v="1"/>
    <s v="PILER"/>
    <n v="5591"/>
    <n v="0"/>
    <n v="0"/>
    <n v="0"/>
    <n v="5591"/>
    <n v="0"/>
    <m/>
    <m/>
    <n v="5591"/>
    <n v="0"/>
    <n v="5591"/>
  </r>
  <r>
    <s v="1-01-02-02-043"/>
    <s v="RECEIVABLE FROM PERVEZ AHMED"/>
    <s v="1-01-02-02-043-RECEIVABLE FROM PERVEZ AHMEDSHORT PROJECTS"/>
    <x v="0"/>
    <x v="0"/>
    <x v="1"/>
    <x v="1"/>
    <s v="SHORT PROJECTS"/>
    <n v="22"/>
    <n v="0"/>
    <n v="0"/>
    <n v="0"/>
    <n v="22"/>
    <n v="0"/>
    <m/>
    <m/>
    <n v="22"/>
    <n v="0"/>
    <n v="22"/>
  </r>
  <r>
    <s v="1-01-02-02-043"/>
    <s v="RECEIVABLE FROM PERVEZ AHMED"/>
    <s v="1-01-02-02-043-RECEIVABLE FROM PERVEZ AHMEDUNICEF-2"/>
    <x v="0"/>
    <x v="0"/>
    <x v="1"/>
    <x v="1"/>
    <s v="UNICEF-2"/>
    <n v="0"/>
    <n v="240"/>
    <n v="0"/>
    <n v="0"/>
    <n v="0"/>
    <n v="240"/>
    <m/>
    <m/>
    <n v="0"/>
    <n v="240"/>
    <n v="-240"/>
  </r>
  <r>
    <s v="1-01-02-02-043"/>
    <s v="RECEIVABLE FROM PERVEZ AHMED"/>
    <s v="1-01-02-02-043-RECEIVABLE FROM PERVEZ AHMEDFNV"/>
    <x v="0"/>
    <x v="0"/>
    <x v="1"/>
    <x v="1"/>
    <s v="FNV"/>
    <n v="80"/>
    <n v="0"/>
    <n v="0"/>
    <n v="0"/>
    <n v="80"/>
    <n v="0"/>
    <m/>
    <m/>
    <n v="80"/>
    <n v="0"/>
    <n v="80"/>
  </r>
  <r>
    <s v="1-01-02-02-047"/>
    <s v="RECEIVABLE FROM GHULAM ASGHAR"/>
    <s v="1-01-02-02-047-RECEIVABLE FROM GHULAM ASGHARTAF"/>
    <x v="0"/>
    <x v="0"/>
    <x v="1"/>
    <x v="1"/>
    <s v="TAF"/>
    <n v="50"/>
    <n v="0"/>
    <n v="0"/>
    <n v="0"/>
    <n v="50"/>
    <n v="0"/>
    <m/>
    <m/>
    <n v="50"/>
    <n v="0"/>
    <n v="50"/>
  </r>
  <r>
    <s v="1-01-02-02-048"/>
    <s v="RECEIVABLE FROM MAHER ALI"/>
    <s v="1-01-02-02-048-RECEIVABLE FROM MAHER ALITAF"/>
    <x v="0"/>
    <x v="0"/>
    <x v="1"/>
    <x v="1"/>
    <s v="TAF"/>
    <n v="50"/>
    <n v="0"/>
    <n v="0"/>
    <n v="0"/>
    <n v="50"/>
    <n v="0"/>
    <m/>
    <m/>
    <n v="50"/>
    <n v="0"/>
    <n v="50"/>
  </r>
  <r>
    <s v="1-01-02-02-050"/>
    <s v="RECEIVABLE FROM SHAKEEL AHMED"/>
    <s v="1-01-02-02-050-RECEIVABLE FROM SHAKEEL AHMEDTrocaire"/>
    <x v="0"/>
    <x v="0"/>
    <x v="1"/>
    <x v="1"/>
    <s v="Trocaire"/>
    <n v="50"/>
    <n v="0"/>
    <n v="0"/>
    <n v="0"/>
    <n v="50"/>
    <n v="0"/>
    <m/>
    <m/>
    <n v="50"/>
    <n v="0"/>
    <n v="50"/>
  </r>
  <r>
    <s v="1-01-02-02-051"/>
    <s v="RECEIVABLE FROM SHAZAD ALI SHA"/>
    <s v="1-01-02-02-051-RECEIVABLE FROM SHAZAD ALI SHATrocaire"/>
    <x v="0"/>
    <x v="0"/>
    <x v="1"/>
    <x v="1"/>
    <s v="Trocaire"/>
    <n v="50"/>
    <n v="0"/>
    <n v="0"/>
    <n v="0"/>
    <n v="50"/>
    <n v="0"/>
    <m/>
    <m/>
    <n v="50"/>
    <n v="0"/>
    <n v="50"/>
  </r>
  <r>
    <s v="1-01-02-02-052"/>
    <s v="RECEIVABLE FROM FARHAN"/>
    <s v="1-01-02-02-052-RECEIVABLE FROM FARHANTrocaire"/>
    <x v="0"/>
    <x v="0"/>
    <x v="1"/>
    <x v="1"/>
    <s v="Trocaire"/>
    <n v="50"/>
    <n v="0"/>
    <n v="0"/>
    <n v="0"/>
    <n v="50"/>
    <n v="0"/>
    <m/>
    <m/>
    <n v="50"/>
    <n v="0"/>
    <n v="50"/>
  </r>
  <r>
    <s v="1-01-02-02-053"/>
    <s v="RECEIVABLE FROM ABBAS HAIDER"/>
    <s v="1-01-02-02-053-RECEIVABLE FROM ABBAS HAIDERDeezire"/>
    <x v="0"/>
    <x v="0"/>
    <x v="1"/>
    <x v="1"/>
    <s v="Deezire"/>
    <n v="0"/>
    <n v="240"/>
    <n v="0"/>
    <n v="0"/>
    <n v="0"/>
    <n v="240"/>
    <m/>
    <m/>
    <n v="0"/>
    <n v="240"/>
    <n v="-240"/>
  </r>
  <r>
    <s v="1-01-02-02-053"/>
    <s v="RECEIVABLE FROM ABBAS HAIDER"/>
    <s v="1-01-02-02-053-RECEIVABLE FROM ABBAS HAIDERPILER"/>
    <x v="0"/>
    <x v="0"/>
    <x v="1"/>
    <x v="1"/>
    <s v="PILER"/>
    <n v="84"/>
    <n v="0"/>
    <n v="10247"/>
    <n v="10247"/>
    <n v="10331"/>
    <n v="10247"/>
    <m/>
    <n v="10247"/>
    <n v="10331"/>
    <n v="20494"/>
    <n v="-10163"/>
  </r>
  <r>
    <s v="1-01-02-02-053"/>
    <s v="RECEIVABLE FROM ABBAS HAIDER"/>
    <s v="1-01-02-02-053-RECEIVABLE FROM ABBAS HAIDERUNICEF-2"/>
    <x v="0"/>
    <x v="0"/>
    <x v="1"/>
    <x v="1"/>
    <s v="UNICEF-2"/>
    <n v="50"/>
    <n v="0"/>
    <n v="0"/>
    <n v="0"/>
    <n v="50"/>
    <n v="0"/>
    <m/>
    <m/>
    <n v="50"/>
    <n v="0"/>
    <n v="50"/>
  </r>
  <r>
    <s v="1-01-02-02-053"/>
    <s v="RECEIVABLE FROM ABBAS HAIDER"/>
    <s v="1-01-02-02-053-RECEIVABLE FROM ABBAS HAIDERGRC"/>
    <x v="0"/>
    <x v="0"/>
    <x v="1"/>
    <x v="1"/>
    <s v="GRC"/>
    <n v="0"/>
    <n v="0"/>
    <n v="1000000"/>
    <n v="1000000"/>
    <n v="1000000"/>
    <n v="1000000"/>
    <m/>
    <m/>
    <n v="1000000"/>
    <n v="1000000"/>
    <n v="0"/>
  </r>
  <r>
    <s v="1-01-02-02-054"/>
    <s v="RECEIVABLE FROM ABIDA SHARAFAT"/>
    <s v="1-01-02-02-054-RECEIVABLE FROM ABIDA SHARAFATUNICEF-2"/>
    <x v="0"/>
    <x v="0"/>
    <x v="1"/>
    <x v="1"/>
    <s v="UNICEF-2"/>
    <n v="50"/>
    <n v="0"/>
    <n v="0"/>
    <n v="0"/>
    <n v="50"/>
    <n v="0"/>
    <m/>
    <m/>
    <n v="50"/>
    <n v="0"/>
    <n v="50"/>
  </r>
  <r>
    <s v="1-01-02-02-055"/>
    <s v="RECEIVABLE FROM MIR MULADAD"/>
    <s v="1-01-02-02-055-RECEIVABLE FROM MIR MULADADUNICEF-2"/>
    <x v="0"/>
    <x v="0"/>
    <x v="1"/>
    <x v="1"/>
    <s v="UNICEF-2"/>
    <n v="50"/>
    <n v="0"/>
    <n v="0"/>
    <n v="0"/>
    <n v="50"/>
    <n v="0"/>
    <m/>
    <m/>
    <n v="50"/>
    <n v="0"/>
    <n v="50"/>
  </r>
  <r>
    <s v="1-01-02-02-056"/>
    <s v="RECEIVABLE FROM SANA RUBAB"/>
    <s v="1-01-02-02-056-RECEIVABLE FROM SANA RUBABUNICEF-2"/>
    <x v="0"/>
    <x v="0"/>
    <x v="1"/>
    <x v="1"/>
    <s v="UNICEF-2"/>
    <n v="50"/>
    <n v="0"/>
    <n v="0"/>
    <n v="0"/>
    <n v="50"/>
    <n v="0"/>
    <m/>
    <m/>
    <n v="50"/>
    <n v="0"/>
    <n v="50"/>
  </r>
  <r>
    <s v="1-01-02-03-003"/>
    <s v="ADVANCE TO GOHAR ALI"/>
    <s v="1-01-02-03-003-ADVANCE TO GOHAR ALIPILER"/>
    <x v="0"/>
    <x v="0"/>
    <x v="1"/>
    <x v="5"/>
    <s v="PILER"/>
    <n v="2450"/>
    <n v="0"/>
    <n v="0"/>
    <n v="0"/>
    <n v="2450"/>
    <n v="0"/>
    <m/>
    <m/>
    <n v="2450"/>
    <n v="0"/>
    <n v="2450"/>
  </r>
  <r>
    <s v="1-01-02-03-003"/>
    <s v="ADVANCE TO GOHAR ALI"/>
    <s v="1-01-02-03-003-ADVANCE TO GOHAR ALITDH"/>
    <x v="0"/>
    <x v="0"/>
    <x v="1"/>
    <x v="5"/>
    <s v="TDH"/>
    <n v="0"/>
    <n v="2450"/>
    <n v="0"/>
    <n v="0"/>
    <n v="0"/>
    <n v="2450"/>
    <m/>
    <m/>
    <n v="0"/>
    <n v="2450"/>
    <n v="-2450"/>
  </r>
  <r>
    <s v="1-01-02-03-008"/>
    <s v="ADVANCE TO KHADIM HUSSAIN"/>
    <s v="1-01-02-03-008-ADVANCE TO KHADIM HUSSAINPILER"/>
    <x v="0"/>
    <x v="0"/>
    <x v="1"/>
    <x v="5"/>
    <s v="PILER"/>
    <n v="2406928"/>
    <n v="2436928"/>
    <n v="2317470"/>
    <n v="2317470"/>
    <n v="4724398"/>
    <n v="4754398"/>
    <n v="30000"/>
    <m/>
    <n v="4754398"/>
    <n v="4754398"/>
    <n v="0"/>
  </r>
  <r>
    <s v="1-01-02-03-008"/>
    <s v="ADVANCE TO KHADIM HUSSAIN"/>
    <s v="1-01-02-03-008-ADVANCE TO KHADIM HUSSAINICCO"/>
    <x v="0"/>
    <x v="0"/>
    <x v="1"/>
    <x v="5"/>
    <s v="ICCO"/>
    <n v="50200"/>
    <n v="0"/>
    <n v="0"/>
    <n v="0"/>
    <n v="50200"/>
    <n v="0"/>
    <m/>
    <n v="50200"/>
    <n v="50200"/>
    <n v="50200"/>
    <n v="0"/>
  </r>
  <r>
    <s v="1-01-02-03-008"/>
    <s v="ADVANCE TO KHADIM HUSSAIN"/>
    <s v="1-01-02-03-008-ADVANCE TO KHADIM HUSSAINSHORT PROJECTS"/>
    <x v="0"/>
    <x v="0"/>
    <x v="1"/>
    <x v="5"/>
    <s v="SHORT PROJECTS"/>
    <n v="303365"/>
    <n v="227500"/>
    <n v="0"/>
    <n v="0"/>
    <n v="303365"/>
    <n v="227500"/>
    <m/>
    <n v="75865"/>
    <n v="303365"/>
    <n v="303365"/>
    <n v="0"/>
  </r>
  <r>
    <s v="1-01-02-03-008"/>
    <s v="Advance To Khadim Hussain"/>
    <s v="1-01-02-03-008-Advance To Khadim HussainOpen Society"/>
    <x v="0"/>
    <x v="0"/>
    <x v="1"/>
    <x v="5"/>
    <s v="Open Society"/>
    <n v="98530"/>
    <n v="98530"/>
    <m/>
    <m/>
    <n v="98530"/>
    <n v="98530"/>
    <m/>
    <m/>
    <n v="98530"/>
    <n v="98530"/>
    <n v="0"/>
  </r>
  <r>
    <s v="1-01-02-03-008"/>
    <s v="ADVANCE TO KHADIM HUSSAIN"/>
    <s v="1-01-02-03-008-ADVANCE TO KHADIM HUSSAINDAI"/>
    <x v="0"/>
    <x v="0"/>
    <x v="1"/>
    <x v="5"/>
    <s v="DAI"/>
    <n v="15150"/>
    <n v="6000"/>
    <n v="0"/>
    <n v="0"/>
    <n v="15150"/>
    <n v="6000"/>
    <m/>
    <n v="9150"/>
    <n v="15150"/>
    <n v="15150"/>
    <n v="0"/>
  </r>
  <r>
    <s v="1-01-02-03-008"/>
    <s v="ADVANCE TO KHADIM HUSSAIN"/>
    <s v="1-01-02-03-008-ADVANCE TO KHADIM HUSSAINGRC"/>
    <x v="0"/>
    <x v="0"/>
    <x v="1"/>
    <x v="5"/>
    <s v="GRC"/>
    <n v="350100"/>
    <n v="350100"/>
    <n v="330000"/>
    <n v="310000"/>
    <n v="680100"/>
    <n v="660100"/>
    <m/>
    <n v="20000"/>
    <n v="680100"/>
    <n v="680100"/>
    <n v="0"/>
  </r>
  <r>
    <s v="1-01-02-03-008"/>
    <s v="ADVANCE TO KHADIM HUSSAIN"/>
    <s v="1-01-02-03-008-ADVANCE TO KHADIM HUSSAINGRC Own"/>
    <x v="0"/>
    <x v="0"/>
    <x v="1"/>
    <x v="5"/>
    <s v="GRC Own"/>
    <n v="0"/>
    <n v="0"/>
    <n v="186000"/>
    <n v="0"/>
    <n v="186000"/>
    <n v="0"/>
    <m/>
    <m/>
    <n v="186000"/>
    <n v="0"/>
    <n v="186000"/>
  </r>
  <r>
    <s v="1-01-02-03-020"/>
    <s v="ADVANCE TO ABBAS HAIDER"/>
    <s v="1-01-02-03-020-ADVANCE TO ABBAS HAIDERPILER"/>
    <x v="0"/>
    <x v="0"/>
    <x v="1"/>
    <x v="5"/>
    <s v="PILER"/>
    <n v="564350"/>
    <n v="477300"/>
    <n v="42000"/>
    <n v="0"/>
    <n v="606350"/>
    <n v="477300"/>
    <m/>
    <n v="87050"/>
    <n v="606350"/>
    <n v="564350"/>
    <n v="42000"/>
  </r>
  <r>
    <s v="1-01-02-03-020"/>
    <s v="ADVANCE TO ABBAS HAIDER"/>
    <s v="1-01-02-03-020-ADVANCE TO ABBAS HAIDERSHORT PROJECTS"/>
    <x v="0"/>
    <x v="0"/>
    <x v="1"/>
    <x v="5"/>
    <s v="SHORT PROJECTS"/>
    <n v="647000"/>
    <n v="697000"/>
    <n v="0"/>
    <n v="0"/>
    <n v="647000"/>
    <n v="697000"/>
    <n v="50000"/>
    <m/>
    <n v="697000"/>
    <n v="697000"/>
    <n v="0"/>
  </r>
  <r>
    <s v="1-01-02-03-020"/>
    <s v="ADVANCE TO ABBAS HAIDER"/>
    <s v="1-01-02-03-020-ADVANCE TO ABBAS HAIDERRRCCHR"/>
    <x v="0"/>
    <x v="0"/>
    <x v="1"/>
    <x v="5"/>
    <s v="RRCCHR"/>
    <n v="4000"/>
    <n v="0"/>
    <n v="0"/>
    <n v="0"/>
    <n v="4000"/>
    <n v="0"/>
    <m/>
    <n v="4000"/>
    <n v="4000"/>
    <n v="4000"/>
    <n v="0"/>
  </r>
  <r>
    <s v="1-01-02-03-041"/>
    <s v="ADVANCE TO M.RAFIQUE"/>
    <s v="1-01-02-03-041-ADVANCE TO M.RAFIQUETDH &amp; MI"/>
    <x v="0"/>
    <x v="0"/>
    <x v="1"/>
    <x v="5"/>
    <s v="TDH &amp; MI"/>
    <n v="300000"/>
    <n v="5050"/>
    <n v="0"/>
    <n v="300000"/>
    <n v="300000"/>
    <n v="305050"/>
    <n v="5050"/>
    <m/>
    <n v="305050"/>
    <n v="305050"/>
    <n v="0"/>
  </r>
  <r>
    <s v="1-01-02-03-116"/>
    <s v="Advance to Zameer Awan"/>
    <s v="1-01-02-03-116-Advance to Zameer AwanPILER"/>
    <x v="0"/>
    <x v="0"/>
    <x v="1"/>
    <x v="5"/>
    <s v="PILER"/>
    <n v="70000"/>
    <n v="70000"/>
    <n v="321000"/>
    <n v="321000"/>
    <n v="391000"/>
    <n v="391000"/>
    <m/>
    <m/>
    <n v="391000"/>
    <n v="391000"/>
    <n v="0"/>
  </r>
  <r>
    <s v="1-01-02-03-123"/>
    <s v="Advance against Expenses"/>
    <s v="1-01-02-03-123Advance against Expenses"/>
    <x v="0"/>
    <x v="0"/>
    <x v="1"/>
    <x v="5"/>
    <s v="PILER"/>
    <n v="231282"/>
    <n v="70000"/>
    <n v="560500"/>
    <n v="670500"/>
    <n v="791782"/>
    <n v="740500"/>
    <m/>
    <m/>
    <n v="791782"/>
    <n v="740500"/>
    <n v="51282"/>
  </r>
  <r>
    <s v="1-01-02-03-123"/>
    <s v="Advance against Expenses"/>
    <s v="1-01-02-03-123-Advance against ExpensesGRC"/>
    <x v="0"/>
    <x v="0"/>
    <x v="1"/>
    <x v="5"/>
    <s v="GRC"/>
    <n v="0"/>
    <n v="0"/>
    <n v="134750"/>
    <n v="186032"/>
    <n v="134750"/>
    <n v="186032"/>
    <m/>
    <m/>
    <n v="134750"/>
    <n v="186032"/>
    <n v="-51282"/>
  </r>
  <r>
    <s v="1-01-02-03-123"/>
    <s v="Advance against Expenses"/>
    <s v="1-01-02-03-123-Advance against ExpensesGRC Own"/>
    <x v="0"/>
    <x v="0"/>
    <x v="1"/>
    <x v="5"/>
    <s v="GRC Own"/>
    <n v="0"/>
    <n v="0"/>
    <n v="10000"/>
    <n v="10000"/>
    <n v="10000"/>
    <n v="10000"/>
    <m/>
    <m/>
    <n v="10000"/>
    <n v="10000"/>
    <n v="0"/>
  </r>
  <r>
    <s v="1-01-02-04-001"/>
    <s v="ADVANCE AGAINST SALARIES"/>
    <s v="1-01-02-04-001-ADVANCE AGAINST SALARIESPILER"/>
    <x v="0"/>
    <x v="0"/>
    <x v="1"/>
    <x v="6"/>
    <s v="PILER"/>
    <n v="2732235"/>
    <n v="2702235"/>
    <n v="193947"/>
    <n v="183947"/>
    <n v="2926182"/>
    <n v="2886182"/>
    <m/>
    <m/>
    <n v="2926182"/>
    <n v="2886182"/>
    <n v="40000"/>
  </r>
  <r>
    <s v="1-01-02-04-001"/>
    <s v="ADVANCE AGAINST SALARIES"/>
    <s v="1-01-02-04-001-ADVANCE AGAINST SALARIESSHORT PROJECTS"/>
    <x v="0"/>
    <x v="0"/>
    <x v="1"/>
    <x v="6"/>
    <s v="SHORT PROJECTS"/>
    <n v="0"/>
    <n v="0"/>
    <n v="0"/>
    <n v="0"/>
    <n v="0"/>
    <n v="0"/>
    <m/>
    <m/>
    <n v="0"/>
    <n v="0"/>
    <n v="0"/>
  </r>
  <r>
    <s v="1-01-02-04-001"/>
    <s v="ADVANCE AGAINST SALARIES"/>
    <s v="Advance Against Salaries"/>
    <x v="0"/>
    <x v="0"/>
    <x v="1"/>
    <x v="6"/>
    <s v="GRC"/>
    <n v="95000"/>
    <n v="95000"/>
    <n v="40000"/>
    <n v="40000"/>
    <n v="135000"/>
    <n v="135000"/>
    <m/>
    <m/>
    <n v="135000"/>
    <n v="135000"/>
    <n v="0"/>
  </r>
  <r>
    <s v="1-01-02-04-001"/>
    <s v="ADVANCE AGAINST SALARIES"/>
    <s v="1-01-02-04-001-ADVANCE AGAINST SALARIESGRC Own"/>
    <x v="0"/>
    <x v="0"/>
    <x v="1"/>
    <x v="6"/>
    <s v="GRC Own"/>
    <n v="0"/>
    <n v="0"/>
    <n v="80000"/>
    <n v="30000"/>
    <n v="80000"/>
    <n v="30000"/>
    <m/>
    <m/>
    <n v="80000"/>
    <n v="30000"/>
    <n v="50000"/>
  </r>
  <r>
    <s v="1-01-02-04-002"/>
    <s v="STAFF LOAN"/>
    <s v="1-01-02-04-002-STAFF LOANPILER"/>
    <x v="0"/>
    <x v="0"/>
    <x v="1"/>
    <x v="7"/>
    <s v="PILER"/>
    <n v="0"/>
    <n v="0"/>
    <n v="305000"/>
    <n v="73000"/>
    <n v="305000"/>
    <n v="73000"/>
    <m/>
    <m/>
    <n v="305000"/>
    <n v="73000"/>
    <n v="232000"/>
  </r>
  <r>
    <s v="1-01-02-04-002"/>
    <s v="STAFF LOAN"/>
    <s v="1-01-02-04-002-STAFF LOANGRC"/>
    <x v="0"/>
    <x v="0"/>
    <x v="1"/>
    <x v="7"/>
    <s v="GRC"/>
    <n v="0"/>
    <n v="0"/>
    <n v="0"/>
    <n v="30000"/>
    <n v="0"/>
    <n v="30000"/>
    <m/>
    <m/>
    <n v="0"/>
    <n v="30000"/>
    <n v="-30000"/>
  </r>
  <r>
    <s v="1-01-02-04-005"/>
    <s v="Advance to hikmat ali"/>
    <s v="1-01-02-04-005-Advance to hikmat aliPILER"/>
    <x v="0"/>
    <x v="0"/>
    <x v="1"/>
    <x v="5"/>
    <s v="PILER"/>
    <n v="111000"/>
    <n v="111000"/>
    <n v="5000"/>
    <n v="5000"/>
    <n v="116000"/>
    <n v="116000"/>
    <m/>
    <m/>
    <n v="116000"/>
    <n v="116000"/>
    <n v="0"/>
  </r>
  <r>
    <s v="1-01-02-05-001"/>
    <s v="PREPAID INSURANCE"/>
    <s v="Prepaid Insurance"/>
    <x v="0"/>
    <x v="0"/>
    <x v="1"/>
    <x v="8"/>
    <s v="PILER"/>
    <n v="0"/>
    <n v="0"/>
    <n v="0"/>
    <n v="0"/>
    <n v="0"/>
    <n v="0"/>
    <m/>
    <m/>
    <n v="0"/>
    <n v="0"/>
    <n v="0"/>
  </r>
  <r>
    <s v="1-01-02-05-003"/>
    <s v="PREPAYMENTS"/>
    <s v="1-01-02-05-003-PREPAYMENTSPILER"/>
    <x v="0"/>
    <x v="0"/>
    <x v="1"/>
    <x v="8"/>
    <s v="PILER"/>
    <n v="9167"/>
    <n v="9167"/>
    <n v="0"/>
    <n v="0"/>
    <n v="9167"/>
    <n v="9167"/>
    <m/>
    <m/>
    <n v="9167"/>
    <n v="9167"/>
    <n v="0"/>
  </r>
  <r>
    <s v="1-02-02-01-001"/>
    <s v="PLOT# ST.001, X-V, PILER CENTR"/>
    <s v="1-02-02-01-001-PLOT# ST.001, X-V, PILER CENTRPILER"/>
    <x v="0"/>
    <x v="2"/>
    <x v="3"/>
    <x v="9"/>
    <s v="PILER"/>
    <n v="1721000"/>
    <n v="0"/>
    <n v="0"/>
    <n v="0"/>
    <n v="1721000"/>
    <n v="0"/>
    <m/>
    <m/>
    <n v="1721000"/>
    <n v="0"/>
    <n v="1721000"/>
  </r>
  <r>
    <s v="1-02-02-02-001"/>
    <s v="BUILDING LEASE HOLD LAND"/>
    <s v="1-02-02-02-001-BUILDING LEASE HOLD LANDPILER"/>
    <x v="0"/>
    <x v="2"/>
    <x v="3"/>
    <x v="10"/>
    <s v="PILER"/>
    <n v="22763814"/>
    <n v="0"/>
    <n v="0"/>
    <n v="0"/>
    <n v="22763814"/>
    <n v="0"/>
    <m/>
    <m/>
    <n v="22763814"/>
    <n v="0"/>
    <n v="22763814"/>
  </r>
  <r>
    <s v="1-02-02-02-002"/>
    <s v="ACCUMULATED DEPRECIATION BUILD"/>
    <s v="1-02-02-02-002-ACCUMULATED DEPRECIATION BUILDPILER"/>
    <x v="0"/>
    <x v="2"/>
    <x v="3"/>
    <x v="11"/>
    <s v="PILER"/>
    <n v="0"/>
    <n v="9631348"/>
    <n v="0"/>
    <n v="455276"/>
    <n v="0"/>
    <n v="10086624"/>
    <m/>
    <m/>
    <n v="0"/>
    <n v="10086624"/>
    <n v="-10086624"/>
  </r>
  <r>
    <s v="1-02-02-03-001"/>
    <s v="GENERATORS"/>
    <s v="1-02-02-03-001-GENERATORSPILER"/>
    <x v="0"/>
    <x v="2"/>
    <x v="3"/>
    <x v="12"/>
    <s v="PILER"/>
    <n v="1244075"/>
    <n v="0"/>
    <n v="0"/>
    <n v="0"/>
    <n v="1244075"/>
    <n v="0"/>
    <m/>
    <m/>
    <n v="1244075"/>
    <n v="0"/>
    <n v="1244075"/>
  </r>
  <r>
    <s v="1-02-02-03-002"/>
    <s v="ACCUMULATED DEPRECIATION GENER"/>
    <s v="1-02-02-03-002-ACCUMULATED DEPRECIATION GENERPILER"/>
    <x v="0"/>
    <x v="2"/>
    <x v="3"/>
    <x v="13"/>
    <s v="PILER"/>
    <n v="10368"/>
    <n v="1193771"/>
    <n v="0"/>
    <n v="62204"/>
    <n v="10368"/>
    <n v="1255975"/>
    <n v="19881"/>
    <m/>
    <n v="30249"/>
    <n v="1255975"/>
    <n v="-1225726"/>
  </r>
  <r>
    <s v="1-02-02-04-001"/>
    <s v="ELECTRICAL INSTALLATIONS"/>
    <s v="1-02-02-04-001-ELECTRICAL INSTALLATIONSPILER"/>
    <x v="0"/>
    <x v="2"/>
    <x v="3"/>
    <x v="14"/>
    <s v="PILER"/>
    <n v="4945458"/>
    <n v="0"/>
    <n v="25000"/>
    <n v="0"/>
    <n v="4970458"/>
    <n v="0"/>
    <m/>
    <m/>
    <n v="4970458"/>
    <n v="0"/>
    <n v="4970458"/>
  </r>
  <r>
    <s v="1-02-02-04-002"/>
    <s v="ACCUMULATED DEPRECIATION ELECT"/>
    <s v="1-02-02-04-002-ACCUMULATED DEPRECIATION ELECTPILER"/>
    <x v="0"/>
    <x v="2"/>
    <x v="3"/>
    <x v="15"/>
    <s v="PILER"/>
    <n v="68126"/>
    <n v="3848932"/>
    <n v="0"/>
    <n v="355637"/>
    <n v="68126"/>
    <n v="4204569"/>
    <m/>
    <m/>
    <n v="68126"/>
    <n v="4204569"/>
    <n v="-4136443"/>
  </r>
  <r>
    <s v="1-02-02-05-001"/>
    <s v="OFFICE EQUIPMENTS"/>
    <s v="1-02-02-05-001-OFFICE EQUIPMENTSPILER"/>
    <x v="0"/>
    <x v="2"/>
    <x v="3"/>
    <x v="16"/>
    <s v="PILER"/>
    <n v="911914"/>
    <n v="0"/>
    <n v="0"/>
    <n v="0"/>
    <n v="911914"/>
    <n v="0"/>
    <m/>
    <m/>
    <n v="911914"/>
    <n v="0"/>
    <n v="911914"/>
  </r>
  <r>
    <s v="1-02-02-05-002"/>
    <s v="ACCUMULATED DEPRECIATION OTHER"/>
    <s v="1-02-02-05-002-ACCUMULATED DEPRECIATION OTHERPILER"/>
    <x v="0"/>
    <x v="2"/>
    <x v="3"/>
    <x v="17"/>
    <s v="PILER"/>
    <n v="77185"/>
    <n v="958595"/>
    <n v="0"/>
    <n v="7068"/>
    <n v="77185"/>
    <n v="965663"/>
    <m/>
    <m/>
    <n v="77185"/>
    <n v="965663"/>
    <n v="-888478"/>
  </r>
  <r>
    <s v="1-02-02-06-001"/>
    <s v="Furniture &amp; Fixtures"/>
    <s v="1-02-02-06-001-Furniture &amp; FixturesGRC"/>
    <x v="0"/>
    <x v="2"/>
    <x v="3"/>
    <x v="18"/>
    <s v="GRC"/>
    <n v="170000"/>
    <n v="170000"/>
    <m/>
    <m/>
    <n v="170000"/>
    <n v="170000"/>
    <m/>
    <m/>
    <n v="170000"/>
    <n v="170000"/>
    <n v="0"/>
  </r>
  <r>
    <s v="1-02-02-06-001"/>
    <s v="FURNITURE &amp; FIXTURES"/>
    <s v="1-02-02-06-001-FURNITURE &amp; FIXTURESPILER"/>
    <x v="0"/>
    <x v="2"/>
    <x v="3"/>
    <x v="18"/>
    <s v="PILER"/>
    <n v="868377"/>
    <n v="0"/>
    <n v="0"/>
    <n v="0"/>
    <n v="868377"/>
    <n v="0"/>
    <m/>
    <m/>
    <n v="868377"/>
    <n v="0"/>
    <n v="868377"/>
  </r>
  <r>
    <s v="1-02-02-06-002"/>
    <s v="ACCUMULATED DEPRECIATION F &amp; F"/>
    <s v="1-02-02-06-002-ACCUMULATED DEPRECIATION F &amp; FPILER"/>
    <x v="0"/>
    <x v="2"/>
    <x v="3"/>
    <x v="19"/>
    <s v="PILER"/>
    <n v="45012"/>
    <n v="882613"/>
    <n v="0"/>
    <n v="9680"/>
    <n v="45012"/>
    <n v="892293"/>
    <m/>
    <m/>
    <n v="45012"/>
    <n v="892293"/>
    <n v="-847281"/>
  </r>
  <r>
    <s v="1-02-02-07-001"/>
    <s v="COMPUTER &amp; LAPTOPS"/>
    <s v="1-02-02-07-001-COMPUTER &amp; LAPTOPSPILER"/>
    <x v="0"/>
    <x v="2"/>
    <x v="3"/>
    <x v="20"/>
    <s v="PILER"/>
    <n v="2903533"/>
    <n v="0"/>
    <n v="0"/>
    <n v="0"/>
    <n v="2903533"/>
    <n v="0"/>
    <n v="0"/>
    <m/>
    <n v="2903533"/>
    <n v="0"/>
    <n v="2903533"/>
  </r>
  <r>
    <s v="1-02-02-07-002"/>
    <s v="ACCUMULATED DEPRECIATION COMPU"/>
    <s v="1-02-02-07-002-ACCUMULATED DEPRECIATION COMPUPILER"/>
    <x v="0"/>
    <x v="2"/>
    <x v="3"/>
    <x v="21"/>
    <s v="PILER"/>
    <n v="5854"/>
    <n v="2909388"/>
    <n v="0"/>
    <n v="0"/>
    <n v="5854"/>
    <n v="2909388"/>
    <m/>
    <n v="0"/>
    <n v="5854"/>
    <n v="2909388"/>
    <n v="-2903534"/>
  </r>
  <r>
    <s v="1-02-02-07-003"/>
    <s v="COMPUTER SOFTWARE"/>
    <s v="1-02-02-07-003-COMPUTER SOFTWAREPILER"/>
    <x v="0"/>
    <x v="2"/>
    <x v="4"/>
    <x v="22"/>
    <s v="PILER"/>
    <n v="549421"/>
    <n v="89325"/>
    <n v="337290"/>
    <n v="0"/>
    <n v="886711"/>
    <n v="89325"/>
    <m/>
    <n v="340197"/>
    <n v="886711"/>
    <n v="429522"/>
    <n v="457189"/>
  </r>
  <r>
    <s v="1-02-02-07-004"/>
    <s v="AMMORTIZATION OF SOFTWARE LICS"/>
    <s v="1-02-02-07-004-AMMORTIZATION OF SOFTWARE LICSPILER"/>
    <x v="0"/>
    <x v="2"/>
    <x v="4"/>
    <x v="23"/>
    <s v="PILER"/>
    <n v="7487"/>
    <n v="458860.66666666669"/>
    <n v="0"/>
    <n v="115326"/>
    <n v="7487"/>
    <n v="574186.66666666674"/>
    <n v="115326"/>
    <m/>
    <n v="122813"/>
    <n v="574186.66666666674"/>
    <n v="-451373.66666666674"/>
  </r>
  <r>
    <s v="1-02-02-07-004"/>
    <s v="AMMORTIZATION OF SOFTWARE LICS"/>
    <s v="Ammortization Of Software Lics"/>
    <x v="0"/>
    <x v="2"/>
    <x v="4"/>
    <x v="23"/>
    <s v="ETI"/>
    <n v="0"/>
    <n v="0"/>
    <n v="0"/>
    <n v="0"/>
    <n v="0"/>
    <n v="0"/>
    <m/>
    <m/>
    <n v="0"/>
    <n v="0"/>
    <n v="0"/>
  </r>
  <r>
    <s v="1-02-02-08-001"/>
    <s v="MOTOR VEHICLES"/>
    <s v="1-02-02-08-001-MOTOR VEHICLESPILER"/>
    <x v="0"/>
    <x v="2"/>
    <x v="3"/>
    <x v="24"/>
    <s v="PILER"/>
    <n v="2534605"/>
    <n v="1426000"/>
    <n v="0"/>
    <n v="0"/>
    <n v="2534605"/>
    <n v="1426000"/>
    <m/>
    <m/>
    <n v="2534605"/>
    <n v="1426000"/>
    <n v="1108605"/>
  </r>
  <r>
    <s v="1-02-02-08-002"/>
    <s v="ACCUMULTED DEPRECIATION MOTORS"/>
    <s v="1-02-02-08-002-ACCUMULTED DEPRECIATION MOTORSPILER"/>
    <x v="0"/>
    <x v="2"/>
    <x v="3"/>
    <x v="25"/>
    <s v="PILER"/>
    <n v="1384994"/>
    <n v="2493599"/>
    <n v="0"/>
    <n v="0"/>
    <n v="1384994"/>
    <n v="2493599"/>
    <m/>
    <m/>
    <n v="1384994"/>
    <n v="2493599"/>
    <n v="-1108605"/>
  </r>
  <r>
    <s v="1-02-02-09-001"/>
    <s v="BOOKS"/>
    <s v="1-02-02-09-001-BOOKSPILER"/>
    <x v="0"/>
    <x v="2"/>
    <x v="3"/>
    <x v="26"/>
    <s v="PILER"/>
    <n v="308439"/>
    <n v="0"/>
    <n v="0"/>
    <n v="0"/>
    <n v="308439"/>
    <n v="0"/>
    <m/>
    <m/>
    <n v="308439"/>
    <n v="0"/>
    <n v="308439"/>
  </r>
  <r>
    <s v="1-02-02-04-001"/>
    <s v="Electrical Installations"/>
    <s v="1-02-02-04-001-Electrical InstallationsGRC"/>
    <x v="0"/>
    <x v="2"/>
    <x v="3"/>
    <x v="14"/>
    <s v="GRC"/>
    <n v="147330"/>
    <n v="147330"/>
    <m/>
    <m/>
    <n v="147330"/>
    <n v="147330"/>
    <m/>
    <m/>
    <n v="147330"/>
    <n v="147330"/>
    <n v="0"/>
  </r>
  <r>
    <s v="1-02-02-09-002"/>
    <s v="ACCUMULTED DEPRECIATION BOOKS"/>
    <s v="1-02-02-09-002-ACCUMULTED DEPRECIATION BOOKSPILER"/>
    <x v="0"/>
    <x v="2"/>
    <x v="3"/>
    <x v="27"/>
    <s v="PILER"/>
    <n v="0"/>
    <n v="308439"/>
    <n v="0"/>
    <n v="0"/>
    <n v="0"/>
    <n v="308439"/>
    <m/>
    <m/>
    <n v="0"/>
    <n v="308439"/>
    <n v="-308439"/>
  </r>
  <r>
    <s v="2-01-01-01-010"/>
    <s v="AUDIT FEE PAYABLE"/>
    <s v="2-01-01-01-010-AUDIT FEE PAYABLEPILER"/>
    <x v="0"/>
    <x v="1"/>
    <x v="5"/>
    <x v="28"/>
    <s v="PILER"/>
    <n v="2133440"/>
    <n v="2825362"/>
    <n v="432000"/>
    <n v="432000"/>
    <n v="2565440"/>
    <n v="3257362"/>
    <m/>
    <m/>
    <n v="2565440"/>
    <n v="3257362"/>
    <n v="-691922"/>
  </r>
  <r>
    <s v="2-01-01-01-025"/>
    <s v="PAYABLE TO HAMZA GABOOL"/>
    <s v="2-01-01-01-025-PAYABLE TO HAMZA GABOOLPILER"/>
    <x v="0"/>
    <x v="1"/>
    <x v="5"/>
    <x v="29"/>
    <s v="PILER"/>
    <n v="0"/>
    <n v="177"/>
    <n v="0"/>
    <n v="0"/>
    <n v="0"/>
    <n v="177"/>
    <m/>
    <m/>
    <n v="0"/>
    <n v="177"/>
    <n v="-177"/>
  </r>
  <r>
    <s v="2-01-01-01-030"/>
    <s v="PAYABLE TO SHUJAUDDIN"/>
    <s v="2-01-01-01-030-PAYABLE TO SHUJAUDDINTrocaire"/>
    <x v="0"/>
    <x v="1"/>
    <x v="5"/>
    <x v="29"/>
    <s v="Trocaire"/>
    <n v="0"/>
    <n v="50"/>
    <n v="0"/>
    <n v="0"/>
    <n v="0"/>
    <n v="50"/>
    <m/>
    <m/>
    <n v="0"/>
    <n v="50"/>
    <n v="-50"/>
  </r>
  <r>
    <s v="2-01-01-01-030"/>
    <s v="PAYABLE TO SHUJAUDDIN"/>
    <s v="2-01-01-01-030-PAYABLE TO SHUJAUDDINOpen Society"/>
    <x v="0"/>
    <x v="1"/>
    <x v="5"/>
    <x v="29"/>
    <s v="Open Society"/>
    <n v="159420"/>
    <n v="159423"/>
    <n v="0"/>
    <n v="0"/>
    <n v="159420"/>
    <n v="159423"/>
    <m/>
    <m/>
    <n v="159420"/>
    <n v="159423"/>
    <n v="-3"/>
  </r>
  <r>
    <s v="2-01-01-01-031"/>
    <s v="NEPAL EARTHQUAKE"/>
    <s v="2-01-01-01-031-NEPAL EARTHQUAKEPILER"/>
    <x v="0"/>
    <x v="1"/>
    <x v="5"/>
    <x v="29"/>
    <s v="PILER"/>
    <n v="0"/>
    <n v="75698"/>
    <n v="0"/>
    <n v="0"/>
    <n v="0"/>
    <n v="75698"/>
    <m/>
    <m/>
    <n v="0"/>
    <n v="75698"/>
    <n v="-75698"/>
  </r>
  <r>
    <s v="2-01-01-01-033"/>
    <s v="PAYABLE TO MULA BUKSH"/>
    <s v="2-01-01-01-033-PAYABLE TO MULA BUKSHTAF"/>
    <x v="0"/>
    <x v="1"/>
    <x v="5"/>
    <x v="29"/>
    <s v="TAF"/>
    <n v="0"/>
    <n v="464"/>
    <n v="0"/>
    <n v="0"/>
    <n v="0"/>
    <n v="464"/>
    <m/>
    <m/>
    <n v="0"/>
    <n v="464"/>
    <n v="-464"/>
  </r>
  <r>
    <s v="2-01-01-01-034"/>
    <s v="PAYABLE TO ALTAF HUSSAIN"/>
    <s v="2-01-01-01-034-PAYABLE TO ALTAF HUSSAINPILER"/>
    <x v="0"/>
    <x v="1"/>
    <x v="5"/>
    <x v="29"/>
    <s v="PILER"/>
    <n v="0"/>
    <n v="500"/>
    <n v="0"/>
    <n v="0"/>
    <n v="0"/>
    <n v="500"/>
    <m/>
    <m/>
    <n v="0"/>
    <n v="500"/>
    <n v="-500"/>
  </r>
  <r>
    <s v="2-01-01-01-036"/>
    <s v="PAYABLE TO SPO"/>
    <s v="2-01-01-01-036-PAYABLE TO SPOUNICEF-2"/>
    <x v="0"/>
    <x v="1"/>
    <x v="5"/>
    <x v="29"/>
    <s v="UNICEF-2"/>
    <n v="0"/>
    <n v="35940"/>
    <n v="0"/>
    <n v="0"/>
    <n v="0"/>
    <n v="35940"/>
    <m/>
    <m/>
    <n v="0"/>
    <n v="35940"/>
    <n v="-35940"/>
  </r>
  <r>
    <s v="2-01-01-01-037"/>
    <s v="PAYABLE TO GOHAR"/>
    <s v="2-01-01-01-037-PAYABLE TO GOHARPILER"/>
    <x v="0"/>
    <x v="1"/>
    <x v="5"/>
    <x v="29"/>
    <s v="PILER"/>
    <n v="0"/>
    <n v="68623"/>
    <n v="0"/>
    <n v="0"/>
    <n v="0"/>
    <n v="68623"/>
    <m/>
    <m/>
    <n v="0"/>
    <n v="68623"/>
    <n v="-68623"/>
  </r>
  <r>
    <s v="2-01-01-01-038"/>
    <s v="Payable to Danish"/>
    <s v="2-01-01-01-038-Payable to DanishDAI"/>
    <x v="0"/>
    <x v="1"/>
    <x v="5"/>
    <x v="29"/>
    <s v="DAI"/>
    <n v="0"/>
    <n v="275"/>
    <n v="0"/>
    <n v="0"/>
    <n v="0"/>
    <n v="275"/>
    <m/>
    <m/>
    <n v="0"/>
    <n v="275"/>
    <n v="-275"/>
  </r>
  <r>
    <s v="2-01-01-01-040"/>
    <s v="Payable to Zulfiqar Ali Shah"/>
    <s v="2-01-01-01-040-Payable to Zulfiqar Ali ShahOpen Society"/>
    <x v="0"/>
    <x v="1"/>
    <x v="5"/>
    <x v="29"/>
    <s v="Open Society"/>
    <n v="0"/>
    <n v="370"/>
    <n v="0"/>
    <n v="0"/>
    <n v="0"/>
    <n v="370"/>
    <m/>
    <m/>
    <n v="0"/>
    <n v="370"/>
    <n v="-370"/>
  </r>
  <r>
    <s v="2-01-01-02-001"/>
    <s v="PAKISTAN LABOUR TRUST"/>
    <s v="2-01-01-02-001-PAKISTAN LABOUR TRUSTPILER"/>
    <x v="0"/>
    <x v="1"/>
    <x v="2"/>
    <x v="2"/>
    <s v="PILER"/>
    <n v="8323684"/>
    <n v="8323684"/>
    <n v="0"/>
    <n v="0"/>
    <n v="8323684"/>
    <n v="8323684"/>
    <m/>
    <m/>
    <n v="8323684"/>
    <n v="8323684"/>
    <n v="0"/>
  </r>
  <r>
    <s v="2-01-01-02-022"/>
    <s v="PAYABLE TO KHADIM"/>
    <s v="2-01-01-02-022-PAYABLE TO KHADIMPILER"/>
    <x v="0"/>
    <x v="1"/>
    <x v="5"/>
    <x v="29"/>
    <s v="PILER"/>
    <n v="0"/>
    <n v="131479"/>
    <n v="0"/>
    <n v="0"/>
    <n v="0"/>
    <n v="131479"/>
    <m/>
    <m/>
    <n v="0"/>
    <n v="131479"/>
    <n v="-131479"/>
  </r>
  <r>
    <s v="2-01-01-02-022"/>
    <s v="PAYABLE TO KHADIM"/>
    <s v="2-01-01-02-022-PAYABLE TO KHADIMSHORT PROJECTS"/>
    <x v="0"/>
    <x v="1"/>
    <x v="5"/>
    <x v="29"/>
    <s v="SHORT PROJECTS"/>
    <n v="0"/>
    <n v="322"/>
    <n v="0"/>
    <n v="0"/>
    <n v="0"/>
    <n v="322"/>
    <m/>
    <m/>
    <n v="0"/>
    <n v="322"/>
    <n v="-322"/>
  </r>
  <r>
    <s v="2-01-01-02-027"/>
    <s v="PAYABLE TO PERVEZ"/>
    <s v="2-01-01-02-027-PAYABLE TO PERVEZUnicef"/>
    <x v="0"/>
    <x v="1"/>
    <x v="5"/>
    <x v="29"/>
    <s v="Unicef"/>
    <n v="0"/>
    <n v="2020"/>
    <n v="0"/>
    <n v="0"/>
    <n v="0"/>
    <n v="2020"/>
    <m/>
    <m/>
    <n v="0"/>
    <n v="2020"/>
    <n v="-2020"/>
  </r>
  <r>
    <s v="2-01-01-02-027"/>
    <s v="PAYABLE TO PERVEZ"/>
    <s v="2-01-01-02-027-PAYABLE TO PERVEZDeezire"/>
    <x v="0"/>
    <x v="1"/>
    <x v="5"/>
    <x v="29"/>
    <s v="Deezire"/>
    <n v="0"/>
    <n v="1810"/>
    <n v="0"/>
    <n v="0"/>
    <n v="0"/>
    <n v="1810"/>
    <m/>
    <m/>
    <n v="0"/>
    <n v="1810"/>
    <n v="-1810"/>
  </r>
  <r>
    <s v="2-01-01-02-027"/>
    <s v="PAYABLE TO PERVEZ"/>
    <s v="2-01-01-02-027-PAYABLE TO PERVEZPILER"/>
    <x v="0"/>
    <x v="1"/>
    <x v="5"/>
    <x v="29"/>
    <s v="PILER"/>
    <n v="0"/>
    <n v="6300"/>
    <n v="0"/>
    <n v="0"/>
    <n v="0"/>
    <n v="6300"/>
    <m/>
    <m/>
    <n v="0"/>
    <n v="6300"/>
    <n v="-6300"/>
  </r>
  <r>
    <s v="2-01-01-02-027"/>
    <s v="PAYABLE TO PERVEZ"/>
    <s v="2-01-01-02-027-PAYABLE TO PERVEZSHORT PROJECTS"/>
    <x v="0"/>
    <x v="1"/>
    <x v="5"/>
    <x v="29"/>
    <s v="SHORT PROJECTS"/>
    <n v="0"/>
    <n v="10250"/>
    <n v="0"/>
    <n v="0"/>
    <n v="0"/>
    <n v="10250"/>
    <m/>
    <m/>
    <n v="0"/>
    <n v="10250"/>
    <n v="-10250"/>
  </r>
  <r>
    <s v="2-01-01-02-027"/>
    <s v="PAYABLE TO PERVEZ"/>
    <s v="2-01-01-02-027-PAYABLE TO PERVEZUNICEF-2"/>
    <x v="0"/>
    <x v="1"/>
    <x v="5"/>
    <x v="29"/>
    <s v="UNICEF-2"/>
    <n v="0"/>
    <n v="132"/>
    <n v="0"/>
    <n v="0"/>
    <n v="0"/>
    <n v="132"/>
    <m/>
    <m/>
    <n v="0"/>
    <n v="132"/>
    <n v="-132"/>
  </r>
  <r>
    <s v="2-01-01-02-027"/>
    <s v="PAYABLE TO PERVEZ"/>
    <s v="2-01-01-02-027-PAYABLE TO PERVEZDAI"/>
    <x v="0"/>
    <x v="1"/>
    <x v="5"/>
    <x v="29"/>
    <s v="DAI"/>
    <n v="0"/>
    <n v="33400"/>
    <n v="0"/>
    <n v="0"/>
    <n v="0"/>
    <n v="33400"/>
    <m/>
    <m/>
    <n v="0"/>
    <n v="33400"/>
    <n v="-33400"/>
  </r>
  <r>
    <s v="2-01-01-02-033"/>
    <s v="PLT LOAN PAYABLE"/>
    <s v="2-01-01-02-033-PLT LOAN PAYABLEPILER"/>
    <x v="0"/>
    <x v="1"/>
    <x v="2"/>
    <x v="2"/>
    <s v="PILER"/>
    <n v="36167146"/>
    <n v="72802368"/>
    <n v="0"/>
    <n v="0"/>
    <n v="36167146"/>
    <n v="72802368"/>
    <m/>
    <m/>
    <n v="36167146"/>
    <n v="72802368"/>
    <n v="-36635222"/>
  </r>
  <r>
    <s v="2-01-01-02-035"/>
    <s v="PAYABLE TO M.YOUNIS"/>
    <s v="2-01-01-02-035-PAYABLE TO M.YOUNISPILER"/>
    <x v="0"/>
    <x v="1"/>
    <x v="5"/>
    <x v="29"/>
    <s v="PILER"/>
    <n v="0"/>
    <n v="96906"/>
    <n v="0"/>
    <n v="0"/>
    <n v="0"/>
    <n v="96906"/>
    <m/>
    <m/>
    <n v="0"/>
    <n v="96906"/>
    <n v="-96906"/>
  </r>
  <r>
    <s v="2-01-01-02-037"/>
    <s v="Payable to Maher Ali"/>
    <s v="2-01-01-02-037-Payable to Maher AliOpen Society"/>
    <x v="0"/>
    <x v="1"/>
    <x v="5"/>
    <x v="29"/>
    <s v="Open Society"/>
    <n v="0"/>
    <n v="2"/>
    <n v="0"/>
    <n v="0"/>
    <n v="0"/>
    <n v="2"/>
    <m/>
    <m/>
    <n v="0"/>
    <n v="2"/>
    <n v="-2"/>
  </r>
  <r>
    <s v="2-01-02-01-001"/>
    <s v="SALARIES PAYABLE"/>
    <s v="2-01-02-01-001-SALARIES PAYABLEPILER"/>
    <x v="0"/>
    <x v="1"/>
    <x v="5"/>
    <x v="28"/>
    <s v="PILER"/>
    <n v="19048421"/>
    <n v="18997551"/>
    <n v="3551215"/>
    <n v="3548477"/>
    <n v="22599636"/>
    <n v="22546028"/>
    <m/>
    <m/>
    <n v="22599636"/>
    <n v="22546028"/>
    <n v="53608"/>
  </r>
  <r>
    <s v="2-01-02-01-001"/>
    <s v="SALARIES PAYABLE"/>
    <s v="2-01-02-01-001-SALARIES PAYABLEUNICEF-3"/>
    <x v="0"/>
    <x v="1"/>
    <x v="5"/>
    <x v="28"/>
    <s v="UNICEF-3"/>
    <n v="0"/>
    <n v="3"/>
    <n v="0"/>
    <n v="0"/>
    <n v="0"/>
    <n v="3"/>
    <m/>
    <m/>
    <n v="0"/>
    <n v="3"/>
    <n v="-3"/>
  </r>
  <r>
    <s v="2-01-02-01-001"/>
    <s v="SALARIES PAYABLE"/>
    <s v="2-01-02-01-001-SALARIES PAYABLEDAI"/>
    <x v="0"/>
    <x v="1"/>
    <x v="5"/>
    <x v="28"/>
    <s v="DAI"/>
    <n v="3"/>
    <n v="0"/>
    <n v="0"/>
    <n v="0"/>
    <n v="3"/>
    <n v="0"/>
    <m/>
    <m/>
    <n v="3"/>
    <n v="0"/>
    <n v="3"/>
  </r>
  <r>
    <s v="2-01-02-01-001"/>
    <s v="SALARIES PAYABLE"/>
    <s v="2-01-02-01-001-SALARIES PAYABLEGRC"/>
    <x v="0"/>
    <x v="1"/>
    <x v="5"/>
    <x v="28"/>
    <s v="GRC"/>
    <n v="818916"/>
    <n v="819916"/>
    <n v="4805155"/>
    <n v="4952509"/>
    <n v="5624071"/>
    <n v="5772425"/>
    <m/>
    <m/>
    <n v="5624071"/>
    <n v="5772425"/>
    <n v="-148354"/>
  </r>
  <r>
    <s v="2-01-02-01-004"/>
    <s v="WATER &amp; SEWERAGE BILL"/>
    <s v="2-01-02-01-004-WATER &amp; SEWERAGE BILLPILER"/>
    <x v="0"/>
    <x v="1"/>
    <x v="5"/>
    <x v="29"/>
    <s v="PILER"/>
    <n v="0"/>
    <n v="0"/>
    <n v="0"/>
    <n v="0"/>
    <n v="0"/>
    <n v="0"/>
    <m/>
    <m/>
    <n v="0"/>
    <n v="0"/>
    <n v="0"/>
  </r>
  <r>
    <s v="2-01-02-01-005"/>
    <s v="STAFF LUNCH CONTRIBUTION"/>
    <s v="2-01-02-01-005-STAFF LUNCH CONTRIBUTIONPILER"/>
    <x v="0"/>
    <x v="1"/>
    <x v="5"/>
    <x v="29"/>
    <s v="PILER"/>
    <n v="55500"/>
    <n v="57900"/>
    <n v="0"/>
    <n v="0"/>
    <n v="55500"/>
    <n v="57900"/>
    <m/>
    <m/>
    <n v="55500"/>
    <n v="57900"/>
    <n v="-2400"/>
  </r>
  <r>
    <s v="2-01-02-01-009"/>
    <s v="ACCRUED LIABILITIES - 2010"/>
    <s v="2-01-02-01-009-ACCRUED LIABILITIES - 2010PILER"/>
    <x v="0"/>
    <x v="1"/>
    <x v="5"/>
    <x v="28"/>
    <s v="PILER"/>
    <n v="0"/>
    <n v="0"/>
    <n v="0"/>
    <n v="0"/>
    <n v="0"/>
    <n v="0"/>
    <m/>
    <m/>
    <n v="0"/>
    <n v="0"/>
    <n v="0"/>
  </r>
  <r>
    <s v="2-01-02-01-011"/>
    <s v="ACCURED EXPENSES"/>
    <s v="2-01-02-01-011-ACCURED EXPENSESTrocaire"/>
    <x v="0"/>
    <x v="1"/>
    <x v="5"/>
    <x v="28"/>
    <s v="Trocaire"/>
    <n v="5519251"/>
    <n v="4760392.2966282675"/>
    <n v="0"/>
    <n v="0"/>
    <n v="5519251"/>
    <n v="4760392.2966282675"/>
    <m/>
    <m/>
    <n v="5519251"/>
    <n v="4760392.2966282675"/>
    <n v="758858.7033717325"/>
  </r>
  <r>
    <s v="2-01-02-01-011"/>
    <s v="ACCURED EXPENSES"/>
    <s v="2-01-02-01-011-ACCURED EXPENSESPILER"/>
    <x v="0"/>
    <x v="1"/>
    <x v="5"/>
    <x v="28"/>
    <s v="PILER"/>
    <n v="365378"/>
    <n v="3507751.9150929004"/>
    <n v="0"/>
    <n v="0"/>
    <n v="365378"/>
    <n v="3507751.9150929004"/>
    <m/>
    <m/>
    <n v="365378"/>
    <n v="3507751.9150929004"/>
    <n v="-3142373.9150929004"/>
  </r>
  <r>
    <s v="2-01-02-01-011"/>
    <s v="ACCURED EXPENSES"/>
    <s v="2-01-02-01-011-ACCURED EXPENSESDAI"/>
    <x v="0"/>
    <x v="1"/>
    <x v="5"/>
    <x v="28"/>
    <s v="DAI"/>
    <n v="16420"/>
    <n v="16420"/>
    <n v="0"/>
    <n v="0"/>
    <n v="16420"/>
    <n v="16420"/>
    <m/>
    <m/>
    <n v="16420"/>
    <n v="16420"/>
    <n v="0"/>
  </r>
  <r>
    <s v="2-01-02-01-011"/>
    <s v="ACCURED EXPENSES"/>
    <s v="2-01-02-01-011-ACCURED EXPENSESSHORT PROJECTS"/>
    <x v="0"/>
    <x v="1"/>
    <x v="5"/>
    <x v="28"/>
    <s v="SHORT PROJECTS"/>
    <n v="200000"/>
    <n v="740665.4"/>
    <n v="0"/>
    <n v="0"/>
    <n v="200000"/>
    <n v="740665.4"/>
    <m/>
    <m/>
    <n v="200000"/>
    <n v="740665.4"/>
    <n v="-540665.4"/>
  </r>
  <r>
    <s v="2-01-02-01-011"/>
    <s v="ACCURED EXPENSES"/>
    <s v="2-01-02-01-011-ACCURED EXPENSESUNICEF-2"/>
    <x v="0"/>
    <x v="1"/>
    <x v="5"/>
    <x v="28"/>
    <s v="UNICEF-2"/>
    <n v="0"/>
    <n v="20912"/>
    <n v="0"/>
    <n v="0"/>
    <n v="0"/>
    <n v="20912"/>
    <m/>
    <m/>
    <n v="0"/>
    <n v="20912"/>
    <n v="-20912"/>
  </r>
  <r>
    <s v="2-01-02-01-011"/>
    <s v="ACCURED EXPENSES"/>
    <s v="2-01-02-01-011-ACCURED EXPENSESOpen Society"/>
    <x v="0"/>
    <x v="1"/>
    <x v="5"/>
    <x v="28"/>
    <s v="Open Society"/>
    <n v="387834"/>
    <n v="1587834"/>
    <n v="0"/>
    <n v="0"/>
    <n v="387834"/>
    <n v="1587834"/>
    <m/>
    <m/>
    <n v="387834"/>
    <n v="1587834"/>
    <n v="-1200000"/>
  </r>
  <r>
    <s v="2-01-02-01-011"/>
    <s v="ACCURED EXPENSES"/>
    <s v="2-01-02-01-011-ACCURED EXPENSESETI"/>
    <x v="0"/>
    <x v="1"/>
    <x v="5"/>
    <x v="28"/>
    <s v="ETI"/>
    <n v="0"/>
    <n v="0"/>
    <n v="0"/>
    <n v="0"/>
    <n v="0"/>
    <n v="0"/>
    <m/>
    <m/>
    <n v="0"/>
    <n v="0"/>
    <n v="0"/>
  </r>
  <r>
    <s v="2-01-02-01-012"/>
    <s v=" STAFF LOAN PAYABLE"/>
    <s v="2-01-02-01-012- STAFF LOAN PAYABLE"/>
    <x v="0"/>
    <x v="1"/>
    <x v="5"/>
    <x v="28"/>
    <m/>
    <n v="45000"/>
    <n v="45000"/>
    <m/>
    <m/>
    <n v="45000"/>
    <n v="45000"/>
    <m/>
    <m/>
    <n v="45000"/>
    <n v="45000"/>
    <n v="0"/>
  </r>
  <r>
    <s v="2-01-02-01-011"/>
    <s v="ACCURED EXPENSES"/>
    <s v="2-01-02-01-011-ACCURED EXPENSESGRC"/>
    <x v="0"/>
    <x v="1"/>
    <x v="5"/>
    <x v="28"/>
    <s v="GRC"/>
    <n v="0"/>
    <n v="1735920"/>
    <n v="566028"/>
    <n v="0"/>
    <n v="566028"/>
    <n v="1735920"/>
    <m/>
    <m/>
    <n v="566028"/>
    <n v="1735920"/>
    <n v="-1169892"/>
  </r>
  <r>
    <s v="2-01-02-01-015"/>
    <s v="EOBI PAYABLE"/>
    <s v="2-01-02-01-015-EOBI PAYABLEPILER"/>
    <x v="0"/>
    <x v="1"/>
    <x v="5"/>
    <x v="29"/>
    <s v="PILER"/>
    <n v="443775"/>
    <n v="432930"/>
    <n v="224640"/>
    <n v="224640"/>
    <n v="668415"/>
    <n v="657570"/>
    <m/>
    <m/>
    <n v="668415"/>
    <n v="657570"/>
    <n v="10845"/>
  </r>
  <r>
    <s v="2-01-02-01-015"/>
    <s v="EOBI PAYABLE"/>
    <s v="2-01-02-01-015-Eobi Payableshort"/>
    <x v="0"/>
    <x v="1"/>
    <x v="5"/>
    <x v="29"/>
    <s v="SHORT PROJECTS"/>
    <n v="10500"/>
    <n v="0"/>
    <n v="0"/>
    <n v="0"/>
    <n v="10500"/>
    <n v="0"/>
    <m/>
    <m/>
    <n v="10500"/>
    <n v="0"/>
    <n v="10500"/>
  </r>
  <r>
    <s v="2-01-02-01-016"/>
    <s v="SESSI PAYABLE"/>
    <s v="2-01-02-01-016-SESSI PAYABLEPILER"/>
    <x v="0"/>
    <x v="1"/>
    <x v="5"/>
    <x v="29"/>
    <s v="PILER"/>
    <n v="9936"/>
    <n v="14100"/>
    <n v="13960"/>
    <n v="0"/>
    <n v="23896"/>
    <n v="14100"/>
    <m/>
    <m/>
    <n v="23896"/>
    <n v="14100"/>
    <n v="9796"/>
  </r>
  <r>
    <s v="2-01-02-02-001"/>
    <s v="SUPPLIER INCOME TAX WITHHOLD"/>
    <s v="2-01-02-02-001-SUPPLIER INCOME TAX WITHHOLDPILER"/>
    <x v="0"/>
    <x v="1"/>
    <x v="5"/>
    <x v="29"/>
    <s v="PILER"/>
    <n v="1111115"/>
    <n v="1294204"/>
    <n v="578695"/>
    <n v="565543"/>
    <n v="1689810"/>
    <n v="1859747"/>
    <m/>
    <m/>
    <n v="1689810"/>
    <n v="1859747"/>
    <n v="-169937"/>
  </r>
  <r>
    <s v="2-01-02-02-001"/>
    <s v="SUPPLIER INCOME TAX WITHHOLD"/>
    <s v="2-01-02-02-001-SUPPLIER INCOME TAX WITHHOLDGRC"/>
    <x v="0"/>
    <x v="1"/>
    <x v="5"/>
    <x v="29"/>
    <s v="GRC"/>
    <n v="0"/>
    <n v="0"/>
    <n v="0"/>
    <n v="0"/>
    <n v="0"/>
    <n v="0"/>
    <m/>
    <m/>
    <n v="0"/>
    <n v="0"/>
    <n v="0"/>
  </r>
  <r>
    <s v="2-01-02-02-001"/>
    <s v="SUPPLIER INCOME TAX WITHHOLD"/>
    <s v="2-01-02-02-001-SUPPLIER INCOME TAX WITHHOLDGRC Own"/>
    <x v="0"/>
    <x v="1"/>
    <x v="5"/>
    <x v="29"/>
    <s v="GRC Own"/>
    <n v="0"/>
    <n v="0"/>
    <n v="0"/>
    <n v="0"/>
    <n v="0"/>
    <n v="0"/>
    <m/>
    <m/>
    <n v="0"/>
    <n v="0"/>
    <n v="0"/>
  </r>
  <r>
    <s v="2-01-02-02-002"/>
    <s v="STAFF INCOME TAX WITHHOLD"/>
    <s v="2-01-02-02-002-STAFF INCOME TAX WITHHOLDPILER"/>
    <x v="0"/>
    <x v="1"/>
    <x v="5"/>
    <x v="29"/>
    <s v="PILER"/>
    <n v="487691"/>
    <n v="505179"/>
    <n v="350787"/>
    <n v="383779"/>
    <n v="838478"/>
    <n v="888958"/>
    <m/>
    <m/>
    <n v="838478"/>
    <n v="888958"/>
    <n v="-50480"/>
  </r>
  <r>
    <s v="2-01-02-02-002"/>
    <s v="STAFF INCOME TAX WITHHOLD"/>
    <s v="2-01-02-02-002-STAFF INCOME TAX WITHHOLDGRC Own"/>
    <x v="0"/>
    <x v="1"/>
    <x v="5"/>
    <x v="29"/>
    <s v="GRC Own"/>
    <n v="0"/>
    <n v="0"/>
    <n v="0"/>
    <n v="859"/>
    <n v="0"/>
    <n v="859"/>
    <m/>
    <m/>
    <n v="0"/>
    <n v="859"/>
    <n v="-859"/>
  </r>
  <r>
    <s v="2-01-02-02-003"/>
    <s v="PROVISION FOR INCOME TAX"/>
    <s v="2-01-02-02-003-PROVISION FOR INCOME TAX"/>
    <x v="0"/>
    <x v="1"/>
    <x v="5"/>
    <x v="30"/>
    <m/>
    <n v="0"/>
    <n v="0"/>
    <n v="0"/>
    <n v="0"/>
    <n v="0"/>
    <n v="0"/>
    <m/>
    <m/>
    <n v="0"/>
    <n v="0"/>
    <n v="0"/>
  </r>
  <r>
    <s v="2-01-02-02-004"/>
    <s v="SALES TAX WITHHOLD"/>
    <s v="2-01-02-02-004-SALES TAX WITHHOLDPILER"/>
    <x v="0"/>
    <x v="1"/>
    <x v="5"/>
    <x v="29"/>
    <s v="PILER"/>
    <n v="0"/>
    <n v="3106"/>
    <n v="0"/>
    <n v="0"/>
    <n v="0"/>
    <n v="3106"/>
    <m/>
    <m/>
    <n v="0"/>
    <n v="3106"/>
    <n v="-3106"/>
  </r>
  <r>
    <s v="2-01-03-01-002"/>
    <s v="Other Liabilities"/>
    <s v="2-01-03-01-002-Other LiabilitiesPILER"/>
    <x v="0"/>
    <x v="1"/>
    <x v="5"/>
    <x v="29"/>
    <s v="PILER"/>
    <n v="194400"/>
    <n v="383288"/>
    <n v="0"/>
    <n v="0"/>
    <n v="194400"/>
    <n v="383288"/>
    <m/>
    <m/>
    <n v="194400"/>
    <n v="383288"/>
    <n v="-188888"/>
  </r>
  <r>
    <s v="2-01-03-01-002"/>
    <s v="Other Liabilities"/>
    <s v="2-01-03-01-002-Other LiabilitiesTAF"/>
    <x v="0"/>
    <x v="1"/>
    <x v="5"/>
    <x v="29"/>
    <s v="TAF"/>
    <n v="0"/>
    <n v="9710"/>
    <n v="0"/>
    <n v="0"/>
    <n v="0"/>
    <n v="9710"/>
    <m/>
    <m/>
    <n v="0"/>
    <n v="9710"/>
    <n v="-9710"/>
  </r>
  <r>
    <s v="2-01-03-01-002"/>
    <s v="Other Liabilities"/>
    <s v="Other Liabilities"/>
    <x v="0"/>
    <x v="1"/>
    <x v="5"/>
    <x v="29"/>
    <s v="PILER"/>
    <n v="207000"/>
    <n v="329130"/>
    <n v="0"/>
    <n v="0"/>
    <n v="207000"/>
    <n v="329130"/>
    <m/>
    <m/>
    <n v="207000"/>
    <n v="329130"/>
    <n v="-122130"/>
  </r>
  <r>
    <s v="2-02-01-01-001"/>
    <s v="STAFF GRATUITY PAYABLE ACCOUNT"/>
    <s v="2-02-01-01-001-STAFF GRATUITY PAYABLE ACCOUNTPILER"/>
    <x v="0"/>
    <x v="1"/>
    <x v="5"/>
    <x v="29"/>
    <s v="PILER"/>
    <n v="0"/>
    <n v="1940564"/>
    <n v="0"/>
    <n v="0"/>
    <n v="0"/>
    <n v="1940564"/>
    <m/>
    <m/>
    <n v="0"/>
    <n v="1940564"/>
    <n v="-1940564"/>
  </r>
  <r>
    <s v="2-02-01-01-02"/>
    <s v="Payable to Indus Solar Intl"/>
    <s v="2-02-01-01-02-Payable to Indus Solar IntlPILER"/>
    <x v="0"/>
    <x v="3"/>
    <x v="6"/>
    <x v="31"/>
    <s v="PILER"/>
    <n v="105750"/>
    <n v="615750"/>
    <n v="0"/>
    <n v="0"/>
    <n v="105750"/>
    <n v="615750"/>
    <m/>
    <m/>
    <n v="105750"/>
    <n v="615750"/>
    <n v="-510000"/>
  </r>
  <r>
    <s v="3-01-01-01-001"/>
    <s v="FUND BALANCE"/>
    <s v="3-01-01-01-001-FUND BALANCEPILER"/>
    <x v="0"/>
    <x v="4"/>
    <x v="7"/>
    <x v="32"/>
    <s v="PILER"/>
    <n v="73356131.310025007"/>
    <n v="0"/>
    <n v="0"/>
    <n v="0"/>
    <n v="73356131.310025007"/>
    <n v="0"/>
    <m/>
    <m/>
    <n v="73356131.310025007"/>
    <n v="0"/>
    <n v="73356131.310025007"/>
  </r>
  <r>
    <s v="3-01-01-01-009"/>
    <s v="DEZAIRE FUND BALANCE"/>
    <s v="3-01-01-01-009-DEZAIRE FUND BALANCEDeezire"/>
    <x v="0"/>
    <x v="4"/>
    <x v="7"/>
    <x v="32"/>
    <s v="Deezire"/>
    <n v="0"/>
    <n v="1641568"/>
    <n v="0"/>
    <n v="0"/>
    <n v="0"/>
    <n v="1641568"/>
    <m/>
    <m/>
    <n v="0"/>
    <n v="1641568"/>
    <n v="-1641568"/>
  </r>
  <r>
    <s v="3-01-01-01-013"/>
    <s v="RCCHR FUND BALANCE"/>
    <s v="3-01-01-01-013-RCCHR FUND BALANCE"/>
    <x v="0"/>
    <x v="4"/>
    <x v="7"/>
    <x v="32"/>
    <m/>
    <n v="0"/>
    <n v="0"/>
    <n v="0"/>
    <n v="0"/>
    <n v="0"/>
    <n v="0"/>
    <m/>
    <m/>
    <n v="0"/>
    <n v="0"/>
    <n v="0"/>
  </r>
  <r>
    <s v="4-02-01-01-001"/>
    <s v="HOSTEL RENT INCOME WITH FOODS"/>
    <s v="4-02-01-01-001-HOSTEL RENT INCOME WITH FOODSPILER"/>
    <x v="1"/>
    <x v="5"/>
    <x v="8"/>
    <x v="33"/>
    <s v="PILER"/>
    <n v="0"/>
    <n v="0"/>
    <n v="30800"/>
    <n v="42000"/>
    <n v="30800"/>
    <n v="42000"/>
    <m/>
    <m/>
    <n v="30800"/>
    <n v="42000"/>
    <n v="-11200"/>
  </r>
  <r>
    <s v="4-02-02-01-001"/>
    <s v="HALL RENTAL INCOME"/>
    <s v="4-02-02-01-001-HALL RENTAL INCOMEPILER"/>
    <x v="1"/>
    <x v="5"/>
    <x v="8"/>
    <x v="33"/>
    <s v="PILER"/>
    <n v="0"/>
    <n v="0"/>
    <n v="0"/>
    <n v="0"/>
    <n v="0"/>
    <n v="0"/>
    <m/>
    <m/>
    <n v="0"/>
    <n v="0"/>
    <n v="0"/>
  </r>
  <r>
    <s v="4-03-01-01-001"/>
    <s v="DONATION FROM LOCAL SOURCE"/>
    <s v="4-03-01-01-001-DONATION FROM LOCAL SOURCEPILER"/>
    <x v="1"/>
    <x v="6"/>
    <x v="9"/>
    <x v="34"/>
    <s v="PILER"/>
    <n v="0"/>
    <n v="0"/>
    <n v="126491"/>
    <n v="2319991"/>
    <n v="126491"/>
    <n v="2319991"/>
    <m/>
    <n v="4130432.33"/>
    <n v="126491"/>
    <n v="6450423.3300000001"/>
    <n v="-6323932.3300000001"/>
  </r>
  <r>
    <s v="4-03-01-01-001"/>
    <s v="DONATION FROM LOCAL SOURCE"/>
    <s v="4-03-01-01-001-DONATION FROM LOCAL SOURCESHORT PROJECTS"/>
    <x v="1"/>
    <x v="6"/>
    <x v="9"/>
    <x v="34"/>
    <s v="SHORT PROJECTS"/>
    <n v="0"/>
    <n v="0"/>
    <n v="0"/>
    <n v="0"/>
    <n v="0"/>
    <n v="0"/>
    <m/>
    <m/>
    <n v="0"/>
    <n v="0"/>
    <n v="0"/>
  </r>
  <r>
    <s v="4-03-01-01-001"/>
    <s v="DONATION FROM LOCAL SOURCE"/>
    <s v="4-03-01-01-001-DONATION FROM LOCAL SOURCERRCCHR"/>
    <x v="1"/>
    <x v="6"/>
    <x v="9"/>
    <x v="34"/>
    <s v="RRCCHR"/>
    <n v="0"/>
    <n v="0"/>
    <n v="0"/>
    <n v="0"/>
    <n v="0"/>
    <n v="0"/>
    <m/>
    <m/>
    <n v="0"/>
    <n v="0"/>
    <n v="0"/>
  </r>
  <r>
    <s v="4-03-01-01-001"/>
    <s v="DONATION FROM LOCAL SOURCE"/>
    <s v="4-03-01-01-001-DONATION FROM LOCAL SOURCEETI"/>
    <x v="1"/>
    <x v="6"/>
    <x v="9"/>
    <x v="34"/>
    <s v="ETI"/>
    <n v="0"/>
    <n v="0"/>
    <n v="0"/>
    <n v="0"/>
    <n v="0"/>
    <n v="0"/>
    <m/>
    <m/>
    <n v="0"/>
    <n v="0"/>
    <n v="0"/>
  </r>
  <r>
    <s v="4-03-01-01-001"/>
    <s v="DONATION FROM LOCAL SOURCE"/>
    <s v="4-03-01-01-001-DONATION FROM LOCAL SOURCEFNV"/>
    <x v="1"/>
    <x v="6"/>
    <x v="9"/>
    <x v="34"/>
    <s v="FNV"/>
    <n v="0"/>
    <n v="0"/>
    <n v="0"/>
    <n v="0"/>
    <n v="0"/>
    <n v="0"/>
    <m/>
    <m/>
    <n v="0"/>
    <n v="0"/>
    <n v="0"/>
  </r>
  <r>
    <s v="4-03-01-01-001"/>
    <s v="DONATION FROM LOCAL SOURCE"/>
    <s v="4-03-01-01-001-DONATION FROM LOCAL SOURCEDAI"/>
    <x v="1"/>
    <x v="6"/>
    <x v="9"/>
    <x v="34"/>
    <s v="DAI"/>
    <n v="0"/>
    <n v="0"/>
    <n v="0"/>
    <n v="0"/>
    <n v="0"/>
    <n v="0"/>
    <m/>
    <m/>
    <n v="0"/>
    <n v="0"/>
    <n v="0"/>
  </r>
  <r>
    <s v="4-03-01-02-044"/>
    <s v="Donation from Global Justice-International Labour Rights Forum"/>
    <s v="4-03-01-02-044-Donation from Global Justice-International Labour Rights ForumPILER"/>
    <x v="1"/>
    <x v="6"/>
    <x v="9"/>
    <x v="34"/>
    <s v="PILER"/>
    <n v="0"/>
    <n v="0"/>
    <n v="0"/>
    <n v="6859946.1900000004"/>
    <n v="0"/>
    <n v="6859946.1900000004"/>
    <m/>
    <m/>
    <n v="0"/>
    <n v="6859946.1900000004"/>
    <n v="-6859946.1900000004"/>
  </r>
  <r>
    <s v="4-03-01-02-044"/>
    <s v="Donation from Global Justice-International Labour Rights Forum"/>
    <s v="4-03-01-02-044-Donation from Global Justice-International Labour Rights ForumSHORT PROJECTS"/>
    <x v="1"/>
    <x v="6"/>
    <x v="9"/>
    <x v="34"/>
    <s v="SHORT PROJECTS"/>
    <n v="0"/>
    <n v="0"/>
    <n v="0"/>
    <n v="0"/>
    <n v="0"/>
    <n v="0"/>
    <m/>
    <m/>
    <n v="0"/>
    <n v="0"/>
    <n v="0"/>
  </r>
  <r>
    <s v="4-03-01-02-045"/>
    <s v="Donation from Global Rights Compliance"/>
    <s v="4-03-01-02-045-Donation from Global Rights ComplianceGRC"/>
    <x v="1"/>
    <x v="6"/>
    <x v="9"/>
    <x v="34"/>
    <s v="GRC"/>
    <n v="0"/>
    <n v="0"/>
    <n v="0"/>
    <n v="14814195.390000001"/>
    <n v="0"/>
    <n v="14814195.390000001"/>
    <m/>
    <m/>
    <n v="0"/>
    <n v="14814195.390000001"/>
    <n v="-14814195.390000001"/>
  </r>
  <r>
    <s v="4-03-01-08-001"/>
    <s v="Donation from Labour Behind The Label"/>
    <s v="4-03-01-08-001-Donation from Labour Behind The LabelPILER"/>
    <x v="1"/>
    <x v="6"/>
    <x v="9"/>
    <x v="34"/>
    <s v="PILER"/>
    <n v="0"/>
    <n v="0"/>
    <n v="0"/>
    <n v="1061158.5"/>
    <n v="0"/>
    <n v="1061158.5"/>
    <m/>
    <m/>
    <n v="0"/>
    <n v="1061158.5"/>
    <n v="-1061158.5"/>
  </r>
  <r>
    <s v="4-03-02-01-001"/>
    <s v="Donation from American Bar association"/>
    <s v="4-03-02-01-001-Donation from American Bar associationPILER"/>
    <x v="1"/>
    <x v="6"/>
    <x v="9"/>
    <x v="34"/>
    <s v="PILER"/>
    <n v="0"/>
    <n v="0"/>
    <n v="0"/>
    <n v="7402216.9900000002"/>
    <n v="0"/>
    <n v="7402216.9900000002"/>
    <m/>
    <m/>
    <n v="0"/>
    <n v="7402216.9900000002"/>
    <n v="-7402216.9900000002"/>
  </r>
  <r>
    <s v="4-04-01-01-001"/>
    <s v="OTHER INCOME"/>
    <s v="4-04-01-01-001-OTHER INCOMEPILER"/>
    <x v="1"/>
    <x v="5"/>
    <x v="10"/>
    <x v="35"/>
    <s v="PILER"/>
    <n v="0"/>
    <n v="0"/>
    <n v="0"/>
    <n v="0"/>
    <n v="0"/>
    <n v="0"/>
    <m/>
    <n v="850"/>
    <n v="0"/>
    <n v="850"/>
    <n v="-850"/>
  </r>
  <r>
    <s v="4-04-01-01-007"/>
    <s v="OFFICE RENTAL INCOME"/>
    <s v="4-04-01-01-007-OFFICE RENTAL INCOMEPILER"/>
    <x v="1"/>
    <x v="5"/>
    <x v="8"/>
    <x v="33"/>
    <s v="PILER"/>
    <n v="0"/>
    <n v="0"/>
    <n v="0"/>
    <n v="809784"/>
    <n v="0"/>
    <n v="809784"/>
    <m/>
    <m/>
    <n v="0"/>
    <n v="809784"/>
    <n v="-809784"/>
  </r>
  <r>
    <s v="4-04-01-01-009"/>
    <s v="Closing Account Profit and Loss"/>
    <s v="4-04-01-01-009-Closing Account Profit and LossPILER"/>
    <x v="1"/>
    <x v="5"/>
    <x v="10"/>
    <x v="35"/>
    <s v="PILER"/>
    <n v="0"/>
    <n v="0"/>
    <n v="0"/>
    <n v="12.01"/>
    <n v="0"/>
    <n v="12.01"/>
    <m/>
    <m/>
    <n v="0"/>
    <n v="12.01"/>
    <n v="-12.01"/>
  </r>
  <r>
    <s v="5-01-01-01-001"/>
    <s v="STAFF SALARIES EXPENSE"/>
    <s v="5-01-01-01-001-STAFF SALARIES EXPENSEPILER"/>
    <x v="1"/>
    <x v="7"/>
    <x v="11"/>
    <x v="36"/>
    <s v="PILER"/>
    <n v="0"/>
    <n v="0"/>
    <n v="4360344"/>
    <n v="2619012"/>
    <n v="4360344"/>
    <n v="2619012"/>
    <n v="0"/>
    <m/>
    <n v="4360344"/>
    <n v="2619012"/>
    <n v="1741332"/>
  </r>
  <r>
    <s v="5-01-01-01-002"/>
    <s v="STAFF OVERTIME"/>
    <s v="5-01-01-01-002-STAFF OVERTIMEPILER"/>
    <x v="1"/>
    <x v="8"/>
    <x v="12"/>
    <x v="37"/>
    <s v="PILER"/>
    <n v="0"/>
    <n v="0"/>
    <n v="36000"/>
    <n v="36000"/>
    <n v="36000"/>
    <n v="36000"/>
    <n v="36000"/>
    <m/>
    <n v="72000"/>
    <n v="36000"/>
    <n v="36000"/>
  </r>
  <r>
    <s v="5-01-01-01-005"/>
    <s v="STAFF GRATUITY EXPENSE"/>
    <s v="5-01-01-01-005-STAFF GRATUITY EXPENSEPILER"/>
    <x v="1"/>
    <x v="7"/>
    <x v="11"/>
    <x v="36"/>
    <s v="PILER"/>
    <n v="0"/>
    <n v="0"/>
    <n v="250000"/>
    <n v="0"/>
    <n v="250000"/>
    <n v="0"/>
    <m/>
    <m/>
    <n v="250000"/>
    <n v="0"/>
    <n v="250000"/>
  </r>
  <r>
    <s v="5-01-01-02-001"/>
    <s v="ELECTRICITY EXPENSE"/>
    <s v="5-01-01-02-001-ELECTRICITY EXPENSEPILER"/>
    <x v="1"/>
    <x v="7"/>
    <x v="13"/>
    <x v="38"/>
    <s v="PILER"/>
    <n v="0"/>
    <n v="0"/>
    <n v="851251"/>
    <n v="190818"/>
    <n v="851251"/>
    <n v="190818"/>
    <n v="190818"/>
    <m/>
    <n v="1042069"/>
    <n v="190818"/>
    <n v="851251"/>
  </r>
  <r>
    <s v="5-01-01-02-002"/>
    <s v="GAS CHARGES SSGC"/>
    <s v="5-01-01-02-002-GAS CHARGES SSGCPILER"/>
    <x v="1"/>
    <x v="7"/>
    <x v="13"/>
    <x v="38"/>
    <s v="PILER"/>
    <n v="0"/>
    <n v="0"/>
    <n v="10440"/>
    <n v="0"/>
    <n v="10440"/>
    <n v="0"/>
    <m/>
    <m/>
    <n v="10440"/>
    <n v="0"/>
    <n v="10440"/>
  </r>
  <r>
    <s v="5-01-01-02-003"/>
    <s v="TELEPHONE, MOBILE &amp; INTERNET"/>
    <s v="5-01-01-02-003-TELEPHONE, MOBILE &amp; INTERNETPILER"/>
    <x v="1"/>
    <x v="7"/>
    <x v="14"/>
    <x v="39"/>
    <s v="PILER"/>
    <n v="0"/>
    <n v="0"/>
    <n v="211040"/>
    <n v="5500"/>
    <n v="211040"/>
    <n v="5500"/>
    <n v="5500"/>
    <m/>
    <n v="216540"/>
    <n v="5500"/>
    <n v="211040"/>
  </r>
  <r>
    <s v="5-01-01-02-004"/>
    <s v="WATER &amp; SEWARAGE CHARGES"/>
    <s v="5-01-01-02-004-WATER &amp; SEWARAGE CHARGESPILER"/>
    <x v="1"/>
    <x v="7"/>
    <x v="13"/>
    <x v="38"/>
    <s v="PILER"/>
    <n v="0"/>
    <n v="0"/>
    <n v="109260"/>
    <n v="7500"/>
    <n v="109260"/>
    <n v="7500"/>
    <n v="7500"/>
    <m/>
    <n v="116760"/>
    <n v="7500"/>
    <n v="109260"/>
  </r>
  <r>
    <s v="5-01-01-03-001"/>
    <s v="VEHICLE FUEL EXPENSE"/>
    <s v="5-01-01-03-001-VEHICLE FUEL EXPENSEPILER"/>
    <x v="1"/>
    <x v="7"/>
    <x v="15"/>
    <x v="40"/>
    <s v="PILER"/>
    <n v="0"/>
    <n v="0"/>
    <n v="409388"/>
    <n v="186450"/>
    <n v="409388"/>
    <n v="186450"/>
    <n v="186450"/>
    <m/>
    <n v="595838"/>
    <n v="186450"/>
    <n v="409388"/>
  </r>
  <r>
    <s v="5-01-01-03-002"/>
    <s v="GENERATOR FUEL EXPENSE"/>
    <s v="5-01-01-03-002-GENERATOR FUEL EXPENSEPILER"/>
    <x v="1"/>
    <x v="7"/>
    <x v="15"/>
    <x v="40"/>
    <s v="PILER"/>
    <n v="0"/>
    <n v="0"/>
    <n v="5000"/>
    <n v="0"/>
    <n v="5000"/>
    <n v="0"/>
    <m/>
    <m/>
    <n v="5000"/>
    <n v="0"/>
    <n v="5000"/>
  </r>
  <r>
    <s v="5-01-01-04-001"/>
    <s v="VEHICLE REPAIR &amp; MAINTENANCE"/>
    <s v="5-01-01-04-001-VEHICLE REPAIR &amp; MAINTENANCEPILER"/>
    <x v="1"/>
    <x v="7"/>
    <x v="16"/>
    <x v="41"/>
    <s v="PILER"/>
    <n v="0"/>
    <n v="0"/>
    <n v="149345"/>
    <n v="2580"/>
    <n v="149345"/>
    <n v="2580"/>
    <n v="2580"/>
    <m/>
    <n v="151925"/>
    <n v="2580"/>
    <n v="149345"/>
  </r>
  <r>
    <s v="5-01-01-04-002"/>
    <s v="GENERAL  REPAIR &amp; MAINTENANCE"/>
    <s v="5-01-01-04-002-GENERAL  REPAIR &amp; MAINTENANCEPILER"/>
    <x v="1"/>
    <x v="7"/>
    <x v="17"/>
    <x v="42"/>
    <s v="PILER"/>
    <n v="0"/>
    <n v="0"/>
    <n v="13710"/>
    <n v="0"/>
    <n v="13710"/>
    <n v="0"/>
    <m/>
    <m/>
    <n v="13710"/>
    <n v="0"/>
    <n v="13710"/>
  </r>
  <r>
    <s v="5-01-01-04-003"/>
    <s v="BUILDING REPAIR &amp; MAINTENANCE"/>
    <s v="5-01-01-04-003-BUILDING REPAIR &amp; MAINTENANCEPILER"/>
    <x v="1"/>
    <x v="7"/>
    <x v="18"/>
    <x v="43"/>
    <s v="PILER"/>
    <n v="0"/>
    <n v="0"/>
    <n v="470200"/>
    <n v="247770"/>
    <n v="470200"/>
    <n v="247770"/>
    <n v="247770"/>
    <m/>
    <n v="717970"/>
    <n v="247770"/>
    <n v="470200"/>
  </r>
  <r>
    <s v="5-01-01-04-004"/>
    <s v="EQUIPMENTS REPAIR &amp; MAINTENANC"/>
    <s v="5-01-01-04-004-EQUIPMENTS REPAIR &amp; MAINTENANCPILER"/>
    <x v="1"/>
    <x v="7"/>
    <x v="18"/>
    <x v="43"/>
    <s v="PILER"/>
    <n v="0"/>
    <n v="0"/>
    <n v="400560"/>
    <n v="22390"/>
    <n v="400560"/>
    <n v="22390"/>
    <n v="22390"/>
    <m/>
    <n v="422950"/>
    <n v="22390"/>
    <n v="400560"/>
  </r>
  <r>
    <s v="5-01-01-04-005"/>
    <s v="GENERATOR REPAIR &amp; MAINTENANCE"/>
    <s v="5-01-01-04-005-GENERATOR REPAIR &amp; MAINTENANCEPILER"/>
    <x v="1"/>
    <x v="7"/>
    <x v="18"/>
    <x v="43"/>
    <s v="PILER"/>
    <n v="0"/>
    <n v="0"/>
    <n v="26455"/>
    <n v="0"/>
    <n v="26455"/>
    <n v="0"/>
    <m/>
    <m/>
    <n v="26455"/>
    <n v="0"/>
    <n v="26455"/>
  </r>
  <r>
    <s v="5-01-01-04-006"/>
    <s v="COMPUTER REPAIR &amp; MAINTENANCE"/>
    <s v="5-01-01-04-006-COMPUTER REPAIR &amp; MAINTENANCEPILER"/>
    <x v="1"/>
    <x v="7"/>
    <x v="18"/>
    <x v="43"/>
    <s v="PILER"/>
    <n v="0"/>
    <n v="0"/>
    <n v="4300"/>
    <n v="0"/>
    <n v="4300"/>
    <n v="0"/>
    <m/>
    <m/>
    <n v="4300"/>
    <n v="0"/>
    <n v="4300"/>
  </r>
  <r>
    <s v="5-01-01-06-001"/>
    <s v="POSTAGE &amp; COURIER"/>
    <s v="5-01-01-06-001-POSTAGE &amp; COURIERPILER"/>
    <x v="1"/>
    <x v="7"/>
    <x v="19"/>
    <x v="44"/>
    <s v="PILER"/>
    <n v="0"/>
    <n v="0"/>
    <n v="7540"/>
    <n v="4050"/>
    <n v="7540"/>
    <n v="4050"/>
    <n v="4050"/>
    <m/>
    <n v="11590"/>
    <n v="4050"/>
    <n v="7540"/>
  </r>
  <r>
    <s v="5-01-01-06-002"/>
    <s v="PRINTING &amp; STATIONERIES"/>
    <s v="5-01-01-06-002-PRINTING &amp; STATIONERIESPILER"/>
    <x v="1"/>
    <x v="7"/>
    <x v="20"/>
    <x v="45"/>
    <s v="PILER"/>
    <n v="0"/>
    <n v="0"/>
    <n v="179140"/>
    <n v="4650"/>
    <n v="179140"/>
    <n v="4650"/>
    <n v="4650"/>
    <m/>
    <n v="183790"/>
    <n v="4650"/>
    <n v="179140"/>
  </r>
  <r>
    <s v="5-01-01-06-003"/>
    <s v="PHOTOCOPY &amp; COMPUT ACCESSARIES"/>
    <s v="5-01-01-06-003-PHOTOCOPY &amp; COMPUT ACCESSARIESPILER"/>
    <x v="1"/>
    <x v="7"/>
    <x v="20"/>
    <x v="45"/>
    <s v="PILER"/>
    <n v="0"/>
    <n v="0"/>
    <n v="5058"/>
    <n v="0"/>
    <n v="5058"/>
    <n v="0"/>
    <m/>
    <m/>
    <n v="5058"/>
    <n v="0"/>
    <n v="5058"/>
  </r>
  <r>
    <s v="5-01-01-06-004"/>
    <s v="MISC. EXPENSES"/>
    <s v="5-01-01-06-004-MISC. EXPENSESPILER"/>
    <x v="1"/>
    <x v="7"/>
    <x v="21"/>
    <x v="46"/>
    <s v="PILER"/>
    <n v="0"/>
    <n v="0"/>
    <n v="370257"/>
    <n v="389988.33"/>
    <n v="370257"/>
    <n v="389988.33"/>
    <n v="552053.33000000007"/>
    <m/>
    <n v="922310.33000000007"/>
    <n v="389988.33"/>
    <n v="532322"/>
  </r>
  <r>
    <s v="5-01-01-06-005"/>
    <s v="VEHICLE TOLL TAX"/>
    <s v="5-01-01-06-005-VEHICLE TOLL TAXPILER"/>
    <x v="1"/>
    <x v="7"/>
    <x v="15"/>
    <x v="40"/>
    <s v="PILER"/>
    <n v="0"/>
    <n v="0"/>
    <n v="16220"/>
    <n v="0"/>
    <n v="16220"/>
    <n v="0"/>
    <m/>
    <m/>
    <n v="16220"/>
    <n v="0"/>
    <n v="16220"/>
  </r>
  <r>
    <s v="5-01-01-06-006"/>
    <s v="TRANSPORTATION EXPENSE"/>
    <s v="5-01-01-06-006-TRANSPORTATION EXPENSEPILER"/>
    <x v="1"/>
    <x v="7"/>
    <x v="15"/>
    <x v="40"/>
    <s v="PILER"/>
    <n v="0"/>
    <n v="0"/>
    <n v="20300"/>
    <n v="1800"/>
    <n v="20300"/>
    <n v="1800"/>
    <n v="1800"/>
    <m/>
    <n v="22100"/>
    <n v="1800"/>
    <n v="20300"/>
  </r>
  <r>
    <s v="5-01-01-06-007"/>
    <s v="TRAVELLING EXPENSES"/>
    <s v="5-01-01-06-007-TRAVELLING EXPENSESPILER"/>
    <x v="1"/>
    <x v="7"/>
    <x v="15"/>
    <x v="40"/>
    <s v="PILER"/>
    <n v="0"/>
    <n v="0"/>
    <n v="58600"/>
    <n v="0"/>
    <n v="58600"/>
    <n v="0"/>
    <m/>
    <m/>
    <n v="58600"/>
    <n v="0"/>
    <n v="58600"/>
  </r>
  <r>
    <s v="5-01-01-06-008"/>
    <s v="PROGRAMME STAFF/ BAORD MEETING"/>
    <s v="5-01-01-06-008-PROGRAMME STAFF/ BAORD MEETINGPILER"/>
    <x v="1"/>
    <x v="8"/>
    <x v="22"/>
    <x v="47"/>
    <s v="PILER"/>
    <n v="0"/>
    <n v="0"/>
    <n v="0"/>
    <n v="0"/>
    <n v="0"/>
    <n v="0"/>
    <m/>
    <m/>
    <n v="0"/>
    <n v="0"/>
    <n v="0"/>
  </r>
  <r>
    <s v="5-01-01-06-009"/>
    <s v="ADVERTISING &amp; PUBLICATION EXP"/>
    <s v="5-01-01-06-009-ADVERTISING &amp; PUBLICATION EXPPILER"/>
    <x v="1"/>
    <x v="7"/>
    <x v="23"/>
    <x v="48"/>
    <s v="PILER"/>
    <n v="0"/>
    <n v="0"/>
    <n v="0"/>
    <n v="0"/>
    <n v="0"/>
    <n v="0"/>
    <m/>
    <m/>
    <n v="0"/>
    <n v="0"/>
    <n v="0"/>
  </r>
  <r>
    <s v="5-01-01-06-012"/>
    <s v="LIBRARY BOOKS &amp; PERIODICALS"/>
    <s v="5-01-01-06-012-LIBRARY BOOKS &amp; PERIODICALSPILER"/>
    <x v="1"/>
    <x v="7"/>
    <x v="20"/>
    <x v="45"/>
    <s v="PILER"/>
    <n v="0"/>
    <n v="0"/>
    <n v="14430"/>
    <n v="4790"/>
    <n v="14430"/>
    <n v="4790"/>
    <n v="4790"/>
    <m/>
    <n v="19220"/>
    <n v="4790"/>
    <n v="14430"/>
  </r>
  <r>
    <s v="5-01-01-07-001"/>
    <s v="LEGAL &amp; PROFESSIONAL FEE"/>
    <s v="5-01-01-07-001-LEGAL &amp; PROFESSIONAL FEEPILER"/>
    <x v="1"/>
    <x v="7"/>
    <x v="24"/>
    <x v="49"/>
    <s v="PILER"/>
    <n v="0"/>
    <n v="0"/>
    <n v="297896"/>
    <n v="0"/>
    <n v="297896"/>
    <n v="0"/>
    <m/>
    <m/>
    <n v="297896"/>
    <n v="0"/>
    <n v="297896"/>
  </r>
  <r>
    <s v="5-01-01-07-002"/>
    <s v="AUDITOR REMUNERATIONS"/>
    <s v="5-01-01-07-002-AUDITOR REMUNERATIONSPILER"/>
    <x v="1"/>
    <x v="7"/>
    <x v="25"/>
    <x v="50"/>
    <s v="PILER"/>
    <n v="0"/>
    <n v="0"/>
    <n v="432000"/>
    <n v="0"/>
    <n v="432000"/>
    <n v="0"/>
    <m/>
    <m/>
    <n v="432000"/>
    <n v="0"/>
    <n v="432000"/>
  </r>
  <r>
    <s v="5-01-01-07-003"/>
    <s v="CONSULTANCY CHARGES"/>
    <s v="5-01-01-07-003-CONSULTANCY CHARGESPILER"/>
    <x v="1"/>
    <x v="7"/>
    <x v="24"/>
    <x v="49"/>
    <s v="PILER"/>
    <n v="0"/>
    <n v="0"/>
    <n v="100000"/>
    <n v="0"/>
    <n v="100000"/>
    <n v="0"/>
    <m/>
    <m/>
    <n v="100000"/>
    <n v="0"/>
    <n v="100000"/>
  </r>
  <r>
    <s v="5-01-01-07-004"/>
    <s v="VEHICLE TAX &amp; REGISTRATIONS"/>
    <s v="5-01-01-07-004-VEHICLE TAX &amp; REGISTRATIONSPILER"/>
    <x v="1"/>
    <x v="7"/>
    <x v="26"/>
    <x v="51"/>
    <s v="PILER"/>
    <n v="0"/>
    <n v="0"/>
    <n v="1239"/>
    <n v="0"/>
    <n v="1239"/>
    <n v="0"/>
    <m/>
    <m/>
    <n v="1239"/>
    <n v="0"/>
    <n v="1239"/>
  </r>
  <r>
    <s v="5-01-01-08-003"/>
    <s v="EOBI CONTRIBUTIONS"/>
    <s v="5-01-01-08-003-EOBI CONTRIBUTIONSPILER"/>
    <x v="1"/>
    <x v="8"/>
    <x v="27"/>
    <x v="52"/>
    <s v="PILER"/>
    <n v="0"/>
    <n v="0"/>
    <n v="205940"/>
    <n v="27004"/>
    <n v="205940"/>
    <n v="27004"/>
    <n v="27004"/>
    <m/>
    <n v="232944"/>
    <n v="27004"/>
    <n v="205940"/>
  </r>
  <r>
    <s v="5-01-01-08-004"/>
    <s v="SESSI CONTRIBUTIONS"/>
    <s v="5-01-01-08-004-SESSI CONTRIBUTIONSPILER"/>
    <x v="1"/>
    <x v="8"/>
    <x v="27"/>
    <x v="52"/>
    <s v="PILER"/>
    <n v="0"/>
    <n v="0"/>
    <n v="146579"/>
    <n v="0"/>
    <n v="146579"/>
    <n v="0"/>
    <m/>
    <m/>
    <n v="146579"/>
    <n v="0"/>
    <n v="146579"/>
  </r>
  <r>
    <s v="5-01-01-09-001"/>
    <s v="BANK CHARGES"/>
    <s v="5-01-01-09-001-BANK CHARGESPILER"/>
    <x v="1"/>
    <x v="9"/>
    <x v="28"/>
    <x v="53"/>
    <s v="PILER"/>
    <n v="0"/>
    <n v="0"/>
    <n v="8742.75"/>
    <n v="0"/>
    <n v="8742.75"/>
    <n v="0"/>
    <m/>
    <m/>
    <n v="8742.75"/>
    <n v="0"/>
    <n v="8742.75"/>
  </r>
  <r>
    <s v="5-01-01-09-001"/>
    <s v="BANK CHARGES"/>
    <s v="5-01-01-09-001-BANK CHARGESSHORT PROJECTS"/>
    <x v="1"/>
    <x v="9"/>
    <x v="28"/>
    <x v="53"/>
    <s v="SHORT PROJECTS"/>
    <n v="0"/>
    <n v="0"/>
    <n v="0"/>
    <n v="0"/>
    <n v="0"/>
    <n v="0"/>
    <m/>
    <m/>
    <n v="0"/>
    <n v="0"/>
    <n v="0"/>
  </r>
  <r>
    <s v="5-01-01-09-001"/>
    <s v="BANK CHARGES"/>
    <s v="5-01-01-09-001-BANK CHARGESOpen Society"/>
    <x v="1"/>
    <x v="9"/>
    <x v="28"/>
    <x v="53"/>
    <s v="Open Society"/>
    <n v="0"/>
    <n v="0"/>
    <n v="0"/>
    <n v="0"/>
    <n v="0"/>
    <n v="0"/>
    <m/>
    <m/>
    <n v="0"/>
    <n v="0"/>
    <n v="0"/>
  </r>
  <r>
    <s v="5-01-01-09-001"/>
    <s v="BANK CHARGES"/>
    <s v="5-01-01-09-001-BANK CHARGESETI"/>
    <x v="1"/>
    <x v="9"/>
    <x v="28"/>
    <x v="53"/>
    <s v="ETI"/>
    <n v="0"/>
    <n v="0"/>
    <n v="0"/>
    <n v="0"/>
    <n v="0"/>
    <n v="0"/>
    <m/>
    <m/>
    <n v="0"/>
    <n v="0"/>
    <n v="0"/>
  </r>
  <r>
    <s v="5-01-01-09-001"/>
    <s v="BANK CHARGES"/>
    <s v="5-01-01-09-001-BANK CHARGESFNV"/>
    <x v="1"/>
    <x v="9"/>
    <x v="28"/>
    <x v="53"/>
    <s v="FNV"/>
    <n v="0"/>
    <n v="0"/>
    <n v="0"/>
    <n v="0"/>
    <n v="0"/>
    <n v="0"/>
    <m/>
    <m/>
    <n v="0"/>
    <n v="0"/>
    <n v="0"/>
  </r>
  <r>
    <s v="5-01-01-09-001"/>
    <s v="BANK CHARGES"/>
    <s v="5-01-01-09-001-BANK CHARGESDAI"/>
    <x v="1"/>
    <x v="9"/>
    <x v="28"/>
    <x v="53"/>
    <s v="DAI"/>
    <n v="0"/>
    <n v="0"/>
    <n v="0"/>
    <n v="0"/>
    <n v="0"/>
    <n v="0"/>
    <m/>
    <m/>
    <n v="0"/>
    <n v="0"/>
    <n v="0"/>
  </r>
  <r>
    <s v="5-01-01-09-001"/>
    <s v="BANK CHARGES"/>
    <s v="5-01-01-09-001-BANK CHARGESGRC"/>
    <x v="1"/>
    <x v="9"/>
    <x v="28"/>
    <x v="53"/>
    <s v="GRC"/>
    <n v="0"/>
    <n v="0"/>
    <n v="9119.75"/>
    <n v="0"/>
    <n v="9119.75"/>
    <n v="0"/>
    <m/>
    <m/>
    <n v="9119.75"/>
    <n v="0"/>
    <n v="9119.75"/>
  </r>
  <r>
    <s v="5-01-01-09-002"/>
    <s v="BANK MARK-UP / INTEREST"/>
    <s v="5-01-01-09-002-BANK MARK-UP / INTERESTPILER"/>
    <x v="1"/>
    <x v="9"/>
    <x v="28"/>
    <x v="53"/>
    <s v="PILER"/>
    <n v="0"/>
    <n v="0"/>
    <n v="0"/>
    <n v="0"/>
    <n v="0"/>
    <n v="0"/>
    <m/>
    <m/>
    <n v="0"/>
    <n v="0"/>
    <n v="0"/>
  </r>
  <r>
    <s v="5-01-01-10-001"/>
    <s v="DEPRECIATION EXPENSES-BUILDING"/>
    <s v="5-01-01-10-001-DEPRECIATION EXPENSES-BUILDINGPILER"/>
    <x v="1"/>
    <x v="7"/>
    <x v="29"/>
    <x v="54"/>
    <s v="PILER"/>
    <n v="0"/>
    <n v="0"/>
    <n v="455276"/>
    <n v="0"/>
    <n v="455276"/>
    <n v="0"/>
    <m/>
    <m/>
    <n v="455276"/>
    <n v="0"/>
    <n v="455276"/>
  </r>
  <r>
    <s v="5-01-01-10-002"/>
    <s v="DEPRECIATION EX-GENERATOR"/>
    <s v="5-01-01-10-002-DEPRECIATION EX-GENERATORPILER"/>
    <x v="1"/>
    <x v="7"/>
    <x v="29"/>
    <x v="54"/>
    <s v="PILER"/>
    <n v="0"/>
    <n v="0"/>
    <n v="62204"/>
    <n v="0"/>
    <n v="62204"/>
    <n v="0"/>
    <m/>
    <n v="19881"/>
    <n v="62204"/>
    <n v="19881"/>
    <n v="42323"/>
  </r>
  <r>
    <s v="5-01-01-10-003"/>
    <s v="DEPRECIATION EX-ELEC INSTALLA"/>
    <s v="5-01-01-10-003-DEPRECIATION EX-ELEC INSTALLAPILER"/>
    <x v="1"/>
    <x v="7"/>
    <x v="29"/>
    <x v="54"/>
    <s v="PILER"/>
    <n v="0"/>
    <n v="0"/>
    <n v="355637"/>
    <n v="0"/>
    <n v="355637"/>
    <n v="0"/>
    <m/>
    <m/>
    <n v="355637"/>
    <n v="0"/>
    <n v="355637"/>
  </r>
  <r>
    <s v="5-01-01-10-004"/>
    <s v="DEPRECIATION EX- OFFICE EQUIP"/>
    <s v="5-01-01-10-004-DEPRECIATION EX- OFFICE EQUIPPILER"/>
    <x v="1"/>
    <x v="7"/>
    <x v="29"/>
    <x v="54"/>
    <s v="PILER"/>
    <n v="0"/>
    <n v="0"/>
    <n v="7068"/>
    <n v="0"/>
    <n v="7068"/>
    <n v="0"/>
    <m/>
    <m/>
    <n v="7068"/>
    <n v="0"/>
    <n v="7068"/>
  </r>
  <r>
    <s v="5-01-01-10-005"/>
    <s v="DEPRECIATION EXP-FUR &amp; FIX"/>
    <s v="5-01-01-10-005-DEPRECIATION EXP-FUR &amp; FIXPILER"/>
    <x v="1"/>
    <x v="7"/>
    <x v="29"/>
    <x v="54"/>
    <s v="PILER"/>
    <n v="0"/>
    <n v="0"/>
    <n v="9680"/>
    <n v="0"/>
    <n v="9680"/>
    <n v="0"/>
    <m/>
    <m/>
    <n v="9680"/>
    <n v="0"/>
    <n v="9680"/>
  </r>
  <r>
    <s v="5-01-01-10-006"/>
    <s v="DEPRECIATION EX-COM &amp; LAPTOP"/>
    <s v="5-01-01-10-006-DEPRECIATION EX-COM &amp; LAPTOPPILER"/>
    <x v="1"/>
    <x v="7"/>
    <x v="29"/>
    <x v="54"/>
    <s v="PILER"/>
    <n v="0"/>
    <n v="0"/>
    <n v="0"/>
    <n v="0"/>
    <n v="0"/>
    <n v="0"/>
    <n v="0"/>
    <m/>
    <n v="0"/>
    <n v="0"/>
    <n v="0"/>
  </r>
  <r>
    <s v="5-01-01-10-007"/>
    <s v="DEPRECITION EX-MOTOR VEHICLE"/>
    <s v="5-01-01-10-007-DEPRECITION EX-MOTOR VEHICLEPILER"/>
    <x v="1"/>
    <x v="7"/>
    <x v="29"/>
    <x v="54"/>
    <s v="PILER"/>
    <n v="0"/>
    <n v="0"/>
    <n v="0"/>
    <n v="0"/>
    <n v="0"/>
    <n v="0"/>
    <m/>
    <m/>
    <n v="0"/>
    <n v="0"/>
    <n v="0"/>
  </r>
  <r>
    <s v="5-01-01-10-009"/>
    <s v="SOFTWARE AMORTIZATION"/>
    <s v="5-01-01-10-009-SOFTWARE AMORTIZATIONPILER"/>
    <x v="1"/>
    <x v="7"/>
    <x v="30"/>
    <x v="55"/>
    <s v="PILER"/>
    <n v="0"/>
    <n v="0"/>
    <n v="115326"/>
    <n v="0"/>
    <n v="115326"/>
    <n v="0"/>
    <n v="2907"/>
    <n v="115326"/>
    <n v="118233"/>
    <n v="115326"/>
    <n v="2907"/>
  </r>
  <r>
    <s v="5-01-01-11-001"/>
    <s v="INCOME TAX EXPENSES"/>
    <s v="5-01-01-11-001-INCOME TAX EXPENSESPILER"/>
    <x v="1"/>
    <x v="10"/>
    <x v="31"/>
    <x v="56"/>
    <s v="PILER"/>
    <n v="0"/>
    <n v="0"/>
    <n v="284001.12"/>
    <n v="0"/>
    <n v="284001.12"/>
    <n v="0"/>
    <m/>
    <m/>
    <n v="284001.12"/>
    <n v="0"/>
    <n v="284001.12"/>
  </r>
  <r>
    <s v="5-01-01-11-001"/>
    <s v="INCOME TAX EXPENSES"/>
    <s v="5-01-01-11-001-INCOME TAX EXPENSESSHORT PROJECTS"/>
    <x v="1"/>
    <x v="10"/>
    <x v="31"/>
    <x v="56"/>
    <s v="SHORT PROJECTS"/>
    <n v="0"/>
    <n v="0"/>
    <n v="0"/>
    <n v="0"/>
    <n v="0"/>
    <n v="0"/>
    <m/>
    <m/>
    <n v="0"/>
    <n v="0"/>
    <n v="0"/>
  </r>
  <r>
    <s v="5-01-01-11-001"/>
    <s v="INCOME TAX EXPENSES"/>
    <s v="5-01-01-11-001-INCOME TAX EXPENSESGRC"/>
    <x v="1"/>
    <x v="10"/>
    <x v="31"/>
    <x v="56"/>
    <s v="GRC"/>
    <n v="0"/>
    <n v="0"/>
    <n v="120169.41"/>
    <n v="0"/>
    <n v="120169.41"/>
    <n v="0"/>
    <m/>
    <m/>
    <n v="120169.41"/>
    <n v="0"/>
    <n v="120169.41"/>
  </r>
  <r>
    <s v="5-01-01-11-001"/>
    <s v="INCOME TAX EXPENSES"/>
    <s v="5-01-01-11-001-INCOME TAX EXPENSESGRC Own"/>
    <x v="1"/>
    <x v="10"/>
    <x v="31"/>
    <x v="56"/>
    <s v="GRC Own"/>
    <n v="0"/>
    <n v="0"/>
    <n v="88083.71"/>
    <n v="0"/>
    <n v="88083.71"/>
    <n v="0"/>
    <m/>
    <m/>
    <n v="88083.71"/>
    <n v="0"/>
    <n v="88083.71"/>
  </r>
  <r>
    <s v="5-01-01-12-001"/>
    <s v="CLEANING &amp; LAUNDRY"/>
    <s v="5-01-01-12-001-CLEANING &amp; LAUNDRYPILER"/>
    <x v="1"/>
    <x v="7"/>
    <x v="21"/>
    <x v="46"/>
    <s v="PILER"/>
    <n v="0"/>
    <n v="0"/>
    <n v="35745"/>
    <n v="17630"/>
    <n v="35745"/>
    <n v="17630"/>
    <n v="17630"/>
    <m/>
    <n v="53375"/>
    <n v="17630"/>
    <n v="35745"/>
  </r>
  <r>
    <s v="5-01-01-12-002"/>
    <s v="GARDEN &amp; GROUND UPKEEP"/>
    <s v="5-01-01-12-002-GARDEN &amp; GROUND UPKEEPPILER"/>
    <x v="1"/>
    <x v="7"/>
    <x v="21"/>
    <x v="57"/>
    <s v="PILER"/>
    <n v="0"/>
    <n v="0"/>
    <n v="0"/>
    <n v="0"/>
    <n v="0"/>
    <n v="0"/>
    <m/>
    <m/>
    <n v="0"/>
    <n v="0"/>
    <n v="0"/>
  </r>
  <r>
    <s v="5-01-02-06-012"/>
    <s v="SEMINARS"/>
    <s v="5-01-02-06-012-SEMINARSPILER"/>
    <x v="1"/>
    <x v="8"/>
    <x v="22"/>
    <x v="47"/>
    <s v="PILER"/>
    <n v="0"/>
    <n v="0"/>
    <n v="154760"/>
    <n v="0"/>
    <n v="154760"/>
    <n v="0"/>
    <m/>
    <m/>
    <n v="154760"/>
    <n v="0"/>
    <n v="154760"/>
  </r>
  <r>
    <s v="5-01-02-06-036"/>
    <s v="PRESS CONF &amp; MEDIA MOBLIZATION"/>
    <s v="5-01-02-06-036-PRESS CONF &amp; MEDIA MOBLIZATIONPILER"/>
    <x v="1"/>
    <x v="8"/>
    <x v="22"/>
    <x v="47"/>
    <s v="PILER"/>
    <n v="0"/>
    <n v="0"/>
    <n v="0"/>
    <n v="0"/>
    <n v="0"/>
    <n v="0"/>
    <m/>
    <m/>
    <n v="0"/>
    <n v="0"/>
    <n v="0"/>
  </r>
  <r>
    <s v="5-01-02-06-044"/>
    <s v="BASIC UTENSILS &amp; COOKING STOVE"/>
    <s v="5-01-02-06-044-BASIC UTENSILS &amp; COOKING STOVEPILER"/>
    <x v="1"/>
    <x v="7"/>
    <x v="20"/>
    <x v="45"/>
    <s v="PILER"/>
    <n v="0"/>
    <n v="0"/>
    <n v="17650"/>
    <n v="0"/>
    <n v="17650"/>
    <n v="0"/>
    <m/>
    <m/>
    <n v="17650"/>
    <n v="0"/>
    <n v="17650"/>
  </r>
  <r>
    <s v="5-01-02-07-005"/>
    <s v="PEACE SEMINAR ACTIVITIES"/>
    <s v="5-01-02-07-005-PEACE SEMINAR ACTIVITIESPILER"/>
    <x v="1"/>
    <x v="8"/>
    <x v="32"/>
    <x v="58"/>
    <s v="PILER"/>
    <n v="0"/>
    <n v="0"/>
    <n v="176380"/>
    <n v="0"/>
    <n v="176380"/>
    <n v="0"/>
    <m/>
    <m/>
    <n v="176380"/>
    <n v="0"/>
    <n v="176380"/>
  </r>
  <r>
    <s v="5-01-02-07-006"/>
    <s v="FOOD &amp; REFRESHMENT EXPENSES"/>
    <s v="5-01-02-07-006-FOOD &amp; REFRESHMENT EXPENSESPILER"/>
    <x v="1"/>
    <x v="7"/>
    <x v="33"/>
    <x v="59"/>
    <s v="PILER"/>
    <n v="0"/>
    <n v="0"/>
    <n v="362500"/>
    <n v="362500"/>
    <n v="362500"/>
    <n v="362500"/>
    <n v="362500"/>
    <m/>
    <n v="725000"/>
    <n v="362500"/>
    <n v="362500"/>
  </r>
  <r>
    <s v="5-01-02-07-014"/>
    <s v="PAYMENT OF LOCAL DONATIONS"/>
    <s v="5-01-02-07-014-PAYMENT OF LOCAL DONATIONSPILER"/>
    <x v="1"/>
    <x v="7"/>
    <x v="34"/>
    <x v="60"/>
    <s v="PILER"/>
    <n v="0"/>
    <n v="0"/>
    <n v="0"/>
    <n v="0"/>
    <n v="0"/>
    <n v="0"/>
    <m/>
    <m/>
    <n v="0"/>
    <n v="0"/>
    <n v="0"/>
  </r>
  <r>
    <s v="5-01-02-07-036"/>
    <s v="WORKSHOP &amp; TRAINING"/>
    <s v="5-01-02-07-036-WORKSHOP &amp; TRAININGPILER"/>
    <x v="1"/>
    <x v="8"/>
    <x v="22"/>
    <x v="47"/>
    <s v="PILER"/>
    <n v="0"/>
    <n v="0"/>
    <n v="108990"/>
    <n v="0"/>
    <n v="108990"/>
    <n v="0"/>
    <m/>
    <m/>
    <n v="108990"/>
    <n v="0"/>
    <n v="108990"/>
  </r>
  <r>
    <s v="5-01-02-07-040"/>
    <s v="MEMORIAL PROGRAMMES"/>
    <s v="5-01-02-07-040-MEMORIAL PROGRAMMESPILER"/>
    <x v="1"/>
    <x v="8"/>
    <x v="35"/>
    <x v="61"/>
    <s v="PILER"/>
    <n v="0"/>
    <n v="0"/>
    <n v="76100"/>
    <n v="0"/>
    <n v="76100"/>
    <n v="0"/>
    <m/>
    <m/>
    <n v="76100"/>
    <n v="0"/>
    <n v="76100"/>
  </r>
  <r>
    <s v="5-01-02-07-047"/>
    <s v="National Labour Council."/>
    <s v="5-01-02-07-047-National Labour Council.PILER"/>
    <x v="1"/>
    <x v="8"/>
    <x v="36"/>
    <x v="62"/>
    <s v="PILER"/>
    <n v="0"/>
    <n v="0"/>
    <n v="0"/>
    <n v="0"/>
    <n v="0"/>
    <n v="0"/>
    <m/>
    <m/>
    <n v="0"/>
    <n v="0"/>
    <n v="0"/>
  </r>
  <r>
    <s v="5-01-02-10-020"/>
    <s v="Shirkat Gah#2.5-Awareness Session with Trade Unions Members &amp; Workers Groups"/>
    <s v="5-01-02-10-020-Shirkat Gah#2.5-Awareness Session with Trade Unions Members &amp; Workers GroupsPILER"/>
    <x v="1"/>
    <x v="8"/>
    <x v="22"/>
    <x v="47"/>
    <s v="PILER"/>
    <n v="0"/>
    <n v="0"/>
    <n v="1655749"/>
    <n v="0"/>
    <n v="1655749"/>
    <n v="0"/>
    <m/>
    <m/>
    <n v="1655749"/>
    <n v="0"/>
    <n v="1655749"/>
  </r>
  <r>
    <s v="5-01-02-44-009"/>
    <s v="FCBTS-1.9 Overheads"/>
    <s v="5-01-02-44-009-FCBTS-1.9 OverheadsSHORT PROJECTS"/>
    <x v="1"/>
    <x v="7"/>
    <x v="37"/>
    <x v="63"/>
    <s v="SHORT PROJECTS"/>
    <n v="0"/>
    <n v="0"/>
    <n v="0"/>
    <n v="0"/>
    <n v="0"/>
    <n v="0"/>
    <m/>
    <m/>
    <n v="0"/>
    <n v="0"/>
    <n v="0"/>
  </r>
  <r>
    <s v="5-01-02-69-001"/>
    <s v="GLJ-ILRF: Coordinator"/>
    <s v="5-01-02-69-001-GLJ-ILRF: CoordinatorPILER"/>
    <x v="1"/>
    <x v="8"/>
    <x v="11"/>
    <x v="64"/>
    <s v="PILER"/>
    <n v="0"/>
    <n v="0"/>
    <n v="0"/>
    <n v="0"/>
    <n v="0"/>
    <n v="0"/>
    <m/>
    <m/>
    <n v="0"/>
    <n v="0"/>
    <n v="0"/>
  </r>
  <r>
    <s v="5-01-02-69-001"/>
    <s v="GLJ-ILRF: Coordinator"/>
    <s v="5-01-02-69-001-GLJ-ILRF: CoordinatorSHORT PROJECTS"/>
    <x v="1"/>
    <x v="8"/>
    <x v="11"/>
    <x v="64"/>
    <s v="SHORT PROJECTS"/>
    <n v="0"/>
    <n v="0"/>
    <n v="0"/>
    <n v="0"/>
    <n v="0"/>
    <n v="0"/>
    <m/>
    <m/>
    <n v="0"/>
    <n v="0"/>
    <n v="0"/>
  </r>
  <r>
    <s v="5-01-02-69-002"/>
    <s v="GLJ-ILRF: 4 Field Activists "/>
    <s v="5-01-02-69-002-GLJ-ILRF: 4 Field Activists SHORT PROJECTS"/>
    <x v="1"/>
    <x v="8"/>
    <x v="37"/>
    <x v="65"/>
    <s v="SHORT PROJECTS"/>
    <n v="0"/>
    <n v="0"/>
    <n v="0"/>
    <n v="0"/>
    <n v="0"/>
    <n v="0"/>
    <m/>
    <m/>
    <n v="0"/>
    <n v="0"/>
    <n v="0"/>
  </r>
  <r>
    <s v="5-01-02-69-003"/>
    <s v="GLJ-ILRF: Misc Cost/ OH"/>
    <s v="5-01-02-69-003-GLJ-ILRF: Misc Cost/ OHPILER"/>
    <x v="1"/>
    <x v="7"/>
    <x v="37"/>
    <x v="63"/>
    <s v="PILER"/>
    <n v="0"/>
    <n v="0"/>
    <n v="0"/>
    <n v="0"/>
    <n v="0"/>
    <n v="0"/>
    <m/>
    <m/>
    <n v="0"/>
    <n v="0"/>
    <n v="0"/>
  </r>
  <r>
    <s v="5-01-02-69-003"/>
    <s v="GLJ-ILRF: Misc Cost/ OH"/>
    <s v="5-01-02-69-003-GLJ-ILRF: Misc Cost/ OHSHORT PROJECTS"/>
    <x v="1"/>
    <x v="7"/>
    <x v="37"/>
    <x v="63"/>
    <s v="SHORT PROJECTS"/>
    <n v="0"/>
    <n v="0"/>
    <n v="0"/>
    <n v="0"/>
    <n v="0"/>
    <n v="0"/>
    <m/>
    <m/>
    <n v="0"/>
    <n v="0"/>
    <n v="0"/>
  </r>
  <r>
    <s v="5-01-02-69-006"/>
    <s v="GLJ-ILRF:Meetings"/>
    <s v="5-01-02-69-006-GLJ-ILRF:MeetingsPILER"/>
    <x v="1"/>
    <x v="8"/>
    <x v="38"/>
    <x v="66"/>
    <s v="PILER"/>
    <n v="0"/>
    <n v="0"/>
    <n v="627020"/>
    <n v="0"/>
    <n v="627020"/>
    <n v="0"/>
    <m/>
    <m/>
    <n v="627020"/>
    <n v="0"/>
    <n v="627020"/>
  </r>
  <r>
    <s v="5-01-02-69-007"/>
    <s v="GLJ-ILRF:Global event interpreter"/>
    <s v="5-01-02-69-007-GLJ-ILRF:Global event interpreterPILER"/>
    <x v="1"/>
    <x v="8"/>
    <x v="39"/>
    <x v="67"/>
    <s v="PILER"/>
    <n v="0"/>
    <n v="0"/>
    <n v="0"/>
    <n v="0"/>
    <n v="0"/>
    <n v="0"/>
    <m/>
    <m/>
    <n v="0"/>
    <n v="0"/>
    <n v="0"/>
  </r>
  <r>
    <s v="5-01-02-69-007"/>
    <s v="GLJ-ILRF:Global event interpreter"/>
    <s v="5-01-02-69-007-GLJ-ILRF:Global event interpreterSHORT PROJECTS"/>
    <x v="1"/>
    <x v="8"/>
    <x v="39"/>
    <x v="67"/>
    <s v="SHORT PROJECTS"/>
    <n v="0"/>
    <n v="0"/>
    <n v="0"/>
    <n v="0"/>
    <n v="0"/>
    <n v="0"/>
    <m/>
    <m/>
    <n v="0"/>
    <n v="0"/>
    <n v="0"/>
  </r>
  <r>
    <s v="5-01-02-69-008"/>
    <s v="GLJ-ILRF: Translation of interview guide in Urdu"/>
    <s v="5-01-02-69-008-GLJ-ILRF: Translation of interview guide in UrduSHORT PROJECTS"/>
    <x v="1"/>
    <x v="8"/>
    <x v="40"/>
    <x v="68"/>
    <s v="SHORT PROJECTS"/>
    <n v="0"/>
    <n v="0"/>
    <n v="0"/>
    <n v="0"/>
    <n v="0"/>
    <n v="0"/>
    <m/>
    <m/>
    <n v="0"/>
    <n v="0"/>
    <n v="0"/>
  </r>
  <r>
    <s v="5-01-02-69-013"/>
    <s v="GLJ-ILRF: Consumption survey"/>
    <s v="5-01-02-69-013-GLJ-ILRF: Consumption surveyPILER"/>
    <x v="1"/>
    <x v="8"/>
    <x v="41"/>
    <x v="69"/>
    <s v="PILER"/>
    <n v="0"/>
    <n v="0"/>
    <n v="799306"/>
    <n v="0"/>
    <n v="799306"/>
    <n v="0"/>
    <m/>
    <m/>
    <n v="799306"/>
    <n v="0"/>
    <n v="799306"/>
  </r>
  <r>
    <s v="5-01-02-69-015"/>
    <s v="GLJ-ILRF: JEL trainings &amp; Natl seminars etc"/>
    <s v="5-01-02-69-015-GLJ-ILRF: JEL trainings &amp; Natl seminars etcPILER"/>
    <x v="1"/>
    <x v="8"/>
    <x v="42"/>
    <x v="70"/>
    <s v="PILER"/>
    <n v="0"/>
    <n v="0"/>
    <n v="0"/>
    <n v="0"/>
    <n v="0"/>
    <n v="0"/>
    <m/>
    <m/>
    <n v="0"/>
    <n v="0"/>
    <n v="0"/>
  </r>
  <r>
    <s v="5-01-02-69-015"/>
    <s v="GLJ-ILRF: JEL trainings &amp; Natl seminars etc"/>
    <s v="5-01-02-69-015-GLJ-ILRF: JEL trainings &amp; Natl seminars etcSHORT PROJECTS"/>
    <x v="1"/>
    <x v="8"/>
    <x v="42"/>
    <x v="70"/>
    <s v="SHORT PROJECTS"/>
    <n v="0"/>
    <n v="0"/>
    <n v="0"/>
    <n v="0"/>
    <n v="0"/>
    <n v="0"/>
    <m/>
    <m/>
    <n v="0"/>
    <n v="0"/>
    <n v="0"/>
  </r>
  <r>
    <s v="5-01-02-69-017"/>
    <s v="GLJ-ILRF: GBVH campaign"/>
    <s v="5-01-02-69-017-GLJ-ILRF: GBVH campaignPILER"/>
    <x v="1"/>
    <x v="8"/>
    <x v="43"/>
    <x v="71"/>
    <s v="PILER"/>
    <n v="0"/>
    <n v="0"/>
    <n v="0"/>
    <n v="0"/>
    <n v="0"/>
    <n v="0"/>
    <m/>
    <m/>
    <n v="0"/>
    <n v="0"/>
    <n v="0"/>
  </r>
  <r>
    <s v="5-01-02-69-019"/>
    <s v="GLJ-ILRF:Women Leadership committee meeting"/>
    <s v="5-01-02-69-019-GLJ-ILRF:Women Leadership committee meetingPILER"/>
    <x v="1"/>
    <x v="8"/>
    <x v="44"/>
    <x v="72"/>
    <s v="PILER"/>
    <n v="0"/>
    <n v="0"/>
    <n v="65000"/>
    <n v="0"/>
    <n v="65000"/>
    <n v="0"/>
    <m/>
    <m/>
    <n v="65000"/>
    <n v="0"/>
    <n v="65000"/>
  </r>
  <r>
    <s v="5-01-02-69-020"/>
    <s v="GLJ-ILRF:OBS-National AFWA Convening(Sep-2023)"/>
    <s v="5-01-02-69-020-GLJ-ILRF:OBS-National AFWA Convening(Sep-2023)PILER"/>
    <x v="1"/>
    <x v="8"/>
    <x v="45"/>
    <x v="73"/>
    <s v="PILER"/>
    <n v="0"/>
    <n v="0"/>
    <n v="0"/>
    <n v="0"/>
    <n v="0"/>
    <n v="0"/>
    <m/>
    <m/>
    <n v="0"/>
    <n v="0"/>
    <n v="0"/>
  </r>
  <r>
    <s v="5-01-02-69-021"/>
    <s v="GLJ-ILRF:GDW-Lawyer-Legal Breif"/>
    <s v="5-01-02-69-021-GLJ-ILRF:GDW-Lawyer-Legal BreifPILER"/>
    <x v="1"/>
    <x v="8"/>
    <x v="46"/>
    <x v="74"/>
    <s v="PILER"/>
    <n v="0"/>
    <n v="0"/>
    <n v="0"/>
    <n v="0"/>
    <n v="0"/>
    <n v="0"/>
    <m/>
    <m/>
    <n v="0"/>
    <n v="0"/>
    <n v="0"/>
  </r>
  <r>
    <s v="5-01-02-69-022"/>
    <s v="GLJ-ILRF : Field Cordinator"/>
    <s v="5-01-02-69-022-GLJ-ILRF : Field CordinatorPILER"/>
    <x v="1"/>
    <x v="8"/>
    <x v="47"/>
    <x v="75"/>
    <s v="PILER"/>
    <n v="0"/>
    <n v="0"/>
    <n v="1320000"/>
    <n v="0"/>
    <n v="1320000"/>
    <n v="0"/>
    <m/>
    <m/>
    <n v="1320000"/>
    <n v="0"/>
    <n v="1320000"/>
  </r>
  <r>
    <s v="5-01-02-69-032"/>
    <s v="GLJ-ILRF : Wage struggle working group - 2"/>
    <s v="5-01-02-69-032-GLJ-ILRF : Wage struggle working group - 2PILER"/>
    <x v="1"/>
    <x v="8"/>
    <x v="48"/>
    <x v="76"/>
    <s v="PILER"/>
    <n v="0"/>
    <n v="0"/>
    <n v="349175"/>
    <n v="0"/>
    <n v="349175"/>
    <n v="0"/>
    <m/>
    <m/>
    <n v="349175"/>
    <n v="0"/>
    <n v="349175"/>
  </r>
  <r>
    <s v="5-01-02-69-036"/>
    <s v="GLJ-ILRF : WLC meeting - 2"/>
    <s v="5-01-02-69-036-GLJ-ILRF : WLC meeting - 2PILER"/>
    <x v="1"/>
    <x v="8"/>
    <x v="39"/>
    <x v="67"/>
    <s v="PILER"/>
    <n v="0"/>
    <n v="0"/>
    <n v="0"/>
    <n v="0"/>
    <n v="0"/>
    <n v="0"/>
    <m/>
    <m/>
    <n v="0"/>
    <n v="0"/>
    <n v="0"/>
  </r>
  <r>
    <s v="5-01-02-69-038"/>
    <s v="GLJ-ILRF : Revised SCA translation"/>
    <s v="5-01-02-69-038-GLJ-ILRF : Revised SCA translationPILER"/>
    <x v="1"/>
    <x v="8"/>
    <x v="49"/>
    <x v="77"/>
    <s v="PILER"/>
    <n v="0"/>
    <n v="0"/>
    <n v="50000"/>
    <n v="0"/>
    <n v="50000"/>
    <n v="0"/>
    <m/>
    <m/>
    <n v="50000"/>
    <n v="0"/>
    <n v="50000"/>
  </r>
  <r>
    <s v="5-01-02-69-040"/>
    <s v="GLJ-ILRF : AFWA National Convenings - 1"/>
    <s v="5-01-02-69-040-GLJ-ILRF : AFWA National Convenings - 1PILER"/>
    <x v="1"/>
    <x v="8"/>
    <x v="50"/>
    <x v="78"/>
    <s v="PILER"/>
    <n v="0"/>
    <n v="0"/>
    <n v="54230"/>
    <n v="0"/>
    <n v="54230"/>
    <n v="0"/>
    <m/>
    <m/>
    <n v="54230"/>
    <n v="0"/>
    <n v="54230"/>
  </r>
  <r>
    <s v="5-01-02-69-041"/>
    <s v="GLJ-ILRF : FTH Campaign"/>
    <s v="5-01-02-69-041-GLJ-ILRF : FTH CampaignPILER"/>
    <x v="1"/>
    <x v="8"/>
    <x v="51"/>
    <x v="79"/>
    <s v="PILER"/>
    <n v="0"/>
    <n v="0"/>
    <n v="8500"/>
    <n v="0"/>
    <n v="8500"/>
    <n v="0"/>
    <m/>
    <m/>
    <n v="8500"/>
    <n v="0"/>
    <n v="8500"/>
  </r>
  <r>
    <s v="5-01-02-69-042"/>
    <s v="GLJ-ILRF : OBS-A.49-Field Coordinator "/>
    <s v="5-01-02-69-042-GLJ-ILRF : OBS-A.49-Field Coordinator PILER"/>
    <x v="1"/>
    <x v="8"/>
    <x v="52"/>
    <x v="80"/>
    <s v="PILER"/>
    <n v="0"/>
    <n v="0"/>
    <n v="660000"/>
    <n v="0"/>
    <n v="660000"/>
    <n v="0"/>
    <m/>
    <m/>
    <n v="660000"/>
    <n v="0"/>
    <n v="660000"/>
  </r>
  <r>
    <s v="5-01-02-69-043"/>
    <s v="GLJ-ILRF : OBS-A.50-Field Coordinator "/>
    <s v="5-01-02-69-043-GLJ-ILRF : OBS-A.50-Field Coordinator PILER"/>
    <x v="1"/>
    <x v="8"/>
    <x v="53"/>
    <x v="81"/>
    <s v="PILER"/>
    <n v="0"/>
    <n v="0"/>
    <n v="330000"/>
    <n v="0"/>
    <n v="330000"/>
    <n v="0"/>
    <m/>
    <m/>
    <n v="330000"/>
    <n v="0"/>
    <n v="330000"/>
  </r>
  <r>
    <s v="5-01-02-69-081"/>
    <s v="GLJ-ILRF : OBS-B.5.16-all program"/>
    <s v="5-01-02-69-081-GLJ-ILRF : OBS-B.5.16-all programPILER"/>
    <x v="1"/>
    <x v="8"/>
    <x v="54"/>
    <x v="82"/>
    <s v="PILER"/>
    <n v="0"/>
    <n v="0"/>
    <n v="5500"/>
    <n v="0"/>
    <n v="5500"/>
    <n v="0"/>
    <m/>
    <m/>
    <n v="5500"/>
    <n v="0"/>
    <n v="5500"/>
  </r>
  <r>
    <s v="5-01-02-74-001"/>
    <s v="GRC-1.1.1#Project Manager"/>
    <s v="5-01-02-74-001-GRC-1.1.1#Project ManagerGRC"/>
    <x v="1"/>
    <x v="8"/>
    <x v="55"/>
    <x v="64"/>
    <s v="GRC"/>
    <n v="0"/>
    <n v="0"/>
    <n v="506658"/>
    <n v="0"/>
    <n v="506658"/>
    <n v="0"/>
    <m/>
    <m/>
    <n v="506658"/>
    <n v="0"/>
    <n v="506658"/>
  </r>
  <r>
    <s v="5-01-02-74-002"/>
    <s v="GRC-1.1.2# Finance Coordinator"/>
    <s v="5-01-02-74-002-GRC-1.1.2# Finance CoordinatorGRC"/>
    <x v="1"/>
    <x v="8"/>
    <x v="55"/>
    <x v="64"/>
    <s v="GRC"/>
    <n v="0"/>
    <n v="0"/>
    <n v="343770"/>
    <n v="0"/>
    <n v="343770"/>
    <n v="0"/>
    <m/>
    <m/>
    <n v="343770"/>
    <n v="0"/>
    <n v="343770"/>
  </r>
  <r>
    <s v="5-01-02-74-003"/>
    <s v="GRC-1.1.3# Project Coordinator"/>
    <s v="5-01-02-74-003-GRC-1.1.3# Project CoordinatorGRC"/>
    <x v="1"/>
    <x v="8"/>
    <x v="55"/>
    <x v="64"/>
    <s v="GRC"/>
    <n v="0"/>
    <n v="0"/>
    <n v="258887"/>
    <n v="0"/>
    <n v="258887"/>
    <n v="0"/>
    <m/>
    <m/>
    <n v="258887"/>
    <n v="0"/>
    <n v="258887"/>
  </r>
  <r>
    <s v="5-01-02-74-004"/>
    <s v="GRC-6.3# Office Rent"/>
    <s v="5-01-02-74-004-GRC-6.3# Office RentGRC"/>
    <x v="1"/>
    <x v="8"/>
    <x v="56"/>
    <x v="83"/>
    <s v="GRC"/>
    <n v="0"/>
    <n v="0"/>
    <n v="210205"/>
    <n v="0"/>
    <n v="210205"/>
    <n v="0"/>
    <m/>
    <m/>
    <n v="210205"/>
    <n v="0"/>
    <n v="210205"/>
  </r>
  <r>
    <s v="5-01-02-74-004"/>
    <s v="GRC-6.3# Office Rent"/>
    <s v="5-01-02-74-004-GRC-6.3# Office RentGRC Own"/>
    <x v="1"/>
    <x v="8"/>
    <x v="56"/>
    <x v="83"/>
    <s v="GRC Own"/>
    <n v="0"/>
    <n v="0"/>
    <n v="908300"/>
    <n v="809000"/>
    <n v="908300"/>
    <n v="809000"/>
    <m/>
    <m/>
    <n v="908300"/>
    <n v="809000"/>
    <n v="99300"/>
  </r>
  <r>
    <s v="5-01-02-74-005"/>
    <s v="GRC-8.1.1# Baseline Assessment (development, implementation, analysis and reporting, recruitment and"/>
    <s v="5-01-02-74-005-GRC-8.1.1# Baseline Assessment (development, implementation, analysis and reporting, recruitment andGRC"/>
    <x v="1"/>
    <x v="8"/>
    <x v="57"/>
    <x v="84"/>
    <s v="GRC"/>
    <n v="0"/>
    <n v="0"/>
    <n v="0"/>
    <n v="0"/>
    <n v="0"/>
    <n v="0"/>
    <m/>
    <m/>
    <n v="0"/>
    <n v="0"/>
    <n v="0"/>
  </r>
  <r>
    <s v="5-01-02-74-006"/>
    <s v="GRC-8.1.2 # Advocacy material develoment and distribution"/>
    <s v="5-01-02-74-006-GRC-8.1.2 # Advocacy material develoment and distributionGRC"/>
    <x v="1"/>
    <x v="8"/>
    <x v="58"/>
    <x v="85"/>
    <s v="GRC"/>
    <n v="0"/>
    <n v="0"/>
    <n v="0"/>
    <n v="0"/>
    <n v="0"/>
    <n v="0"/>
    <m/>
    <m/>
    <n v="0"/>
    <n v="0"/>
    <n v="0"/>
  </r>
  <r>
    <s v="5-01-02-74-007"/>
    <s v="GRC-8.1.3 # Training workshops   "/>
    <s v="5-01-02-74-007-GRC-8.1.3 # Training workshops   GRC"/>
    <x v="1"/>
    <x v="8"/>
    <x v="59"/>
    <x v="86"/>
    <s v="GRC"/>
    <n v="0"/>
    <n v="0"/>
    <n v="330784"/>
    <n v="0"/>
    <n v="330784"/>
    <n v="0"/>
    <m/>
    <m/>
    <n v="330784"/>
    <n v="0"/>
    <n v="330784"/>
  </r>
  <r>
    <s v="5-01-02-74-008"/>
    <s v="GRC-8.2.1 # Venue, including food and drinks"/>
    <s v="5-01-02-74-008-GRC-8.2.1 # Venue, including food and drinksPILER"/>
    <x v="1"/>
    <x v="8"/>
    <x v="60"/>
    <x v="87"/>
    <s v="PILER"/>
    <n v="0"/>
    <n v="0"/>
    <n v="960"/>
    <n v="0"/>
    <n v="960"/>
    <n v="0"/>
    <m/>
    <m/>
    <n v="960"/>
    <n v="0"/>
    <n v="960"/>
  </r>
  <r>
    <s v="5-01-02-74-008"/>
    <s v="GRC-8.2.1 # Venue, including food and drinks"/>
    <s v="5-01-02-74-008-GRC-8.2.1 # Venue, including food and drinksGRC"/>
    <x v="1"/>
    <x v="8"/>
    <x v="60"/>
    <x v="87"/>
    <s v="GRC"/>
    <n v="0"/>
    <n v="0"/>
    <n v="2254888"/>
    <n v="0"/>
    <n v="2254888"/>
    <n v="0"/>
    <m/>
    <m/>
    <n v="2254888"/>
    <n v="0"/>
    <n v="2254888"/>
  </r>
  <r>
    <s v="5-01-02-74-009"/>
    <s v="GRC-8.2.2 # National travel for participants"/>
    <s v="5-01-02-74-009-GRC-8.2.2 # National travel for participantsGRC"/>
    <x v="1"/>
    <x v="8"/>
    <x v="61"/>
    <x v="88"/>
    <s v="GRC"/>
    <n v="0"/>
    <n v="0"/>
    <n v="1161050"/>
    <n v="0"/>
    <n v="1161050"/>
    <n v="0"/>
    <m/>
    <m/>
    <n v="1161050"/>
    <n v="0"/>
    <n v="1161050"/>
  </r>
  <r>
    <s v="5-01-02-74-010"/>
    <s v="GRC-8.2.3 # Accommodation for participants"/>
    <s v="5-01-02-74-010-GRC-8.2.3 # Accommodation for participantsGRC"/>
    <x v="1"/>
    <x v="8"/>
    <x v="62"/>
    <x v="89"/>
    <s v="GRC"/>
    <n v="0"/>
    <n v="0"/>
    <n v="535668"/>
    <n v="0"/>
    <n v="535668"/>
    <n v="0"/>
    <m/>
    <m/>
    <n v="535668"/>
    <n v="0"/>
    <n v="535668"/>
  </r>
  <r>
    <s v="5-01-02-74-011"/>
    <s v="GRC-8.2.4 # Facilitators fee"/>
    <s v="5-01-02-74-011-GRC-8.2.4 # Facilitators feeGRC"/>
    <x v="1"/>
    <x v="8"/>
    <x v="63"/>
    <x v="90"/>
    <s v="GRC"/>
    <n v="0"/>
    <n v="0"/>
    <n v="191564"/>
    <n v="0"/>
    <n v="191564"/>
    <n v="0"/>
    <m/>
    <m/>
    <n v="191564"/>
    <n v="0"/>
    <n v="191564"/>
  </r>
  <r>
    <s v="5-01-02-74-012"/>
    <s v="GRC-8.2.5 # Stationary &amp; material"/>
    <s v="5-01-02-74-012-GRC-8.2.5 # Stationary &amp; materialGRC"/>
    <x v="1"/>
    <x v="8"/>
    <x v="64"/>
    <x v="91"/>
    <s v="GRC"/>
    <n v="0"/>
    <n v="0"/>
    <n v="322440"/>
    <n v="0"/>
    <n v="322440"/>
    <n v="0"/>
    <m/>
    <m/>
    <n v="322440"/>
    <n v="0"/>
    <n v="322440"/>
  </r>
  <r>
    <s v="5-01-02-74-013"/>
    <s v="GRC-Indirect Costs"/>
    <s v="5-01-02-74-013-GRC-Indirect CostsGRC"/>
    <x v="1"/>
    <x v="8"/>
    <x v="65"/>
    <x v="92"/>
    <s v="GRC"/>
    <n v="0"/>
    <n v="0"/>
    <n v="411572"/>
    <n v="0"/>
    <n v="411572"/>
    <n v="0"/>
    <m/>
    <m/>
    <n v="411572"/>
    <n v="0"/>
    <n v="411572"/>
  </r>
  <r>
    <s v="5-01-02-74-015"/>
    <s v="GRC-6.1.2#Paralegal trainer/facilitator"/>
    <s v="5-01-02-74-015-GRC-6.1.2#Paralegal trainer/facilitatorGRC"/>
    <x v="1"/>
    <x v="8"/>
    <x v="55"/>
    <x v="64"/>
    <s v="GRC"/>
    <n v="0"/>
    <n v="0"/>
    <n v="0"/>
    <n v="0"/>
    <n v="0"/>
    <n v="0"/>
    <m/>
    <m/>
    <n v="0"/>
    <n v="0"/>
    <n v="0"/>
  </r>
  <r>
    <s v="5-01-02-74-015"/>
    <s v="GRC-6.1.2#Paralegal trainer/facilitator"/>
    <s v="5-01-02-74-015-GRC-6.1.2#Paralegal trainer/facilitatorGRC Own"/>
    <x v="1"/>
    <x v="8"/>
    <x v="55"/>
    <x v="64"/>
    <s v="GRC Own"/>
    <n v="0"/>
    <n v="0"/>
    <n v="7778603"/>
    <n v="8403525"/>
    <n v="7778603"/>
    <n v="8403525"/>
    <m/>
    <m/>
    <n v="7778603"/>
    <n v="8403525"/>
    <n v="-624922"/>
  </r>
  <r>
    <s v="5-01-02-86-001"/>
    <s v="GRC-A.1.1#Project Manager"/>
    <s v="5-01-02-86-001-GRC-A.1.1#Project ManagerGRC"/>
    <x v="1"/>
    <x v="8"/>
    <x v="11"/>
    <x v="64"/>
    <s v="GRC"/>
    <n v="0"/>
    <n v="0"/>
    <n v="1503318"/>
    <n v="0"/>
    <n v="1503318"/>
    <n v="0"/>
    <n v="2619012"/>
    <m/>
    <n v="4122330"/>
    <n v="0"/>
    <n v="4122330"/>
  </r>
  <r>
    <s v="5-01-02-86-002"/>
    <s v="GRC-A.1.2#Finance Coordinator"/>
    <s v="5-01-02-86-002-GRC-A.1.2#Finance CoordinatorGRC"/>
    <x v="1"/>
    <x v="8"/>
    <x v="11"/>
    <x v="64"/>
    <s v="GRC"/>
    <n v="0"/>
    <n v="0"/>
    <n v="1013916"/>
    <n v="0"/>
    <n v="1013916"/>
    <n v="0"/>
    <m/>
    <m/>
    <n v="1013916"/>
    <n v="0"/>
    <n v="1013916"/>
  </r>
  <r>
    <s v="5-01-02-86-003"/>
    <s v="GRC-A.1.3#Project Coordinator"/>
    <s v="5-01-02-86-003-GRC-A.1.3#Project CoordinatorGRC"/>
    <x v="1"/>
    <x v="8"/>
    <x v="11"/>
    <x v="64"/>
    <s v="GRC"/>
    <n v="0"/>
    <n v="0"/>
    <n v="761532"/>
    <n v="0"/>
    <n v="761532"/>
    <n v="0"/>
    <m/>
    <m/>
    <n v="761532"/>
    <n v="0"/>
    <n v="761532"/>
  </r>
  <r>
    <s v="5-01-02-86-004"/>
    <s v="GRC-A.1.#Admn Officer"/>
    <s v="5-01-02-86-004-GRC-A.1.#Admn OfficerGRC"/>
    <x v="1"/>
    <x v="8"/>
    <x v="11"/>
    <x v="64"/>
    <s v="GRC"/>
    <n v="0"/>
    <n v="0"/>
    <n v="671706"/>
    <n v="0"/>
    <n v="671706"/>
    <n v="0"/>
    <m/>
    <m/>
    <n v="671706"/>
    <n v="0"/>
    <n v="671706"/>
  </r>
  <r>
    <m/>
    <s v="GRC-A.1.#Admn Officer"/>
    <s v="5-01-02-86-004-GRC-A.1.#Admn OfficerGRC"/>
    <x v="1"/>
    <x v="8"/>
    <x v="66"/>
    <x v="93"/>
    <s v="GRC"/>
    <n v="0"/>
    <n v="0"/>
    <n v="0"/>
    <n v="0"/>
    <n v="0"/>
    <n v="0"/>
    <n v="337290"/>
    <n v="0"/>
    <n v="337290"/>
    <n v="0"/>
    <n v="337290"/>
  </r>
  <r>
    <s v="5-01-02-86-005"/>
    <s v="GRC-B.1.1#EOBI Contribution"/>
    <s v="5-01-02-86-005-GRC-B.1.1#EOBI ContributionGRC"/>
    <x v="1"/>
    <x v="8"/>
    <x v="67"/>
    <x v="94"/>
    <s v="GRC"/>
    <n v="0"/>
    <n v="0"/>
    <n v="27004"/>
    <n v="0"/>
    <n v="27004"/>
    <n v="0"/>
    <m/>
    <m/>
    <n v="27004"/>
    <n v="0"/>
    <n v="27004"/>
  </r>
  <r>
    <s v="5-01-02-86-007"/>
    <s v="GRC-C.1.1#International Travel"/>
    <s v="5-01-02-86-007-GRC-C.1.1#International TravelGRC"/>
    <x v="1"/>
    <x v="8"/>
    <x v="68"/>
    <x v="95"/>
    <s v="GRC"/>
    <n v="0"/>
    <n v="0"/>
    <n v="31158"/>
    <n v="0"/>
    <n v="31158"/>
    <n v="0"/>
    <m/>
    <m/>
    <n v="31158"/>
    <n v="0"/>
    <n v="31158"/>
  </r>
  <r>
    <s v="5-01-02-86-011"/>
    <s v="GRC-C.1.5#Visa Fee"/>
    <s v="5-01-02-86-011-GRC-C.1.5#Visa FeeGRC"/>
    <x v="1"/>
    <x v="8"/>
    <x v="69"/>
    <x v="96"/>
    <s v="GRC"/>
    <n v="0"/>
    <n v="0"/>
    <n v="23000"/>
    <n v="0"/>
    <n v="23000"/>
    <n v="0"/>
    <m/>
    <m/>
    <n v="23000"/>
    <n v="0"/>
    <n v="23000"/>
  </r>
  <r>
    <s v="5-01-02-86-014"/>
    <s v="GRC-F.2#Office Rent"/>
    <s v="5-01-02-86-014-GRC-F.2#Office RentGRC"/>
    <x v="1"/>
    <x v="8"/>
    <x v="70"/>
    <x v="97"/>
    <s v="GRC"/>
    <n v="0"/>
    <n v="0"/>
    <n v="599579"/>
    <n v="0"/>
    <n v="599579"/>
    <n v="0"/>
    <m/>
    <m/>
    <n v="599579"/>
    <n v="0"/>
    <n v="599579"/>
  </r>
  <r>
    <s v="5-01-02-86-015"/>
    <s v="GRC-H.1.2#Advocacy material development and distribution"/>
    <s v="5-01-02-86-015-GRC-H.1.2#Advocacy material development and distributionGRC"/>
    <x v="1"/>
    <x v="8"/>
    <x v="71"/>
    <x v="98"/>
    <s v="GRC"/>
    <n v="0"/>
    <n v="0"/>
    <n v="416650"/>
    <n v="0"/>
    <n v="416650"/>
    <n v="0"/>
    <m/>
    <m/>
    <n v="416650"/>
    <n v="0"/>
    <n v="416650"/>
  </r>
  <r>
    <s v="5-01-02-86-025"/>
    <s v="GRC-Data collector"/>
    <s v="5-01-02-86-025-GRC-Data collectorGRC"/>
    <x v="1"/>
    <x v="8"/>
    <x v="72"/>
    <x v="99"/>
    <s v="GRC"/>
    <n v="0"/>
    <n v="0"/>
    <n v="780000"/>
    <n v="0"/>
    <n v="780000"/>
    <n v="0"/>
    <m/>
    <m/>
    <n v="780000"/>
    <n v="0"/>
    <n v="780000"/>
  </r>
  <r>
    <s v="5-01-02-86-026"/>
    <s v="GRC-Data Analyst-Quantitative"/>
    <s v="5-01-02-86-026-GRC-Data Analyst-QuantitativeGRC"/>
    <x v="1"/>
    <x v="8"/>
    <x v="73"/>
    <x v="100"/>
    <s v="GRC"/>
    <n v="0"/>
    <n v="0"/>
    <n v="870000"/>
    <n v="0"/>
    <n v="870000"/>
    <n v="0"/>
    <m/>
    <m/>
    <n v="870000"/>
    <n v="0"/>
    <n v="870000"/>
  </r>
  <r>
    <s v="5-01-02-86-027"/>
    <s v="GRC-Expenses Allowance for Data Analyst and Collectors"/>
    <s v="5-01-02-86-027-GRC-Expenses Allowance for Data Analyst and CollectorsGRC"/>
    <x v="1"/>
    <x v="8"/>
    <x v="74"/>
    <x v="101"/>
    <s v="GRC"/>
    <n v="0"/>
    <n v="0"/>
    <n v="405558"/>
    <n v="0"/>
    <n v="405558"/>
    <n v="0"/>
    <m/>
    <m/>
    <n v="405558"/>
    <n v="0"/>
    <n v="405558"/>
  </r>
  <r>
    <s v="5-01-02-86-029"/>
    <s v="GRC- Project Management Cost"/>
    <s v="5-01-02-86-029-GRC- Project Management CostPILER"/>
    <x v="1"/>
    <x v="8"/>
    <x v="75"/>
    <x v="102"/>
    <s v="PILER"/>
    <n v="0"/>
    <n v="0"/>
    <n v="152838"/>
    <n v="0"/>
    <n v="152838"/>
    <n v="0"/>
    <m/>
    <m/>
    <n v="152838"/>
    <n v="0"/>
    <n v="152838"/>
  </r>
  <r>
    <s v="5-01-02-86-029"/>
    <s v="GRC- Project Management Cost"/>
    <s v="5-01-02-86-029-GRC- Project Management CostGRC"/>
    <x v="1"/>
    <x v="8"/>
    <x v="75"/>
    <x v="102"/>
    <s v="GRC"/>
    <n v="0"/>
    <n v="0"/>
    <n v="491513"/>
    <n v="0"/>
    <n v="491513"/>
    <n v="0"/>
    <m/>
    <m/>
    <n v="491513"/>
    <n v="0"/>
    <n v="491513"/>
  </r>
  <r>
    <s v="5-01-02-88-001"/>
    <s v="SAPPK-1#Formation of Women Empowerment Forum in each District"/>
    <s v="5-01-02-88-001-SAPPK-1#Formation of Women Empowerment Forum in each DistrictPILER"/>
    <x v="1"/>
    <x v="8"/>
    <x v="76"/>
    <x v="103"/>
    <s v="PILER"/>
    <n v="0"/>
    <n v="0"/>
    <n v="162172"/>
    <n v="0"/>
    <n v="162172"/>
    <n v="0"/>
    <m/>
    <m/>
    <n v="162172"/>
    <n v="0"/>
    <n v="162172"/>
  </r>
  <r>
    <s v="5-01-02-94-001"/>
    <s v="ABA-1.1#Project Manager"/>
    <s v="5-01-02-94-001-ABA-1.1#Project ManagerPILER"/>
    <x v="1"/>
    <x v="8"/>
    <x v="11"/>
    <x v="64"/>
    <s v="PILER"/>
    <n v="0"/>
    <n v="0"/>
    <n v="541710"/>
    <n v="0"/>
    <n v="541710"/>
    <n v="0"/>
    <m/>
    <m/>
    <n v="541710"/>
    <n v="0"/>
    <n v="541710"/>
  </r>
  <r>
    <s v="5-01-02-94-002"/>
    <s v="ABA-1.2#Executive Director"/>
    <s v="5-01-02-94-002-ABA-1.2#Executive DirectorPILER"/>
    <x v="1"/>
    <x v="8"/>
    <x v="11"/>
    <x v="64"/>
    <s v="PILER"/>
    <n v="0"/>
    <n v="0"/>
    <n v="70000"/>
    <n v="0"/>
    <n v="70000"/>
    <n v="0"/>
    <m/>
    <m/>
    <n v="70000"/>
    <n v="0"/>
    <n v="70000"/>
  </r>
  <r>
    <s v="5-01-02-94-003"/>
    <s v="ABA-1.3 #Project Coordinator"/>
    <s v="5-01-02-94-003-ABA-1.3 #Project CoordinatorPILER"/>
    <x v="1"/>
    <x v="8"/>
    <x v="11"/>
    <x v="64"/>
    <s v="PILER"/>
    <n v="0"/>
    <n v="0"/>
    <n v="290000"/>
    <n v="0"/>
    <n v="290000"/>
    <n v="0"/>
    <m/>
    <m/>
    <n v="290000"/>
    <n v="0"/>
    <n v="290000"/>
  </r>
  <r>
    <s v="5-01-02-94-004"/>
    <s v="ABA-1.4#Labour Center Coordinators(2)"/>
    <s v="5-01-02-94-004-ABA-1.4#Labour Center Coordinators(2)PILER"/>
    <x v="1"/>
    <x v="8"/>
    <x v="11"/>
    <x v="64"/>
    <s v="PILER"/>
    <n v="0"/>
    <n v="0"/>
    <n v="100000"/>
    <n v="0"/>
    <n v="100000"/>
    <n v="0"/>
    <m/>
    <m/>
    <n v="100000"/>
    <n v="0"/>
    <n v="100000"/>
  </r>
  <r>
    <s v="5-01-02-94-005"/>
    <s v="ABA-1.5#Field Mobilizing Coordinator"/>
    <s v="5-01-02-94-005-ABA-1.5#Field Mobilizing CoordinatorPILER"/>
    <x v="1"/>
    <x v="8"/>
    <x v="11"/>
    <x v="64"/>
    <s v="PILER"/>
    <n v="0"/>
    <n v="0"/>
    <n v="80000"/>
    <n v="0"/>
    <n v="80000"/>
    <n v="0"/>
    <m/>
    <m/>
    <n v="80000"/>
    <n v="0"/>
    <n v="80000"/>
  </r>
  <r>
    <s v="5-01-02-94-006"/>
    <s v="ABA-1.6#Finance Manager"/>
    <s v="5-01-02-94-006-ABA-1.6#Finance ManagerPILER"/>
    <x v="1"/>
    <x v="8"/>
    <x v="11"/>
    <x v="64"/>
    <s v="PILER"/>
    <n v="0"/>
    <n v="0"/>
    <n v="70000"/>
    <n v="0"/>
    <n v="70000"/>
    <n v="0"/>
    <m/>
    <m/>
    <n v="70000"/>
    <n v="0"/>
    <n v="70000"/>
  </r>
  <r>
    <s v="5-01-02-94-009"/>
    <s v="ABA-1.9#Media &amp; IT Coordinator"/>
    <s v="5-01-02-94-009-ABA-1.9#Media &amp; IT CoordinatorPILER"/>
    <x v="1"/>
    <x v="8"/>
    <x v="11"/>
    <x v="64"/>
    <s v="PILER"/>
    <n v="0"/>
    <n v="0"/>
    <n v="70000"/>
    <n v="0"/>
    <n v="70000"/>
    <n v="0"/>
    <m/>
    <m/>
    <n v="70000"/>
    <n v="0"/>
    <n v="70000"/>
  </r>
  <r>
    <s v="5-01-02-94-019"/>
    <s v="ABA-2.1-(a)#Campaign Help Prevent Child-Ground transport for Staff"/>
    <s v="5-01-02-94-019-ABA-2.1-(a)#Campaign Help Prevent Child-Ground transport for StaffPILER"/>
    <x v="1"/>
    <x v="8"/>
    <x v="77"/>
    <x v="104"/>
    <s v="PILER"/>
    <n v="0"/>
    <n v="0"/>
    <n v="93278"/>
    <n v="0"/>
    <n v="93278"/>
    <n v="0"/>
    <m/>
    <m/>
    <n v="93278"/>
    <n v="0"/>
    <n v="93278"/>
  </r>
  <r>
    <s v="5-01-02-94-028"/>
    <s v="ABA-2.4-(a)#Supplies-2 Laptop"/>
    <s v="5-01-02-94-028-ABA-2.4-(a)#Supplies-2 LaptopPILER"/>
    <x v="1"/>
    <x v="8"/>
    <x v="78"/>
    <x v="105"/>
    <s v="PILER"/>
    <n v="0"/>
    <n v="0"/>
    <n v="150500"/>
    <n v="0"/>
    <n v="150500"/>
    <n v="0"/>
    <m/>
    <n v="0"/>
    <n v="150500"/>
    <n v="0"/>
    <n v="150500"/>
  </r>
  <r>
    <s v="5-01-02-94-033"/>
    <s v="ABA-2.1-(e)#Campaign Help Prevent Child-Refreshment"/>
    <s v="5-01-02-94-033-ABA-2.1-(e)#Campaign Help Prevent Child-RefreshmentPILER"/>
    <x v="1"/>
    <x v="8"/>
    <x v="79"/>
    <x v="106"/>
    <s v="PILER"/>
    <n v="0"/>
    <n v="0"/>
    <n v="23295"/>
    <n v="0"/>
    <n v="23295"/>
    <n v="0"/>
    <m/>
    <m/>
    <n v="23295"/>
    <n v="0"/>
    <n v="23295"/>
  </r>
  <r>
    <s v="5-01-02-94-042"/>
    <s v="ABA#Transport Expenses"/>
    <s v="5-01-02-94-042-ABA#Transport ExpensesPILER"/>
    <x v="1"/>
    <x v="8"/>
    <x v="80"/>
    <x v="107"/>
    <s v="PILER"/>
    <n v="0"/>
    <n v="0"/>
    <n v="20247"/>
    <n v="0"/>
    <n v="20247"/>
    <n v="0"/>
    <n v="10247"/>
    <m/>
    <n v="30494"/>
    <n v="0"/>
    <n v="30494"/>
  </r>
  <r>
    <s v="5-01-02-94-043"/>
    <s v="ABA#Printing &amp; Stationery Expenses"/>
    <s v="5-01-02-94-043-ABA#Printing &amp; Stationery ExpensesPILER"/>
    <x v="1"/>
    <x v="8"/>
    <x v="81"/>
    <x v="108"/>
    <s v="PILER"/>
    <n v="0"/>
    <n v="0"/>
    <n v="36925"/>
    <n v="0"/>
    <n v="36925"/>
    <n v="0"/>
    <m/>
    <m/>
    <n v="36925"/>
    <n v="0"/>
    <n v="36925"/>
  </r>
  <r>
    <s v="5-01-02-94-044"/>
    <s v="ABA#Food/Refreshment Expenses"/>
    <s v="5-01-02-94-044-ABA#Food/Refreshment ExpensesPILER"/>
    <x v="1"/>
    <x v="8"/>
    <x v="82"/>
    <x v="109"/>
    <s v="PILER"/>
    <n v="0"/>
    <n v="0"/>
    <n v="6980"/>
    <n v="0"/>
    <n v="6980"/>
    <n v="0"/>
    <m/>
    <m/>
    <n v="6980"/>
    <n v="0"/>
    <n v="6980"/>
  </r>
  <r>
    <s v="5-01-02-94-046"/>
    <s v="ABA#1.1-Identify Law and Policy Proposals through Legal Mapping of Traffficking,Child Protection &amp; L"/>
    <s v="5-01-02-94-046-ABA#1.1-Identify Law and Policy Proposals through Legal Mapping of Traffficking,Child Protection &amp; LPILER"/>
    <x v="1"/>
    <x v="8"/>
    <x v="83"/>
    <x v="110"/>
    <s v="PILER"/>
    <n v="0"/>
    <n v="0"/>
    <n v="150000"/>
    <n v="0"/>
    <n v="150000"/>
    <n v="0"/>
    <m/>
    <m/>
    <n v="150000"/>
    <n v="0"/>
    <n v="150000"/>
  </r>
  <r>
    <s v="5-01-02-94-051"/>
    <s v="ABA#Office Attandent"/>
    <s v="5-01-02-94-051-ABA#Office AttandentPILER"/>
    <x v="1"/>
    <x v="8"/>
    <x v="11"/>
    <x v="64"/>
    <s v="PILER"/>
    <n v="0"/>
    <n v="0"/>
    <n v="32000"/>
    <n v="0"/>
    <n v="32000"/>
    <n v="0"/>
    <m/>
    <m/>
    <n v="32000"/>
    <n v="0"/>
    <n v="32000"/>
  </r>
  <r>
    <s v="5-01-02-94-052"/>
    <s v="ABA#  Child safeguarding Policy by reviewing relevant laws &amp; UN guiding principles"/>
    <s v="5-01-02-94-052-ABA#  Child safeguarding Policy by reviewing relevant laws &amp; UN guiding principlesPILER"/>
    <x v="1"/>
    <x v="8"/>
    <x v="84"/>
    <x v="111"/>
    <s v="PILER"/>
    <n v="0"/>
    <n v="0"/>
    <n v="111000"/>
    <n v="0"/>
    <n v="111000"/>
    <n v="0"/>
    <m/>
    <m/>
    <n v="111000"/>
    <n v="0"/>
    <n v="111000"/>
  </r>
  <r>
    <s v="5-01-05-01-001"/>
    <s v="LBL#1-Surveyor Cost"/>
    <s v="5-01-05-01-001-LBL#1-Surveyor CostPILER"/>
    <x v="1"/>
    <x v="8"/>
    <x v="85"/>
    <x v="112"/>
    <s v="PILER"/>
    <n v="0"/>
    <n v="0"/>
    <n v="235000"/>
    <n v="0"/>
    <n v="235000"/>
    <n v="0"/>
    <m/>
    <m/>
    <n v="235000"/>
    <n v="0"/>
    <n v="235000"/>
  </r>
  <r>
    <s v="1-01-02-02-001"/>
    <s v="R/A-Pakistan Labour Trust(Plt)"/>
    <s v="1-01-02-02-001-R/A-Pakistan Labour Trust(Plt)ICCO"/>
    <x v="0"/>
    <x v="1"/>
    <x v="2"/>
    <x v="2"/>
    <s v="ICCO"/>
    <n v="16526"/>
    <n v="8263"/>
    <m/>
    <m/>
    <n v="16526"/>
    <n v="8263"/>
    <m/>
    <m/>
    <n v="16526"/>
    <n v="8263"/>
    <n v="8263"/>
  </r>
  <r>
    <s v="1-01-02-02-001"/>
    <s v="R/A-Pakistan Labour Trust(Plt)"/>
    <s v="1-01-02-02-001-R/A-Pakistan Labour Trust(Plt)TDH &amp; MI"/>
    <x v="0"/>
    <x v="1"/>
    <x v="2"/>
    <x v="2"/>
    <s v="TDH &amp; MI"/>
    <n v="79288"/>
    <n v="39644"/>
    <m/>
    <m/>
    <n v="79288"/>
    <n v="39644"/>
    <m/>
    <m/>
    <n v="79288"/>
    <n v="39644"/>
    <n v="39644"/>
  </r>
  <r>
    <s v="1-01-02-02-001"/>
    <s v="R/A-Pakistan Labour Trust(Plt)"/>
    <s v="1-01-02-02-001-R/A-Pakistan Labour Trust(Plt)SHORT PROJECTS"/>
    <x v="0"/>
    <x v="1"/>
    <x v="2"/>
    <x v="2"/>
    <s v="SHORT PROJECTS"/>
    <n v="208840"/>
    <n v="104420"/>
    <m/>
    <m/>
    <n v="208840"/>
    <n v="104420"/>
    <m/>
    <m/>
    <n v="208840"/>
    <n v="104420"/>
    <n v="104420"/>
  </r>
  <r>
    <s v="1-01-02-02-001"/>
    <s v="R/A-Pakistan Labour Trust(Plt)"/>
    <s v="1-01-02-02-001-R/A-Pakistan Labour Trust(Plt)Open Society"/>
    <x v="0"/>
    <x v="1"/>
    <x v="2"/>
    <x v="2"/>
    <s v="Open Society"/>
    <n v="2984702"/>
    <n v="1492351"/>
    <m/>
    <m/>
    <n v="2984702"/>
    <n v="1492351"/>
    <m/>
    <m/>
    <n v="2984702"/>
    <n v="1492351"/>
    <n v="1492351"/>
  </r>
  <r>
    <s v="1-01-02-02-001"/>
    <s v="R/A-Pakistan Labour Trust(Plt)"/>
    <s v="1-01-02-02-001-R/A-Pakistan Labour Trust(Plt)Deezire"/>
    <x v="0"/>
    <x v="1"/>
    <x v="2"/>
    <x v="2"/>
    <s v="Deezire"/>
    <n v="200000"/>
    <n v="100000"/>
    <m/>
    <m/>
    <n v="200000"/>
    <n v="100000"/>
    <m/>
    <m/>
    <n v="200000"/>
    <n v="100000"/>
    <n v="100000"/>
  </r>
  <r>
    <s v="1-01-02-02-005"/>
    <s v="Others Receivable"/>
    <s v="1-01-02-02-005-Others ReceivableGRC"/>
    <x v="0"/>
    <x v="0"/>
    <x v="1"/>
    <x v="4"/>
    <s v="GRC"/>
    <n v="30000"/>
    <n v="30000"/>
    <m/>
    <m/>
    <n v="30000"/>
    <n v="30000"/>
    <m/>
    <m/>
    <n v="30000"/>
    <n v="30000"/>
    <n v="0"/>
  </r>
  <r>
    <s v="1-01-02-02-025"/>
    <s v="Receivable From Khadim Hussain"/>
    <s v="1-01-02-02-025-Receivable From Khadim HussainSHORT PROJECTS"/>
    <x v="0"/>
    <x v="0"/>
    <x v="1"/>
    <x v="1"/>
    <s v="SHORT PROJECTS"/>
    <n v="4500"/>
    <n v="4500"/>
    <m/>
    <m/>
    <n v="4500"/>
    <n v="4500"/>
    <m/>
    <m/>
    <n v="4500"/>
    <n v="4500"/>
    <n v="0"/>
  </r>
  <r>
    <s v="3-01-01-01-001"/>
    <s v="Fund Balance"/>
    <s v="3-01-01-01-001-Fund BalanceETI"/>
    <x v="0"/>
    <x v="4"/>
    <x v="7"/>
    <x v="32"/>
    <s v="ETI"/>
    <n v="0"/>
    <n v="1847601.54"/>
    <m/>
    <m/>
    <n v="0"/>
    <n v="1847601.54"/>
    <m/>
    <m/>
    <n v="0"/>
    <n v="1847601.54"/>
    <n v="-1847601.54"/>
  </r>
  <r>
    <s v="3-01-01-01-001"/>
    <s v="Fund Balance"/>
    <s v="3-01-01-01-001-Fund BalanceFNV"/>
    <x v="0"/>
    <x v="4"/>
    <x v="7"/>
    <x v="32"/>
    <s v="FNV"/>
    <n v="0"/>
    <n v="1321436.3999999999"/>
    <m/>
    <m/>
    <n v="0"/>
    <n v="1321436.3999999999"/>
    <m/>
    <m/>
    <n v="0"/>
    <n v="1321436.3999999999"/>
    <n v="-1321436.3999999999"/>
  </r>
  <r>
    <s v="3-01-01-01-001"/>
    <s v="Fund Balance"/>
    <s v="3-01-01-01-001-Fund BalanceFOSI"/>
    <x v="0"/>
    <x v="4"/>
    <x v="7"/>
    <x v="32"/>
    <s v="FOSI"/>
    <n v="0"/>
    <n v="1"/>
    <m/>
    <m/>
    <n v="0"/>
    <n v="1"/>
    <m/>
    <m/>
    <n v="0"/>
    <n v="1"/>
    <n v="-1"/>
  </r>
  <r>
    <s v="2-01-02-02-002"/>
    <s v="Staff Income Tax Withhold"/>
    <s v="2-01-02-02-002-Staff Income Tax WithholdGRC"/>
    <x v="0"/>
    <x v="1"/>
    <x v="5"/>
    <x v="29"/>
    <s v="GRC"/>
    <n v="0"/>
    <n v="0"/>
    <m/>
    <m/>
    <n v="0"/>
    <n v="0"/>
    <m/>
    <m/>
    <n v="0"/>
    <n v="0"/>
    <n v="0"/>
  </r>
  <r>
    <s v="2-01-03-01-002"/>
    <s v="Other Liabilities"/>
    <s v="Other Liabilities"/>
    <x v="0"/>
    <x v="1"/>
    <x v="5"/>
    <x v="29"/>
    <s v="Open Society"/>
    <n v="1724099"/>
    <n v="0"/>
    <m/>
    <m/>
    <n v="1724099"/>
    <n v="0"/>
    <m/>
    <m/>
    <n v="1724099"/>
    <n v="0"/>
    <n v="1724099"/>
  </r>
  <r>
    <s v="2-01-02-02-004"/>
    <s v="Sales Tax Withhold"/>
    <s v="Sales Tax Withhold"/>
    <x v="0"/>
    <x v="1"/>
    <x v="5"/>
    <x v="29"/>
    <s v="PILER"/>
    <n v="1724099"/>
    <n v="1724099"/>
    <m/>
    <m/>
    <n v="1724099"/>
    <n v="1724099"/>
    <m/>
    <m/>
    <n v="1724099"/>
    <n v="1724099"/>
    <n v="0"/>
  </r>
  <r>
    <s v="2-01-01-02-022"/>
    <s v="Payable To Khadim"/>
    <s v="Payable To Khadim"/>
    <x v="0"/>
    <x v="1"/>
    <x v="5"/>
    <x v="29"/>
    <s v="Open Society"/>
    <n v="70"/>
    <n v="70"/>
    <m/>
    <m/>
    <n v="70"/>
    <n v="70"/>
    <m/>
    <m/>
    <n v="70"/>
    <n v="70"/>
    <n v="0"/>
  </r>
  <r>
    <s v="2-01-01-02-008"/>
    <s v="Iuf - Qamar Ul Hasan &amp; M Usman"/>
    <s v="2-01-01-02-008-Iuf - Qamar Ul Hasan &amp; M Usmanpiler"/>
    <x v="0"/>
    <x v="1"/>
    <x v="5"/>
    <x v="29"/>
    <s v="PILER"/>
    <n v="1740"/>
    <m/>
    <m/>
    <m/>
    <n v="1740"/>
    <n v="0"/>
    <m/>
    <m/>
    <n v="1740"/>
    <n v="0"/>
    <n v="1740"/>
  </r>
  <r>
    <m/>
    <s v="Unearned Income"/>
    <s v="Unearned Income"/>
    <x v="0"/>
    <x v="1"/>
    <x v="5"/>
    <x v="29"/>
    <s v="Unearned Income"/>
    <m/>
    <n v="1997055.26"/>
    <m/>
    <m/>
    <n v="0"/>
    <n v="1997055.26"/>
    <m/>
    <m/>
    <n v="0"/>
    <n v="1997055.26"/>
    <n v="-1997055.26"/>
  </r>
  <r>
    <m/>
    <s v="Provision for taxation"/>
    <s v="Provision for taxation"/>
    <x v="0"/>
    <x v="1"/>
    <x v="5"/>
    <x v="30"/>
    <s v="Provision for taxation"/>
    <m/>
    <n v="0"/>
    <m/>
    <m/>
    <n v="0"/>
    <n v="0"/>
    <m/>
    <m/>
    <n v="0"/>
    <n v="0"/>
    <n v="0"/>
  </r>
  <r>
    <s v="3-01-01-01-001"/>
    <s v="Fund Balance"/>
    <s v="3-01-01-01-001-Fund BalanceDAI"/>
    <x v="0"/>
    <x v="4"/>
    <x v="7"/>
    <x v="32"/>
    <s v="DAI"/>
    <n v="63863.550000000047"/>
    <n v="3539881.45"/>
    <m/>
    <m/>
    <n v="63863.550000000047"/>
    <n v="3539881.45"/>
    <m/>
    <m/>
    <n v="63863.550000000047"/>
    <n v="3539881.45"/>
    <n v="-3476017.9000000004"/>
  </r>
  <r>
    <s v="3-01-01-01-002"/>
    <s v="Promoting Fund Balance"/>
    <s v="3-01-01-01-002-Promoting Fund BalanceUnicef"/>
    <x v="0"/>
    <x v="4"/>
    <x v="7"/>
    <x v="32"/>
    <s v="Unicef"/>
    <n v="340760"/>
    <n v="0"/>
    <m/>
    <m/>
    <n v="340760"/>
    <n v="0"/>
    <m/>
    <m/>
    <n v="340760"/>
    <n v="0"/>
    <n v="340760"/>
  </r>
  <r>
    <s v="3-01-01-01-002"/>
    <s v="Promoting Fund Balance"/>
    <s v="3-01-01-01-002-Promoting Fund BalanceUNICEF-2"/>
    <x v="0"/>
    <x v="4"/>
    <x v="7"/>
    <x v="32"/>
    <s v="UNICEF-2"/>
    <n v="0"/>
    <n v="19686"/>
    <m/>
    <m/>
    <n v="0"/>
    <n v="19686"/>
    <m/>
    <m/>
    <n v="0"/>
    <n v="19686"/>
    <n v="-19686"/>
  </r>
  <r>
    <s v="3-01-01-01-002"/>
    <s v="Promoting Fund Balance"/>
    <s v="3-01-01-01-002-Promoting Fund BalanceUNICEF-3"/>
    <x v="0"/>
    <x v="4"/>
    <x v="7"/>
    <x v="32"/>
    <s v="UNICEF-3"/>
    <n v="0"/>
    <n v="113902"/>
    <m/>
    <m/>
    <n v="0"/>
    <n v="113902"/>
    <m/>
    <m/>
    <n v="0"/>
    <n v="113902"/>
    <n v="-113902"/>
  </r>
  <r>
    <s v="3-01-01-01-002"/>
    <s v="Promoting Fund Balance"/>
    <s v="3-01-01-01-002-Promoting Fund BalanceRRCCHR"/>
    <x v="0"/>
    <x v="4"/>
    <x v="7"/>
    <x v="32"/>
    <s v="RRCCHR"/>
    <n v="15118.65"/>
    <n v="18934.349999999999"/>
    <m/>
    <m/>
    <n v="15118.65"/>
    <n v="18934.349999999999"/>
    <m/>
    <m/>
    <n v="15118.65"/>
    <n v="18934.349999999999"/>
    <n v="-3815.6999999999989"/>
  </r>
  <r>
    <s v="3-01-01-01-003"/>
    <s v="Tdh-Mi Fund Balance"/>
    <s v="3-01-01-01-003-Tdh-Mi Fund BalanceTDH &amp; MI"/>
    <x v="0"/>
    <x v="4"/>
    <x v="7"/>
    <x v="32"/>
    <s v="TDH &amp; MI"/>
    <m/>
    <n v="1059128.96"/>
    <m/>
    <m/>
    <n v="0"/>
    <n v="1059128.96"/>
    <m/>
    <m/>
    <n v="0"/>
    <n v="1059128.96"/>
    <n v="-1059128.96"/>
  </r>
  <r>
    <s v="3-01-01-01-004"/>
    <s v="Trocaire Fund Balance"/>
    <s v="3-01-01-01-004-Trocaire Fund BalanceTrocaire"/>
    <x v="0"/>
    <x v="4"/>
    <x v="7"/>
    <x v="32"/>
    <s v="Trocaire"/>
    <n v="131573.38"/>
    <m/>
    <m/>
    <m/>
    <n v="131573.38"/>
    <n v="0"/>
    <m/>
    <m/>
    <n v="131573.38"/>
    <n v="0"/>
    <n v="131573.38"/>
  </r>
  <r>
    <s v="3-01-01-01-005"/>
    <s v="Tdh Pak Fund Balance"/>
    <s v="3-01-01-01-005-Tdh Pak Fund BalanceTDH Pak"/>
    <x v="0"/>
    <x v="4"/>
    <x v="7"/>
    <x v="32"/>
    <s v="TDH Pak"/>
    <n v="0"/>
    <n v="160"/>
    <m/>
    <m/>
    <n v="0"/>
    <n v="160"/>
    <m/>
    <m/>
    <n v="0"/>
    <n v="160"/>
    <n v="-160"/>
  </r>
  <r>
    <s v="3-01-01-01-006"/>
    <s v="Icco Pak Fund Balance"/>
    <s v="3-01-01-01-006-Icco Pak Fund BalanceICCO Pak"/>
    <x v="0"/>
    <x v="4"/>
    <x v="7"/>
    <x v="32"/>
    <s v="ICCO Pak"/>
    <n v="0"/>
    <n v="232"/>
    <m/>
    <m/>
    <n v="0"/>
    <n v="232"/>
    <m/>
    <m/>
    <n v="0"/>
    <n v="232"/>
    <n v="-232"/>
  </r>
  <r>
    <s v="3-01-01-01-007"/>
    <s v="Taf Fund Balance"/>
    <s v="3-01-01-01-007-Taf Fund BalanceTAF"/>
    <x v="0"/>
    <x v="4"/>
    <x v="7"/>
    <x v="32"/>
    <s v="TAF"/>
    <n v="0"/>
    <n v="143742"/>
    <m/>
    <m/>
    <n v="0"/>
    <n v="143742"/>
    <m/>
    <m/>
    <n v="0"/>
    <n v="143742"/>
    <n v="-143742"/>
  </r>
  <r>
    <s v="3-01-01-01-008"/>
    <s v="Icco Project Fund Balance"/>
    <s v="3-01-01-01-008-Icco Project Fund BalanceICCO"/>
    <x v="0"/>
    <x v="4"/>
    <x v="7"/>
    <x v="32"/>
    <s v="ICCO"/>
    <n v="40031.769999999997"/>
    <n v="0"/>
    <m/>
    <m/>
    <n v="40031.769999999997"/>
    <n v="0"/>
    <m/>
    <m/>
    <n v="40031.769999999997"/>
    <n v="0"/>
    <n v="40031.769999999997"/>
  </r>
  <r>
    <s v="3-01-01-01-010"/>
    <s v="Short Term Fund Balance"/>
    <s v="3-01-01-01-010-Short Term Fund BalanceSHORT PROJECTS"/>
    <x v="0"/>
    <x v="4"/>
    <x v="7"/>
    <x v="32"/>
    <s v="SHORT PROJECTS"/>
    <n v="0"/>
    <n v="7009823.8399999999"/>
    <m/>
    <m/>
    <n v="0"/>
    <n v="7009823.8399999999"/>
    <m/>
    <m/>
    <n v="0"/>
    <n v="7009823.8399999999"/>
    <n v="-7009823.8399999999"/>
  </r>
  <r>
    <s v="3-01-01-01-011"/>
    <s v="Tdh Fund Balance"/>
    <s v="3-01-01-01-011-Tdh Fund BalanceTDH"/>
    <x v="0"/>
    <x v="4"/>
    <x v="7"/>
    <x v="32"/>
    <s v="TDH"/>
    <n v="0"/>
    <n v="197501"/>
    <m/>
    <m/>
    <n v="0"/>
    <n v="197501"/>
    <m/>
    <m/>
    <n v="0"/>
    <n v="197501"/>
    <n v="-197501"/>
  </r>
  <r>
    <s v="3-01-01-01-012"/>
    <s v="Osf-Fund Balance"/>
    <s v="3-01-01-01-012-Osf-Fund BalanceOpen Society"/>
    <x v="0"/>
    <x v="4"/>
    <x v="7"/>
    <x v="32"/>
    <s v="Open Society"/>
    <n v="13192587"/>
    <n v="39801207.060000002"/>
    <m/>
    <m/>
    <n v="13192587"/>
    <n v="39801207.060000002"/>
    <m/>
    <m/>
    <n v="13192587"/>
    <n v="39801207.060000002"/>
    <n v="-26608620.060000002"/>
  </r>
  <r>
    <s v="1-01-02-03-015"/>
    <s v="Advance To Pervez"/>
    <s v="1-01-02-03-015-Advance To PervezDAI"/>
    <x v="0"/>
    <x v="0"/>
    <x v="1"/>
    <x v="5"/>
    <s v="DAI"/>
    <n v="1374205"/>
    <n v="1374205"/>
    <m/>
    <m/>
    <n v="1374205"/>
    <n v="1374205"/>
    <m/>
    <m/>
    <n v="1374205"/>
    <n v="1374205"/>
    <n v="0"/>
  </r>
  <r>
    <s v="1-01-02-03-017"/>
    <s v="Advance To Danish Siddiqui"/>
    <s v="1-01-02-03-017-Advance To Danish SiddiquiDAI"/>
    <x v="0"/>
    <x v="0"/>
    <x v="1"/>
    <x v="5"/>
    <s v="DAI"/>
    <n v="769000"/>
    <n v="769000"/>
    <m/>
    <m/>
    <n v="769000"/>
    <n v="769000"/>
    <m/>
    <m/>
    <n v="769000"/>
    <n v="769000"/>
    <n v="0"/>
  </r>
  <r>
    <s v="1-01-02-03-020"/>
    <s v="Advance To Abbas Haider"/>
    <s v="1-01-02-03-020-Advance To Abbas HaiderGRC"/>
    <x v="0"/>
    <x v="0"/>
    <x v="1"/>
    <x v="5"/>
    <s v="GRC"/>
    <n v="156000"/>
    <n v="156000"/>
    <m/>
    <m/>
    <n v="156000"/>
    <n v="156000"/>
    <m/>
    <m/>
    <n v="156000"/>
    <n v="156000"/>
    <n v="0"/>
  </r>
  <r>
    <s v="1-01-02-03-116"/>
    <s v="Advance To Zameer Awan"/>
    <s v="1-01-02-03-116-Advance To Zameer AwanSHORT PROJECTS"/>
    <x v="0"/>
    <x v="0"/>
    <x v="1"/>
    <x v="5"/>
    <s v="SHORT PROJECTS"/>
    <n v="225589"/>
    <n v="225589"/>
    <m/>
    <m/>
    <n v="225589"/>
    <n v="225589"/>
    <m/>
    <m/>
    <n v="225589"/>
    <n v="225589"/>
    <n v="0"/>
  </r>
  <r>
    <s v="1-01-02-04-005"/>
    <s v="Advance To Hikmat Ali"/>
    <s v="1-01-02-04-005-Advance To Hikmat AliOpen Society"/>
    <x v="0"/>
    <x v="0"/>
    <x v="1"/>
    <x v="5"/>
    <s v="Open Society"/>
    <n v="15000"/>
    <n v="15000"/>
    <m/>
    <m/>
    <n v="15000"/>
    <n v="15000"/>
    <m/>
    <m/>
    <n v="15000"/>
    <n v="15000"/>
    <n v="0"/>
  </r>
  <r>
    <s v="1-01-02-03-013"/>
    <s v="ADVANCE TO KARAMAT ALI"/>
    <s v="1-01-02-03-013-ADVANCE TO KARAMAT ALIPILER"/>
    <x v="0"/>
    <x v="0"/>
    <x v="1"/>
    <x v="5"/>
    <s v="PILER"/>
    <n v="200000"/>
    <n v="200000"/>
    <m/>
    <m/>
    <n v="200000"/>
    <n v="200000"/>
    <m/>
    <m/>
    <n v="200000"/>
    <n v="200000"/>
    <n v="0"/>
  </r>
  <r>
    <s v="1-01-02-03-068"/>
    <s v="ADVANCE TO ABIDA ALI"/>
    <s v="1-01-02-03-068-ADVANCE TO ABIDA ALIPILER"/>
    <x v="0"/>
    <x v="0"/>
    <x v="1"/>
    <x v="5"/>
    <s v="PILER"/>
    <n v="131000"/>
    <n v="131000"/>
    <m/>
    <m/>
    <n v="131000"/>
    <n v="131000"/>
    <m/>
    <m/>
    <n v="131000"/>
    <n v="131000"/>
    <n v="0"/>
  </r>
  <r>
    <s v="1-01-02-03-068"/>
    <s v="ADVANCE TO ABIDA ALI"/>
    <s v="1-01-02-03-068-ADVANCE TO ABIDA ALISHORT"/>
    <x v="0"/>
    <x v="0"/>
    <x v="1"/>
    <x v="5"/>
    <s v="SHORT"/>
    <n v="344800"/>
    <n v="344800"/>
    <m/>
    <m/>
    <n v="344800"/>
    <n v="344800"/>
    <m/>
    <m/>
    <n v="344800"/>
    <n v="344800"/>
    <n v="0"/>
  </r>
  <r>
    <s v="1-01-02-03-122"/>
    <s v="Advance to Home Net Pakistan"/>
    <s v="1-01-02-03-122-Advance to Home Net Pakistan"/>
    <x v="0"/>
    <x v="0"/>
    <x v="1"/>
    <x v="5"/>
    <m/>
    <n v="273000"/>
    <n v="273000"/>
    <m/>
    <m/>
    <n v="273000"/>
    <n v="273000"/>
    <m/>
    <m/>
    <n v="273000"/>
    <n v="273000"/>
    <n v="0"/>
  </r>
  <r>
    <s v="1-01-02-03-124"/>
    <s v="Advance to Sajid Ali"/>
    <s v="1-01-02-03-124-Advance to Sajid Ali"/>
    <x v="0"/>
    <x v="0"/>
    <x v="1"/>
    <x v="5"/>
    <m/>
    <n v="58000"/>
    <n v="58000"/>
    <m/>
    <m/>
    <n v="58000"/>
    <n v="58000"/>
    <m/>
    <m/>
    <n v="58000"/>
    <n v="58000"/>
    <n v="0"/>
  </r>
  <r>
    <s v="1-01-02-01-002"/>
    <s v="Receivable From Trocaire-Mlrrs"/>
    <s v="1-01-02-01-002-Receivable From Trocaire-MlrrsPILER"/>
    <x v="2"/>
    <x v="11"/>
    <x v="86"/>
    <x v="113"/>
    <s v="PILER"/>
    <n v="0"/>
    <n v="14070"/>
    <m/>
    <m/>
    <n v="0"/>
    <n v="14070"/>
    <m/>
    <m/>
    <n v="0"/>
    <n v="14070"/>
    <n v="-14070"/>
  </r>
  <r>
    <s v="1-01-02-01-007"/>
    <s v="Receivable From Icco Proj-Thsw"/>
    <s v="1-01-02-01-007-Receivable From Icco Proj-ThswPILER"/>
    <x v="2"/>
    <x v="11"/>
    <x v="86"/>
    <x v="113"/>
    <s v="PILER"/>
    <n v="398399"/>
    <n v="0"/>
    <m/>
    <m/>
    <n v="398399"/>
    <n v="0"/>
    <m/>
    <m/>
    <n v="398399"/>
    <n v="0"/>
    <n v="398399"/>
  </r>
  <r>
    <s v="1-01-02-01-010"/>
    <s v="Receivable From Taf"/>
    <s v="1-01-02-01-010-Receivable From TafTrocaire"/>
    <x v="2"/>
    <x v="11"/>
    <x v="86"/>
    <x v="113"/>
    <s v="Trocaire"/>
    <n v="95515"/>
    <n v="0"/>
    <m/>
    <m/>
    <n v="95515"/>
    <n v="0"/>
    <m/>
    <m/>
    <n v="95515"/>
    <n v="0"/>
    <n v="95515"/>
  </r>
  <r>
    <s v="1-01-02-01-010"/>
    <s v="Receivable From Taf"/>
    <s v="1-01-02-01-010-Receivable From TafPILER"/>
    <x v="2"/>
    <x v="11"/>
    <x v="86"/>
    <x v="113"/>
    <s v="PILER"/>
    <n v="196699"/>
    <n v="0"/>
    <m/>
    <m/>
    <n v="196699"/>
    <n v="0"/>
    <m/>
    <m/>
    <n v="196699"/>
    <n v="0"/>
    <n v="196699"/>
  </r>
  <r>
    <s v="1-01-02-01-017"/>
    <s v="Rec / Pay With Civic Charter"/>
    <s v="1-01-02-01-017-Rec / Pay With Civic CharterPILER"/>
    <x v="2"/>
    <x v="11"/>
    <x v="86"/>
    <x v="113"/>
    <s v="PILER"/>
    <n v="11000"/>
    <n v="0"/>
    <m/>
    <m/>
    <n v="11000"/>
    <n v="0"/>
    <m/>
    <m/>
    <n v="11000"/>
    <n v="0"/>
    <n v="11000"/>
  </r>
  <r>
    <s v="1-01-02-02-006"/>
    <s v="Receivable From Piler Own"/>
    <s v="1-01-02-02-006-Receivable From Piler OwnUnicef"/>
    <x v="2"/>
    <x v="11"/>
    <x v="86"/>
    <x v="113"/>
    <s v="Unicef"/>
    <n v="3591736"/>
    <n v="0"/>
    <m/>
    <m/>
    <n v="3591736"/>
    <n v="0"/>
    <m/>
    <m/>
    <n v="3591736"/>
    <n v="0"/>
    <n v="3591736"/>
  </r>
  <r>
    <s v="1-01-02-02-006"/>
    <s v="Receivable From Piler Own"/>
    <s v="1-01-02-02-006-Receivable From Piler OwnTrocaire"/>
    <x v="2"/>
    <x v="11"/>
    <x v="86"/>
    <x v="113"/>
    <s v="Trocaire"/>
    <n v="143528.63"/>
    <n v="0"/>
    <m/>
    <m/>
    <n v="143528.63"/>
    <n v="0"/>
    <m/>
    <m/>
    <n v="143528.63"/>
    <n v="0"/>
    <n v="143528.63"/>
  </r>
  <r>
    <s v="1-01-02-02-006"/>
    <s v="Receivable From Piler Own"/>
    <s v="1-01-02-02-006-Receivable From Piler OwnDeezire"/>
    <x v="2"/>
    <x v="11"/>
    <x v="86"/>
    <x v="113"/>
    <s v="Deezire"/>
    <n v="3768214.11"/>
    <n v="0"/>
    <m/>
    <m/>
    <n v="3768214.11"/>
    <n v="0"/>
    <m/>
    <m/>
    <n v="3768214.11"/>
    <n v="0"/>
    <n v="3768214.11"/>
  </r>
  <r>
    <s v="1-01-02-02-006"/>
    <s v="Receivable From Piler Own"/>
    <s v="1-01-02-02-006-Receivable From Piler OwnPILER"/>
    <x v="2"/>
    <x v="11"/>
    <x v="86"/>
    <x v="113"/>
    <s v="PILER"/>
    <n v="100000"/>
    <n v="0"/>
    <m/>
    <m/>
    <n v="100000"/>
    <n v="0"/>
    <m/>
    <m/>
    <n v="100000"/>
    <n v="0"/>
    <n v="100000"/>
  </r>
  <r>
    <s v="1-01-02-02-006"/>
    <s v="Receivable From Piler Own"/>
    <s v="1-01-02-02-006-Receivable From Piler OwnICCO"/>
    <x v="2"/>
    <x v="11"/>
    <x v="86"/>
    <x v="113"/>
    <s v="ICCO"/>
    <n v="299904"/>
    <n v="0"/>
    <m/>
    <m/>
    <n v="299904"/>
    <n v="0"/>
    <m/>
    <m/>
    <n v="299904"/>
    <n v="0"/>
    <n v="299904"/>
  </r>
  <r>
    <s v="1-01-02-02-006"/>
    <s v="Receivable From Piler Own"/>
    <s v="1-01-02-02-006-Receivable From Piler OwnTDH &amp; MI"/>
    <x v="2"/>
    <x v="11"/>
    <x v="86"/>
    <x v="113"/>
    <s v="TDH &amp; MI"/>
    <n v="1600481"/>
    <n v="0"/>
    <m/>
    <m/>
    <n v="1600481"/>
    <n v="0"/>
    <m/>
    <m/>
    <n v="1600481"/>
    <n v="0"/>
    <n v="1600481"/>
  </r>
  <r>
    <s v="1-01-02-02-006"/>
    <s v="Receivable From Piler Own"/>
    <s v="1-01-02-02-006-Receivable From Piler OwnTAF"/>
    <x v="2"/>
    <x v="11"/>
    <x v="86"/>
    <x v="113"/>
    <s v="TAF"/>
    <n v="391647"/>
    <n v="0"/>
    <m/>
    <m/>
    <n v="391647"/>
    <n v="0"/>
    <m/>
    <m/>
    <n v="391647"/>
    <n v="0"/>
    <n v="391647"/>
  </r>
  <r>
    <s v="1-01-02-02-006"/>
    <s v="Receivable From Piler Own"/>
    <s v="1-01-02-02-006-Receivable From Piler OwnTDH"/>
    <x v="2"/>
    <x v="11"/>
    <x v="86"/>
    <x v="113"/>
    <s v="TDH"/>
    <n v="2993633"/>
    <n v="0"/>
    <m/>
    <m/>
    <n v="2993633"/>
    <n v="0"/>
    <m/>
    <m/>
    <n v="2993633"/>
    <n v="0"/>
    <n v="2993633"/>
  </r>
  <r>
    <s v="1-01-02-02-006"/>
    <s v="Receivable From Piler Own"/>
    <s v="1-01-02-02-006-Receivable From Piler OwnSHORT PROJECTS"/>
    <x v="2"/>
    <x v="11"/>
    <x v="86"/>
    <x v="113"/>
    <s v="SHORT PROJECTS"/>
    <n v="10194036"/>
    <n v="654955"/>
    <m/>
    <m/>
    <n v="10194036"/>
    <n v="654955"/>
    <m/>
    <m/>
    <n v="10194036"/>
    <n v="654955"/>
    <n v="9539081"/>
  </r>
  <r>
    <s v="1-01-02-02-006"/>
    <s v="Receivable From Piler Own"/>
    <s v="1-01-02-02-006-Receivable From Piler OwnUNICEF-2"/>
    <x v="2"/>
    <x v="11"/>
    <x v="86"/>
    <x v="113"/>
    <s v="UNICEF-2"/>
    <n v="738524"/>
    <n v="0"/>
    <m/>
    <m/>
    <n v="738524"/>
    <n v="0"/>
    <m/>
    <m/>
    <n v="738524"/>
    <n v="0"/>
    <n v="738524"/>
  </r>
  <r>
    <s v="1-01-02-02-006"/>
    <s v="Receivable From Piler Own"/>
    <s v="1-01-02-02-006-Receivable From Piler OwnUNICEF-3"/>
    <x v="2"/>
    <x v="11"/>
    <x v="86"/>
    <x v="113"/>
    <s v="UNICEF-3"/>
    <n v="2384280.7599999998"/>
    <n v="0"/>
    <m/>
    <m/>
    <n v="2384280.7599999998"/>
    <n v="0"/>
    <m/>
    <m/>
    <n v="2384280.7599999998"/>
    <n v="0"/>
    <n v="2384280.7599999998"/>
  </r>
  <r>
    <s v="1-01-02-02-006"/>
    <s v="Receivable From Piler Own"/>
    <s v="1-01-02-02-006-Receivable From Piler OwnOpen Society"/>
    <x v="2"/>
    <x v="11"/>
    <x v="86"/>
    <x v="113"/>
    <s v="Open Society"/>
    <n v="25699281"/>
    <n v="0"/>
    <m/>
    <m/>
    <n v="25699281"/>
    <n v="0"/>
    <m/>
    <m/>
    <n v="25699281"/>
    <n v="0"/>
    <n v="25699281"/>
  </r>
  <r>
    <s v="1-01-02-02-006"/>
    <s v="Receivable From Piler Own"/>
    <s v="1-01-02-02-006-Receivable From Piler OwnETI"/>
    <x v="2"/>
    <x v="11"/>
    <x v="86"/>
    <x v="113"/>
    <s v="ETI"/>
    <n v="3544301"/>
    <n v="0"/>
    <m/>
    <m/>
    <n v="3544301"/>
    <n v="0"/>
    <m/>
    <m/>
    <n v="3544301"/>
    <n v="0"/>
    <n v="3544301"/>
  </r>
  <r>
    <s v="1-01-02-02-006"/>
    <s v="Receivable From Piler Own"/>
    <s v="1-01-02-02-006-Receivable From Piler OwnFNV"/>
    <x v="2"/>
    <x v="11"/>
    <x v="86"/>
    <x v="113"/>
    <s v="FNV"/>
    <n v="563372"/>
    <n v="0"/>
    <m/>
    <m/>
    <n v="563372"/>
    <n v="0"/>
    <m/>
    <m/>
    <n v="563372"/>
    <n v="0"/>
    <n v="563372"/>
  </r>
  <r>
    <s v="1-01-02-02-006"/>
    <s v="Receivable From Piler Own"/>
    <s v="1-01-02-02-006-Receivable From Piler OwnDAI"/>
    <x v="2"/>
    <x v="11"/>
    <x v="86"/>
    <x v="113"/>
    <s v="DAI"/>
    <n v="994850"/>
    <n v="0"/>
    <m/>
    <m/>
    <n v="994850"/>
    <n v="0"/>
    <m/>
    <m/>
    <n v="994850"/>
    <n v="0"/>
    <n v="994850"/>
  </r>
  <r>
    <s v="1-01-02-02-006"/>
    <s v="Receivable From Piler Own"/>
    <s v="1-01-02-02-006-Receivable From Piler OwnGRC"/>
    <x v="2"/>
    <x v="11"/>
    <x v="86"/>
    <x v="113"/>
    <s v="GRC"/>
    <n v="254927"/>
    <n v="28730"/>
    <n v="62000"/>
    <n v="0"/>
    <n v="316927"/>
    <n v="28730"/>
    <m/>
    <m/>
    <n v="316927"/>
    <n v="28730"/>
    <n v="288197"/>
  </r>
  <r>
    <s v="1-01-02-02-008"/>
    <s v="Receivable From Tdh-Mi"/>
    <s v="1-01-02-02-008-Receivable From Tdh-MiPILER"/>
    <x v="2"/>
    <x v="11"/>
    <x v="86"/>
    <x v="113"/>
    <s v="PILER"/>
    <n v="16440"/>
    <n v="0"/>
    <m/>
    <m/>
    <n v="16440"/>
    <n v="0"/>
    <m/>
    <m/>
    <n v="16440"/>
    <n v="0"/>
    <n v="16440"/>
  </r>
  <r>
    <s v="1-01-02-02-008"/>
    <s v="Receivable From Tdh-Mi"/>
    <s v="1-01-02-02-008-Receivable From Tdh-MiTDH"/>
    <x v="2"/>
    <x v="11"/>
    <x v="86"/>
    <x v="113"/>
    <s v="TDH"/>
    <n v="1755199"/>
    <n v="0"/>
    <m/>
    <m/>
    <n v="1755199"/>
    <n v="0"/>
    <m/>
    <m/>
    <n v="1755199"/>
    <n v="0"/>
    <n v="1755199"/>
  </r>
  <r>
    <s v="1-01-02-02-009"/>
    <s v="Receivable From Unicef"/>
    <s v="1-01-02-02-009-Receivable From UnicefPILER"/>
    <x v="2"/>
    <x v="11"/>
    <x v="86"/>
    <x v="113"/>
    <s v="PILER"/>
    <n v="3268048"/>
    <n v="0"/>
    <m/>
    <m/>
    <n v="3268048"/>
    <n v="0"/>
    <m/>
    <m/>
    <n v="3268048"/>
    <n v="0"/>
    <n v="3268048"/>
  </r>
  <r>
    <s v="1-01-02-02-009"/>
    <s v="Receivable From Unicef"/>
    <s v="1-01-02-02-009-Receivable From UnicefSHORT PROJECTS"/>
    <x v="2"/>
    <x v="11"/>
    <x v="86"/>
    <x v="113"/>
    <s v="SHORT PROJECTS"/>
    <n v="3076"/>
    <n v="0"/>
    <m/>
    <m/>
    <n v="3076"/>
    <n v="0"/>
    <m/>
    <m/>
    <n v="3076"/>
    <n v="0"/>
    <n v="3076"/>
  </r>
  <r>
    <s v="1-01-02-02-012"/>
    <s v="Receivable From Dezaire"/>
    <s v="1-01-02-02-012-Receivable From DezairePILER"/>
    <x v="2"/>
    <x v="11"/>
    <x v="86"/>
    <x v="113"/>
    <s v="PILER"/>
    <n v="693696"/>
    <n v="0"/>
    <m/>
    <m/>
    <n v="693696"/>
    <n v="0"/>
    <m/>
    <m/>
    <n v="693696"/>
    <n v="0"/>
    <n v="693696"/>
  </r>
  <r>
    <s v="1-01-02-02-012"/>
    <s v="Receivable From Dezaire"/>
    <s v="1-01-02-02-012-Receivable From DezaireSHORT PROJECTS"/>
    <x v="2"/>
    <x v="11"/>
    <x v="86"/>
    <x v="113"/>
    <s v="SHORT PROJECTS"/>
    <n v="210640"/>
    <n v="0"/>
    <m/>
    <m/>
    <n v="210640"/>
    <n v="0"/>
    <m/>
    <m/>
    <n v="210640"/>
    <n v="0"/>
    <n v="210640"/>
  </r>
  <r>
    <s v="1-01-02-02-012"/>
    <s v="Receivable From Dezaire"/>
    <s v="1-01-02-02-012-Receivable From DezaireUNICEF-3"/>
    <x v="2"/>
    <x v="11"/>
    <x v="86"/>
    <x v="113"/>
    <s v="UNICEF-3"/>
    <n v="321121"/>
    <n v="0"/>
    <m/>
    <m/>
    <n v="321121"/>
    <n v="0"/>
    <m/>
    <m/>
    <n v="321121"/>
    <n v="0"/>
    <n v="321121"/>
  </r>
  <r>
    <s v="1-01-02-02-016"/>
    <s v="Receivable From Idrc"/>
    <s v="1-01-02-02-016-Receivable From IdrcPILER"/>
    <x v="2"/>
    <x v="11"/>
    <x v="86"/>
    <x v="113"/>
    <s v="PILER"/>
    <n v="367608"/>
    <n v="0"/>
    <m/>
    <m/>
    <n v="367608"/>
    <n v="0"/>
    <m/>
    <m/>
    <n v="367608"/>
    <n v="0"/>
    <n v="367608"/>
  </r>
  <r>
    <s v="1-01-02-02-017"/>
    <s v="Rec / Pay With Tdh"/>
    <s v="1-01-02-02-017-Rec / Pay With TdhPILER"/>
    <x v="2"/>
    <x v="11"/>
    <x v="86"/>
    <x v="113"/>
    <s v="PILER"/>
    <n v="233849"/>
    <n v="0"/>
    <m/>
    <m/>
    <n v="233849"/>
    <n v="0"/>
    <m/>
    <m/>
    <n v="233849"/>
    <n v="0"/>
    <n v="233849"/>
  </r>
  <r>
    <s v="1-01-02-02-017"/>
    <s v="Rec / Pay With Tdh"/>
    <s v="1-01-02-02-017-Rec / Pay With TdhTDH &amp; MI"/>
    <x v="2"/>
    <x v="11"/>
    <x v="86"/>
    <x v="113"/>
    <s v="TDH &amp; MI"/>
    <n v="195102"/>
    <n v="0"/>
    <m/>
    <m/>
    <n v="195102"/>
    <n v="0"/>
    <m/>
    <m/>
    <n v="195102"/>
    <n v="0"/>
    <n v="195102"/>
  </r>
  <r>
    <s v="1-01-02-02-017"/>
    <s v="Rec / Pay With Tdh"/>
    <s v="1-01-02-02-017-Rec / Pay With TdhSHORT PROJECTS"/>
    <x v="2"/>
    <x v="11"/>
    <x v="86"/>
    <x v="113"/>
    <s v="SHORT PROJECTS"/>
    <n v="0"/>
    <n v="7635"/>
    <m/>
    <m/>
    <n v="0"/>
    <n v="7635"/>
    <m/>
    <m/>
    <n v="0"/>
    <n v="7635"/>
    <n v="-7635"/>
  </r>
  <r>
    <s v="1-01-02-02-019"/>
    <s v="Receivable From Solidarity Cen"/>
    <s v="1-01-02-02-019-Receivable From Solidarity CenPILER"/>
    <x v="2"/>
    <x v="11"/>
    <x v="86"/>
    <x v="113"/>
    <s v="PILER"/>
    <n v="66466"/>
    <n v="0"/>
    <m/>
    <m/>
    <n v="66466"/>
    <n v="0"/>
    <m/>
    <m/>
    <n v="66466"/>
    <n v="0"/>
    <n v="66466"/>
  </r>
  <r>
    <s v="1-01-02-02-032"/>
    <s v="Rec / Pay With Kyi"/>
    <s v="1-01-02-02-032-Rec / Pay With KyiPILER"/>
    <x v="2"/>
    <x v="11"/>
    <x v="86"/>
    <x v="113"/>
    <s v="PILER"/>
    <n v="0"/>
    <n v="849896"/>
    <m/>
    <m/>
    <n v="0"/>
    <n v="849896"/>
    <m/>
    <m/>
    <n v="0"/>
    <n v="849896"/>
    <n v="-849896"/>
  </r>
  <r>
    <s v="1-01-02-02-033"/>
    <s v="Rec / Pay With Fes"/>
    <s v="1-01-02-02-033-Rec / Pay With FesPILER"/>
    <x v="2"/>
    <x v="11"/>
    <x v="86"/>
    <x v="113"/>
    <s v="PILER"/>
    <n v="1517740"/>
    <n v="1517740"/>
    <m/>
    <m/>
    <n v="1517740"/>
    <n v="1517740"/>
    <m/>
    <m/>
    <n v="1517740"/>
    <n v="1517740"/>
    <n v="0"/>
  </r>
  <r>
    <s v="1-01-02-02-035"/>
    <s v="Rec / Pay With Kios"/>
    <s v="1-01-02-02-035-Rec / Pay With KiosPILER"/>
    <x v="2"/>
    <x v="11"/>
    <x v="86"/>
    <x v="113"/>
    <s v="PILER"/>
    <n v="0"/>
    <n v="186921"/>
    <m/>
    <m/>
    <n v="0"/>
    <n v="186921"/>
    <m/>
    <m/>
    <n v="0"/>
    <n v="186921"/>
    <n v="-186921"/>
  </r>
  <r>
    <s v="1-01-02-02-039"/>
    <s v="Rec / Pay Amrc"/>
    <s v="1-01-02-02-039-Rec / Pay AmrcTDH"/>
    <x v="2"/>
    <x v="11"/>
    <x v="86"/>
    <x v="113"/>
    <s v="TDH"/>
    <n v="918"/>
    <n v="0"/>
    <m/>
    <m/>
    <n v="918"/>
    <n v="0"/>
    <m/>
    <m/>
    <n v="918"/>
    <n v="0"/>
    <n v="918"/>
  </r>
  <r>
    <s v="1-01-02-02-041"/>
    <s v="Rec / Pay Bci"/>
    <s v="1-01-02-02-041-Rec / Pay BciPILER"/>
    <x v="2"/>
    <x v="11"/>
    <x v="86"/>
    <x v="113"/>
    <s v="PILER"/>
    <n v="2901"/>
    <n v="0"/>
    <m/>
    <m/>
    <n v="2901"/>
    <n v="0"/>
    <m/>
    <m/>
    <n v="2901"/>
    <n v="0"/>
    <n v="2901"/>
  </r>
  <r>
    <s v="1-01-02-02-041"/>
    <s v="Rec / Pay Bci"/>
    <s v="1-01-02-02-041-Rec / Pay BciTDH"/>
    <x v="2"/>
    <x v="11"/>
    <x v="86"/>
    <x v="113"/>
    <s v="TDH"/>
    <n v="6717"/>
    <n v="0"/>
    <m/>
    <m/>
    <n v="6717"/>
    <n v="0"/>
    <m/>
    <m/>
    <n v="6717"/>
    <n v="0"/>
    <n v="6717"/>
  </r>
  <r>
    <s v="1-01-02-02-044"/>
    <s v="Rec / Pay With Hbs"/>
    <s v="1-01-02-02-044-Rec / Pay With HbsDeezire"/>
    <x v="2"/>
    <x v="11"/>
    <x v="86"/>
    <x v="113"/>
    <s v="Deezire"/>
    <n v="250000"/>
    <n v="0"/>
    <m/>
    <m/>
    <n v="250000"/>
    <n v="0"/>
    <m/>
    <m/>
    <n v="250000"/>
    <n v="0"/>
    <n v="250000"/>
  </r>
  <r>
    <s v="1-01-02-02-044"/>
    <s v="Rec / Pay With Hbs"/>
    <s v="1-01-02-02-044-Rec / Pay With HbsPILER"/>
    <x v="2"/>
    <x v="11"/>
    <x v="86"/>
    <x v="113"/>
    <s v="PILER"/>
    <n v="0"/>
    <n v="444056"/>
    <m/>
    <m/>
    <n v="0"/>
    <n v="444056"/>
    <m/>
    <m/>
    <n v="0"/>
    <n v="444056"/>
    <n v="-444056"/>
  </r>
  <r>
    <s v="1-01-02-02-044"/>
    <s v="Rec / Pay With Hbs"/>
    <s v="1-01-02-02-044-Rec / Pay With HbsUNICEF-2"/>
    <x v="2"/>
    <x v="11"/>
    <x v="86"/>
    <x v="113"/>
    <s v="UNICEF-2"/>
    <n v="0"/>
    <n v="3076"/>
    <m/>
    <m/>
    <n v="0"/>
    <n v="3076"/>
    <m/>
    <m/>
    <n v="0"/>
    <n v="3076"/>
    <n v="-3076"/>
  </r>
  <r>
    <s v="1-01-02-02-044"/>
    <s v="Rec / Pay With Hbs"/>
    <s v="1-01-02-02-044-Rec / Pay With HbsFNV"/>
    <x v="2"/>
    <x v="11"/>
    <x v="86"/>
    <x v="113"/>
    <s v="FNV"/>
    <n v="80000"/>
    <n v="0"/>
    <m/>
    <m/>
    <n v="80000"/>
    <n v="0"/>
    <m/>
    <m/>
    <n v="80000"/>
    <n v="0"/>
    <n v="80000"/>
  </r>
  <r>
    <s v="1-01-02-02-046"/>
    <s v="Rec / Pay With Afwm"/>
    <s v="1-01-02-02-046-Rec / Pay With AfwmPILER"/>
    <x v="2"/>
    <x v="11"/>
    <x v="86"/>
    <x v="113"/>
    <s v="PILER"/>
    <n v="886184"/>
    <n v="1382523"/>
    <m/>
    <m/>
    <n v="886184"/>
    <n v="1382523"/>
    <m/>
    <m/>
    <n v="886184"/>
    <n v="1382523"/>
    <n v="-496339"/>
  </r>
  <r>
    <s v="1-01-02-02-049"/>
    <s v="Rec / Pay With Tsww"/>
    <s v="1-01-02-02-049-Rec / Pay With TswwDeezire"/>
    <x v="2"/>
    <x v="11"/>
    <x v="86"/>
    <x v="113"/>
    <s v="Deezire"/>
    <n v="0"/>
    <n v="210640"/>
    <m/>
    <m/>
    <n v="0"/>
    <n v="210640"/>
    <m/>
    <m/>
    <n v="0"/>
    <n v="210640"/>
    <n v="-210640"/>
  </r>
  <r>
    <s v="1-01-02-02-049"/>
    <s v="Rec / Pay With Tsww"/>
    <s v="1-01-02-02-049-Rec / Pay With TswwPILER"/>
    <x v="2"/>
    <x v="11"/>
    <x v="86"/>
    <x v="113"/>
    <s v="PILER"/>
    <n v="0"/>
    <n v="184347"/>
    <m/>
    <m/>
    <n v="0"/>
    <n v="184347"/>
    <m/>
    <m/>
    <n v="0"/>
    <n v="184347"/>
    <n v="-184347"/>
  </r>
  <r>
    <s v="1-01-02-02-057"/>
    <s v="Rec / Pay Wow"/>
    <s v="1-01-02-02-057-Rec / Pay WowPILER"/>
    <x v="2"/>
    <x v="11"/>
    <x v="86"/>
    <x v="113"/>
    <s v="PILER"/>
    <n v="65268"/>
    <n v="0"/>
    <m/>
    <m/>
    <n v="65268"/>
    <n v="0"/>
    <m/>
    <m/>
    <n v="65268"/>
    <n v="0"/>
    <n v="65268"/>
  </r>
  <r>
    <s v="1-01-02-02-058"/>
    <s v="Rec / Pay Dst"/>
    <s v="1-01-02-02-058-Rec / Pay DstPILER"/>
    <x v="2"/>
    <x v="11"/>
    <x v="86"/>
    <x v="113"/>
    <s v="PILER"/>
    <n v="124685"/>
    <n v="0"/>
    <m/>
    <m/>
    <n v="124685"/>
    <n v="0"/>
    <m/>
    <m/>
    <n v="124685"/>
    <n v="0"/>
    <n v="124685"/>
  </r>
  <r>
    <s v="1-01-02-02-059"/>
    <s v="Rec / Pay With Dai"/>
    <s v="1-01-02-02-059-Rec / Pay With DaiTrocaire"/>
    <x v="2"/>
    <x v="11"/>
    <x v="86"/>
    <x v="113"/>
    <s v="Trocaire"/>
    <n v="2100"/>
    <n v="0"/>
    <m/>
    <m/>
    <n v="2100"/>
    <n v="0"/>
    <m/>
    <m/>
    <n v="2100"/>
    <n v="0"/>
    <n v="2100"/>
  </r>
  <r>
    <s v="1-01-02-02-059"/>
    <s v="Rec / Pay With Dai"/>
    <s v="1-01-02-02-059-Rec / Pay With DaiPILER"/>
    <x v="2"/>
    <x v="11"/>
    <x v="86"/>
    <x v="113"/>
    <s v="PILER"/>
    <n v="0"/>
    <n v="3956485"/>
    <m/>
    <m/>
    <n v="0"/>
    <n v="3956485"/>
    <m/>
    <m/>
    <n v="0"/>
    <n v="3956485"/>
    <n v="-3956485"/>
  </r>
  <r>
    <s v="1-01-02-02-059"/>
    <s v="Rec / Pay With Dai"/>
    <s v="1-01-02-02-059-Rec / Pay With DaiUNICEF-3"/>
    <x v="2"/>
    <x v="11"/>
    <x v="86"/>
    <x v="113"/>
    <s v="UNICEF-3"/>
    <n v="0"/>
    <n v="978666"/>
    <m/>
    <m/>
    <n v="0"/>
    <n v="978666"/>
    <m/>
    <m/>
    <n v="0"/>
    <n v="978666"/>
    <n v="-978666"/>
  </r>
  <r>
    <s v="1-01-02-02-060"/>
    <s v="Rec / Pay Unicef"/>
    <s v="1-01-02-02-060-Rec / Pay UnicefTrocaire"/>
    <x v="2"/>
    <x v="11"/>
    <x v="86"/>
    <x v="113"/>
    <s v="Trocaire"/>
    <n v="33907"/>
    <n v="0"/>
    <m/>
    <m/>
    <n v="33907"/>
    <n v="0"/>
    <m/>
    <m/>
    <n v="33907"/>
    <n v="0"/>
    <n v="33907"/>
  </r>
  <r>
    <s v="1-01-02-02-060"/>
    <s v="Rec / Pay Unicef"/>
    <s v="1-01-02-02-060-Rec / Pay UnicefDeezire"/>
    <x v="2"/>
    <x v="11"/>
    <x v="86"/>
    <x v="113"/>
    <s v="Deezire"/>
    <n v="0"/>
    <n v="321121"/>
    <m/>
    <m/>
    <n v="0"/>
    <n v="321121"/>
    <m/>
    <m/>
    <n v="0"/>
    <n v="321121"/>
    <n v="-321121"/>
  </r>
  <r>
    <s v="1-01-02-02-060"/>
    <s v="Rec / Pay Unicef"/>
    <s v="1-01-02-02-060-Rec / Pay UnicefPILER"/>
    <x v="2"/>
    <x v="11"/>
    <x v="86"/>
    <x v="113"/>
    <s v="PILER"/>
    <n v="0"/>
    <n v="893859"/>
    <m/>
    <m/>
    <n v="0"/>
    <n v="893859"/>
    <m/>
    <m/>
    <n v="0"/>
    <n v="893859"/>
    <n v="-893859"/>
  </r>
  <r>
    <s v="1-01-02-02-060"/>
    <s v="Rec / Pay Unicef"/>
    <s v="1-01-02-02-060-Rec / Pay UnicefTAF"/>
    <x v="2"/>
    <x v="11"/>
    <x v="86"/>
    <x v="113"/>
    <s v="TAF"/>
    <n v="20000"/>
    <n v="0"/>
    <m/>
    <m/>
    <n v="20000"/>
    <n v="0"/>
    <m/>
    <m/>
    <n v="20000"/>
    <n v="0"/>
    <n v="20000"/>
  </r>
  <r>
    <s v="1-01-02-02-060"/>
    <s v="Rec / Pay Unicef"/>
    <s v="1-01-02-02-060-Rec / Pay UnicefSHORT PROJECTS"/>
    <x v="2"/>
    <x v="11"/>
    <x v="86"/>
    <x v="113"/>
    <s v="SHORT PROJECTS"/>
    <n v="978666"/>
    <n v="0"/>
    <m/>
    <m/>
    <n v="978666"/>
    <n v="0"/>
    <m/>
    <m/>
    <n v="978666"/>
    <n v="0"/>
    <n v="978666"/>
  </r>
  <r>
    <s v="1-01-02-02-061"/>
    <s v="Rec / Pay Actionaid"/>
    <s v="1-01-02-02-061-Rec / Pay ActionaidPILER"/>
    <x v="2"/>
    <x v="11"/>
    <x v="86"/>
    <x v="113"/>
    <s v="PILER"/>
    <n v="22000"/>
    <n v="0"/>
    <m/>
    <m/>
    <n v="22000"/>
    <n v="0"/>
    <m/>
    <m/>
    <n v="22000"/>
    <n v="0"/>
    <n v="22000"/>
  </r>
  <r>
    <s v="1-01-02-02-063"/>
    <s v="Rec / Pay With Rrcchr"/>
    <s v="1-01-02-02-063-Rec / Pay With RrcchrPILER"/>
    <x v="2"/>
    <x v="11"/>
    <x v="86"/>
    <x v="113"/>
    <s v="PILER"/>
    <n v="115"/>
    <n v="0"/>
    <m/>
    <m/>
    <n v="115"/>
    <n v="0"/>
    <m/>
    <m/>
    <n v="115"/>
    <n v="0"/>
    <n v="115"/>
  </r>
  <r>
    <s v="1-01-02-02-064"/>
    <s v="Rec / Pay With Dp World Port Qasim"/>
    <s v="1-01-02-02-064-Rec / Pay With Dp World Port QasimPILER"/>
    <x v="2"/>
    <x v="11"/>
    <x v="86"/>
    <x v="113"/>
    <s v="PILER"/>
    <n v="15372"/>
    <n v="0"/>
    <m/>
    <m/>
    <n v="15372"/>
    <n v="0"/>
    <m/>
    <m/>
    <n v="15372"/>
    <n v="0"/>
    <n v="15372"/>
  </r>
  <r>
    <s v="1-01-02-02-066"/>
    <s v="Rec / Pay With Open Society"/>
    <s v="1-01-02-02-066-Rec / Pay With Open SocietyDeezire"/>
    <x v="2"/>
    <x v="11"/>
    <x v="86"/>
    <x v="113"/>
    <s v="Deezire"/>
    <n v="61500"/>
    <n v="0"/>
    <m/>
    <m/>
    <n v="61500"/>
    <n v="0"/>
    <m/>
    <m/>
    <n v="61500"/>
    <n v="0"/>
    <n v="61500"/>
  </r>
  <r>
    <s v="1-01-02-02-066"/>
    <s v="Rec / Pay With Open Society"/>
    <s v="1-01-02-02-066-Rec / Pay With Open SocietyPILER"/>
    <x v="2"/>
    <x v="11"/>
    <x v="86"/>
    <x v="113"/>
    <s v="PILER"/>
    <n v="0"/>
    <n v="8752996"/>
    <m/>
    <m/>
    <n v="0"/>
    <n v="8752996"/>
    <m/>
    <m/>
    <n v="0"/>
    <n v="8752996"/>
    <n v="-8752996"/>
  </r>
  <r>
    <s v="1-01-02-02-066"/>
    <s v="Rec / Pay With Open Society"/>
    <s v="1-01-02-02-066-Rec / Pay With Open SocietyETI"/>
    <x v="2"/>
    <x v="11"/>
    <x v="86"/>
    <x v="113"/>
    <s v="ETI"/>
    <n v="0"/>
    <n v="339296"/>
    <m/>
    <m/>
    <n v="0"/>
    <n v="339296"/>
    <m/>
    <m/>
    <n v="0"/>
    <n v="339296"/>
    <n v="-339296"/>
  </r>
  <r>
    <s v="1-01-02-02-066"/>
    <s v="Rec / Pay With Open Society"/>
    <s v="1-01-02-02-066-Rec / Pay With Open SocietyFNV"/>
    <x v="2"/>
    <x v="11"/>
    <x v="86"/>
    <x v="113"/>
    <s v="FNV"/>
    <n v="0"/>
    <n v="111000"/>
    <m/>
    <m/>
    <n v="0"/>
    <n v="111000"/>
    <m/>
    <m/>
    <n v="0"/>
    <n v="111000"/>
    <n v="-111000"/>
  </r>
  <r>
    <s v="1-01-02-02-067"/>
    <s v="Rec / Pay With Eti"/>
    <s v="1-01-02-02-067-Rec / Pay With EtiPILER"/>
    <x v="2"/>
    <x v="11"/>
    <x v="86"/>
    <x v="113"/>
    <s v="PILER"/>
    <n v="12822"/>
    <n v="1264793"/>
    <m/>
    <m/>
    <n v="12822"/>
    <n v="1264793"/>
    <m/>
    <m/>
    <n v="12822"/>
    <n v="1264793"/>
    <n v="-1251971"/>
  </r>
  <r>
    <s v="1-01-02-02-068"/>
    <s v="Rec / Pay With Network Ccc South Asia"/>
    <s v="1-01-02-02-068-Rec / Pay With Network Ccc South AsiaPILER"/>
    <x v="2"/>
    <x v="11"/>
    <x v="86"/>
    <x v="113"/>
    <s v="PILER"/>
    <n v="427177"/>
    <n v="0"/>
    <m/>
    <m/>
    <n v="427177"/>
    <n v="0"/>
    <m/>
    <m/>
    <n v="427177"/>
    <n v="0"/>
    <n v="427177"/>
  </r>
  <r>
    <s v="1-01-02-02-068"/>
    <s v="Rec / Pay With Network Ccc South Asia"/>
    <s v="1-01-02-02-068-Rec / Pay With Network Ccc South AsiaFNV"/>
    <x v="2"/>
    <x v="11"/>
    <x v="86"/>
    <x v="113"/>
    <s v="FNV"/>
    <n v="23519"/>
    <n v="0"/>
    <m/>
    <m/>
    <n v="23519"/>
    <n v="0"/>
    <m/>
    <m/>
    <n v="23519"/>
    <n v="0"/>
    <n v="23519"/>
  </r>
  <r>
    <s v="1-01-02-02-069"/>
    <s v="Rec / Pay With Fosi"/>
    <s v="1-01-02-02-069-Rec / Pay With FosiPILER"/>
    <x v="2"/>
    <x v="11"/>
    <x v="86"/>
    <x v="113"/>
    <s v="PILER"/>
    <n v="35108"/>
    <n v="0"/>
    <m/>
    <m/>
    <n v="35108"/>
    <n v="0"/>
    <m/>
    <m/>
    <n v="35108"/>
    <n v="0"/>
    <n v="35108"/>
  </r>
  <r>
    <s v="1-01-02-02-070"/>
    <s v="Rec / Pay With Ibp"/>
    <s v="1-01-02-02-070-Rec / Pay With IbpPILER"/>
    <x v="2"/>
    <x v="11"/>
    <x v="86"/>
    <x v="113"/>
    <s v="PILER"/>
    <n v="28375"/>
    <n v="0"/>
    <m/>
    <m/>
    <n v="28375"/>
    <n v="0"/>
    <m/>
    <m/>
    <n v="28375"/>
    <n v="0"/>
    <n v="28375"/>
  </r>
  <r>
    <s v="1-01-02-02-071"/>
    <s v="Rec / Pay With Fnv"/>
    <s v="1-01-02-02-071-Rec / Pay With FnvDeezire"/>
    <x v="2"/>
    <x v="11"/>
    <x v="86"/>
    <x v="113"/>
    <s v="Deezire"/>
    <n v="50000"/>
    <n v="0"/>
    <m/>
    <m/>
    <n v="50000"/>
    <n v="0"/>
    <m/>
    <m/>
    <n v="50000"/>
    <n v="0"/>
    <n v="50000"/>
  </r>
  <r>
    <s v="1-01-02-02-071"/>
    <s v="Rec / Pay With Fnv"/>
    <s v="1-01-02-02-071-Rec / Pay With FnvPILER"/>
    <x v="2"/>
    <x v="11"/>
    <x v="86"/>
    <x v="113"/>
    <s v="PILER"/>
    <n v="0"/>
    <n v="389314"/>
    <m/>
    <m/>
    <n v="0"/>
    <n v="389314"/>
    <m/>
    <m/>
    <n v="0"/>
    <n v="389314"/>
    <n v="-389314"/>
  </r>
  <r>
    <s v="1-01-02-02-071"/>
    <s v="Rec / Pay With Fnv"/>
    <s v="1-01-02-02-071-Rec / Pay With FnvSHORT PROJECTS"/>
    <x v="2"/>
    <x v="11"/>
    <x v="86"/>
    <x v="113"/>
    <s v="SHORT PROJECTS"/>
    <n v="0"/>
    <n v="103519"/>
    <m/>
    <m/>
    <n v="0"/>
    <n v="103519"/>
    <m/>
    <m/>
    <n v="0"/>
    <n v="103519"/>
    <n v="-103519"/>
  </r>
  <r>
    <s v="1-01-02-02-071"/>
    <s v="Rec / Pay With Fnv"/>
    <s v="1-01-02-02-071-Rec / Pay With FnvOpen Society"/>
    <x v="2"/>
    <x v="11"/>
    <x v="86"/>
    <x v="113"/>
    <s v="Open Society"/>
    <n v="111000"/>
    <n v="0"/>
    <m/>
    <m/>
    <n v="111000"/>
    <n v="0"/>
    <m/>
    <m/>
    <n v="111000"/>
    <n v="0"/>
    <n v="111000"/>
  </r>
  <r>
    <s v="1-01-02-02-072"/>
    <s v="Rec / Pay With Dai Kcd015"/>
    <s v="1-01-02-02-072-Rec / Pay With Dai Kcd015PILER"/>
    <x v="2"/>
    <x v="11"/>
    <x v="86"/>
    <x v="113"/>
    <s v="PILER"/>
    <n v="0"/>
    <n v="2662608"/>
    <m/>
    <m/>
    <n v="0"/>
    <n v="2662608"/>
    <m/>
    <m/>
    <n v="0"/>
    <n v="2662608"/>
    <n v="-2662608"/>
  </r>
  <r>
    <s v="1-01-02-02-073"/>
    <s v="Rec / Pay With Dai Kcd031"/>
    <s v="1-01-02-02-073-Rec / Pay With Dai Kcd031PILER"/>
    <x v="2"/>
    <x v="11"/>
    <x v="86"/>
    <x v="113"/>
    <s v="PILER"/>
    <n v="0"/>
    <n v="913998"/>
    <m/>
    <m/>
    <n v="0"/>
    <n v="913998"/>
    <m/>
    <m/>
    <n v="0"/>
    <n v="913998"/>
    <n v="-913998"/>
  </r>
  <r>
    <s v="1-01-02-02-074"/>
    <s v="Rec / Pay With Ccc"/>
    <s v="1-01-02-02-074-Rec / Pay With CccPILER"/>
    <x v="2"/>
    <x v="11"/>
    <x v="86"/>
    <x v="113"/>
    <s v="PILER"/>
    <n v="74085"/>
    <n v="389994"/>
    <m/>
    <m/>
    <n v="74085"/>
    <n v="389994"/>
    <m/>
    <m/>
    <n v="74085"/>
    <n v="389994"/>
    <n v="-315909"/>
  </r>
  <r>
    <s v="1-01-02-02-074"/>
    <s v="Rec / Pay With Ccc"/>
    <s v="1-01-02-02-074-Rec / Pay With CccETI"/>
    <x v="2"/>
    <x v="11"/>
    <x v="86"/>
    <x v="113"/>
    <s v="ETI"/>
    <n v="0"/>
    <n v="308260"/>
    <m/>
    <m/>
    <n v="0"/>
    <n v="308260"/>
    <m/>
    <m/>
    <n v="0"/>
    <n v="308260"/>
    <n v="-308260"/>
  </r>
  <r>
    <s v="1-01-02-02-075"/>
    <s v="Rec / Pay With Eti-Dfid"/>
    <s v="1-01-02-02-075-Rec / Pay With Eti-DfidPILER"/>
    <x v="2"/>
    <x v="11"/>
    <x v="86"/>
    <x v="113"/>
    <s v="PILER"/>
    <n v="432467"/>
    <n v="16000"/>
    <m/>
    <m/>
    <n v="432467"/>
    <n v="16000"/>
    <m/>
    <m/>
    <n v="432467"/>
    <n v="16000"/>
    <n v="416467"/>
  </r>
  <r>
    <s v="1-01-02-02-075"/>
    <s v="Rec / Pay With Eti-Dfid"/>
    <s v="1-01-02-02-075-Rec / Pay With Eti-DfidSHORT PROJECTS"/>
    <x v="2"/>
    <x v="11"/>
    <x v="86"/>
    <x v="113"/>
    <s v="SHORT PROJECTS"/>
    <n v="308260"/>
    <n v="0"/>
    <m/>
    <m/>
    <n v="308260"/>
    <n v="0"/>
    <m/>
    <m/>
    <n v="308260"/>
    <n v="0"/>
    <n v="308260"/>
  </r>
  <r>
    <s v="1-01-02-02-075"/>
    <s v="Rec / Pay With Eti-Dfid"/>
    <s v="1-01-02-02-075-Rec / Pay With Eti-DfidOpen Society"/>
    <x v="2"/>
    <x v="11"/>
    <x v="86"/>
    <x v="113"/>
    <s v="Open Society"/>
    <n v="0"/>
    <n v="1660704"/>
    <m/>
    <m/>
    <n v="0"/>
    <n v="1660704"/>
    <m/>
    <m/>
    <n v="0"/>
    <n v="1660704"/>
    <n v="-1660704"/>
  </r>
  <r>
    <s v="1-01-02-02-076"/>
    <s v="Rec / Pay With Avaaz"/>
    <s v="1-01-02-02-076-Rec / Pay With AvaazPILER"/>
    <x v="2"/>
    <x v="11"/>
    <x v="86"/>
    <x v="113"/>
    <s v="PILER"/>
    <n v="0"/>
    <n v="809850"/>
    <m/>
    <m/>
    <n v="0"/>
    <n v="809850"/>
    <m/>
    <m/>
    <n v="0"/>
    <n v="809850"/>
    <n v="-809850"/>
  </r>
  <r>
    <s v="1-01-02-02-077"/>
    <s v="Rec / Pay National Labour Council"/>
    <s v="1-01-02-02-077-Rec / Pay National Labour CouncilPILER"/>
    <x v="2"/>
    <x v="11"/>
    <x v="86"/>
    <x v="113"/>
    <s v="PILER"/>
    <n v="0"/>
    <n v="0"/>
    <m/>
    <m/>
    <n v="0"/>
    <n v="0"/>
    <m/>
    <m/>
    <n v="0"/>
    <n v="0"/>
    <n v="0"/>
  </r>
  <r>
    <s v="1-01-02-02-078"/>
    <s v="Rec / Pay With Covid-19 Relief"/>
    <s v="1-01-02-02-078-Rec / Pay With Covid-19 ReliefPILER"/>
    <x v="2"/>
    <x v="11"/>
    <x v="86"/>
    <x v="113"/>
    <s v="PILER"/>
    <n v="3947407"/>
    <n v="0"/>
    <m/>
    <m/>
    <n v="3947407"/>
    <n v="0"/>
    <m/>
    <m/>
    <n v="3947407"/>
    <n v="0"/>
    <n v="3947407"/>
  </r>
  <r>
    <s v="1-01-02-02-078"/>
    <s v="Rec / Pay With Covid-19 Relief"/>
    <s v="1-01-02-02-078-Rec / Pay With Covid-19 ReliefETI"/>
    <x v="2"/>
    <x v="11"/>
    <x v="86"/>
    <x v="113"/>
    <s v="ETI"/>
    <n v="2000000"/>
    <n v="0"/>
    <m/>
    <m/>
    <n v="2000000"/>
    <n v="0"/>
    <m/>
    <m/>
    <n v="2000000"/>
    <n v="0"/>
    <n v="2000000"/>
  </r>
  <r>
    <s v="1-01-02-02-079"/>
    <s v="Rec / Pay With Network Matter"/>
    <s v="1-01-02-02-079-Rec / Pay With Network MatterPILER"/>
    <x v="2"/>
    <x v="11"/>
    <x v="86"/>
    <x v="113"/>
    <s v="PILER"/>
    <n v="84000"/>
    <n v="284000"/>
    <m/>
    <m/>
    <n v="84000"/>
    <n v="284000"/>
    <m/>
    <m/>
    <n v="84000"/>
    <n v="284000"/>
    <n v="-200000"/>
  </r>
  <r>
    <s v="1-01-02-02-080"/>
    <s v="Rec / Pay With Osf- Impact Of Covid-19"/>
    <s v="1-01-02-02-080-Rec / Pay With Osf- Impact Of Covid-19PILER"/>
    <x v="2"/>
    <x v="11"/>
    <x v="86"/>
    <x v="113"/>
    <s v="PILER"/>
    <n v="11309746"/>
    <n v="11966726"/>
    <m/>
    <m/>
    <n v="11309746"/>
    <n v="11966726"/>
    <m/>
    <m/>
    <n v="11309746"/>
    <n v="11966726"/>
    <n v="-656980"/>
  </r>
  <r>
    <s v="1-01-02-02-080"/>
    <s v="Rec / Pay With Osf- Impact Of Covid-19"/>
    <s v="1-01-02-02-080-Rec / Pay With Osf- Impact Of Covid-19DAI"/>
    <x v="2"/>
    <x v="11"/>
    <x v="86"/>
    <x v="113"/>
    <s v="DAI"/>
    <n v="866707"/>
    <n v="866708"/>
    <m/>
    <m/>
    <n v="866707"/>
    <n v="866708"/>
    <m/>
    <m/>
    <n v="866707"/>
    <n v="866708"/>
    <n v="-1"/>
  </r>
  <r>
    <s v="1-01-02-02-081"/>
    <s v="Rec / Pay With Dai Kcd 115"/>
    <s v="1-01-02-02-081-Rec / Pay With Dai Kcd 115PILER"/>
    <x v="2"/>
    <x v="11"/>
    <x v="86"/>
    <x v="113"/>
    <s v="PILER"/>
    <n v="1896469"/>
    <n v="1781500"/>
    <m/>
    <m/>
    <n v="1896469"/>
    <n v="1781500"/>
    <m/>
    <m/>
    <n v="1896469"/>
    <n v="1781500"/>
    <n v="114969"/>
  </r>
  <r>
    <s v="1-01-02-02-081"/>
    <s v="Rec / Pay With Dai Kcd 115"/>
    <s v="1-01-02-02-081-Rec / Pay With Dai Kcd 115Open Society"/>
    <x v="2"/>
    <x v="11"/>
    <x v="86"/>
    <x v="113"/>
    <s v="Open Society"/>
    <n v="866708"/>
    <n v="866707"/>
    <m/>
    <m/>
    <n v="866708"/>
    <n v="866707"/>
    <m/>
    <m/>
    <n v="866708"/>
    <n v="866707"/>
    <n v="1"/>
  </r>
  <r>
    <s v="2-01-01-01-023"/>
    <s v="Payable To Solidarity"/>
    <s v="2-01-01-01-023-Payable To SolidarityPILER"/>
    <x v="2"/>
    <x v="11"/>
    <x v="86"/>
    <x v="113"/>
    <s v="PILER"/>
    <n v="0"/>
    <n v="368297"/>
    <m/>
    <m/>
    <n v="0"/>
    <n v="368297"/>
    <m/>
    <m/>
    <n v="0"/>
    <n v="368297"/>
    <n v="-368297"/>
  </r>
  <r>
    <s v="2-01-01-01-026"/>
    <s v="Payable To Idrc"/>
    <s v="2-01-01-01-026-Payable To IdrcPILER"/>
    <x v="2"/>
    <x v="11"/>
    <x v="86"/>
    <x v="113"/>
    <s v="PILER"/>
    <n v="0"/>
    <n v="251835"/>
    <m/>
    <m/>
    <n v="0"/>
    <n v="251835"/>
    <m/>
    <m/>
    <n v="0"/>
    <n v="251835"/>
    <n v="-251835"/>
  </r>
  <r>
    <s v="2-01-01-02-016"/>
    <s v="Payable To Trocaire-Mlrrs"/>
    <s v="2-01-01-02-016-Payable To Trocaire-MlrrsPILER"/>
    <x v="2"/>
    <x v="11"/>
    <x v="86"/>
    <x v="113"/>
    <s v="PILER"/>
    <n v="0"/>
    <n v="143529"/>
    <m/>
    <m/>
    <n v="0"/>
    <n v="143529"/>
    <m/>
    <m/>
    <n v="0"/>
    <n v="143529"/>
    <n v="-143529"/>
  </r>
  <r>
    <s v="2-01-01-02-016"/>
    <s v="Payable To Trocaire-Mlrrs"/>
    <s v="2-01-01-02-016-Payable To Trocaire-MlrrsTAF"/>
    <x v="2"/>
    <x v="11"/>
    <x v="86"/>
    <x v="113"/>
    <s v="TAF"/>
    <n v="0"/>
    <n v="95515"/>
    <m/>
    <m/>
    <n v="0"/>
    <n v="95515"/>
    <m/>
    <m/>
    <n v="0"/>
    <n v="95515"/>
    <n v="-95515"/>
  </r>
  <r>
    <s v="2-01-01-02-016"/>
    <s v="Payable To Trocaire-Mlrrs"/>
    <s v="2-01-01-02-016-Payable To Trocaire-MlrrsSHORT PROJECTS"/>
    <x v="2"/>
    <x v="11"/>
    <x v="86"/>
    <x v="113"/>
    <s v="SHORT PROJECTS"/>
    <n v="0"/>
    <n v="2100"/>
    <m/>
    <m/>
    <n v="0"/>
    <n v="2100"/>
    <m/>
    <m/>
    <n v="0"/>
    <n v="2100"/>
    <n v="-2100"/>
  </r>
  <r>
    <s v="2-01-01-02-016"/>
    <s v="Payable To Trocaire-Mlrrs"/>
    <s v="2-01-01-02-016-Payable To Trocaire-MlrrsUNICEF-3"/>
    <x v="2"/>
    <x v="11"/>
    <x v="86"/>
    <x v="113"/>
    <s v="UNICEF-3"/>
    <n v="0"/>
    <n v="33907"/>
    <m/>
    <m/>
    <n v="0"/>
    <n v="33907"/>
    <m/>
    <m/>
    <n v="0"/>
    <n v="33907"/>
    <n v="-33907"/>
  </r>
  <r>
    <s v="2-01-01-02-017"/>
    <s v="Payable To Piler Own"/>
    <s v="2-01-01-02-017-Payable To Piler OwnUnicef"/>
    <x v="2"/>
    <x v="11"/>
    <x v="86"/>
    <x v="113"/>
    <s v="Unicef"/>
    <n v="384219"/>
    <n v="2640536"/>
    <m/>
    <m/>
    <n v="384219"/>
    <n v="2640536"/>
    <m/>
    <m/>
    <n v="384219"/>
    <n v="2640536"/>
    <n v="-2256317"/>
  </r>
  <r>
    <s v="2-01-01-02-017"/>
    <s v="Payable To Piler Own"/>
    <s v="2-01-01-02-017-Payable To Piler OwnTrocaire"/>
    <x v="2"/>
    <x v="11"/>
    <x v="86"/>
    <x v="113"/>
    <s v="Trocaire"/>
    <n v="14070"/>
    <n v="0"/>
    <m/>
    <m/>
    <n v="14070"/>
    <n v="0"/>
    <m/>
    <m/>
    <n v="14070"/>
    <n v="0"/>
    <n v="14070"/>
  </r>
  <r>
    <s v="2-01-01-02-017"/>
    <s v="Payable To Piler Own"/>
    <s v="2-01-01-02-017-Payable To Piler OwnDeezire"/>
    <x v="2"/>
    <x v="11"/>
    <x v="86"/>
    <x v="113"/>
    <s v="Deezire"/>
    <n v="0"/>
    <n v="1061304"/>
    <m/>
    <m/>
    <n v="0"/>
    <n v="1061304"/>
    <m/>
    <m/>
    <n v="0"/>
    <n v="1061304"/>
    <n v="-1061304"/>
  </r>
  <r>
    <s v="2-01-01-02-017"/>
    <s v="Payable To Piler Own"/>
    <s v="2-01-01-02-017-Payable To Piler OwnPILER"/>
    <x v="2"/>
    <x v="11"/>
    <x v="86"/>
    <x v="113"/>
    <s v="PILER"/>
    <n v="0"/>
    <n v="218522"/>
    <m/>
    <n v="1796"/>
    <n v="0"/>
    <n v="220318"/>
    <m/>
    <m/>
    <n v="0"/>
    <n v="220318"/>
    <n v="-220318"/>
  </r>
  <r>
    <s v="2-01-01-02-017"/>
    <s v="Payable To Piler Own"/>
    <s v="2-01-01-02-017-Payable To Piler OwnICCO"/>
    <x v="2"/>
    <x v="11"/>
    <x v="86"/>
    <x v="113"/>
    <s v="ICCO"/>
    <n v="0"/>
    <n v="398399"/>
    <m/>
    <m/>
    <n v="0"/>
    <n v="398399"/>
    <m/>
    <m/>
    <n v="0"/>
    <n v="398399"/>
    <n v="-398399"/>
  </r>
  <r>
    <s v="2-01-01-02-017"/>
    <s v="Payable To Piler Own"/>
    <s v="2-01-01-02-017-Payable To Piler OwnTDH &amp; MI"/>
    <x v="2"/>
    <x v="11"/>
    <x v="86"/>
    <x v="113"/>
    <s v="TDH &amp; MI"/>
    <n v="0"/>
    <n v="16440"/>
    <m/>
    <m/>
    <n v="0"/>
    <n v="16440"/>
    <m/>
    <m/>
    <n v="0"/>
    <n v="16440"/>
    <n v="-16440"/>
  </r>
  <r>
    <s v="2-01-01-02-017"/>
    <s v="Payable To Piler Own"/>
    <s v="2-01-01-02-017-Payable To Piler OwnTAF"/>
    <x v="2"/>
    <x v="11"/>
    <x v="86"/>
    <x v="113"/>
    <s v="TAF"/>
    <n v="0"/>
    <n v="196699"/>
    <m/>
    <m/>
    <n v="0"/>
    <n v="196699"/>
    <m/>
    <m/>
    <n v="0"/>
    <n v="196699"/>
    <n v="-196699"/>
  </r>
  <r>
    <s v="2-01-01-02-017"/>
    <s v="Payable To Piler Own"/>
    <s v="2-01-01-02-017-Payable To Piler OwnTDH"/>
    <x v="2"/>
    <x v="11"/>
    <x v="86"/>
    <x v="113"/>
    <s v="TDH"/>
    <n v="0"/>
    <n v="3227482"/>
    <m/>
    <m/>
    <n v="0"/>
    <n v="3227482"/>
    <m/>
    <m/>
    <n v="0"/>
    <n v="3227482"/>
    <n v="-3227482"/>
  </r>
  <r>
    <s v="2-01-01-02-017"/>
    <s v="Payable To Piler Own"/>
    <s v="2-01-01-02-017-Payable To Piler OwnSHORT PROJECTS"/>
    <x v="2"/>
    <x v="11"/>
    <x v="86"/>
    <x v="113"/>
    <s v="SHORT PROJECTS"/>
    <n v="1431314"/>
    <n v="5330379"/>
    <m/>
    <m/>
    <n v="1431314"/>
    <n v="5330379"/>
    <m/>
    <m/>
    <n v="1431314"/>
    <n v="5330379"/>
    <n v="-3899065"/>
  </r>
  <r>
    <s v="2-01-01-02-017"/>
    <s v="Payable To Piler Own"/>
    <s v="2-01-01-02-017-Payable To Piler OwnUNICEF-2"/>
    <x v="2"/>
    <x v="11"/>
    <x v="86"/>
    <x v="113"/>
    <s v="UNICEF-2"/>
    <n v="0"/>
    <n v="1019492"/>
    <m/>
    <m/>
    <n v="0"/>
    <n v="1019492"/>
    <m/>
    <m/>
    <n v="0"/>
    <n v="1019492"/>
    <n v="-1019492"/>
  </r>
  <r>
    <s v="2-01-01-02-017"/>
    <s v="Payable To Piler Own"/>
    <s v="2-01-01-02-017-Payable To Piler OwnUNICEF-3"/>
    <x v="2"/>
    <x v="11"/>
    <x v="86"/>
    <x v="113"/>
    <s v="UNICEF-3"/>
    <n v="0"/>
    <n v="1490422"/>
    <m/>
    <m/>
    <n v="0"/>
    <n v="1490422"/>
    <m/>
    <m/>
    <n v="0"/>
    <n v="1490422"/>
    <n v="-1490422"/>
  </r>
  <r>
    <s v="2-01-01-02-017"/>
    <s v="Payable To Piler Own"/>
    <s v="2-01-01-02-017-Payable To Piler OwnRRCCHR"/>
    <x v="2"/>
    <x v="11"/>
    <x v="86"/>
    <x v="113"/>
    <s v="RRCCHR"/>
    <n v="0"/>
    <n v="115"/>
    <m/>
    <m/>
    <n v="0"/>
    <n v="115"/>
    <m/>
    <m/>
    <n v="0"/>
    <n v="115"/>
    <n v="-115"/>
  </r>
  <r>
    <s v="2-01-01-02-017"/>
    <s v="Payable To Piler Own"/>
    <s v="2-01-01-02-017-Payable To Piler OwnOpen Society"/>
    <x v="2"/>
    <x v="11"/>
    <x v="86"/>
    <x v="113"/>
    <s v="Open Society"/>
    <n v="116520"/>
    <n v="20359148"/>
    <m/>
    <m/>
    <n v="116520"/>
    <n v="20359148"/>
    <m/>
    <m/>
    <n v="116520"/>
    <n v="20359148"/>
    <n v="-20242628"/>
  </r>
  <r>
    <s v="2-01-01-02-017"/>
    <s v="Payable To Piler Own"/>
    <s v="2-01-01-02-017-Payable To Piler OwnETI"/>
    <x v="2"/>
    <x v="11"/>
    <x v="86"/>
    <x v="113"/>
    <s v="ETI"/>
    <n v="12822"/>
    <n v="2705181"/>
    <m/>
    <m/>
    <n v="12822"/>
    <n v="2705181"/>
    <m/>
    <m/>
    <n v="12822"/>
    <n v="2705181"/>
    <n v="-2692359"/>
  </r>
  <r>
    <s v="2-01-01-02-017"/>
    <s v="Payable To Piler Own"/>
    <s v="2-01-01-02-017-Payable To Piler OwnFOSI"/>
    <x v="2"/>
    <x v="11"/>
    <x v="86"/>
    <x v="113"/>
    <s v="FOSI"/>
    <n v="0"/>
    <n v="35108"/>
    <m/>
    <m/>
    <n v="0"/>
    <n v="35108"/>
    <m/>
    <m/>
    <n v="0"/>
    <n v="35108"/>
    <n v="-35108"/>
  </r>
  <r>
    <s v="2-01-01-02-017"/>
    <s v="Payable To Piler Own"/>
    <s v="2-01-01-02-017-Payable To Piler OwnFNV"/>
    <x v="2"/>
    <x v="11"/>
    <x v="86"/>
    <x v="113"/>
    <s v="FNV"/>
    <n v="0"/>
    <n v="174058"/>
    <m/>
    <m/>
    <n v="0"/>
    <n v="174058"/>
    <m/>
    <m/>
    <n v="0"/>
    <n v="174058"/>
    <n v="-174058"/>
  </r>
  <r>
    <s v="2-01-01-02-017"/>
    <s v="Payable To Piler Own"/>
    <s v="2-01-01-02-017-Payable To Piler OwnDAI"/>
    <x v="2"/>
    <x v="11"/>
    <x v="86"/>
    <x v="113"/>
    <s v="DAI"/>
    <n v="4608497"/>
    <n v="1361860"/>
    <m/>
    <m/>
    <n v="4608497"/>
    <n v="1361860"/>
    <m/>
    <m/>
    <n v="4608497"/>
    <n v="1361860"/>
    <n v="3246637"/>
  </r>
  <r>
    <s v="2-01-01-02-017"/>
    <s v="Payable To Piler Own"/>
    <s v="2-01-01-02-017-Payable To Piler OwnGRC"/>
    <x v="2"/>
    <x v="11"/>
    <x v="86"/>
    <x v="113"/>
    <s v="GRC"/>
    <n v="2250364"/>
    <n v="2441634"/>
    <n v="494894"/>
    <n v="496154"/>
    <n v="2745258"/>
    <n v="2937788"/>
    <m/>
    <m/>
    <n v="2745258"/>
    <n v="2937788"/>
    <n v="-192530"/>
  </r>
  <r>
    <s v="2-01-01-02-019"/>
    <s v="Payable To Unicef"/>
    <s v="2-01-01-02-019-Payable To UnicefPILER"/>
    <x v="2"/>
    <x v="11"/>
    <x v="86"/>
    <x v="113"/>
    <s v="PILER"/>
    <n v="0"/>
    <n v="2935000"/>
    <m/>
    <m/>
    <n v="0"/>
    <n v="2935000"/>
    <m/>
    <m/>
    <n v="0"/>
    <n v="2935000"/>
    <n v="-2935000"/>
  </r>
  <r>
    <s v="2-01-01-02-020"/>
    <s v="Payable To Tdh-Mi"/>
    <s v="2-01-01-02-020-Payable To Tdh-MiPILER"/>
    <x v="2"/>
    <x v="11"/>
    <x v="86"/>
    <x v="113"/>
    <s v="PILER"/>
    <n v="0"/>
    <n v="1600481"/>
    <m/>
    <n v="330784"/>
    <n v="0"/>
    <n v="1931265"/>
    <m/>
    <m/>
    <n v="0"/>
    <n v="1931265"/>
    <n v="-1931265"/>
  </r>
  <r>
    <s v="2-01-01-02-020"/>
    <s v="Payable To Tdh-Mi"/>
    <s v="2-01-01-02-020-Payable To Tdh-MiTDH"/>
    <x v="2"/>
    <x v="11"/>
    <x v="86"/>
    <x v="113"/>
    <s v="TDH"/>
    <n v="0"/>
    <n v="1950301"/>
    <m/>
    <m/>
    <n v="0"/>
    <n v="1950301"/>
    <m/>
    <m/>
    <n v="0"/>
    <n v="1950301"/>
    <n v="-1950301"/>
  </r>
  <r>
    <s v="2-01-01-02-021"/>
    <s v="Payable To Icco Project-Thsw"/>
    <s v="2-01-01-02-021-Payable To Icco Project-ThswPILER"/>
    <x v="2"/>
    <x v="11"/>
    <x v="86"/>
    <x v="113"/>
    <s v="PILER"/>
    <n v="0"/>
    <n v="299904"/>
    <m/>
    <m/>
    <n v="0"/>
    <n v="299904"/>
    <m/>
    <m/>
    <n v="0"/>
    <n v="299904"/>
    <n v="-299904"/>
  </r>
  <r>
    <s v="2-01-01-02-026"/>
    <s v="Payable To Taf"/>
    <s v="2-01-01-02-026-Payable To TafPILER"/>
    <x v="2"/>
    <x v="11"/>
    <x v="86"/>
    <x v="113"/>
    <s v="PILER"/>
    <n v="0"/>
    <n v="391647"/>
    <m/>
    <m/>
    <n v="0"/>
    <n v="391647"/>
    <m/>
    <m/>
    <n v="0"/>
    <n v="391647"/>
    <n v="-391647"/>
  </r>
  <r>
    <s v="2-01-01-02-026"/>
    <s v="Payable To Taf"/>
    <s v="2-01-01-02-026-Payable To TafUNICEF-3"/>
    <x v="2"/>
    <x v="11"/>
    <x v="86"/>
    <x v="113"/>
    <s v="UNICEF-3"/>
    <n v="0"/>
    <n v="20000"/>
    <m/>
    <m/>
    <n v="0"/>
    <n v="20000"/>
    <m/>
    <m/>
    <n v="0"/>
    <n v="20000"/>
    <n v="-20000"/>
  </r>
  <r>
    <s v="2-01-01-02-031"/>
    <s v="Payable To Dezaire"/>
    <s v="2-01-01-02-031-Payable To DezairePILER"/>
    <x v="2"/>
    <x v="11"/>
    <x v="86"/>
    <x v="113"/>
    <s v="PILER"/>
    <n v="0"/>
    <n v="3516379.55"/>
    <m/>
    <m/>
    <n v="0"/>
    <n v="3516379.55"/>
    <m/>
    <m/>
    <n v="0"/>
    <n v="3516379.55"/>
    <n v="-3516379.55"/>
  </r>
  <r>
    <s v="2-01-01-02-031"/>
    <s v="Payable To Dezaire"/>
    <s v="2-01-01-02-031-Payable To DezaireSHORT PROJECTS"/>
    <x v="2"/>
    <x v="11"/>
    <x v="86"/>
    <x v="113"/>
    <s v="SHORT PROJECTS"/>
    <n v="0"/>
    <n v="250000"/>
    <m/>
    <m/>
    <n v="0"/>
    <n v="250000"/>
    <m/>
    <m/>
    <n v="0"/>
    <n v="250000"/>
    <n v="-250000"/>
  </r>
  <r>
    <s v="2-01-01-02-031"/>
    <s v="Payable To Dezaire"/>
    <s v="2-01-01-02-031-Payable To DezaireOpen Society"/>
    <x v="2"/>
    <x v="11"/>
    <x v="86"/>
    <x v="113"/>
    <s v="Open Society"/>
    <n v="0"/>
    <n v="61500"/>
    <m/>
    <m/>
    <n v="0"/>
    <n v="61500"/>
    <m/>
    <m/>
    <n v="0"/>
    <n v="61500"/>
    <n v="-61500"/>
  </r>
  <r>
    <s v="2-01-01-02-031"/>
    <s v="Payable To Dezaire"/>
    <s v="2-01-01-02-031-Payable To DezaireFNV"/>
    <x v="2"/>
    <x v="11"/>
    <x v="86"/>
    <x v="113"/>
    <s v="FNV"/>
    <n v="0"/>
    <n v="50000"/>
    <m/>
    <m/>
    <n v="0"/>
    <n v="50000"/>
    <m/>
    <m/>
    <n v="0"/>
    <n v="50000"/>
    <n v="-50000"/>
  </r>
  <r>
    <s v="1-01-02-02-079"/>
    <s v="Rec / Pay With Network Matter"/>
    <s v="1-01-02-02-079-Rec / Pay With Network MatterDAI"/>
    <x v="2"/>
    <x v="11"/>
    <x v="86"/>
    <x v="113"/>
    <s v="DAI"/>
    <n v="16420"/>
    <n v="16420"/>
    <m/>
    <m/>
    <n v="16420"/>
    <n v="16420"/>
    <m/>
    <m/>
    <n v="16420"/>
    <n v="16420"/>
    <n v="0"/>
  </r>
  <r>
    <s v="1-01-02-02-081"/>
    <s v="Rec / Pay With Dai Kcd 115"/>
    <s v="1-01-02-02-081-Rec / Pay With Dai Kcd 115SHORT PROJECTS"/>
    <x v="2"/>
    <x v="11"/>
    <x v="86"/>
    <x v="113"/>
    <s v="SHORT PROJECTS"/>
    <n v="16420"/>
    <n v="16420"/>
    <m/>
    <m/>
    <n v="16420"/>
    <n v="16420"/>
    <m/>
    <m/>
    <n v="16420"/>
    <n v="16420"/>
    <n v="0"/>
  </r>
  <r>
    <s v="1-01-02-02-082"/>
    <s v="Rec / Pay with GRC"/>
    <s v="1-01-02-02-082-Rec / Pay with GRCPILER"/>
    <x v="2"/>
    <x v="11"/>
    <x v="86"/>
    <x v="113"/>
    <s v="PILER"/>
    <n v="2994134.21"/>
    <n v="4599022.7"/>
    <n v="495194"/>
    <n v="554974"/>
    <n v="3489328.21"/>
    <n v="5153996.7"/>
    <m/>
    <m/>
    <n v="3489328.21"/>
    <n v="5153996.7"/>
    <n v="-1664668.4900000002"/>
  </r>
  <r>
    <s v="1-01-02-02-082"/>
    <s v="Rec / Pay with GRC"/>
    <s v="1-01-02-02-082-Rec / Pay with GRCGRC"/>
    <x v="2"/>
    <x v="11"/>
    <x v="86"/>
    <x v="113"/>
    <s v="GRC"/>
    <n v="931598.94"/>
    <n v="4608.34"/>
    <n v="66603.5"/>
    <n v="0"/>
    <n v="998202.44"/>
    <n v="4608.34"/>
    <m/>
    <m/>
    <n v="998202.44"/>
    <n v="4608.34"/>
    <n v="993594.1"/>
  </r>
  <r>
    <s v="1-01-02-02-083"/>
    <s v="Rec / Pay with GRC Own"/>
    <s v="1-01-02-02-083-Rec / Pay with GRC OwnPILER"/>
    <x v="2"/>
    <x v="11"/>
    <x v="86"/>
    <x v="113"/>
    <s v="PILER"/>
    <n v="0"/>
    <n v="0"/>
    <n v="765582"/>
    <n v="779095"/>
    <n v="765582"/>
    <n v="779095"/>
    <m/>
    <m/>
    <n v="765582"/>
    <n v="779095"/>
    <n v="-13513"/>
  </r>
  <r>
    <s v="1-01-02-02-083"/>
    <s v="Rec / Pay with GRC Own"/>
    <s v="1-01-02-02-083-Rec / Pay with GRC OwnGRC Own"/>
    <x v="2"/>
    <x v="11"/>
    <x v="86"/>
    <x v="113"/>
    <s v="GRC Own"/>
    <n v="60520.6"/>
    <n v="68057.59"/>
    <n v="802885.1"/>
    <n v="519984.2"/>
    <n v="863405.7"/>
    <n v="588041.79"/>
    <m/>
    <m/>
    <n v="863405.7"/>
    <n v="588041.79"/>
    <n v="275363.90999999992"/>
  </r>
  <r>
    <s v="2-01-01-02-017"/>
    <s v="PAYABLE TO PILER OWN"/>
    <s v="2-01-01-02-017-PAYABLE TO PILER OWNGRC Own"/>
    <x v="2"/>
    <x v="11"/>
    <x v="86"/>
    <x v="113"/>
    <s v="GRC Own"/>
    <n v="0"/>
    <n v="0"/>
    <n v="779415"/>
    <n v="783786"/>
    <n v="779415"/>
    <n v="783786"/>
    <m/>
    <m/>
    <n v="779415"/>
    <n v="783786"/>
    <n v="-437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
  <r>
    <s v="1-01-01-01-001"/>
    <s v="1-01-01-01-001-CASH IN HANDPILER"/>
    <x v="0"/>
    <x v="0"/>
    <x v="0"/>
    <s v="PILER"/>
    <n v="1"/>
    <n v="0"/>
    <n v="0"/>
    <n v="0"/>
    <n v="1"/>
    <n v="0"/>
    <m/>
    <m/>
    <m/>
    <n v="1"/>
    <n v="0"/>
    <n v="1"/>
  </r>
  <r>
    <s v="1-01-01-02-002"/>
    <s v="1-01-01-02-002-PILER OWN BAHL A/C. 818-04-2PILER"/>
    <x v="0"/>
    <x v="0"/>
    <x v="0"/>
    <s v="PILER"/>
    <n v="143120"/>
    <n v="0"/>
    <n v="0"/>
    <n v="0"/>
    <n v="143120"/>
    <n v="0"/>
    <m/>
    <m/>
    <m/>
    <n v="143120"/>
    <n v="0"/>
    <n v="143120"/>
  </r>
  <r>
    <s v="1-01-01-02-011"/>
    <s v="1-01-01-02-011-PILER TDH &amp; MI BH A/C.818-09-7TDH &amp; MI"/>
    <x v="0"/>
    <x v="0"/>
    <x v="0"/>
    <s v="TDH &amp; MI"/>
    <n v="0"/>
    <n v="809205"/>
    <n v="0"/>
    <n v="0"/>
    <n v="0"/>
    <n v="809205"/>
    <m/>
    <m/>
    <m/>
    <n v="0"/>
    <n v="809205"/>
    <n v="-809205"/>
  </r>
  <r>
    <s v="1-01-01-02-011"/>
    <s v="1-01-01-02-011-PILER TDH &amp; MI BH A/C.818-09-7TDH"/>
    <x v="0"/>
    <x v="0"/>
    <x v="0"/>
    <s v="TDH"/>
    <n v="581069"/>
    <n v="0"/>
    <n v="0"/>
    <n v="0"/>
    <n v="581069"/>
    <n v="0"/>
    <m/>
    <m/>
    <m/>
    <n v="581069"/>
    <n v="0"/>
    <n v="581069"/>
  </r>
  <r>
    <s v="1-01-01-02-012"/>
    <s v="1-01-01-02-012-PILER UBL-012-1940-6PILER"/>
    <x v="0"/>
    <x v="0"/>
    <x v="0"/>
    <s v="PILER"/>
    <n v="62500"/>
    <n v="0"/>
    <n v="0"/>
    <n v="0"/>
    <n v="62500"/>
    <n v="0"/>
    <m/>
    <m/>
    <m/>
    <n v="62500"/>
    <n v="0"/>
    <n v="62500"/>
  </r>
  <r>
    <s v="1-01-01-02-013"/>
    <s v="1-01-01-02-013-PILER UBL-012-1707-3PILER"/>
    <x v="0"/>
    <x v="0"/>
    <x v="0"/>
    <s v="PILER"/>
    <n v="51853"/>
    <n v="0"/>
    <n v="0"/>
    <n v="0"/>
    <n v="51853"/>
    <n v="0"/>
    <m/>
    <m/>
    <m/>
    <n v="51853"/>
    <n v="0"/>
    <n v="51853"/>
  </r>
  <r>
    <s v="1-01-01-02-015"/>
    <s v="1-01-01-02-015-PILER FNV PROJECT 06-0PILER"/>
    <x v="0"/>
    <x v="0"/>
    <x v="0"/>
    <s v="PILER"/>
    <n v="15489"/>
    <n v="0"/>
    <n v="0"/>
    <n v="0"/>
    <n v="15489"/>
    <n v="0"/>
    <m/>
    <m/>
    <m/>
    <n v="15489"/>
    <n v="0"/>
    <n v="15489"/>
  </r>
  <r>
    <s v="1-01-01-02-016"/>
    <s v="1-01-01-02-016-PILER EU PROJECT BAHL-GJ 06-2PILER"/>
    <x v="0"/>
    <x v="0"/>
    <x v="0"/>
    <s v="PILER"/>
    <n v="29198"/>
    <n v="0"/>
    <n v="0"/>
    <n v="0"/>
    <n v="29198"/>
    <n v="0"/>
    <m/>
    <m/>
    <m/>
    <n v="29198"/>
    <n v="0"/>
    <n v="29198"/>
  </r>
  <r>
    <s v="1-01-01-02-020"/>
    <s v="1-01-01-02-020-PILER BAH-A/C.0081-004762-01-0PILER"/>
    <x v="0"/>
    <x v="0"/>
    <x v="0"/>
    <s v="PILER"/>
    <n v="1577606.14"/>
    <n v="0"/>
    <n v="14002024"/>
    <n v="15715481.35"/>
    <n v="0"/>
    <n v="135851.21"/>
    <m/>
    <m/>
    <m/>
    <n v="0"/>
    <n v="135851.21"/>
    <n v="-135851.21"/>
  </r>
  <r>
    <s v="1-01-01-02-021"/>
    <s v="1-01-01-02-021-PILER TAF BAH-0081-004762-02-1TAF"/>
    <x v="0"/>
    <x v="0"/>
    <x v="0"/>
    <s v="TAF"/>
    <n v="34383.199999999997"/>
    <n v="0"/>
    <n v="0"/>
    <n v="0"/>
    <n v="34383.199999999997"/>
    <n v="0"/>
    <m/>
    <m/>
    <m/>
    <n v="34383.199999999997"/>
    <n v="0"/>
    <n v="34383.199999999997"/>
  </r>
  <r>
    <s v="1-01-01-02-021"/>
    <s v="1-01-01-02-021-PILER TAF BAH-0081-004762-02-1ETI"/>
    <x v="0"/>
    <x v="0"/>
    <x v="0"/>
    <s v="ETI"/>
    <n v="330629.83"/>
    <n v="0"/>
    <n v="8787215.2400000002"/>
    <n v="9329194.9499999993"/>
    <n v="0"/>
    <n v="211349.88"/>
    <m/>
    <m/>
    <m/>
    <n v="0"/>
    <n v="211349.88"/>
    <n v="-211349.88"/>
  </r>
  <r>
    <s v="1-01-01-02-022"/>
    <s v="1-01-01-02-022-BANK UNICEF-0081-004762-04-3PILER"/>
    <x v="0"/>
    <x v="0"/>
    <x v="0"/>
    <s v="PILER"/>
    <n v="7803.45"/>
    <n v="0"/>
    <n v="961600"/>
    <n v="941575.75"/>
    <n v="27827.7"/>
    <n v="0"/>
    <m/>
    <m/>
    <m/>
    <n v="27827.7"/>
    <n v="0"/>
    <n v="27827.7"/>
  </r>
  <r>
    <s v="1-01-01-02-022"/>
    <s v="1-01-01-02-022-BANK UNICEF-0081-004762-04-3UNICEF-2"/>
    <x v="0"/>
    <x v="0"/>
    <x v="0"/>
    <s v="UNICEF-2"/>
    <n v="73944.37"/>
    <n v="0"/>
    <n v="0"/>
    <n v="0"/>
    <n v="73944.37"/>
    <n v="0"/>
    <m/>
    <m/>
    <m/>
    <n v="73944.37"/>
    <n v="0"/>
    <n v="73944.37"/>
  </r>
  <r>
    <s v="1-01-01-02-022"/>
    <s v="1-01-01-02-022-BANK UNICEF-0081-004762-04-3UNICEF-3"/>
    <x v="0"/>
    <x v="0"/>
    <x v="0"/>
    <s v="UNICEF-3"/>
    <n v="0"/>
    <n v="73924.7"/>
    <n v="0"/>
    <n v="0"/>
    <n v="0"/>
    <n v="73924.7"/>
    <m/>
    <m/>
    <m/>
    <n v="0"/>
    <n v="73924.7"/>
    <n v="-73924.7"/>
  </r>
  <r>
    <s v="1-01-01-02-023"/>
    <s v="1-01-01-02-023-BANK TROCAIRE-0081-004762-06-5Trocaire"/>
    <x v="0"/>
    <x v="0"/>
    <x v="0"/>
    <s v="Trocaire"/>
    <n v="0.6"/>
    <n v="0"/>
    <n v="0"/>
    <n v="0"/>
    <n v="0.6"/>
    <n v="0"/>
    <m/>
    <m/>
    <m/>
    <n v="0.6"/>
    <n v="0"/>
    <n v="0.6"/>
  </r>
  <r>
    <s v="1-01-01-02-023"/>
    <s v="1-01-01-02-023-BANK TROCAIRE-0081-004762-06-5PILER"/>
    <x v="0"/>
    <x v="0"/>
    <x v="0"/>
    <s v="PILER"/>
    <n v="0"/>
    <n v="0"/>
    <n v="782070"/>
    <n v="118.65"/>
    <n v="781951.35"/>
    <n v="0"/>
    <m/>
    <m/>
    <m/>
    <n v="781951.35"/>
    <n v="0"/>
    <n v="781951.35"/>
  </r>
  <r>
    <s v="1-01-01-02-023"/>
    <s v="1-01-01-02-023-BANK TROCAIRE-0081-004762-06-5FOSI"/>
    <x v="0"/>
    <x v="0"/>
    <x v="0"/>
    <s v="FOSI"/>
    <n v="19147.189999999999"/>
    <n v="0"/>
    <n v="0"/>
    <n v="0"/>
    <n v="19147.189999999999"/>
    <n v="0"/>
    <m/>
    <m/>
    <m/>
    <n v="19147.189999999999"/>
    <n v="0"/>
    <n v="19147.189999999999"/>
  </r>
  <r>
    <s v="1-01-01-02-023"/>
    <s v="1-01-01-02-023-BANK TROCAIRE-0081-004762-06-5DAI"/>
    <x v="0"/>
    <x v="0"/>
    <x v="0"/>
    <s v="DAI"/>
    <n v="543514.44999999995"/>
    <n v="0"/>
    <n v="2804076"/>
    <n v="4116044.55"/>
    <n v="0"/>
    <n v="768454.1"/>
    <m/>
    <m/>
    <m/>
    <n v="0"/>
    <n v="768454.1"/>
    <n v="-768454.1"/>
  </r>
  <r>
    <s v="1-01-01-02-024"/>
    <s v="1-01-01-02-024-BANK TDH-0081-004762-05-4Deezire"/>
    <x v="0"/>
    <x v="0"/>
    <x v="0"/>
    <s v="Deezire"/>
    <n v="0"/>
    <n v="1024677.11"/>
    <n v="0"/>
    <n v="0"/>
    <n v="0"/>
    <n v="1024677.11"/>
    <m/>
    <m/>
    <m/>
    <n v="0"/>
    <n v="1024677.11"/>
    <n v="-1024677.11"/>
  </r>
  <r>
    <s v="1-01-01-02-024"/>
    <s v="1-01-01-02-024-BANK TDH-0081-004762-05-4TDH"/>
    <x v="0"/>
    <x v="0"/>
    <x v="0"/>
    <s v="TDH"/>
    <n v="40198.14"/>
    <n v="0"/>
    <n v="0"/>
    <n v="0"/>
    <n v="40198.14"/>
    <n v="0"/>
    <m/>
    <m/>
    <m/>
    <n v="40198.14"/>
    <n v="0"/>
    <n v="40198.14"/>
  </r>
  <r>
    <s v="1-01-01-02-024"/>
    <s v="1-01-01-02-024-BANK TDH-0081-004762-05-4FNV"/>
    <x v="0"/>
    <x v="0"/>
    <x v="0"/>
    <s v="FNV"/>
    <n v="1025090.83"/>
    <n v="0"/>
    <n v="0"/>
    <n v="158.19999999999999"/>
    <n v="1024932.63"/>
    <n v="0"/>
    <m/>
    <m/>
    <m/>
    <n v="1024932.63"/>
    <n v="0"/>
    <n v="1024932.63"/>
  </r>
  <r>
    <s v="1-01-01-02-025"/>
    <s v="1-01-01-02-025-BANK GRATUITY-0081-004762-09-8PILER"/>
    <x v="0"/>
    <x v="0"/>
    <x v="0"/>
    <s v="PILER"/>
    <n v="306969.84999999998"/>
    <n v="0"/>
    <n v="651620"/>
    <n v="665197.75"/>
    <n v="293392.09999999998"/>
    <n v="0"/>
    <m/>
    <m/>
    <m/>
    <n v="293392.09999999998"/>
    <n v="0"/>
    <n v="293392.09999999998"/>
  </r>
  <r>
    <s v="1-01-01-02-027"/>
    <s v="1-01-01-02-027-BANK DOLLAR-0112-004762-10-9PILER"/>
    <x v="0"/>
    <x v="0"/>
    <x v="0"/>
    <s v="PILER"/>
    <n v="6261.86"/>
    <n v="0"/>
    <n v="0"/>
    <n v="0"/>
    <n v="6261.86"/>
    <n v="0"/>
    <m/>
    <m/>
    <m/>
    <n v="6261.86"/>
    <n v="0"/>
    <n v="6261.86"/>
  </r>
  <r>
    <s v="1-01-01-02-029"/>
    <s v="1-01-01-02-029-BANK ICCO PAK-0081-004762-08-7ICCO Pak"/>
    <x v="0"/>
    <x v="0"/>
    <x v="0"/>
    <s v="ICCO Pak"/>
    <n v="232.14"/>
    <n v="0"/>
    <n v="0"/>
    <n v="0"/>
    <n v="232.14"/>
    <n v="0"/>
    <m/>
    <m/>
    <m/>
    <n v="232.14"/>
    <n v="0"/>
    <n v="232.14"/>
  </r>
  <r>
    <s v="1-01-01-02-029"/>
    <s v="1-01-01-02-029-BANK ICCO PAK-0081-004762-08-7Open Society"/>
    <x v="0"/>
    <x v="0"/>
    <x v="0"/>
    <s v="Open Society"/>
    <n v="11763167.83"/>
    <n v="0"/>
    <n v="839751"/>
    <n v="12643173.15"/>
    <n v="0"/>
    <n v="40254.32"/>
    <m/>
    <m/>
    <m/>
    <n v="0"/>
    <n v="40254.32"/>
    <n v="-40254.32"/>
  </r>
  <r>
    <s v="1-01-01-02-030"/>
    <s v="1-01-01-02-030-BANK TDH PAK-0081-004762-03-2TDH Pak"/>
    <x v="0"/>
    <x v="0"/>
    <x v="0"/>
    <s v="TDH Pak"/>
    <n v="160.1"/>
    <n v="0"/>
    <n v="0"/>
    <n v="0"/>
    <n v="160.1"/>
    <n v="0"/>
    <m/>
    <m/>
    <m/>
    <n v="160.1"/>
    <n v="0"/>
    <n v="160.1"/>
  </r>
  <r>
    <s v="1-01-01-02-030"/>
    <s v="1-01-01-02-030-BANK TDH PAK-0081-004762-03-2RRCCHR"/>
    <x v="0"/>
    <x v="0"/>
    <x v="0"/>
    <s v="RRCCHR"/>
    <n v="10142.9"/>
    <n v="0"/>
    <n v="754469"/>
    <n v="764587.65"/>
    <n v="24.25"/>
    <n v="0"/>
    <m/>
    <m/>
    <m/>
    <n v="24.25"/>
    <n v="0"/>
    <n v="24.25"/>
  </r>
  <r>
    <s v="1-01-01-02-031"/>
    <s v="1-01-01-02-031-BANK SMALL PR-0081-004762-07-6short projects"/>
    <x v="0"/>
    <x v="0"/>
    <x v="0"/>
    <s v="short projects"/>
    <n v="1214514.95"/>
    <n v="0"/>
    <n v="2125743.83"/>
    <n v="3369197.21"/>
    <n v="0"/>
    <n v="28938.43"/>
    <m/>
    <m/>
    <m/>
    <n v="0"/>
    <n v="28938.43"/>
    <n v="-28938.43"/>
  </r>
  <r>
    <s v="1-01-02-01-002"/>
    <s v="1-01-02-01-002-RECEIVABLE FROM TROCAIRE-MLRRSPILER"/>
    <x v="1"/>
    <x v="1"/>
    <x v="1"/>
    <s v="PILER"/>
    <n v="0"/>
    <n v="14070"/>
    <n v="0"/>
    <n v="0"/>
    <n v="0"/>
    <n v="14070"/>
    <m/>
    <m/>
    <m/>
    <n v="0"/>
    <n v="14070"/>
    <n v="-14070"/>
  </r>
  <r>
    <s v="1-01-02-01-005"/>
    <s v="1-01-02-01-005-R/A-TDH-MI REBUILDING LIVE PRODeezire"/>
    <x v="0"/>
    <x v="2"/>
    <x v="2"/>
    <s v="Deezire"/>
    <n v="7638"/>
    <n v="0"/>
    <n v="0"/>
    <n v="0"/>
    <n v="7638"/>
    <n v="0"/>
    <m/>
    <m/>
    <m/>
    <n v="7638"/>
    <n v="0"/>
    <n v="7638"/>
  </r>
  <r>
    <s v="1-01-02-01-005"/>
    <s v="1-01-02-01-005-R/A-TDH-MI REBUILDING LIVE PROPILER"/>
    <x v="0"/>
    <x v="2"/>
    <x v="2"/>
    <s v="PILER"/>
    <n v="32238"/>
    <n v="0"/>
    <n v="0"/>
    <n v="0"/>
    <n v="32238"/>
    <n v="0"/>
    <m/>
    <m/>
    <m/>
    <n v="32238"/>
    <n v="0"/>
    <n v="32238"/>
  </r>
  <r>
    <s v="1-01-02-01-007"/>
    <s v="1-01-02-01-007-RECEIVABLE FROM ICCO PROJ-THSWPILER"/>
    <x v="1"/>
    <x v="1"/>
    <x v="1"/>
    <s v="PILER"/>
    <n v="398399"/>
    <n v="0"/>
    <n v="0"/>
    <n v="0"/>
    <n v="398399"/>
    <n v="0"/>
    <m/>
    <m/>
    <m/>
    <n v="398399"/>
    <n v="0"/>
    <n v="398399"/>
  </r>
  <r>
    <s v="1-01-02-01-010"/>
    <s v="1-01-02-01-010-RECEIVABLE FROM TAFTrocaire"/>
    <x v="1"/>
    <x v="1"/>
    <x v="1"/>
    <s v="Trocaire"/>
    <n v="95515"/>
    <n v="0"/>
    <n v="0"/>
    <n v="0"/>
    <n v="95515"/>
    <n v="0"/>
    <m/>
    <m/>
    <m/>
    <n v="95515"/>
    <n v="0"/>
    <n v="95515"/>
  </r>
  <r>
    <s v="1-01-02-01-010"/>
    <s v="1-01-02-01-010-RECEIVABLE FROM TAFPILER"/>
    <x v="1"/>
    <x v="1"/>
    <x v="1"/>
    <s v="PILER"/>
    <n v="196699"/>
    <n v="0"/>
    <n v="0"/>
    <n v="0"/>
    <n v="196699"/>
    <n v="0"/>
    <m/>
    <m/>
    <m/>
    <n v="196699"/>
    <n v="0"/>
    <n v="196699"/>
  </r>
  <r>
    <s v="1-01-02-01-015"/>
    <s v="1-01-02-01-015-RECEIVABLE FROM IUF-QAMARULLPILER"/>
    <x v="0"/>
    <x v="2"/>
    <x v="2"/>
    <s v="PILER"/>
    <n v="8160"/>
    <n v="0"/>
    <n v="0"/>
    <n v="0"/>
    <n v="8160"/>
    <n v="0"/>
    <m/>
    <m/>
    <m/>
    <n v="8160"/>
    <n v="0"/>
    <n v="8160"/>
  </r>
  <r>
    <s v="1-01-02-01-016"/>
    <s v="1-01-02-01-016-Rec / Pay with Sindh Human RCshort projects"/>
    <x v="0"/>
    <x v="2"/>
    <x v="2"/>
    <s v="short projects"/>
    <n v="0"/>
    <n v="8065"/>
    <n v="0"/>
    <n v="0"/>
    <n v="0"/>
    <n v="8065"/>
    <m/>
    <m/>
    <m/>
    <n v="0"/>
    <n v="8065"/>
    <n v="-8065"/>
  </r>
  <r>
    <s v="1-01-02-01-017"/>
    <s v="1-01-02-01-017-Rec / pay with civic charterPILER"/>
    <x v="1"/>
    <x v="1"/>
    <x v="1"/>
    <s v="PILER"/>
    <n v="11000"/>
    <n v="0"/>
    <n v="0"/>
    <n v="0"/>
    <n v="11000"/>
    <n v="0"/>
    <m/>
    <m/>
    <m/>
    <n v="11000"/>
    <n v="0"/>
    <n v="11000"/>
  </r>
  <r>
    <s v="1-01-02-01-018"/>
    <s v="1-01-02-01-018-Rec / pay with Mapping on pharmaPILER"/>
    <x v="1"/>
    <x v="1"/>
    <x v="1"/>
    <s v="PILER"/>
    <n v="0"/>
    <n v="0"/>
    <n v="15000"/>
    <n v="15000"/>
    <n v="0"/>
    <n v="0"/>
    <m/>
    <m/>
    <m/>
    <n v="0"/>
    <n v="0"/>
    <n v="0"/>
  </r>
  <r>
    <s v="1-01-02-02-001"/>
    <s v="1-01-02-02-001-R/A-PAKISTAN LABOUR TRUST(PLT)Deezire"/>
    <x v="2"/>
    <x v="3"/>
    <x v="3"/>
    <s v="Deezire"/>
    <n v="100000"/>
    <n v="0"/>
    <n v="0"/>
    <n v="0"/>
    <n v="100000"/>
    <n v="0"/>
    <m/>
    <m/>
    <m/>
    <n v="100000"/>
    <n v="0"/>
    <n v="100000"/>
  </r>
  <r>
    <s v="1-01-02-02-001"/>
    <s v="1-01-02-02-001-R/A-PAKISTAN LABOUR TRUST(PLT)PILER"/>
    <x v="2"/>
    <x v="3"/>
    <x v="3"/>
    <s v="PILER"/>
    <n v="2423213"/>
    <n v="0"/>
    <n v="91579"/>
    <n v="91579"/>
    <n v="2423213"/>
    <n v="0"/>
    <m/>
    <m/>
    <m/>
    <n v="2423213"/>
    <n v="0"/>
    <n v="2423213"/>
  </r>
  <r>
    <s v="1-01-02-02-001"/>
    <s v="1-01-02-02-001-R/A-PAKISTAN LABOUR TRUST(PLT)ICCO"/>
    <x v="2"/>
    <x v="3"/>
    <x v="3"/>
    <s v="ICCO"/>
    <n v="8263"/>
    <n v="0"/>
    <n v="0"/>
    <n v="0"/>
    <n v="8263"/>
    <n v="0"/>
    <m/>
    <m/>
    <m/>
    <n v="8263"/>
    <n v="0"/>
    <n v="8263"/>
  </r>
  <r>
    <s v="1-01-02-02-001"/>
    <s v="1-01-02-02-001-R/A-PAKISTAN LABOUR TRUST(PLT)TDH &amp; MI"/>
    <x v="2"/>
    <x v="3"/>
    <x v="3"/>
    <s v="TDH &amp; MI"/>
    <n v="39644"/>
    <n v="0"/>
    <n v="0"/>
    <n v="0"/>
    <n v="39644"/>
    <n v="0"/>
    <m/>
    <m/>
    <m/>
    <n v="39644"/>
    <n v="0"/>
    <n v="39644"/>
  </r>
  <r>
    <s v="1-01-02-02-001"/>
    <s v="1-01-02-02-001-R/A-PAKISTAN LABOUR TRUST(PLT)short projects"/>
    <x v="2"/>
    <x v="3"/>
    <x v="3"/>
    <s v="short projects"/>
    <n v="104420"/>
    <n v="0"/>
    <n v="0"/>
    <n v="0"/>
    <n v="104420"/>
    <n v="0"/>
    <m/>
    <m/>
    <m/>
    <n v="104420"/>
    <n v="0"/>
    <n v="104420"/>
  </r>
  <r>
    <s v="1-01-02-02-001"/>
    <s v="1-01-02-02-001-R/A-PAKISTAN LABOUR TRUST(PLT)Open Society"/>
    <x v="2"/>
    <x v="3"/>
    <x v="3"/>
    <s v="Open Society"/>
    <n v="99286"/>
    <n v="0"/>
    <n v="4132189"/>
    <n v="2739124"/>
    <n v="1492351"/>
    <n v="0"/>
    <m/>
    <n v="0"/>
    <m/>
    <n v="1492351"/>
    <n v="0"/>
    <n v="1492351"/>
  </r>
  <r>
    <s v="1-01-02-02-002"/>
    <s v="1-01-02-02-002-W.H. TAX DEDUCTIONDeezire"/>
    <x v="0"/>
    <x v="2"/>
    <x v="2"/>
    <s v="Deezire"/>
    <n v="12147.56"/>
    <n v="0"/>
    <n v="0"/>
    <n v="0"/>
    <n v="12147.56"/>
    <n v="0"/>
    <m/>
    <m/>
    <m/>
    <n v="12147.56"/>
    <n v="0"/>
    <n v="12147.56"/>
  </r>
  <r>
    <s v="1-01-02-02-002"/>
    <s v="1-01-02-02-002-W.H. TAX DEDUCTIONPILER"/>
    <x v="0"/>
    <x v="2"/>
    <x v="2"/>
    <s v="PILER"/>
    <n v="428160.85"/>
    <n v="0"/>
    <n v="0"/>
    <n v="0"/>
    <n v="428160.85"/>
    <n v="0"/>
    <m/>
    <m/>
    <m/>
    <n v="428160.85"/>
    <n v="0"/>
    <n v="428160.85"/>
  </r>
  <r>
    <s v="1-01-02-02-002"/>
    <s v="1-01-02-02-002-W.H. TAX DEDUCTIONTDH &amp; MI"/>
    <x v="0"/>
    <x v="2"/>
    <x v="2"/>
    <s v="TDH &amp; MI"/>
    <n v="54597"/>
    <n v="0"/>
    <n v="0"/>
    <n v="0"/>
    <n v="54597"/>
    <n v="0"/>
    <m/>
    <m/>
    <m/>
    <n v="54597"/>
    <n v="0"/>
    <n v="54597"/>
  </r>
  <r>
    <s v="1-01-02-02-002"/>
    <s v="1-01-02-02-002-W.H. TAX DEDUCTIONshort projects"/>
    <x v="0"/>
    <x v="2"/>
    <x v="2"/>
    <s v="short projects"/>
    <n v="18066.37"/>
    <n v="0"/>
    <n v="0"/>
    <n v="0"/>
    <n v="18066.37"/>
    <n v="0"/>
    <m/>
    <m/>
    <m/>
    <n v="18066.37"/>
    <n v="0"/>
    <n v="18066.37"/>
  </r>
  <r>
    <s v="1-01-02-02-002"/>
    <s v="1-01-02-02-002-W.H. TAX DEDUCTIONUNICEF-3"/>
    <x v="0"/>
    <x v="2"/>
    <x v="2"/>
    <s v="UNICEF-3"/>
    <n v="5422.94"/>
    <n v="0"/>
    <n v="0"/>
    <n v="0"/>
    <n v="5422.94"/>
    <n v="0"/>
    <m/>
    <m/>
    <m/>
    <n v="5422.94"/>
    <n v="0"/>
    <n v="5422.94"/>
  </r>
  <r>
    <s v="1-01-02-02-002"/>
    <s v="1-01-02-02-002-W.H. TAX DEDUCTIONRRCCHR"/>
    <x v="0"/>
    <x v="2"/>
    <x v="2"/>
    <s v="RRCCHR"/>
    <n v="25.1"/>
    <n v="0"/>
    <n v="0"/>
    <n v="0"/>
    <n v="25.1"/>
    <n v="0"/>
    <m/>
    <m/>
    <m/>
    <n v="25.1"/>
    <n v="0"/>
    <n v="25.1"/>
  </r>
  <r>
    <s v="1-01-02-02-002"/>
    <s v="1-01-02-02-002-W.H. TAX DEDUCTIONOpen Society"/>
    <x v="0"/>
    <x v="2"/>
    <x v="2"/>
    <s v="Open Society"/>
    <n v="21087.17"/>
    <n v="0"/>
    <n v="0"/>
    <n v="0"/>
    <n v="21087.17"/>
    <n v="0"/>
    <m/>
    <m/>
    <m/>
    <n v="21087.17"/>
    <n v="0"/>
    <n v="21087.17"/>
  </r>
  <r>
    <s v="1-01-02-02-002"/>
    <s v="1-01-02-02-002-W.H. TAX DEDUCTIONETI"/>
    <x v="0"/>
    <x v="2"/>
    <x v="2"/>
    <s v="ETI"/>
    <n v="15517.17"/>
    <n v="0"/>
    <n v="0"/>
    <n v="0"/>
    <n v="15517.17"/>
    <n v="0"/>
    <m/>
    <m/>
    <m/>
    <n v="15517.17"/>
    <n v="0"/>
    <n v="15517.17"/>
  </r>
  <r>
    <s v="1-01-02-02-002"/>
    <s v="1-01-02-02-002-W.H. TAX DEDUCTIONFOSI"/>
    <x v="0"/>
    <x v="2"/>
    <x v="2"/>
    <s v="FOSI"/>
    <n v="15961.81"/>
    <n v="0"/>
    <n v="0"/>
    <n v="0"/>
    <n v="15961.81"/>
    <n v="0"/>
    <m/>
    <m/>
    <m/>
    <n v="15961.81"/>
    <n v="0"/>
    <n v="15961.81"/>
  </r>
  <r>
    <s v="1-01-02-02-002"/>
    <s v="1-01-02-02-002-W.H. TAX DEDUCTIONFNV"/>
    <x v="0"/>
    <x v="2"/>
    <x v="2"/>
    <s v="FNV"/>
    <n v="2590.77"/>
    <n v="0"/>
    <n v="0"/>
    <n v="0"/>
    <n v="2590.77"/>
    <n v="0"/>
    <m/>
    <m/>
    <m/>
    <n v="2590.77"/>
    <n v="0"/>
    <n v="2590.77"/>
  </r>
  <r>
    <s v="1-01-02-02-002"/>
    <s v="1-01-02-02-002-W.H. TAX DEDUCTIONDAI"/>
    <x v="0"/>
    <x v="2"/>
    <x v="2"/>
    <s v="DAI"/>
    <n v="4.55"/>
    <n v="0"/>
    <n v="0"/>
    <n v="0"/>
    <n v="4.55"/>
    <n v="0"/>
    <m/>
    <m/>
    <m/>
    <n v="4.55"/>
    <n v="0"/>
    <n v="4.55"/>
  </r>
  <r>
    <s v="1-01-02-02-004"/>
    <s v="1-01-02-02-004-SECURITY DEPOPSITPILER"/>
    <x v="0"/>
    <x v="2"/>
    <x v="4"/>
    <s v="PILER"/>
    <n v="219700"/>
    <n v="0"/>
    <n v="0"/>
    <n v="0"/>
    <n v="219700"/>
    <n v="0"/>
    <m/>
    <m/>
    <m/>
    <n v="219700"/>
    <n v="0"/>
    <n v="219700"/>
  </r>
  <r>
    <s v="1-01-02-02-005"/>
    <s v="1-01-02-02-005-OTHERS RECEIVABLEPILER"/>
    <x v="0"/>
    <x v="2"/>
    <x v="2"/>
    <s v="PILER"/>
    <n v="50000"/>
    <n v="0"/>
    <n v="10000"/>
    <n v="0"/>
    <n v="60000"/>
    <n v="0"/>
    <m/>
    <m/>
    <m/>
    <n v="60000"/>
    <n v="0"/>
    <n v="60000"/>
  </r>
  <r>
    <s v="1-01-02-02-005"/>
    <s v="1-01-02-02-005-OTHERS RECEIVABLEshort projects"/>
    <x v="0"/>
    <x v="2"/>
    <x v="2"/>
    <s v="short projects"/>
    <n v="3571"/>
    <n v="0"/>
    <n v="30100"/>
    <n v="30100"/>
    <n v="3571"/>
    <n v="0"/>
    <m/>
    <m/>
    <m/>
    <n v="3571"/>
    <n v="0"/>
    <n v="3571"/>
  </r>
  <r>
    <s v="1-01-02-02-005"/>
    <s v="1-01-02-02-005-OTHERS RECEIVABLEUNICEF-2"/>
    <x v="0"/>
    <x v="2"/>
    <x v="2"/>
    <s v="UNICEF-2"/>
    <n v="100"/>
    <n v="0"/>
    <n v="0"/>
    <n v="0"/>
    <n v="100"/>
    <n v="0"/>
    <m/>
    <m/>
    <m/>
    <n v="100"/>
    <n v="0"/>
    <n v="100"/>
  </r>
  <r>
    <s v="1-01-02-02-005"/>
    <s v="1-01-02-02-005-OTHERS RECEIVABLEOpen Society"/>
    <x v="0"/>
    <x v="2"/>
    <x v="2"/>
    <s v="Open Society"/>
    <n v="37320"/>
    <n v="0"/>
    <n v="80000"/>
    <n v="80000"/>
    <n v="37320"/>
    <n v="0"/>
    <m/>
    <m/>
    <m/>
    <n v="37320"/>
    <n v="0"/>
    <n v="37320"/>
  </r>
  <r>
    <s v="1-01-02-02-006"/>
    <s v="1-01-02-02-006-RECEIVABLE FROM PILER OWNUnicef"/>
    <x v="1"/>
    <x v="1"/>
    <x v="1"/>
    <s v="Unicef"/>
    <n v="2196476"/>
    <n v="0"/>
    <n v="0"/>
    <n v="0"/>
    <n v="2196476"/>
    <n v="0"/>
    <m/>
    <m/>
    <m/>
    <n v="2196476"/>
    <n v="0"/>
    <n v="2196476"/>
  </r>
  <r>
    <s v="1-01-02-02-006"/>
    <s v="1-01-02-02-006-RECEIVABLE FROM PILER OWNTrocaire"/>
    <x v="1"/>
    <x v="1"/>
    <x v="1"/>
    <s v="Trocaire"/>
    <n v="143528.63"/>
    <n v="0"/>
    <n v="0"/>
    <n v="0"/>
    <n v="143528.63"/>
    <n v="0"/>
    <m/>
    <m/>
    <m/>
    <n v="143528.63"/>
    <n v="0"/>
    <n v="143528.63"/>
  </r>
  <r>
    <s v="1-01-02-02-006"/>
    <s v="1-01-02-02-006-RECEIVABLE FROM PILER OWNDeezire"/>
    <x v="1"/>
    <x v="1"/>
    <x v="1"/>
    <s v="Deezire"/>
    <n v="3768214.11"/>
    <n v="0"/>
    <n v="0"/>
    <n v="0"/>
    <n v="3768214.11"/>
    <n v="0"/>
    <m/>
    <m/>
    <m/>
    <n v="3768214.11"/>
    <n v="0"/>
    <n v="3768214.11"/>
  </r>
  <r>
    <s v="1-01-02-02-006"/>
    <s v="1-01-02-02-006-RECEIVABLE FROM PILER OWNPILER"/>
    <x v="1"/>
    <x v="1"/>
    <x v="1"/>
    <s v="PILER"/>
    <n v="0"/>
    <n v="0"/>
    <n v="300000"/>
    <n v="300000"/>
    <n v="0"/>
    <n v="0"/>
    <m/>
    <m/>
    <m/>
    <n v="0"/>
    <n v="0"/>
    <n v="0"/>
  </r>
  <r>
    <s v="1-01-02-02-006"/>
    <s v="1-01-02-02-006-RECEIVABLE FROM PILER OWNICCO"/>
    <x v="1"/>
    <x v="1"/>
    <x v="1"/>
    <s v="ICCO"/>
    <n v="299904"/>
    <n v="0"/>
    <n v="0"/>
    <n v="0"/>
    <n v="299904"/>
    <n v="0"/>
    <m/>
    <m/>
    <m/>
    <n v="299904"/>
    <n v="0"/>
    <n v="299904"/>
  </r>
  <r>
    <s v="1-01-02-02-006"/>
    <s v="1-01-02-02-006-RECEIVABLE FROM PILER OWNTDH &amp; MI"/>
    <x v="1"/>
    <x v="1"/>
    <x v="1"/>
    <s v="TDH &amp; MI"/>
    <n v="1600481"/>
    <n v="0"/>
    <n v="0"/>
    <n v="0"/>
    <n v="1600481"/>
    <n v="0"/>
    <m/>
    <m/>
    <m/>
    <n v="1600481"/>
    <n v="0"/>
    <n v="1600481"/>
  </r>
  <r>
    <s v="1-01-02-02-006"/>
    <s v="1-01-02-02-006-RECEIVABLE FROM PILER OWNTAF"/>
    <x v="1"/>
    <x v="1"/>
    <x v="1"/>
    <s v="TAF"/>
    <n v="391647"/>
    <n v="0"/>
    <n v="0"/>
    <n v="0"/>
    <n v="391647"/>
    <n v="0"/>
    <m/>
    <m/>
    <m/>
    <n v="391647"/>
    <n v="0"/>
    <n v="391647"/>
  </r>
  <r>
    <s v="1-01-02-02-006"/>
    <s v="1-01-02-02-006-RECEIVABLE FROM PILER OWNTDH"/>
    <x v="1"/>
    <x v="1"/>
    <x v="1"/>
    <s v="TDH"/>
    <n v="2993633"/>
    <n v="0"/>
    <n v="0"/>
    <n v="0"/>
    <n v="2993633"/>
    <n v="0"/>
    <m/>
    <m/>
    <m/>
    <n v="2993633"/>
    <n v="0"/>
    <n v="2993633"/>
  </r>
  <r>
    <s v="1-01-02-02-006"/>
    <s v="1-01-02-02-006-RECEIVABLE FROM PILER OWNshort projects"/>
    <x v="1"/>
    <x v="1"/>
    <x v="1"/>
    <s v="short projects"/>
    <n v="7905242"/>
    <n v="0"/>
    <n v="809000"/>
    <n v="54000"/>
    <n v="8660242"/>
    <n v="0"/>
    <m/>
    <m/>
    <m/>
    <n v="8660242"/>
    <n v="0"/>
    <n v="8660242"/>
  </r>
  <r>
    <s v="1-01-02-02-006"/>
    <s v="1-01-02-02-006-RECEIVABLE FROM PILER OWNUNICEF-2"/>
    <x v="1"/>
    <x v="1"/>
    <x v="1"/>
    <s v="UNICEF-2"/>
    <n v="738524"/>
    <n v="0"/>
    <n v="0"/>
    <n v="0"/>
    <n v="738524"/>
    <n v="0"/>
    <m/>
    <m/>
    <m/>
    <n v="738524"/>
    <n v="0"/>
    <n v="738524"/>
  </r>
  <r>
    <s v="1-01-02-02-006"/>
    <s v="1-01-02-02-006-RECEIVABLE FROM PILER OWNUNICEF-3"/>
    <x v="1"/>
    <x v="1"/>
    <x v="1"/>
    <s v="UNICEF-3"/>
    <n v="2384280.7599999998"/>
    <n v="0"/>
    <n v="0"/>
    <n v="0"/>
    <n v="2384280.7599999998"/>
    <n v="0"/>
    <m/>
    <m/>
    <m/>
    <n v="2384280.7599999998"/>
    <n v="0"/>
    <n v="2384280.7599999998"/>
  </r>
  <r>
    <s v="1-01-02-02-006"/>
    <s v="1-01-02-02-006-RECEIVABLE FROM PILER OWNOpen Society"/>
    <x v="1"/>
    <x v="1"/>
    <x v="1"/>
    <s v="Open Society"/>
    <n v="0"/>
    <n v="0"/>
    <n v="4676807"/>
    <n v="0"/>
    <n v="4676807"/>
    <n v="0"/>
    <m/>
    <m/>
    <m/>
    <n v="4676807"/>
    <n v="0"/>
    <n v="4676807"/>
  </r>
  <r>
    <s v="1-01-02-02-006"/>
    <s v="1-01-02-02-006-RECEIVABLE FROM PILER OWNETI"/>
    <x v="1"/>
    <x v="1"/>
    <x v="1"/>
    <s v="ETI"/>
    <n v="0"/>
    <n v="0"/>
    <n v="1400000"/>
    <n v="0"/>
    <n v="1400000"/>
    <n v="0"/>
    <m/>
    <m/>
    <m/>
    <n v="1400000"/>
    <n v="0"/>
    <n v="1400000"/>
  </r>
  <r>
    <s v="1-01-02-02-006"/>
    <s v="1-01-02-02-006-RECEIVABLE FROM PILER OWNFNV"/>
    <x v="1"/>
    <x v="1"/>
    <x v="1"/>
    <s v="FNV"/>
    <n v="525372"/>
    <n v="0"/>
    <n v="0"/>
    <n v="0"/>
    <n v="525372"/>
    <n v="0"/>
    <m/>
    <m/>
    <m/>
    <n v="525372"/>
    <n v="0"/>
    <n v="525372"/>
  </r>
  <r>
    <s v="1-01-02-02-006"/>
    <s v="1-01-02-02-006-RECEIVABLE FROM PILER OWNDAI"/>
    <x v="1"/>
    <x v="1"/>
    <x v="1"/>
    <s v="DAI"/>
    <n v="0"/>
    <n v="0"/>
    <n v="650000"/>
    <n v="3000"/>
    <n v="647000"/>
    <n v="0"/>
    <m/>
    <m/>
    <m/>
    <n v="647000"/>
    <n v="0"/>
    <n v="647000"/>
  </r>
  <r>
    <s v="1-01-02-02-008"/>
    <s v="1-01-02-02-008-RECEIVABLE FROM TDH-MIPILER"/>
    <x v="1"/>
    <x v="1"/>
    <x v="1"/>
    <s v="PILER"/>
    <n v="16440"/>
    <n v="0"/>
    <n v="0"/>
    <n v="0"/>
    <n v="16440"/>
    <n v="0"/>
    <m/>
    <m/>
    <m/>
    <n v="16440"/>
    <n v="0"/>
    <n v="16440"/>
  </r>
  <r>
    <s v="1-01-02-02-008"/>
    <s v="1-01-02-02-008-RECEIVABLE FROM TDH-MITDH"/>
    <x v="1"/>
    <x v="1"/>
    <x v="1"/>
    <s v="TDH"/>
    <n v="1755199"/>
    <n v="0"/>
    <n v="0"/>
    <n v="0"/>
    <n v="1755199"/>
    <n v="0"/>
    <m/>
    <m/>
    <m/>
    <n v="1755199"/>
    <n v="0"/>
    <n v="1755199"/>
  </r>
  <r>
    <s v="1-01-02-02-009"/>
    <s v="1-01-02-02-009-RECEIVABLE FROM UNICEFPILER"/>
    <x v="1"/>
    <x v="1"/>
    <x v="1"/>
    <s v="PILER"/>
    <n v="3268048"/>
    <n v="0"/>
    <n v="0"/>
    <n v="0"/>
    <n v="3268048"/>
    <n v="0"/>
    <m/>
    <m/>
    <m/>
    <n v="3268048"/>
    <n v="0"/>
    <n v="3268048"/>
  </r>
  <r>
    <s v="1-01-02-02-009"/>
    <s v="1-01-02-02-009-RECEIVABLE FROM UNICEFshort projects"/>
    <x v="1"/>
    <x v="1"/>
    <x v="1"/>
    <s v="short projects"/>
    <n v="3076"/>
    <n v="0"/>
    <n v="0"/>
    <n v="0"/>
    <n v="3076"/>
    <n v="0"/>
    <m/>
    <m/>
    <m/>
    <n v="3076"/>
    <n v="0"/>
    <n v="3076"/>
  </r>
  <r>
    <s v="1-01-02-02-012"/>
    <s v="1-01-02-02-012-RECEIVABLE FROM DEZAIREPILER"/>
    <x v="1"/>
    <x v="1"/>
    <x v="1"/>
    <s v="PILER"/>
    <n v="693696"/>
    <n v="0"/>
    <n v="0"/>
    <n v="0"/>
    <n v="693696"/>
    <n v="0"/>
    <m/>
    <m/>
    <m/>
    <n v="693696"/>
    <n v="0"/>
    <n v="693696"/>
  </r>
  <r>
    <s v="1-01-02-02-012"/>
    <s v="1-01-02-02-012-RECEIVABLE FROM DEZAIREshort projects"/>
    <x v="1"/>
    <x v="1"/>
    <x v="1"/>
    <s v="short projects"/>
    <n v="210640"/>
    <n v="0"/>
    <n v="0"/>
    <n v="0"/>
    <n v="210640"/>
    <n v="0"/>
    <m/>
    <m/>
    <m/>
    <n v="210640"/>
    <n v="0"/>
    <n v="210640"/>
  </r>
  <r>
    <s v="1-01-02-02-012"/>
    <s v="1-01-02-02-012-RECEIVABLE FROM DEZAIREUNICEF-3"/>
    <x v="1"/>
    <x v="1"/>
    <x v="1"/>
    <s v="UNICEF-3"/>
    <n v="321121"/>
    <n v="0"/>
    <n v="0"/>
    <n v="0"/>
    <n v="321121"/>
    <n v="0"/>
    <m/>
    <m/>
    <m/>
    <n v="321121"/>
    <n v="0"/>
    <n v="321121"/>
  </r>
  <r>
    <s v="1-01-02-02-013"/>
    <s v="1-01-02-02-013-RECEIVABLE FROM RIDA ALIPILER"/>
    <x v="0"/>
    <x v="2"/>
    <x v="2"/>
    <s v="PILER"/>
    <n v="1400"/>
    <n v="0"/>
    <n v="0"/>
    <n v="0"/>
    <n v="1400"/>
    <n v="0"/>
    <m/>
    <m/>
    <m/>
    <n v="1400"/>
    <n v="0"/>
    <n v="1400"/>
  </r>
  <r>
    <s v="1-01-02-02-016"/>
    <s v="1-01-02-02-016-RECEIVABLE FROM IDRCPILER"/>
    <x v="1"/>
    <x v="1"/>
    <x v="1"/>
    <s v="PILER"/>
    <n v="367608"/>
    <n v="0"/>
    <n v="0"/>
    <n v="0"/>
    <n v="367608"/>
    <n v="0"/>
    <m/>
    <m/>
    <m/>
    <n v="367608"/>
    <n v="0"/>
    <n v="367608"/>
  </r>
  <r>
    <s v="1-01-02-02-017"/>
    <s v="1-01-02-02-017-REC / PAY WITH TDHPILER"/>
    <x v="1"/>
    <x v="1"/>
    <x v="1"/>
    <s v="PILER"/>
    <n v="233849"/>
    <n v="0"/>
    <n v="0"/>
    <n v="0"/>
    <n v="233849"/>
    <n v="0"/>
    <m/>
    <m/>
    <m/>
    <n v="233849"/>
    <n v="0"/>
    <n v="233849"/>
  </r>
  <r>
    <s v="1-01-02-02-017"/>
    <s v="1-01-02-02-017-REC / PAY WITH TDHTDH &amp; MI"/>
    <x v="1"/>
    <x v="1"/>
    <x v="1"/>
    <s v="TDH &amp; MI"/>
    <n v="195102"/>
    <n v="0"/>
    <n v="0"/>
    <n v="0"/>
    <n v="195102"/>
    <n v="0"/>
    <m/>
    <m/>
    <m/>
    <n v="195102"/>
    <n v="0"/>
    <n v="195102"/>
  </r>
  <r>
    <s v="1-01-02-02-017"/>
    <s v="1-01-02-02-017-REC / PAY WITH TDHshort projects"/>
    <x v="1"/>
    <x v="1"/>
    <x v="1"/>
    <s v="short projects"/>
    <n v="0"/>
    <n v="7635"/>
    <n v="0"/>
    <n v="0"/>
    <n v="0"/>
    <n v="7635"/>
    <m/>
    <m/>
    <m/>
    <n v="0"/>
    <n v="7635"/>
    <n v="-7635"/>
  </r>
  <r>
    <s v="1-01-02-02-019"/>
    <s v="1-01-02-02-019-RECEIVABLE FROM SOLIDARITY CENPILER"/>
    <x v="1"/>
    <x v="1"/>
    <x v="1"/>
    <s v="PILER"/>
    <n v="66466"/>
    <n v="0"/>
    <n v="0"/>
    <n v="0"/>
    <n v="66466"/>
    <n v="0"/>
    <m/>
    <m/>
    <m/>
    <n v="66466"/>
    <n v="0"/>
    <n v="66466"/>
  </r>
  <r>
    <s v="1-01-02-02-023"/>
    <s v="1-01-02-02-023-RECEIVABLE FROM ZULFIQAR SHAHPILER"/>
    <x v="0"/>
    <x v="2"/>
    <x v="2"/>
    <s v="PILER"/>
    <n v="31562"/>
    <n v="0"/>
    <n v="0"/>
    <n v="0"/>
    <n v="31562"/>
    <n v="0"/>
    <m/>
    <m/>
    <m/>
    <n v="31562"/>
    <n v="0"/>
    <n v="31562"/>
  </r>
  <r>
    <s v="1-01-02-02-024"/>
    <s v="1-01-02-02-024-RECEIVABLE FROM ZEENIA SHOUKATETI"/>
    <x v="0"/>
    <x v="2"/>
    <x v="2"/>
    <s v="ETI"/>
    <n v="0"/>
    <n v="0"/>
    <n v="17670"/>
    <n v="0"/>
    <n v="17670"/>
    <n v="0"/>
    <m/>
    <m/>
    <m/>
    <n v="17670"/>
    <n v="0"/>
    <n v="17670"/>
  </r>
  <r>
    <s v="1-01-02-02-025"/>
    <s v="1-01-02-02-025-RECEIVABLE FROM KHADIM HUSSAINPILER"/>
    <x v="0"/>
    <x v="2"/>
    <x v="2"/>
    <s v="PILER"/>
    <n v="0"/>
    <n v="1047"/>
    <n v="3064"/>
    <n v="2017"/>
    <n v="0"/>
    <n v="0"/>
    <m/>
    <m/>
    <m/>
    <n v="0"/>
    <n v="0"/>
    <n v="0"/>
  </r>
  <r>
    <s v="1-01-02-02-029"/>
    <s v="1-01-02-02-029-RECEIVABLE FROM FARHAT FATIMAPILER"/>
    <x v="0"/>
    <x v="2"/>
    <x v="2"/>
    <s v="PILER"/>
    <n v="95"/>
    <n v="0"/>
    <n v="0"/>
    <n v="0"/>
    <n v="95"/>
    <n v="0"/>
    <m/>
    <m/>
    <m/>
    <n v="95"/>
    <n v="0"/>
    <n v="95"/>
  </r>
  <r>
    <s v="1-01-02-02-029"/>
    <s v="1-01-02-02-029-RECEIVABLE FROM FARHAT FATIMAUNICEF-2"/>
    <x v="0"/>
    <x v="2"/>
    <x v="2"/>
    <s v="UNICEF-2"/>
    <n v="50"/>
    <n v="0"/>
    <n v="0"/>
    <n v="0"/>
    <n v="50"/>
    <n v="0"/>
    <m/>
    <m/>
    <m/>
    <n v="50"/>
    <n v="0"/>
    <n v="50"/>
  </r>
  <r>
    <s v="1-01-02-02-032"/>
    <s v="1-01-02-02-032-REC / PAY WITH KYIPILER"/>
    <x v="1"/>
    <x v="1"/>
    <x v="1"/>
    <s v="PILER"/>
    <n v="0"/>
    <n v="849896"/>
    <n v="0"/>
    <n v="0"/>
    <n v="0"/>
    <n v="849896"/>
    <m/>
    <m/>
    <m/>
    <n v="0"/>
    <n v="849896"/>
    <n v="-849896"/>
  </r>
  <r>
    <s v="1-01-02-02-033"/>
    <s v="1-01-02-02-033-REC / PAY WITH FESPILER"/>
    <x v="1"/>
    <x v="1"/>
    <x v="1"/>
    <s v="PILER"/>
    <n v="16240"/>
    <n v="0"/>
    <n v="0"/>
    <n v="0"/>
    <n v="16240"/>
    <n v="0"/>
    <m/>
    <m/>
    <m/>
    <n v="16240"/>
    <n v="0"/>
    <n v="16240"/>
  </r>
  <r>
    <s v="1-01-02-02-035"/>
    <s v="1-01-02-02-035-REC / PAY WITH KIOSPILER"/>
    <x v="1"/>
    <x v="1"/>
    <x v="1"/>
    <s v="PILER"/>
    <n v="0"/>
    <n v="186921"/>
    <n v="0"/>
    <n v="0"/>
    <n v="0"/>
    <n v="186921"/>
    <m/>
    <m/>
    <m/>
    <n v="0"/>
    <n v="186921"/>
    <n v="-186921"/>
  </r>
  <r>
    <s v="1-01-02-02-036"/>
    <s v="1-01-02-02-036-RECEIVABLE FROM NOBAHARTrocaire"/>
    <x v="0"/>
    <x v="2"/>
    <x v="2"/>
    <s v="Trocaire"/>
    <n v="50"/>
    <n v="0"/>
    <n v="0"/>
    <n v="0"/>
    <n v="50"/>
    <n v="0"/>
    <m/>
    <m/>
    <m/>
    <n v="50"/>
    <n v="0"/>
    <n v="50"/>
  </r>
  <r>
    <s v="1-01-02-02-038"/>
    <s v="1-01-02-02-038-RECEIVABLE FROM SHUJAUDDINTrocaire"/>
    <x v="0"/>
    <x v="2"/>
    <x v="2"/>
    <s v="Trocaire"/>
    <n v="50"/>
    <n v="0"/>
    <n v="0"/>
    <n v="0"/>
    <n v="50"/>
    <n v="0"/>
    <m/>
    <m/>
    <m/>
    <n v="50"/>
    <n v="0"/>
    <n v="50"/>
  </r>
  <r>
    <s v="1-01-02-02-038"/>
    <s v="1-01-02-02-038-RECEIVABLE FROM SHUJAUDDINPILER"/>
    <x v="0"/>
    <x v="2"/>
    <x v="2"/>
    <s v="PILER"/>
    <n v="129540"/>
    <n v="0"/>
    <n v="0"/>
    <n v="0"/>
    <n v="129540"/>
    <n v="0"/>
    <m/>
    <m/>
    <m/>
    <n v="129540"/>
    <n v="0"/>
    <n v="129540"/>
  </r>
  <r>
    <s v="1-01-02-02-038"/>
    <s v="1-01-02-02-038-RECEIVABLE FROM SHUJAUDDINOpen Society"/>
    <x v="0"/>
    <x v="2"/>
    <x v="2"/>
    <s v="Open Society"/>
    <n v="0"/>
    <n v="0"/>
    <n v="36082"/>
    <n v="36082"/>
    <n v="0"/>
    <n v="0"/>
    <m/>
    <m/>
    <m/>
    <n v="0"/>
    <n v="0"/>
    <n v="0"/>
  </r>
  <r>
    <s v="1-01-02-02-039"/>
    <s v="1-01-02-02-039-REC / PAY AMRCTDH"/>
    <x v="1"/>
    <x v="1"/>
    <x v="1"/>
    <s v="TDH"/>
    <n v="918"/>
    <n v="0"/>
    <n v="0"/>
    <n v="0"/>
    <n v="918"/>
    <n v="0"/>
    <m/>
    <m/>
    <m/>
    <n v="918"/>
    <n v="0"/>
    <n v="918"/>
  </r>
  <r>
    <s v="1-01-02-02-040"/>
    <s v="1-01-02-02-040-RECEIVABLE FROM KARAMAT ALIDeezire"/>
    <x v="0"/>
    <x v="2"/>
    <x v="2"/>
    <s v="Deezire"/>
    <n v="11780"/>
    <n v="0"/>
    <n v="0"/>
    <n v="0"/>
    <n v="11780"/>
    <n v="0"/>
    <m/>
    <m/>
    <m/>
    <n v="11780"/>
    <n v="0"/>
    <n v="11780"/>
  </r>
  <r>
    <s v="1-01-02-02-040"/>
    <s v="1-01-02-02-040-RECEIVABLE FROM KARAMAT ALIPILER"/>
    <x v="0"/>
    <x v="2"/>
    <x v="2"/>
    <s v="PILER"/>
    <n v="38713"/>
    <n v="0"/>
    <n v="0"/>
    <n v="0"/>
    <n v="38713"/>
    <n v="0"/>
    <m/>
    <m/>
    <m/>
    <n v="38713"/>
    <n v="0"/>
    <n v="38713"/>
  </r>
  <r>
    <s v="1-01-02-02-041"/>
    <s v="1-01-02-02-041-REC / PAY BCIPILER"/>
    <x v="1"/>
    <x v="1"/>
    <x v="1"/>
    <s v="PILER"/>
    <n v="2901"/>
    <n v="0"/>
    <n v="0"/>
    <n v="0"/>
    <n v="2901"/>
    <n v="0"/>
    <m/>
    <m/>
    <m/>
    <n v="2901"/>
    <n v="0"/>
    <n v="2901"/>
  </r>
  <r>
    <s v="1-01-02-02-041"/>
    <s v="1-01-02-02-041-REC / PAY BCITDH"/>
    <x v="1"/>
    <x v="1"/>
    <x v="1"/>
    <s v="TDH"/>
    <n v="6717"/>
    <n v="0"/>
    <n v="0"/>
    <n v="0"/>
    <n v="6717"/>
    <n v="0"/>
    <m/>
    <m/>
    <m/>
    <n v="6717"/>
    <n v="0"/>
    <n v="6717"/>
  </r>
  <r>
    <s v="1-01-02-02-042"/>
    <s v="1-01-02-02-042-RECEIVABLE FROM DANISHTrocaire"/>
    <x v="0"/>
    <x v="2"/>
    <x v="2"/>
    <s v="Trocaire"/>
    <n v="50"/>
    <n v="0"/>
    <n v="0"/>
    <n v="0"/>
    <n v="50"/>
    <n v="0"/>
    <m/>
    <m/>
    <m/>
    <n v="50"/>
    <n v="0"/>
    <n v="50"/>
  </r>
  <r>
    <s v="1-01-02-02-042"/>
    <s v="1-01-02-02-042-RECEIVABLE FROM DANISHOpen Society"/>
    <x v="0"/>
    <x v="2"/>
    <x v="2"/>
    <s v="Open Society"/>
    <n v="0"/>
    <n v="0"/>
    <n v="7653"/>
    <n v="7653"/>
    <n v="0"/>
    <n v="0"/>
    <m/>
    <m/>
    <m/>
    <n v="0"/>
    <n v="0"/>
    <n v="0"/>
  </r>
  <r>
    <s v="1-01-02-02-042"/>
    <s v="1-01-02-02-042-RECEIVABLE FROM DANISHETI"/>
    <x v="0"/>
    <x v="2"/>
    <x v="2"/>
    <s v="ETI"/>
    <n v="90"/>
    <n v="0"/>
    <n v="0"/>
    <n v="0"/>
    <n v="90"/>
    <n v="0"/>
    <m/>
    <m/>
    <m/>
    <n v="90"/>
    <n v="0"/>
    <n v="90"/>
  </r>
  <r>
    <s v="1-01-02-02-043"/>
    <s v="1-01-02-02-043-RECEIVABLE FROM PERVEZ AHMEDDeezire"/>
    <x v="0"/>
    <x v="2"/>
    <x v="2"/>
    <s v="Deezire"/>
    <n v="80"/>
    <n v="0"/>
    <n v="0"/>
    <n v="0"/>
    <n v="80"/>
    <n v="0"/>
    <m/>
    <m/>
    <m/>
    <n v="80"/>
    <n v="0"/>
    <n v="80"/>
  </r>
  <r>
    <s v="1-01-02-02-043"/>
    <s v="1-01-02-02-043-RECEIVABLE FROM PERVEZ AHMEDPILER"/>
    <x v="0"/>
    <x v="2"/>
    <x v="2"/>
    <s v="PILER"/>
    <n v="4801"/>
    <n v="0"/>
    <n v="790"/>
    <n v="0"/>
    <n v="5591"/>
    <n v="0"/>
    <m/>
    <m/>
    <m/>
    <n v="5591"/>
    <n v="0"/>
    <n v="5591"/>
  </r>
  <r>
    <s v="1-01-02-02-043"/>
    <s v="1-01-02-02-043-RECEIVABLE FROM PERVEZ AHMEDshort projects"/>
    <x v="0"/>
    <x v="2"/>
    <x v="2"/>
    <s v="short projects"/>
    <n v="22"/>
    <n v="0"/>
    <n v="0"/>
    <n v="0"/>
    <n v="22"/>
    <n v="0"/>
    <m/>
    <m/>
    <m/>
    <n v="22"/>
    <n v="0"/>
    <n v="22"/>
  </r>
  <r>
    <s v="1-01-02-02-043"/>
    <s v="1-01-02-02-043-RECEIVABLE FROM PERVEZ AHMEDUNICEF-2"/>
    <x v="0"/>
    <x v="2"/>
    <x v="2"/>
    <s v="UNICEF-2"/>
    <n v="0"/>
    <n v="240"/>
    <n v="0"/>
    <n v="0"/>
    <n v="0"/>
    <n v="240"/>
    <m/>
    <m/>
    <m/>
    <n v="0"/>
    <n v="240"/>
    <n v="-240"/>
  </r>
  <r>
    <s v="1-01-02-02-043"/>
    <s v="1-01-02-02-043-RECEIVABLE FROM PERVEZ AHMEDFNV"/>
    <x v="0"/>
    <x v="2"/>
    <x v="2"/>
    <s v="FNV"/>
    <n v="80"/>
    <n v="0"/>
    <n v="0"/>
    <n v="0"/>
    <n v="80"/>
    <n v="0"/>
    <m/>
    <m/>
    <m/>
    <n v="80"/>
    <n v="0"/>
    <n v="80"/>
  </r>
  <r>
    <s v="1-01-02-02-044"/>
    <s v="1-01-02-02-044-REC / PAY WITH HBSDeezire"/>
    <x v="1"/>
    <x v="1"/>
    <x v="1"/>
    <s v="Deezire"/>
    <n v="250000"/>
    <n v="0"/>
    <n v="0"/>
    <n v="0"/>
    <n v="250000"/>
    <n v="0"/>
    <m/>
    <m/>
    <m/>
    <n v="250000"/>
    <n v="0"/>
    <n v="250000"/>
  </r>
  <r>
    <s v="1-01-02-02-044"/>
    <s v="1-01-02-02-044-REC / PAY WITH HBSPILER"/>
    <x v="1"/>
    <x v="1"/>
    <x v="1"/>
    <s v="PILER"/>
    <n v="0"/>
    <n v="444056"/>
    <n v="0"/>
    <n v="0"/>
    <n v="0"/>
    <n v="444056"/>
    <m/>
    <m/>
    <m/>
    <n v="0"/>
    <n v="444056"/>
    <n v="-444056"/>
  </r>
  <r>
    <s v="1-01-02-02-044"/>
    <s v="1-01-02-02-044-REC / PAY WITH HBSUNICEF-2"/>
    <x v="1"/>
    <x v="1"/>
    <x v="1"/>
    <s v="UNICEF-2"/>
    <n v="0"/>
    <n v="3076"/>
    <n v="0"/>
    <n v="0"/>
    <n v="0"/>
    <n v="3076"/>
    <m/>
    <m/>
    <m/>
    <n v="0"/>
    <n v="3076"/>
    <n v="-3076"/>
  </r>
  <r>
    <s v="1-01-02-02-044"/>
    <s v="1-01-02-02-044-REC / PAY WITH HBSFNV"/>
    <x v="1"/>
    <x v="1"/>
    <x v="1"/>
    <s v="FNV"/>
    <n v="80000"/>
    <n v="0"/>
    <n v="0"/>
    <n v="0"/>
    <n v="80000"/>
    <n v="0"/>
    <m/>
    <m/>
    <m/>
    <n v="80000"/>
    <n v="0"/>
    <n v="80000"/>
  </r>
  <r>
    <s v="1-01-02-02-047"/>
    <s v="1-01-02-02-047-RECEIVABLE FROM GHULAM ASGHARTAF"/>
    <x v="0"/>
    <x v="2"/>
    <x v="2"/>
    <s v="TAF"/>
    <n v="50"/>
    <n v="0"/>
    <n v="0"/>
    <n v="0"/>
    <n v="50"/>
    <n v="0"/>
    <m/>
    <m/>
    <m/>
    <n v="50"/>
    <n v="0"/>
    <n v="50"/>
  </r>
  <r>
    <s v="1-01-02-02-048"/>
    <s v="1-01-02-02-048-RECEIVABLE FROM MAHER ALITAF"/>
    <x v="0"/>
    <x v="2"/>
    <x v="2"/>
    <s v="TAF"/>
    <n v="50"/>
    <n v="0"/>
    <n v="0"/>
    <n v="0"/>
    <n v="50"/>
    <n v="0"/>
    <m/>
    <m/>
    <m/>
    <n v="50"/>
    <n v="0"/>
    <n v="50"/>
  </r>
  <r>
    <s v="1-01-02-02-049"/>
    <s v="1-01-02-02-049-REC / PAY WITH TSWWDeezire"/>
    <x v="1"/>
    <x v="1"/>
    <x v="1"/>
    <s v="Deezire"/>
    <n v="0"/>
    <n v="210640"/>
    <n v="0"/>
    <n v="0"/>
    <n v="0"/>
    <n v="210640"/>
    <m/>
    <m/>
    <m/>
    <n v="0"/>
    <n v="210640"/>
    <n v="-210640"/>
  </r>
  <r>
    <s v="1-01-02-02-049"/>
    <s v="1-01-02-02-049-REC / PAY WITH TSWWPILER"/>
    <x v="1"/>
    <x v="1"/>
    <x v="1"/>
    <s v="PILER"/>
    <n v="0"/>
    <n v="184347"/>
    <n v="0"/>
    <n v="0"/>
    <n v="0"/>
    <n v="184347"/>
    <m/>
    <m/>
    <m/>
    <n v="0"/>
    <n v="184347"/>
    <n v="-184347"/>
  </r>
  <r>
    <s v="1-01-02-02-050"/>
    <s v="1-01-02-02-050-RECEIVABLE FROM SHAKEEL AHMEDTrocaire"/>
    <x v="0"/>
    <x v="2"/>
    <x v="2"/>
    <s v="Trocaire"/>
    <n v="50"/>
    <n v="0"/>
    <n v="0"/>
    <n v="0"/>
    <n v="50"/>
    <n v="0"/>
    <m/>
    <m/>
    <m/>
    <n v="50"/>
    <n v="0"/>
    <n v="50"/>
  </r>
  <r>
    <s v="1-01-02-02-051"/>
    <s v="1-01-02-02-051-RECEIVABLE FROM SHAZAD ALI SHATrocaire"/>
    <x v="0"/>
    <x v="2"/>
    <x v="2"/>
    <s v="Trocaire"/>
    <n v="50"/>
    <n v="0"/>
    <n v="0"/>
    <n v="0"/>
    <n v="50"/>
    <n v="0"/>
    <m/>
    <m/>
    <m/>
    <n v="50"/>
    <n v="0"/>
    <n v="50"/>
  </r>
  <r>
    <s v="1-01-02-02-052"/>
    <s v="1-01-02-02-052-RECEIVABLE FROM FARHANTrocaire"/>
    <x v="0"/>
    <x v="2"/>
    <x v="2"/>
    <s v="Trocaire"/>
    <n v="50"/>
    <n v="0"/>
    <n v="0"/>
    <n v="0"/>
    <n v="50"/>
    <n v="0"/>
    <m/>
    <m/>
    <m/>
    <n v="50"/>
    <n v="0"/>
    <n v="50"/>
  </r>
  <r>
    <s v="1-01-02-02-053"/>
    <s v="1-01-02-02-053-RECEIVABLE FROM ABBAS HAIDERDeezire"/>
    <x v="0"/>
    <x v="2"/>
    <x v="2"/>
    <s v="Deezire"/>
    <n v="0"/>
    <n v="240"/>
    <n v="0"/>
    <n v="0"/>
    <n v="0"/>
    <n v="240"/>
    <m/>
    <m/>
    <m/>
    <n v="0"/>
    <n v="240"/>
    <n v="-240"/>
  </r>
  <r>
    <s v="1-01-02-02-053"/>
    <s v="1-01-02-02-053-RECEIVABLE FROM ABBAS HAIDERPILER"/>
    <x v="0"/>
    <x v="2"/>
    <x v="2"/>
    <s v="PILER"/>
    <n v="84"/>
    <n v="0"/>
    <n v="0"/>
    <n v="0"/>
    <n v="84"/>
    <n v="0"/>
    <m/>
    <m/>
    <m/>
    <n v="84"/>
    <n v="0"/>
    <n v="84"/>
  </r>
  <r>
    <s v="1-01-02-02-053"/>
    <s v="1-01-02-02-053-RECEIVABLE FROM ABBAS HAIDERUNICEF-2"/>
    <x v="0"/>
    <x v="2"/>
    <x v="2"/>
    <s v="UNICEF-2"/>
    <n v="50"/>
    <n v="0"/>
    <n v="0"/>
    <n v="0"/>
    <n v="50"/>
    <n v="0"/>
    <m/>
    <m/>
    <m/>
    <n v="50"/>
    <n v="0"/>
    <n v="50"/>
  </r>
  <r>
    <s v="1-01-02-02-054"/>
    <s v="1-01-02-02-054-RECEIVABLE FROM ABIDA SHARAFATUNICEF-2"/>
    <x v="0"/>
    <x v="2"/>
    <x v="2"/>
    <s v="UNICEF-2"/>
    <n v="50"/>
    <n v="0"/>
    <n v="0"/>
    <n v="0"/>
    <n v="50"/>
    <n v="0"/>
    <m/>
    <m/>
    <m/>
    <n v="50"/>
    <n v="0"/>
    <n v="50"/>
  </r>
  <r>
    <s v="1-01-02-02-055"/>
    <s v="1-01-02-02-055-RECEIVABLE FROM MIR MULADADUNICEF-2"/>
    <x v="0"/>
    <x v="2"/>
    <x v="2"/>
    <s v="UNICEF-2"/>
    <n v="50"/>
    <n v="0"/>
    <n v="0"/>
    <n v="0"/>
    <n v="50"/>
    <n v="0"/>
    <m/>
    <m/>
    <m/>
    <n v="50"/>
    <n v="0"/>
    <n v="50"/>
  </r>
  <r>
    <s v="1-01-02-02-056"/>
    <s v="1-01-02-02-056-RECEIVABLE FROM SANA RUBABUNICEF-2"/>
    <x v="0"/>
    <x v="2"/>
    <x v="2"/>
    <s v="UNICEF-2"/>
    <n v="50"/>
    <n v="0"/>
    <n v="0"/>
    <n v="0"/>
    <n v="50"/>
    <n v="0"/>
    <m/>
    <m/>
    <m/>
    <n v="50"/>
    <n v="0"/>
    <n v="50"/>
  </r>
  <r>
    <s v="1-01-02-02-057"/>
    <s v="1-01-02-02-057-REC / PAY WOWPILER"/>
    <x v="1"/>
    <x v="1"/>
    <x v="1"/>
    <s v="PILER"/>
    <n v="65268"/>
    <n v="0"/>
    <n v="0"/>
    <n v="0"/>
    <n v="65268"/>
    <n v="0"/>
    <m/>
    <m/>
    <m/>
    <n v="65268"/>
    <n v="0"/>
    <n v="65268"/>
  </r>
  <r>
    <s v="1-01-02-02-058"/>
    <s v="1-01-02-02-058-REC / PAY DSTPILER"/>
    <x v="1"/>
    <x v="1"/>
    <x v="1"/>
    <s v="PILER"/>
    <n v="124685"/>
    <n v="0"/>
    <n v="0"/>
    <n v="0"/>
    <n v="124685"/>
    <n v="0"/>
    <m/>
    <m/>
    <m/>
    <n v="124685"/>
    <n v="0"/>
    <n v="124685"/>
  </r>
  <r>
    <s v="1-01-02-02-059"/>
    <s v="1-01-02-02-059-REC / PAY WITH DAITrocaire"/>
    <x v="1"/>
    <x v="1"/>
    <x v="1"/>
    <s v="Trocaire"/>
    <n v="2100"/>
    <n v="0"/>
    <n v="0"/>
    <n v="0"/>
    <n v="2100"/>
    <n v="0"/>
    <m/>
    <m/>
    <m/>
    <n v="2100"/>
    <n v="0"/>
    <n v="2100"/>
  </r>
  <r>
    <s v="1-01-02-02-059"/>
    <s v="1-01-02-02-059-REC / PAY WITH DAIPILER"/>
    <x v="1"/>
    <x v="1"/>
    <x v="1"/>
    <s v="PILER"/>
    <n v="0"/>
    <n v="3956485"/>
    <n v="0"/>
    <n v="0"/>
    <n v="0"/>
    <n v="3956485"/>
    <m/>
    <m/>
    <m/>
    <n v="0"/>
    <n v="3956485"/>
    <n v="-3956485"/>
  </r>
  <r>
    <s v="1-01-02-02-059"/>
    <s v="1-01-02-02-059-REC / PAY WITH DAIUNICEF-3"/>
    <x v="1"/>
    <x v="1"/>
    <x v="1"/>
    <s v="UNICEF-3"/>
    <n v="0"/>
    <n v="978666"/>
    <n v="0"/>
    <n v="0"/>
    <n v="0"/>
    <n v="978666"/>
    <m/>
    <m/>
    <m/>
    <n v="0"/>
    <n v="978666"/>
    <n v="-978666"/>
  </r>
  <r>
    <s v="1-01-02-02-060"/>
    <s v="1-01-02-02-060-REC / PAY UNICEFTrocaire"/>
    <x v="1"/>
    <x v="1"/>
    <x v="1"/>
    <s v="Trocaire"/>
    <n v="33907"/>
    <n v="0"/>
    <n v="0"/>
    <n v="0"/>
    <n v="33907"/>
    <n v="0"/>
    <m/>
    <m/>
    <m/>
    <n v="33907"/>
    <n v="0"/>
    <n v="33907"/>
  </r>
  <r>
    <s v="1-01-02-02-060"/>
    <s v="1-01-02-02-060-REC / PAY UNICEFDeezire"/>
    <x v="1"/>
    <x v="1"/>
    <x v="1"/>
    <s v="Deezire"/>
    <n v="0"/>
    <n v="321121"/>
    <n v="0"/>
    <n v="0"/>
    <n v="0"/>
    <n v="321121"/>
    <m/>
    <m/>
    <m/>
    <n v="0"/>
    <n v="321121"/>
    <n v="-321121"/>
  </r>
  <r>
    <s v="1-01-02-02-060"/>
    <s v="1-01-02-02-060-REC / PAY UNICEFPILER"/>
    <x v="1"/>
    <x v="1"/>
    <x v="1"/>
    <s v="PILER"/>
    <n v="0"/>
    <n v="893859"/>
    <n v="0"/>
    <n v="0"/>
    <n v="0"/>
    <n v="893859"/>
    <m/>
    <m/>
    <m/>
    <n v="0"/>
    <n v="893859"/>
    <n v="-893859"/>
  </r>
  <r>
    <s v="1-01-02-02-060"/>
    <s v="1-01-02-02-060-REC / PAY UNICEFTAF"/>
    <x v="1"/>
    <x v="1"/>
    <x v="1"/>
    <s v="TAF"/>
    <n v="20000"/>
    <n v="0"/>
    <n v="0"/>
    <n v="0"/>
    <n v="20000"/>
    <n v="0"/>
    <m/>
    <m/>
    <m/>
    <n v="20000"/>
    <n v="0"/>
    <n v="20000"/>
  </r>
  <r>
    <s v="1-01-02-02-060"/>
    <s v="1-01-02-02-060-REC / PAY UNICEFshort projects"/>
    <x v="1"/>
    <x v="1"/>
    <x v="1"/>
    <s v="short projects"/>
    <n v="978666"/>
    <n v="0"/>
    <n v="0"/>
    <n v="0"/>
    <n v="978666"/>
    <n v="0"/>
    <m/>
    <m/>
    <m/>
    <n v="978666"/>
    <n v="0"/>
    <n v="978666"/>
  </r>
  <r>
    <s v="1-01-02-02-061"/>
    <s v="1-01-02-02-061-REC / PAY ACTIONAIDPILER"/>
    <x v="1"/>
    <x v="1"/>
    <x v="1"/>
    <s v="PILER"/>
    <n v="22000"/>
    <n v="0"/>
    <n v="0"/>
    <n v="0"/>
    <n v="22000"/>
    <n v="0"/>
    <m/>
    <m/>
    <m/>
    <n v="22000"/>
    <n v="0"/>
    <n v="22000"/>
  </r>
  <r>
    <s v="1-01-02-02-063"/>
    <s v="1-01-02-02-063-Rec / Pay with RRCCHRPILER"/>
    <x v="1"/>
    <x v="1"/>
    <x v="1"/>
    <s v="PILER"/>
    <n v="115"/>
    <n v="0"/>
    <n v="0"/>
    <n v="0"/>
    <n v="115"/>
    <n v="0"/>
    <m/>
    <m/>
    <m/>
    <n v="115"/>
    <n v="0"/>
    <n v="115"/>
  </r>
  <r>
    <s v="1-01-02-02-064"/>
    <s v="1-01-02-02-064-REC / Pay with DP World Port QasimPILER"/>
    <x v="1"/>
    <x v="1"/>
    <x v="1"/>
    <s v="PILER"/>
    <n v="15372"/>
    <n v="0"/>
    <n v="0"/>
    <n v="0"/>
    <n v="15372"/>
    <n v="0"/>
    <m/>
    <m/>
    <m/>
    <n v="15372"/>
    <n v="0"/>
    <n v="15372"/>
  </r>
  <r>
    <s v="1-01-02-02-066"/>
    <s v="1-01-02-02-066-Rec / Pay with Open SocietyDeezire"/>
    <x v="1"/>
    <x v="1"/>
    <x v="1"/>
    <s v="Deezire"/>
    <n v="61500"/>
    <n v="0"/>
    <n v="0"/>
    <n v="0"/>
    <n v="61500"/>
    <n v="0"/>
    <m/>
    <m/>
    <m/>
    <n v="61500"/>
    <n v="0"/>
    <n v="61500"/>
  </r>
  <r>
    <s v="1-01-02-02-066"/>
    <s v="1-01-02-02-066-Rec / Pay with Open SocietyPILER"/>
    <x v="1"/>
    <x v="1"/>
    <x v="1"/>
    <s v="PILER"/>
    <n v="0"/>
    <n v="0"/>
    <n v="426613"/>
    <n v="2148364"/>
    <n v="0"/>
    <n v="1721751"/>
    <m/>
    <m/>
    <m/>
    <n v="0"/>
    <n v="1721751"/>
    <n v="-1721751"/>
  </r>
  <r>
    <s v="1-01-02-02-066"/>
    <s v="1-01-02-02-066-Rec / Pay with Open SocietyETI"/>
    <x v="1"/>
    <x v="1"/>
    <x v="1"/>
    <s v="ETI"/>
    <n v="0"/>
    <n v="0"/>
    <n v="0"/>
    <n v="129296"/>
    <n v="0"/>
    <n v="129296"/>
    <m/>
    <m/>
    <m/>
    <n v="0"/>
    <n v="129296"/>
    <n v="-129296"/>
  </r>
  <r>
    <s v="1-01-02-02-066"/>
    <s v="1-01-02-02-066-Rec / Pay with Open SocietyFNV"/>
    <x v="1"/>
    <x v="1"/>
    <x v="1"/>
    <s v="FNV"/>
    <n v="0"/>
    <n v="111000"/>
    <n v="0"/>
    <n v="0"/>
    <n v="0"/>
    <n v="111000"/>
    <m/>
    <m/>
    <m/>
    <n v="0"/>
    <n v="111000"/>
    <n v="-111000"/>
  </r>
  <r>
    <s v="1-01-02-02-067"/>
    <s v="1-01-02-02-067-Rec / Pay with ETIPILER"/>
    <x v="1"/>
    <x v="1"/>
    <x v="1"/>
    <s v="PILER"/>
    <n v="100"/>
    <n v="0"/>
    <n v="903835"/>
    <n v="2155906"/>
    <n v="0"/>
    <n v="1251971"/>
    <m/>
    <m/>
    <m/>
    <n v="0"/>
    <n v="1251971"/>
    <n v="-1251971"/>
  </r>
  <r>
    <s v="1-01-02-02-068"/>
    <s v="1-01-02-02-068-Rec / Pay with Network CCC South AsiaPILER"/>
    <x v="1"/>
    <x v="1"/>
    <x v="1"/>
    <s v="PILER"/>
    <n v="427177"/>
    <n v="0"/>
    <n v="0"/>
    <n v="0"/>
    <n v="427177"/>
    <n v="0"/>
    <m/>
    <m/>
    <m/>
    <n v="427177"/>
    <n v="0"/>
    <n v="427177"/>
  </r>
  <r>
    <s v="1-01-02-02-068"/>
    <s v="1-01-02-02-068-Rec / Pay with Network CCC South AsiaFNV"/>
    <x v="1"/>
    <x v="1"/>
    <x v="1"/>
    <s v="FNV"/>
    <n v="23519"/>
    <n v="0"/>
    <n v="0"/>
    <n v="0"/>
    <n v="23519"/>
    <n v="0"/>
    <m/>
    <m/>
    <m/>
    <n v="23519"/>
    <n v="0"/>
    <n v="23519"/>
  </r>
  <r>
    <s v="1-01-02-02-069"/>
    <s v="1-01-02-02-069-Rec / pay with FOSIPILER"/>
    <x v="1"/>
    <x v="1"/>
    <x v="1"/>
    <s v="PILER"/>
    <n v="35108"/>
    <n v="0"/>
    <n v="0"/>
    <n v="0"/>
    <n v="35108"/>
    <n v="0"/>
    <m/>
    <m/>
    <m/>
    <n v="35108"/>
    <n v="0"/>
    <n v="35108"/>
  </r>
  <r>
    <s v="1-01-02-02-070"/>
    <s v="1-01-02-02-070-Rec / Pay with IBPPILER"/>
    <x v="1"/>
    <x v="1"/>
    <x v="1"/>
    <s v="PILER"/>
    <n v="28375"/>
    <n v="0"/>
    <n v="0"/>
    <n v="0"/>
    <n v="28375"/>
    <n v="0"/>
    <m/>
    <m/>
    <m/>
    <n v="28375"/>
    <n v="0"/>
    <n v="28375"/>
  </r>
  <r>
    <s v="1-01-02-02-071"/>
    <s v="1-01-02-02-071-Rec / Pay with FNVDeezire"/>
    <x v="1"/>
    <x v="1"/>
    <x v="1"/>
    <s v="Deezire"/>
    <n v="50000"/>
    <n v="0"/>
    <n v="0"/>
    <n v="0"/>
    <n v="50000"/>
    <n v="0"/>
    <m/>
    <m/>
    <m/>
    <n v="50000"/>
    <n v="0"/>
    <n v="50000"/>
  </r>
  <r>
    <s v="1-01-02-02-071"/>
    <s v="1-01-02-02-071-Rec / Pay with FNVPILER"/>
    <x v="1"/>
    <x v="1"/>
    <x v="1"/>
    <s v="PILER"/>
    <n v="0"/>
    <n v="351314"/>
    <n v="0"/>
    <n v="0"/>
    <n v="0"/>
    <n v="351314"/>
    <m/>
    <m/>
    <m/>
    <n v="0"/>
    <n v="351314"/>
    <n v="-351314"/>
  </r>
  <r>
    <s v="1-01-02-02-071"/>
    <s v="1-01-02-02-071-Rec / Pay with FNVshort projects"/>
    <x v="1"/>
    <x v="1"/>
    <x v="1"/>
    <s v="short projects"/>
    <n v="0"/>
    <n v="103519"/>
    <n v="0"/>
    <n v="0"/>
    <n v="0"/>
    <n v="103519"/>
    <m/>
    <m/>
    <m/>
    <n v="0"/>
    <n v="103519"/>
    <n v="-103519"/>
  </r>
  <r>
    <s v="1-01-02-02-071"/>
    <s v="1-01-02-02-071-Rec / Pay with FNVOpen Society"/>
    <x v="1"/>
    <x v="1"/>
    <x v="1"/>
    <s v="Open Society"/>
    <n v="111000"/>
    <n v="0"/>
    <n v="0"/>
    <n v="0"/>
    <n v="111000"/>
    <n v="0"/>
    <m/>
    <m/>
    <m/>
    <n v="111000"/>
    <n v="0"/>
    <n v="111000"/>
  </r>
  <r>
    <s v="1-01-02-02-072"/>
    <s v="1-01-02-02-072-REC / PAY WITH DAI KCD015PILER"/>
    <x v="1"/>
    <x v="1"/>
    <x v="1"/>
    <s v="PILER"/>
    <n v="0"/>
    <n v="1330525"/>
    <n v="101126"/>
    <n v="1447677"/>
    <n v="0"/>
    <n v="2677076"/>
    <m/>
    <n v="14468"/>
    <m/>
    <n v="14468"/>
    <n v="2677076"/>
    <n v="-2662608"/>
  </r>
  <r>
    <s v="1-01-02-02-073"/>
    <s v="1-01-02-02-073-REC / PAY WITH DAI KCD031PILER"/>
    <x v="1"/>
    <x v="1"/>
    <x v="1"/>
    <s v="PILER"/>
    <n v="0"/>
    <n v="913998"/>
    <n v="0"/>
    <n v="0"/>
    <n v="0"/>
    <n v="913998"/>
    <m/>
    <m/>
    <m/>
    <n v="0"/>
    <n v="913998"/>
    <n v="-913998"/>
  </r>
  <r>
    <s v="1-01-02-02-074"/>
    <s v="1-01-02-02-074-Rec / Pay With CCCPILER"/>
    <x v="1"/>
    <x v="1"/>
    <x v="1"/>
    <s v="PILER"/>
    <n v="1039718"/>
    <n v="0"/>
    <n v="112616"/>
    <n v="1469243"/>
    <n v="0"/>
    <n v="316909"/>
    <m/>
    <m/>
    <m/>
    <n v="0"/>
    <n v="316909"/>
    <n v="-316909"/>
  </r>
  <r>
    <s v="1-01-02-02-074"/>
    <s v="1-01-02-02-074-Rec / Pay With CCCETI"/>
    <x v="1"/>
    <x v="1"/>
    <x v="1"/>
    <s v="ETI"/>
    <n v="0"/>
    <n v="0"/>
    <n v="0"/>
    <n v="308260"/>
    <n v="0"/>
    <n v="308260"/>
    <m/>
    <m/>
    <m/>
    <n v="0"/>
    <n v="308260"/>
    <n v="-308260"/>
  </r>
  <r>
    <s v="1-01-02-02-075"/>
    <s v="1-01-02-02-075-Rec / Pay with ETI-DFIDPILER"/>
    <x v="1"/>
    <x v="1"/>
    <x v="1"/>
    <s v="PILER"/>
    <n v="0"/>
    <n v="0"/>
    <n v="3220152"/>
    <n v="1625005"/>
    <n v="1595147"/>
    <n v="0"/>
    <m/>
    <m/>
    <m/>
    <n v="1595147"/>
    <n v="0"/>
    <n v="1595147"/>
  </r>
  <r>
    <s v="1-01-02-02-075"/>
    <s v="1-01-02-02-075-Rec / Pay with ETI-DFIDshort projects"/>
    <x v="1"/>
    <x v="1"/>
    <x v="1"/>
    <s v="short projects"/>
    <n v="0"/>
    <n v="0"/>
    <n v="308260"/>
    <n v="0"/>
    <n v="308260"/>
    <n v="0"/>
    <m/>
    <m/>
    <m/>
    <n v="308260"/>
    <n v="0"/>
    <n v="308260"/>
  </r>
  <r>
    <s v="1-01-02-02-075"/>
    <s v="1-01-02-02-075-Rec / Pay with ETI-DFIDOpen Society"/>
    <x v="1"/>
    <x v="1"/>
    <x v="1"/>
    <s v="Open Society"/>
    <n v="0"/>
    <n v="0"/>
    <n v="129296"/>
    <n v="2000000"/>
    <n v="0"/>
    <n v="1870704"/>
    <m/>
    <m/>
    <m/>
    <n v="0"/>
    <n v="1870704"/>
    <n v="-1870704"/>
  </r>
  <r>
    <s v="1-01-02-02-076"/>
    <s v="1-01-02-02-076-Rec / Pay with AVAAZPILER"/>
    <x v="1"/>
    <x v="1"/>
    <x v="1"/>
    <s v="PILER"/>
    <n v="0"/>
    <n v="0"/>
    <n v="0"/>
    <n v="750000"/>
    <n v="0"/>
    <n v="750000"/>
    <m/>
    <m/>
    <m/>
    <n v="0"/>
    <n v="750000"/>
    <n v="-750000"/>
  </r>
  <r>
    <s v="1-01-02-02-077"/>
    <s v="1-01-02-02-077-Rec / Pay National Labour CouncilPILER"/>
    <x v="1"/>
    <x v="1"/>
    <x v="1"/>
    <s v="PILER"/>
    <n v="0"/>
    <n v="0"/>
    <n v="300000"/>
    <n v="300000"/>
    <n v="0"/>
    <n v="0"/>
    <m/>
    <m/>
    <m/>
    <n v="0"/>
    <n v="0"/>
    <n v="0"/>
  </r>
  <r>
    <s v="1-01-02-02-078"/>
    <s v="1-01-02-02-078-Rec / Pay with Covid-19 ReliefPILER"/>
    <x v="1"/>
    <x v="1"/>
    <x v="1"/>
    <s v="PILER"/>
    <n v="0"/>
    <n v="0"/>
    <n v="946235"/>
    <n v="2739124"/>
    <m/>
    <n v="1792889"/>
    <m/>
    <m/>
    <m/>
    <n v="0"/>
    <n v="1792889"/>
    <n v="-1792889"/>
  </r>
  <r>
    <s v="1-01-02-02-078"/>
    <s v="1-01-02-02-078-Rec / Pay with Covid-19 ReliefETI"/>
    <x v="1"/>
    <x v="1"/>
    <x v="1"/>
    <s v="ETI"/>
    <n v="0"/>
    <n v="0"/>
    <n v="2000000"/>
    <n v="0"/>
    <n v="2000000"/>
    <n v="0"/>
    <m/>
    <m/>
    <m/>
    <n v="2000000"/>
    <n v="0"/>
    <n v="2000000"/>
  </r>
  <r>
    <s v="1-01-02-03-001"/>
    <s v="1-01-02-03-001-ADVANCE TO SHUJAUDDINOpen Society"/>
    <x v="0"/>
    <x v="2"/>
    <x v="5"/>
    <s v="Open Society"/>
    <n v="25000"/>
    <n v="0"/>
    <n v="50000"/>
    <n v="75000"/>
    <n v="0"/>
    <n v="0"/>
    <m/>
    <m/>
    <m/>
    <n v="0"/>
    <n v="0"/>
    <n v="0"/>
  </r>
  <r>
    <s v="1-01-02-03-003"/>
    <s v="1-01-02-03-003-ADVANCE TO GOHAR ALIPILER"/>
    <x v="0"/>
    <x v="2"/>
    <x v="5"/>
    <s v="PILER"/>
    <n v="2450"/>
    <n v="0"/>
    <n v="0"/>
    <n v="0"/>
    <n v="2450"/>
    <n v="0"/>
    <m/>
    <m/>
    <m/>
    <n v="2450"/>
    <n v="0"/>
    <n v="2450"/>
  </r>
  <r>
    <s v="1-01-02-03-003"/>
    <s v="1-01-02-03-003-ADVANCE TO GOHAR ALITDH"/>
    <x v="0"/>
    <x v="2"/>
    <x v="5"/>
    <s v="TDH"/>
    <n v="0"/>
    <n v="2450"/>
    <n v="0"/>
    <n v="0"/>
    <n v="0"/>
    <n v="2450"/>
    <m/>
    <m/>
    <m/>
    <n v="0"/>
    <n v="2450"/>
    <n v="-2450"/>
  </r>
  <r>
    <s v="1-01-02-03-008"/>
    <s v="1-01-02-03-008-ADVANCE TO KHADIM HUSSAINPILER"/>
    <x v="0"/>
    <x v="2"/>
    <x v="5"/>
    <s v="PILER"/>
    <n v="0"/>
    <n v="0"/>
    <n v="391325"/>
    <n v="371322"/>
    <n v="20003"/>
    <n v="0"/>
    <m/>
    <m/>
    <m/>
    <n v="20003"/>
    <n v="0"/>
    <n v="20003"/>
  </r>
  <r>
    <s v="1-01-02-03-008"/>
    <s v="1-01-02-03-008-ADVANCE TO KHADIM HUSSAINICCO"/>
    <x v="0"/>
    <x v="2"/>
    <x v="5"/>
    <s v="ICCO"/>
    <n v="50200"/>
    <n v="0"/>
    <n v="0"/>
    <n v="0"/>
    <n v="50200"/>
    <n v="0"/>
    <m/>
    <m/>
    <m/>
    <n v="50200"/>
    <n v="0"/>
    <n v="50200"/>
  </r>
  <r>
    <s v="1-01-02-03-008"/>
    <s v="1-01-02-03-008-ADVANCE TO KHADIM HUSSAINshort projects"/>
    <x v="0"/>
    <x v="2"/>
    <x v="5"/>
    <s v="short projects"/>
    <n v="90865"/>
    <n v="0"/>
    <n v="235500"/>
    <n v="235500"/>
    <n v="90865"/>
    <n v="0"/>
    <m/>
    <m/>
    <m/>
    <n v="90865"/>
    <n v="0"/>
    <n v="90865"/>
  </r>
  <r>
    <s v="1-01-02-03-008"/>
    <s v="1-01-02-03-008-ADVANCE TO KHADIM HUSSAINETI"/>
    <x v="0"/>
    <x v="2"/>
    <x v="5"/>
    <s v="ETI"/>
    <n v="0"/>
    <n v="0"/>
    <n v="70000"/>
    <n v="70000"/>
    <n v="0"/>
    <n v="0"/>
    <m/>
    <m/>
    <m/>
    <n v="0"/>
    <n v="0"/>
    <n v="0"/>
  </r>
  <r>
    <s v="1-01-02-03-011"/>
    <s v="1-01-02-03-011-ADVANCE TO ZULFIQAR SHAH - JDPILER"/>
    <x v="0"/>
    <x v="2"/>
    <x v="5"/>
    <s v="PILER"/>
    <n v="0"/>
    <n v="0"/>
    <n v="78100"/>
    <n v="78100"/>
    <n v="0"/>
    <n v="0"/>
    <m/>
    <m/>
    <m/>
    <n v="0"/>
    <n v="0"/>
    <n v="0"/>
  </r>
  <r>
    <s v="1-01-02-03-011"/>
    <s v="1-01-02-03-011-ADVANCE TO ZULFIQAR SHAH - JDOpen Society"/>
    <x v="0"/>
    <x v="2"/>
    <x v="5"/>
    <s v="Open Society"/>
    <n v="0"/>
    <n v="0"/>
    <n v="150000"/>
    <n v="150000"/>
    <n v="0"/>
    <n v="0"/>
    <m/>
    <m/>
    <m/>
    <n v="0"/>
    <n v="0"/>
    <n v="0"/>
  </r>
  <r>
    <s v="1-01-02-03-013"/>
    <s v="1-01-02-03-013-ADVANCE TO KARAMAT ALIPILER"/>
    <x v="0"/>
    <x v="2"/>
    <x v="5"/>
    <s v="PILER"/>
    <n v="188375"/>
    <n v="0"/>
    <n v="0"/>
    <n v="188375"/>
    <n v="0"/>
    <n v="0"/>
    <m/>
    <m/>
    <m/>
    <n v="0"/>
    <n v="0"/>
    <n v="0"/>
  </r>
  <r>
    <s v="1-01-02-03-015"/>
    <s v="1-01-02-03-015-ADVANCE TO PERVEZPILER"/>
    <x v="0"/>
    <x v="2"/>
    <x v="5"/>
    <s v="PILER"/>
    <n v="0"/>
    <n v="0"/>
    <n v="912500"/>
    <n v="826000"/>
    <n v="86500"/>
    <n v="0"/>
    <m/>
    <n v="26000"/>
    <n v="32500"/>
    <n v="112500"/>
    <n v="32500"/>
    <n v="80000"/>
  </r>
  <r>
    <s v="1-01-02-03-015"/>
    <s v="1-01-02-03-015-ADVANCE TO PERVEZshort projects"/>
    <x v="0"/>
    <x v="2"/>
    <x v="5"/>
    <s v="short projects"/>
    <n v="0"/>
    <n v="0"/>
    <n v="300000"/>
    <n v="300000"/>
    <n v="0"/>
    <n v="0"/>
    <m/>
    <m/>
    <n v="80000"/>
    <n v="0"/>
    <n v="80000"/>
    <n v="-80000"/>
  </r>
  <r>
    <s v="1-01-02-03-015"/>
    <s v="1-01-02-03-015-ADVANCE TO PERVEZRRCCHR"/>
    <x v="0"/>
    <x v="2"/>
    <x v="5"/>
    <s v="RRCCHR"/>
    <n v="0"/>
    <n v="0"/>
    <n v="15000"/>
    <n v="0"/>
    <n v="15000"/>
    <n v="0"/>
    <m/>
    <m/>
    <m/>
    <n v="15000"/>
    <n v="0"/>
    <n v="15000"/>
  </r>
  <r>
    <s v="1-01-02-03-017"/>
    <s v="1-01-02-03-017-ADVANCE TO DANISH SIDDIQUIshort projects"/>
    <x v="0"/>
    <x v="2"/>
    <x v="5"/>
    <s v="short projects"/>
    <n v="50000"/>
    <n v="0"/>
    <n v="25000"/>
    <n v="75000"/>
    <n v="0"/>
    <n v="0"/>
    <m/>
    <m/>
    <m/>
    <n v="0"/>
    <n v="0"/>
    <n v="0"/>
  </r>
  <r>
    <s v="1-01-02-03-017"/>
    <s v="1-01-02-03-017-ADVANCE TO DANISH SIDDIQUIOpen Society"/>
    <x v="0"/>
    <x v="2"/>
    <x v="5"/>
    <s v="Open Society"/>
    <n v="0"/>
    <n v="0"/>
    <n v="440000"/>
    <n v="440000"/>
    <n v="0"/>
    <n v="0"/>
    <m/>
    <m/>
    <m/>
    <n v="0"/>
    <n v="0"/>
    <n v="0"/>
  </r>
  <r>
    <s v="1-01-02-03-017"/>
    <s v="1-01-02-03-017-ADVANCE TO DANISH SIDDIQUIETI"/>
    <x v="0"/>
    <x v="2"/>
    <x v="5"/>
    <s v="ETI"/>
    <n v="0"/>
    <n v="0"/>
    <n v="200000"/>
    <n v="200000"/>
    <n v="0"/>
    <n v="0"/>
    <m/>
    <m/>
    <m/>
    <n v="0"/>
    <n v="0"/>
    <n v="0"/>
  </r>
  <r>
    <s v="1-01-02-03-017"/>
    <s v="1-01-02-03-017-ADVANCE TO DANISH SIDDIQUIDAI"/>
    <x v="0"/>
    <x v="2"/>
    <x v="5"/>
    <s v="DAI"/>
    <n v="70000"/>
    <n v="0"/>
    <n v="0"/>
    <n v="70000"/>
    <n v="0"/>
    <n v="0"/>
    <m/>
    <m/>
    <m/>
    <n v="0"/>
    <n v="0"/>
    <n v="0"/>
  </r>
  <r>
    <s v="1-01-02-03-020"/>
    <s v="1-01-02-03-020-ADVANCE TO ABBAS HAIDERPILER"/>
    <x v="0"/>
    <x v="2"/>
    <x v="5"/>
    <s v="PILER"/>
    <n v="28900"/>
    <n v="0"/>
    <n v="29500"/>
    <n v="0"/>
    <n v="58400"/>
    <n v="0"/>
    <m/>
    <m/>
    <m/>
    <n v="58400"/>
    <n v="0"/>
    <n v="58400"/>
  </r>
  <r>
    <s v="1-01-02-03-020"/>
    <s v="1-01-02-03-020-ADVANCE TO ABBAS HAIDERRRCCHR"/>
    <x v="0"/>
    <x v="2"/>
    <x v="5"/>
    <s v="RRCCHR"/>
    <n v="4000"/>
    <n v="0"/>
    <n v="0"/>
    <n v="0"/>
    <n v="4000"/>
    <n v="0"/>
    <m/>
    <m/>
    <m/>
    <n v="4000"/>
    <n v="0"/>
    <n v="4000"/>
  </r>
  <r>
    <s v="1-01-02-03-033"/>
    <s v="1-01-02-03-033-ADVANCE TO ZEENIA SHOUKATETI"/>
    <x v="0"/>
    <x v="2"/>
    <x v="5"/>
    <s v="ETI"/>
    <n v="0"/>
    <n v="0"/>
    <n v="100000"/>
    <n v="100000"/>
    <n v="0"/>
    <n v="0"/>
    <m/>
    <m/>
    <m/>
    <n v="0"/>
    <n v="0"/>
    <n v="0"/>
  </r>
  <r>
    <s v="1-01-02-03-040"/>
    <s v="1-01-02-03-040-ADVANCE TO ZEENAT UN NISAOpen Society"/>
    <x v="0"/>
    <x v="2"/>
    <x v="5"/>
    <s v="Open Society"/>
    <n v="0"/>
    <n v="0"/>
    <n v="150000"/>
    <n v="150000"/>
    <n v="0"/>
    <n v="0"/>
    <m/>
    <m/>
    <m/>
    <n v="0"/>
    <n v="0"/>
    <n v="0"/>
  </r>
  <r>
    <s v="1-01-02-03-041"/>
    <s v="1-01-02-03-041-ADVANCE TO M.RAFIQUETDH &amp; MI"/>
    <x v="0"/>
    <x v="2"/>
    <x v="5"/>
    <s v="TDH &amp; MI"/>
    <n v="0"/>
    <n v="5050"/>
    <n v="0"/>
    <n v="0"/>
    <n v="0"/>
    <n v="5050"/>
    <m/>
    <m/>
    <m/>
    <n v="0"/>
    <n v="5050"/>
    <n v="-5050"/>
  </r>
  <r>
    <s v="1-01-02-03-087"/>
    <s v="1-01-02-03-087-ADVANCE TO LAHORE REGENCY PVTOpen Society"/>
    <x v="0"/>
    <x v="2"/>
    <x v="5"/>
    <s v="Open Society"/>
    <n v="8000"/>
    <n v="0"/>
    <n v="0"/>
    <n v="0"/>
    <n v="8000"/>
    <n v="0"/>
    <m/>
    <m/>
    <m/>
    <n v="8000"/>
    <n v="0"/>
    <n v="8000"/>
  </r>
  <r>
    <s v="1-01-02-03-116"/>
    <s v="1-01-02-03-116-Advance to Zameer AwanETI"/>
    <x v="0"/>
    <x v="2"/>
    <x v="5"/>
    <s v="ETI"/>
    <n v="0"/>
    <n v="0"/>
    <n v="40000"/>
    <n v="40000"/>
    <n v="0"/>
    <n v="0"/>
    <m/>
    <m/>
    <m/>
    <n v="0"/>
    <n v="0"/>
    <n v="0"/>
  </r>
  <r>
    <s v="1-01-02-04-001"/>
    <s v="1-01-02-04-001-ADVANCE AGAINST SALARIESPILER"/>
    <x v="0"/>
    <x v="2"/>
    <x v="6"/>
    <s v="PILER"/>
    <n v="37000"/>
    <n v="0"/>
    <n v="236583"/>
    <n v="235862"/>
    <n v="37721"/>
    <n v="0"/>
    <m/>
    <m/>
    <m/>
    <n v="37721"/>
    <n v="0"/>
    <n v="37721"/>
  </r>
  <r>
    <s v="1-01-02-04-001"/>
    <s v="1-01-02-04-001-ADVANCE AGAINST SALARIESDAI"/>
    <x v="0"/>
    <x v="2"/>
    <x v="6"/>
    <s v="DAI"/>
    <n v="25000"/>
    <n v="0"/>
    <n v="0"/>
    <n v="0"/>
    <n v="25000"/>
    <n v="0"/>
    <m/>
    <m/>
    <n v="15000"/>
    <n v="25000"/>
    <n v="15000"/>
    <n v="10000"/>
  </r>
  <r>
    <s v="1-01-02-04-002"/>
    <s v="1-01-02-04-002-STAFF LOANPILER"/>
    <x v="0"/>
    <x v="2"/>
    <x v="7"/>
    <s v="PILER"/>
    <n v="118284"/>
    <n v="0"/>
    <n v="0"/>
    <n v="78856"/>
    <n v="39428"/>
    <n v="0"/>
    <m/>
    <m/>
    <m/>
    <n v="39428"/>
    <n v="0"/>
    <n v="39428"/>
  </r>
  <r>
    <s v="1-01-02-05-003"/>
    <s v="1-01-02-05-003-PREPAYMENTSPILER"/>
    <x v="0"/>
    <x v="2"/>
    <x v="8"/>
    <s v="PILER"/>
    <n v="25440"/>
    <n v="0"/>
    <n v="0"/>
    <n v="0"/>
    <n v="25440"/>
    <n v="0"/>
    <m/>
    <m/>
    <m/>
    <n v="25440"/>
    <n v="0"/>
    <n v="25440"/>
  </r>
  <r>
    <s v="1-02-02-01-001"/>
    <s v="1-02-02-01-001-PLOT# ST.001, X-V, PILER CENTRPILER"/>
    <x v="3"/>
    <x v="4"/>
    <x v="9"/>
    <s v="PILER"/>
    <n v="1721000"/>
    <n v="0"/>
    <n v="0"/>
    <n v="0"/>
    <n v="1721000"/>
    <n v="0"/>
    <m/>
    <m/>
    <m/>
    <n v="1721000"/>
    <n v="0"/>
    <n v="1721000"/>
  </r>
  <r>
    <s v="1-02-02-02-001"/>
    <s v="1-02-02-02-001-BUILDING LEASE HOLD LANDPILER"/>
    <x v="3"/>
    <x v="4"/>
    <x v="10"/>
    <s v="PILER"/>
    <n v="22763815"/>
    <n v="0"/>
    <n v="0"/>
    <n v="0"/>
    <n v="22763815"/>
    <n v="0"/>
    <m/>
    <m/>
    <m/>
    <n v="22763815"/>
    <n v="0"/>
    <n v="22763815"/>
  </r>
  <r>
    <s v="1-02-02-02-002"/>
    <s v="1-02-02-02-002-ACCUMULATED DEPRECIATION BUILDPILER"/>
    <x v="3"/>
    <x v="4"/>
    <x v="11"/>
    <s v="PILER"/>
    <n v="0"/>
    <n v="7354968"/>
    <n v="0"/>
    <n v="455276"/>
    <n v="0"/>
    <n v="7810244"/>
    <m/>
    <m/>
    <m/>
    <n v="0"/>
    <n v="7810244"/>
    <n v="-7810244"/>
  </r>
  <r>
    <s v="1-02-02-03-001"/>
    <s v="1-02-02-03-001-GENERATORSPILER"/>
    <x v="3"/>
    <x v="4"/>
    <x v="12"/>
    <s v="PILER"/>
    <n v="1244075"/>
    <n v="0"/>
    <n v="0"/>
    <n v="0"/>
    <n v="1244075"/>
    <n v="0"/>
    <m/>
    <m/>
    <m/>
    <n v="1244075"/>
    <n v="0"/>
    <n v="1244075"/>
  </r>
  <r>
    <s v="1-02-02-03-002"/>
    <s v="1-02-02-03-002-ACCUMULATED DEPRECIATION GENERPILER"/>
    <x v="3"/>
    <x v="4"/>
    <x v="13"/>
    <s v="PILER"/>
    <n v="0"/>
    <n v="872383"/>
    <n v="0"/>
    <n v="62204"/>
    <n v="0"/>
    <n v="934587"/>
    <m/>
    <m/>
    <m/>
    <n v="0"/>
    <n v="934587"/>
    <n v="-934587"/>
  </r>
  <r>
    <s v="1-02-02-04-001"/>
    <s v="1-02-02-04-001-ELECTRICAL INSTALLATIONSPILER"/>
    <x v="3"/>
    <x v="4"/>
    <x v="14"/>
    <s v="PILER"/>
    <n v="4819035"/>
    <n v="0"/>
    <n v="126423"/>
    <n v="0"/>
    <n v="4945458"/>
    <n v="0"/>
    <m/>
    <n v="315575"/>
    <n v="315575"/>
    <n v="5261033"/>
    <n v="315575"/>
    <n v="4945458"/>
  </r>
  <r>
    <s v="1-02-02-04-002"/>
    <s v="1-02-02-04-002-ACCUMULATED DEPRECIATION ELECTPILER"/>
    <x v="3"/>
    <x v="4"/>
    <x v="15"/>
    <s v="PILER"/>
    <n v="0"/>
    <n v="2214826"/>
    <n v="0"/>
    <n v="393542"/>
    <n v="0"/>
    <n v="2608368"/>
    <m/>
    <n v="315575"/>
    <m/>
    <n v="315575"/>
    <n v="2608368"/>
    <n v="-2292793"/>
  </r>
  <r>
    <s v="1-02-02-05-001"/>
    <s v="1-02-02-05-001-OFFICE EQUIPMENTSPILER"/>
    <x v="3"/>
    <x v="4"/>
    <x v="16"/>
    <s v="PILER"/>
    <n v="911914"/>
    <n v="0"/>
    <n v="0"/>
    <n v="0"/>
    <n v="911914"/>
    <n v="0"/>
    <m/>
    <m/>
    <m/>
    <n v="911914"/>
    <n v="0"/>
    <n v="911914"/>
  </r>
  <r>
    <s v="1-02-02-05-002"/>
    <s v="1-02-02-05-002-ACCUMULATED DEPRECIATION OTHERPILER"/>
    <x v="3"/>
    <x v="4"/>
    <x v="17"/>
    <s v="PILER"/>
    <n v="0"/>
    <n v="782499"/>
    <n v="0"/>
    <n v="23791"/>
    <n v="0"/>
    <n v="806290"/>
    <m/>
    <m/>
    <m/>
    <n v="0"/>
    <n v="806290"/>
    <n v="-806290"/>
  </r>
  <r>
    <s v="1-02-02-06-001"/>
    <s v="1-02-02-06-001-FURNITURE &amp; FIXTURESPILER"/>
    <x v="3"/>
    <x v="4"/>
    <x v="18"/>
    <s v="PILER"/>
    <n v="868377"/>
    <n v="0"/>
    <n v="0"/>
    <n v="0"/>
    <n v="868377"/>
    <n v="0"/>
    <m/>
    <m/>
    <m/>
    <n v="868377"/>
    <n v="0"/>
    <n v="868377"/>
  </r>
  <r>
    <s v="1-02-02-06-002"/>
    <s v="1-02-02-06-002-ACCUMULATED DEPRECIATION F &amp; FPILER"/>
    <x v="3"/>
    <x v="4"/>
    <x v="19"/>
    <s v="PILER"/>
    <n v="0"/>
    <n v="765065"/>
    <n v="0"/>
    <n v="20854"/>
    <n v="0"/>
    <n v="785919"/>
    <m/>
    <m/>
    <m/>
    <n v="0"/>
    <n v="785919"/>
    <n v="-785919"/>
  </r>
  <r>
    <s v="1-02-02-07-001"/>
    <s v="1-02-02-07-001-COMPUTER &amp; LAPTOPSPILER"/>
    <x v="3"/>
    <x v="4"/>
    <x v="20"/>
    <s v="PILER"/>
    <n v="2767134"/>
    <n v="0"/>
    <n v="0"/>
    <n v="0"/>
    <n v="2767134"/>
    <n v="0"/>
    <m/>
    <m/>
    <m/>
    <n v="2767134"/>
    <n v="0"/>
    <n v="2767134"/>
  </r>
  <r>
    <s v="1-02-02-07-002"/>
    <s v="1-02-02-07-002-ACCUMULATED DEPRECIATION COMPUPILER"/>
    <x v="3"/>
    <x v="4"/>
    <x v="21"/>
    <s v="PILER"/>
    <n v="0"/>
    <n v="2767134"/>
    <n v="0"/>
    <n v="0"/>
    <n v="0"/>
    <n v="2767134"/>
    <m/>
    <m/>
    <m/>
    <n v="0"/>
    <n v="2767134"/>
    <n v="-2767134"/>
  </r>
  <r>
    <s v="1-02-02-07-003"/>
    <s v="1-02-02-07-003-COMPUTER SOFTWAREPILER"/>
    <x v="3"/>
    <x v="5"/>
    <x v="22"/>
    <s v="PILER"/>
    <n v="460096"/>
    <n v="0"/>
    <n v="0"/>
    <n v="0"/>
    <n v="460096"/>
    <n v="0"/>
    <m/>
    <m/>
    <m/>
    <n v="460096"/>
    <n v="0"/>
    <n v="460096"/>
  </r>
  <r>
    <s v="1-02-02-07-004"/>
    <s v="1-02-02-07-004-AMMORTIZATION OF SOFTWARE LICSPILER"/>
    <x v="3"/>
    <x v="5"/>
    <x v="23"/>
    <s v="PILER"/>
    <n v="0"/>
    <n v="392058"/>
    <n v="0"/>
    <n v="0"/>
    <n v="0"/>
    <n v="392058"/>
    <m/>
    <m/>
    <m/>
    <n v="0"/>
    <n v="392058"/>
    <n v="-392058"/>
  </r>
  <r>
    <s v="1-02-02-08-001"/>
    <s v="1-02-02-08-001-MOTOR VEHICLESPILER"/>
    <x v="3"/>
    <x v="4"/>
    <x v="24"/>
    <s v="PILER"/>
    <n v="2534605"/>
    <n v="0"/>
    <n v="0"/>
    <n v="0"/>
    <n v="2534605"/>
    <n v="0"/>
    <m/>
    <m/>
    <m/>
    <n v="2534605"/>
    <n v="0"/>
    <n v="2534605"/>
  </r>
  <r>
    <s v="1-02-02-08-002"/>
    <s v="1-02-02-08-002-ACCUMULTED DEPRECIATION MOTORSPILER"/>
    <x v="3"/>
    <x v="4"/>
    <x v="25"/>
    <s v="PILER"/>
    <n v="0"/>
    <n v="1630560"/>
    <n v="0"/>
    <n v="285200"/>
    <n v="0"/>
    <n v="1915760"/>
    <m/>
    <m/>
    <m/>
    <n v="0"/>
    <n v="1915760"/>
    <n v="-1915760"/>
  </r>
  <r>
    <s v="1-02-02-09-001"/>
    <s v="1-02-02-09-001-BOOKSPILER"/>
    <x v="3"/>
    <x v="4"/>
    <x v="26"/>
    <s v="PILER"/>
    <n v="308439"/>
    <n v="0"/>
    <n v="0"/>
    <n v="0"/>
    <n v="308439"/>
    <n v="0"/>
    <m/>
    <m/>
    <m/>
    <n v="308439"/>
    <n v="0"/>
    <n v="308439"/>
  </r>
  <r>
    <s v="1-02-02-09-002"/>
    <s v="1-02-02-09-002-ACCUMULTED DEPRECIATION BOOKSPILER"/>
    <x v="3"/>
    <x v="4"/>
    <x v="27"/>
    <s v="PILER"/>
    <n v="0"/>
    <n v="308439"/>
    <n v="0"/>
    <n v="0"/>
    <n v="0"/>
    <n v="308439"/>
    <m/>
    <m/>
    <m/>
    <n v="0"/>
    <n v="308439"/>
    <n v="-308439"/>
  </r>
  <r>
    <s v="2-01-01-01-010"/>
    <s v="2-01-01-01-010-AUDIT FEE PAYABLEPILER"/>
    <x v="2"/>
    <x v="6"/>
    <x v="28"/>
    <s v="PILER"/>
    <n v="0"/>
    <n v="642400"/>
    <n v="200000"/>
    <n v="0"/>
    <n v="0"/>
    <n v="442400"/>
    <m/>
    <m/>
    <m/>
    <n v="0"/>
    <n v="442400"/>
    <n v="-442400"/>
  </r>
  <r>
    <s v="2-01-01-01-023"/>
    <s v="2-01-01-01-023-PAYABLE TO SOLIDARITYPILER"/>
    <x v="1"/>
    <x v="1"/>
    <x v="1"/>
    <s v="PILER"/>
    <n v="0"/>
    <n v="368297"/>
    <n v="0"/>
    <n v="0"/>
    <n v="0"/>
    <n v="368297"/>
    <m/>
    <m/>
    <m/>
    <n v="0"/>
    <n v="368297"/>
    <n v="-368297"/>
  </r>
  <r>
    <s v="2-01-01-01-025"/>
    <s v="2-01-01-01-025-PAYABLE TO HAMZA GABOOLPILER"/>
    <x v="2"/>
    <x v="6"/>
    <x v="29"/>
    <s v="PILER"/>
    <n v="0"/>
    <n v="177"/>
    <n v="0"/>
    <n v="0"/>
    <n v="0"/>
    <n v="177"/>
    <m/>
    <m/>
    <m/>
    <n v="0"/>
    <n v="177"/>
    <n v="-177"/>
  </r>
  <r>
    <s v="2-01-01-01-025"/>
    <s v="2-01-01-01-025-PAYABLE TO HAMZA GABOOLshort projects"/>
    <x v="2"/>
    <x v="6"/>
    <x v="29"/>
    <s v="short projects"/>
    <n v="0"/>
    <n v="20000"/>
    <n v="20000"/>
    <n v="0"/>
    <n v="0"/>
    <n v="0"/>
    <m/>
    <m/>
    <m/>
    <n v="0"/>
    <n v="0"/>
    <n v="0"/>
  </r>
  <r>
    <s v="2-01-01-01-026"/>
    <s v="2-01-01-01-026-PAYABLE TO IDRCPILER"/>
    <x v="1"/>
    <x v="1"/>
    <x v="1"/>
    <s v="PILER"/>
    <n v="0"/>
    <n v="251835"/>
    <n v="0"/>
    <n v="0"/>
    <n v="0"/>
    <n v="251835"/>
    <m/>
    <m/>
    <m/>
    <n v="0"/>
    <n v="251835"/>
    <n v="-251835"/>
  </r>
  <r>
    <s v="2-01-01-01-030"/>
    <s v="2-01-01-01-030-PAYABLE TO SHUJAUDDINTrocaire"/>
    <x v="2"/>
    <x v="6"/>
    <x v="29"/>
    <s v="Trocaire"/>
    <n v="0"/>
    <n v="50"/>
    <n v="0"/>
    <n v="0"/>
    <n v="0"/>
    <n v="50"/>
    <m/>
    <m/>
    <m/>
    <n v="0"/>
    <n v="50"/>
    <n v="-50"/>
  </r>
  <r>
    <s v="2-01-01-01-030"/>
    <s v="2-01-01-01-030-PAYABLE TO SHUJAUDDINOpen Society"/>
    <x v="2"/>
    <x v="6"/>
    <x v="29"/>
    <s v="Open Society"/>
    <n v="0"/>
    <n v="3"/>
    <n v="0"/>
    <n v="0"/>
    <n v="0"/>
    <n v="3"/>
    <m/>
    <m/>
    <m/>
    <n v="0"/>
    <n v="3"/>
    <n v="-3"/>
  </r>
  <r>
    <s v="2-01-01-01-031"/>
    <s v="2-01-01-01-031-NEPAL EARTHQUAKEPILER"/>
    <x v="2"/>
    <x v="6"/>
    <x v="29"/>
    <s v="PILER"/>
    <n v="0"/>
    <n v="75698"/>
    <n v="0"/>
    <n v="0"/>
    <n v="0"/>
    <n v="75698"/>
    <m/>
    <m/>
    <m/>
    <n v="0"/>
    <n v="75698"/>
    <n v="-75698"/>
  </r>
  <r>
    <s v="2-01-01-01-033"/>
    <s v="2-01-01-01-033-PAYABLE TO MULA BUKSHTAF"/>
    <x v="2"/>
    <x v="6"/>
    <x v="29"/>
    <s v="TAF"/>
    <n v="0"/>
    <n v="464"/>
    <n v="0"/>
    <n v="0"/>
    <n v="0"/>
    <n v="464"/>
    <m/>
    <m/>
    <m/>
    <n v="0"/>
    <n v="464"/>
    <n v="-464"/>
  </r>
  <r>
    <s v="2-01-01-01-034"/>
    <s v="2-01-01-01-034-PAYABLE TO ALTAF HUSSAINPILER"/>
    <x v="2"/>
    <x v="6"/>
    <x v="29"/>
    <s v="PILER"/>
    <n v="0"/>
    <n v="500"/>
    <n v="0"/>
    <n v="0"/>
    <n v="0"/>
    <n v="500"/>
    <m/>
    <m/>
    <m/>
    <n v="0"/>
    <n v="500"/>
    <n v="-500"/>
  </r>
  <r>
    <s v="2-01-01-01-036"/>
    <s v="2-01-01-01-036-PAYABLE TO SPOUNICEF-2"/>
    <x v="2"/>
    <x v="6"/>
    <x v="29"/>
    <s v="UNICEF-2"/>
    <n v="0"/>
    <n v="35940"/>
    <n v="0"/>
    <n v="0"/>
    <n v="0"/>
    <n v="35940"/>
    <m/>
    <m/>
    <m/>
    <n v="0"/>
    <n v="35940"/>
    <n v="-35940"/>
  </r>
  <r>
    <s v="2-01-01-01-037"/>
    <s v="2-01-01-01-037-PAYABLE TO GOHARPILER"/>
    <x v="2"/>
    <x v="6"/>
    <x v="29"/>
    <s v="PILER"/>
    <n v="0"/>
    <n v="68623"/>
    <n v="0"/>
    <n v="0"/>
    <n v="0"/>
    <n v="68623"/>
    <m/>
    <m/>
    <m/>
    <n v="0"/>
    <n v="68623"/>
    <n v="-68623"/>
  </r>
  <r>
    <s v="2-01-01-01-038"/>
    <s v="2-01-01-01-038-Payable to DanishDAI"/>
    <x v="2"/>
    <x v="6"/>
    <x v="29"/>
    <s v="DAI"/>
    <n v="0"/>
    <n v="5787"/>
    <n v="5787"/>
    <n v="275"/>
    <n v="0"/>
    <n v="275"/>
    <m/>
    <m/>
    <m/>
    <n v="0"/>
    <n v="275"/>
    <n v="-275"/>
  </r>
  <r>
    <s v="2-01-01-01-040"/>
    <s v="2-01-01-01-040-Payable to Zulfiqar Ali ShahOpen Society"/>
    <x v="2"/>
    <x v="6"/>
    <x v="29"/>
    <s v="Open Society"/>
    <n v="0"/>
    <n v="0"/>
    <n v="0"/>
    <n v="370"/>
    <n v="0"/>
    <n v="370"/>
    <m/>
    <m/>
    <m/>
    <n v="0"/>
    <n v="370"/>
    <n v="-370"/>
  </r>
  <r>
    <s v="2-01-01-02-001"/>
    <s v="2-01-01-02-001-PAKISTAN LABOUR TRUSTPILER"/>
    <x v="2"/>
    <x v="3"/>
    <x v="3"/>
    <s v="PILER"/>
    <n v="0"/>
    <n v="8323684"/>
    <n v="0"/>
    <n v="0"/>
    <n v="0"/>
    <n v="8323684"/>
    <m/>
    <m/>
    <m/>
    <n v="0"/>
    <n v="8323684"/>
    <n v="-8323684"/>
  </r>
  <r>
    <s v="2-01-01-02-008"/>
    <s v="2-01-01-02-008-IUF - QAMAR UL HASAN &amp; M USMANPILER"/>
    <x v="2"/>
    <x v="6"/>
    <x v="29"/>
    <s v="PILER"/>
    <n v="1740"/>
    <n v="0"/>
    <n v="0"/>
    <n v="0"/>
    <n v="1740"/>
    <n v="0"/>
    <m/>
    <m/>
    <m/>
    <n v="1740"/>
    <n v="0"/>
    <n v="1740"/>
  </r>
  <r>
    <s v="2-01-01-02-016"/>
    <s v="2-01-01-02-016-PAYABLE TO TROCAIRE-MLRRSPILER"/>
    <x v="1"/>
    <x v="1"/>
    <x v="1"/>
    <s v="PILER"/>
    <n v="0"/>
    <n v="143529"/>
    <n v="0"/>
    <n v="0"/>
    <n v="0"/>
    <n v="143529"/>
    <m/>
    <m/>
    <m/>
    <n v="0"/>
    <n v="143529"/>
    <n v="-143529"/>
  </r>
  <r>
    <s v="2-01-01-02-016"/>
    <s v="2-01-01-02-016-PAYABLE TO TROCAIRE-MLRRSTAF"/>
    <x v="1"/>
    <x v="1"/>
    <x v="1"/>
    <s v="TAF"/>
    <n v="0"/>
    <n v="95515"/>
    <n v="0"/>
    <n v="0"/>
    <n v="0"/>
    <n v="95515"/>
    <m/>
    <m/>
    <m/>
    <n v="0"/>
    <n v="95515"/>
    <n v="-95515"/>
  </r>
  <r>
    <s v="2-01-01-02-016"/>
    <s v="2-01-01-02-016-PAYABLE TO TROCAIRE-MLRRSshort projects"/>
    <x v="1"/>
    <x v="1"/>
    <x v="1"/>
    <s v="short projects"/>
    <n v="0"/>
    <n v="2100"/>
    <n v="0"/>
    <n v="0"/>
    <n v="0"/>
    <n v="2100"/>
    <m/>
    <m/>
    <m/>
    <n v="0"/>
    <n v="2100"/>
    <n v="-2100"/>
  </r>
  <r>
    <s v="2-01-01-02-016"/>
    <s v="2-01-01-02-016-PAYABLE TO TROCAIRE-MLRRSUNICEF-3"/>
    <x v="1"/>
    <x v="1"/>
    <x v="1"/>
    <s v="UNICEF-3"/>
    <n v="0"/>
    <n v="33907"/>
    <n v="0"/>
    <n v="0"/>
    <n v="0"/>
    <n v="33907"/>
    <m/>
    <m/>
    <m/>
    <n v="0"/>
    <n v="33907"/>
    <n v="-33907"/>
  </r>
  <r>
    <s v="2-01-01-02-017"/>
    <s v="2-01-01-02-017-PAYABLE TO PILER OWNUnicef"/>
    <x v="1"/>
    <x v="1"/>
    <x v="1"/>
    <s v="Unicef"/>
    <n v="0"/>
    <n v="2248556"/>
    <n v="0"/>
    <n v="0"/>
    <n v="0"/>
    <n v="2248556"/>
    <m/>
    <m/>
    <m/>
    <n v="0"/>
    <n v="2248556"/>
    <n v="-2248556"/>
  </r>
  <r>
    <s v="2-01-01-02-017"/>
    <s v="2-01-01-02-017-PAYABLE TO PILER OWNTrocaire"/>
    <x v="1"/>
    <x v="1"/>
    <x v="1"/>
    <s v="Trocaire"/>
    <n v="14070"/>
    <n v="0"/>
    <n v="0"/>
    <n v="0"/>
    <n v="14070"/>
    <n v="0"/>
    <m/>
    <m/>
    <m/>
    <n v="14070"/>
    <n v="0"/>
    <n v="14070"/>
  </r>
  <r>
    <s v="2-01-01-02-017"/>
    <s v="2-01-01-02-017-PAYABLE TO PILER OWNDeezire"/>
    <x v="1"/>
    <x v="1"/>
    <x v="1"/>
    <s v="Deezire"/>
    <n v="0"/>
    <n v="1061304"/>
    <n v="0"/>
    <n v="0"/>
    <n v="0"/>
    <n v="1061304"/>
    <m/>
    <m/>
    <m/>
    <n v="0"/>
    <n v="1061304"/>
    <n v="-1061304"/>
  </r>
  <r>
    <s v="2-01-01-02-017"/>
    <s v="2-01-01-02-017-PAYABLE TO PILER OWNICCO"/>
    <x v="1"/>
    <x v="1"/>
    <x v="1"/>
    <s v="ICCO"/>
    <n v="0"/>
    <n v="398399"/>
    <n v="0"/>
    <n v="0"/>
    <n v="0"/>
    <n v="398399"/>
    <m/>
    <m/>
    <m/>
    <n v="0"/>
    <n v="398399"/>
    <n v="-398399"/>
  </r>
  <r>
    <s v="2-01-01-02-017"/>
    <s v="2-01-01-02-017-PAYABLE TO PILER OWNTDH &amp; MI"/>
    <x v="1"/>
    <x v="1"/>
    <x v="1"/>
    <s v="TDH &amp; MI"/>
    <n v="0"/>
    <n v="16440"/>
    <n v="0"/>
    <n v="0"/>
    <n v="0"/>
    <n v="16440"/>
    <m/>
    <m/>
    <m/>
    <n v="0"/>
    <n v="16440"/>
    <n v="-16440"/>
  </r>
  <r>
    <s v="2-01-01-02-017"/>
    <s v="2-01-01-02-017-PAYABLE TO PILER OWNTAF"/>
    <x v="1"/>
    <x v="1"/>
    <x v="1"/>
    <s v="TAF"/>
    <n v="0"/>
    <n v="196699"/>
    <n v="0"/>
    <n v="0"/>
    <n v="0"/>
    <n v="196699"/>
    <m/>
    <m/>
    <m/>
    <n v="0"/>
    <n v="196699"/>
    <n v="-196699"/>
  </r>
  <r>
    <s v="2-01-01-02-017"/>
    <s v="2-01-01-02-017-PAYABLE TO PILER OWNTDH"/>
    <x v="1"/>
    <x v="1"/>
    <x v="1"/>
    <s v="TDH"/>
    <n v="0"/>
    <n v="3227482"/>
    <n v="0"/>
    <n v="0"/>
    <n v="0"/>
    <n v="3227482"/>
    <m/>
    <m/>
    <m/>
    <n v="0"/>
    <n v="3227482"/>
    <n v="-3227482"/>
  </r>
  <r>
    <s v="2-01-01-02-017"/>
    <s v="2-01-01-02-017-PAYABLE TO PILER OWNshort projects"/>
    <x v="1"/>
    <x v="1"/>
    <x v="1"/>
    <s v="short projects"/>
    <n v="0"/>
    <n v="3734441"/>
    <n v="675243"/>
    <n v="73616"/>
    <n v="0"/>
    <n v="3132814"/>
    <m/>
    <m/>
    <m/>
    <n v="0"/>
    <n v="3132814"/>
    <n v="-3132814"/>
  </r>
  <r>
    <s v="2-01-01-02-017"/>
    <s v="2-01-01-02-017-PAYABLE TO PILER OWNUNICEF-2"/>
    <x v="1"/>
    <x v="1"/>
    <x v="1"/>
    <s v="UNICEF-2"/>
    <n v="0"/>
    <n v="1019492"/>
    <n v="0"/>
    <n v="0"/>
    <n v="0"/>
    <n v="1019492"/>
    <m/>
    <m/>
    <m/>
    <n v="0"/>
    <n v="1019492"/>
    <n v="-1019492"/>
  </r>
  <r>
    <s v="2-01-01-02-017"/>
    <s v="2-01-01-02-017-PAYABLE TO PILER OWNUNICEF-3"/>
    <x v="1"/>
    <x v="1"/>
    <x v="1"/>
    <s v="UNICEF-3"/>
    <n v="0"/>
    <n v="1490422"/>
    <n v="0"/>
    <n v="0"/>
    <n v="0"/>
    <n v="1490422"/>
    <m/>
    <m/>
    <m/>
    <n v="0"/>
    <n v="1490422"/>
    <n v="-1490422"/>
  </r>
  <r>
    <s v="2-01-01-02-017"/>
    <s v="2-01-01-02-017-PAYABLE TO PILER OWNRRCCHR"/>
    <x v="1"/>
    <x v="1"/>
    <x v="1"/>
    <s v="RRCCHR"/>
    <n v="0"/>
    <n v="115"/>
    <n v="0"/>
    <n v="0"/>
    <n v="0"/>
    <n v="115"/>
    <m/>
    <m/>
    <m/>
    <n v="0"/>
    <n v="115"/>
    <n v="-115"/>
  </r>
  <r>
    <s v="2-01-01-02-017"/>
    <s v="2-01-01-02-017-PAYABLE TO PILER OWNOpen Society"/>
    <x v="1"/>
    <x v="1"/>
    <x v="1"/>
    <s v="Open Society"/>
    <n v="0"/>
    <n v="0"/>
    <n v="210681"/>
    <n v="1389286"/>
    <n v="0"/>
    <n v="1178605"/>
    <m/>
    <m/>
    <m/>
    <n v="0"/>
    <n v="1178605"/>
    <n v="-1178605"/>
  </r>
  <r>
    <s v="2-01-01-02-017"/>
    <s v="2-01-01-02-017-PAYABLE TO PILER OWNETI"/>
    <x v="1"/>
    <x v="1"/>
    <x v="1"/>
    <s v="ETI"/>
    <n v="0"/>
    <n v="100"/>
    <n v="2380911"/>
    <n v="4107549"/>
    <n v="0"/>
    <n v="1726738"/>
    <m/>
    <m/>
    <m/>
    <n v="0"/>
    <n v="1726738"/>
    <n v="-1726738"/>
  </r>
  <r>
    <s v="2-01-01-02-017"/>
    <s v="2-01-01-02-017-PAYABLE TO PILER OWNFOSI"/>
    <x v="1"/>
    <x v="1"/>
    <x v="1"/>
    <s v="FOSI"/>
    <n v="0"/>
    <n v="35108"/>
    <n v="0"/>
    <n v="0"/>
    <n v="0"/>
    <n v="35108"/>
    <m/>
    <m/>
    <m/>
    <n v="0"/>
    <n v="35108"/>
    <n v="-35108"/>
  </r>
  <r>
    <s v="2-01-01-02-017"/>
    <s v="2-01-01-02-017-PAYABLE TO PILER OWNFNV"/>
    <x v="1"/>
    <x v="1"/>
    <x v="1"/>
    <s v="FNV"/>
    <n v="0"/>
    <n v="174058"/>
    <n v="0"/>
    <n v="0"/>
    <n v="0"/>
    <n v="174058"/>
    <m/>
    <m/>
    <m/>
    <n v="0"/>
    <n v="174058"/>
    <n v="-174058"/>
  </r>
  <r>
    <s v="2-01-01-02-017"/>
    <s v="2-01-01-02-017-PAYABLE TO PILER OWNDAI"/>
    <x v="1"/>
    <x v="1"/>
    <x v="1"/>
    <s v="DAI"/>
    <n v="2244523"/>
    <n v="0"/>
    <n v="1547677"/>
    <n v="98126"/>
    <n v="3694074"/>
    <n v="0"/>
    <m/>
    <m/>
    <n v="14468"/>
    <n v="3694074"/>
    <n v="14468"/>
    <n v="3679606"/>
  </r>
  <r>
    <s v="2-01-01-02-019"/>
    <s v="2-01-01-02-019-PAYABLE TO UNICEFPILER"/>
    <x v="1"/>
    <x v="1"/>
    <x v="1"/>
    <s v="PILER"/>
    <n v="0"/>
    <n v="2935000"/>
    <n v="0"/>
    <n v="0"/>
    <n v="0"/>
    <n v="2935000"/>
    <m/>
    <m/>
    <m/>
    <n v="0"/>
    <n v="2935000"/>
    <n v="-2935000"/>
  </r>
  <r>
    <s v="2-01-01-02-020"/>
    <s v="2-01-01-02-020-PAYABLE TO TDH-MIPILER"/>
    <x v="1"/>
    <x v="1"/>
    <x v="1"/>
    <s v="PILER"/>
    <n v="0"/>
    <n v="1600481"/>
    <n v="0"/>
    <n v="0"/>
    <n v="0"/>
    <n v="1600481"/>
    <m/>
    <m/>
    <m/>
    <n v="0"/>
    <n v="1600481"/>
    <n v="-1600481"/>
  </r>
  <r>
    <s v="2-01-01-02-020"/>
    <s v="2-01-01-02-020-PAYABLE TO TDH-MITDH"/>
    <x v="1"/>
    <x v="1"/>
    <x v="1"/>
    <s v="TDH"/>
    <n v="0"/>
    <n v="1950301"/>
    <n v="0"/>
    <n v="0"/>
    <n v="0"/>
    <n v="1950301"/>
    <m/>
    <m/>
    <m/>
    <n v="0"/>
    <n v="1950301"/>
    <n v="-1950301"/>
  </r>
  <r>
    <s v="2-01-01-02-021"/>
    <s v="2-01-01-02-021-PAYABLE TO ICCO PROJECT-THSWPILER"/>
    <x v="1"/>
    <x v="1"/>
    <x v="1"/>
    <s v="PILER"/>
    <n v="0"/>
    <n v="299904"/>
    <n v="0"/>
    <n v="0"/>
    <n v="0"/>
    <n v="299904"/>
    <m/>
    <m/>
    <m/>
    <n v="0"/>
    <n v="299904"/>
    <n v="-299904"/>
  </r>
  <r>
    <s v="2-01-01-02-022"/>
    <s v="2-01-01-02-022-PAYABLE TO KHADIMPILER"/>
    <x v="2"/>
    <x v="6"/>
    <x v="29"/>
    <s v="PILER"/>
    <n v="0"/>
    <n v="131072"/>
    <n v="49680"/>
    <n v="49680"/>
    <n v="0"/>
    <n v="131072"/>
    <m/>
    <m/>
    <m/>
    <n v="0"/>
    <n v="131072"/>
    <n v="-131072"/>
  </r>
  <r>
    <s v="2-01-01-02-022"/>
    <s v="2-01-01-02-022-PAYABLE TO KHADIMshort projects"/>
    <x v="2"/>
    <x v="6"/>
    <x v="29"/>
    <s v="short projects"/>
    <n v="0"/>
    <n v="322"/>
    <n v="0"/>
    <n v="0"/>
    <n v="0"/>
    <n v="322"/>
    <m/>
    <m/>
    <m/>
    <n v="0"/>
    <n v="322"/>
    <n v="-322"/>
  </r>
  <r>
    <s v="2-01-01-02-026"/>
    <s v="2-01-01-02-026-PAYABLE TO TAFPILER"/>
    <x v="1"/>
    <x v="1"/>
    <x v="1"/>
    <s v="PILER"/>
    <n v="0"/>
    <n v="391647"/>
    <n v="0"/>
    <n v="0"/>
    <n v="0"/>
    <n v="391647"/>
    <m/>
    <m/>
    <m/>
    <n v="0"/>
    <n v="391647"/>
    <n v="-391647"/>
  </r>
  <r>
    <s v="2-01-01-02-026"/>
    <s v="2-01-01-02-026-PAYABLE TO TAFUNICEF-3"/>
    <x v="1"/>
    <x v="1"/>
    <x v="1"/>
    <s v="UNICEF-3"/>
    <n v="0"/>
    <n v="20000"/>
    <n v="0"/>
    <n v="0"/>
    <n v="0"/>
    <n v="20000"/>
    <m/>
    <m/>
    <m/>
    <n v="0"/>
    <n v="20000"/>
    <n v="-20000"/>
  </r>
  <r>
    <s v="2-01-01-02-027"/>
    <s v="2-01-01-02-027-PAYABLE TO PERVEZUnicef"/>
    <x v="2"/>
    <x v="6"/>
    <x v="29"/>
    <s v="Unicef"/>
    <n v="0"/>
    <n v="2020"/>
    <n v="0"/>
    <n v="0"/>
    <n v="0"/>
    <n v="2020"/>
    <m/>
    <m/>
    <m/>
    <n v="0"/>
    <n v="2020"/>
    <n v="-2020"/>
  </r>
  <r>
    <s v="2-01-01-02-027"/>
    <s v="2-01-01-02-027-PAYABLE TO PERVEZDeezire"/>
    <x v="2"/>
    <x v="6"/>
    <x v="29"/>
    <s v="Deezire"/>
    <n v="0"/>
    <n v="1810"/>
    <n v="0"/>
    <n v="0"/>
    <n v="0"/>
    <n v="1810"/>
    <m/>
    <m/>
    <m/>
    <n v="0"/>
    <n v="1810"/>
    <n v="-1810"/>
  </r>
  <r>
    <s v="2-01-01-02-027"/>
    <s v="2-01-01-02-027-PAYABLE TO PERVEZPILER"/>
    <x v="2"/>
    <x v="6"/>
    <x v="29"/>
    <s v="PILER"/>
    <n v="0"/>
    <n v="6300"/>
    <n v="0"/>
    <n v="0"/>
    <n v="0"/>
    <n v="6300"/>
    <m/>
    <m/>
    <m/>
    <n v="0"/>
    <n v="6300"/>
    <n v="-6300"/>
  </r>
  <r>
    <s v="2-01-01-02-027"/>
    <s v="2-01-01-02-027-PAYABLE TO PERVEZshort projects"/>
    <x v="2"/>
    <x v="6"/>
    <x v="29"/>
    <s v="short projects"/>
    <n v="0"/>
    <n v="10250"/>
    <n v="0"/>
    <n v="0"/>
    <n v="0"/>
    <n v="10250"/>
    <m/>
    <m/>
    <m/>
    <n v="0"/>
    <n v="10250"/>
    <n v="-10250"/>
  </r>
  <r>
    <s v="2-01-01-02-027"/>
    <s v="2-01-01-02-027-PAYABLE TO PERVEZUNICEF-2"/>
    <x v="2"/>
    <x v="6"/>
    <x v="29"/>
    <s v="UNICEF-2"/>
    <n v="0"/>
    <n v="132"/>
    <n v="0"/>
    <n v="0"/>
    <n v="0"/>
    <n v="132"/>
    <m/>
    <m/>
    <m/>
    <n v="0"/>
    <n v="132"/>
    <n v="-132"/>
  </r>
  <r>
    <s v="2-01-01-02-027"/>
    <s v="2-01-01-02-027-PAYABLE TO PERVEZDAI"/>
    <x v="2"/>
    <x v="6"/>
    <x v="29"/>
    <s v="DAI"/>
    <n v="0"/>
    <n v="48900"/>
    <n v="15500"/>
    <n v="0"/>
    <n v="0"/>
    <n v="33400"/>
    <m/>
    <m/>
    <m/>
    <n v="0"/>
    <n v="33400"/>
    <n v="-33400"/>
  </r>
  <r>
    <s v="2-01-01-02-029"/>
    <s v="2-01-01-02-029-PAYABLE TO ZEENIA SHOUKATETI"/>
    <x v="2"/>
    <x v="6"/>
    <x v="29"/>
    <s v="ETI"/>
    <n v="0"/>
    <n v="0"/>
    <n v="0"/>
    <n v="164260"/>
    <n v="0"/>
    <n v="164260"/>
    <m/>
    <m/>
    <m/>
    <n v="0"/>
    <n v="164260"/>
    <n v="-164260"/>
  </r>
  <r>
    <s v="2-01-01-02-031"/>
    <s v="2-01-01-02-031-PAYABLE TO DEZAIREPILER"/>
    <x v="1"/>
    <x v="1"/>
    <x v="1"/>
    <s v="PILER"/>
    <n v="0"/>
    <n v="3516379.55"/>
    <n v="0"/>
    <n v="0"/>
    <n v="0"/>
    <n v="3516379.55"/>
    <m/>
    <m/>
    <m/>
    <n v="0"/>
    <n v="3516379.55"/>
    <n v="-3516379.55"/>
  </r>
  <r>
    <s v="2-01-01-02-031"/>
    <s v="2-01-01-02-031-PAYABLE TO DEZAIREshort projects"/>
    <x v="1"/>
    <x v="1"/>
    <x v="1"/>
    <s v="short projects"/>
    <n v="0"/>
    <n v="250000"/>
    <n v="0"/>
    <n v="0"/>
    <n v="0"/>
    <n v="250000"/>
    <m/>
    <m/>
    <m/>
    <n v="0"/>
    <n v="250000"/>
    <n v="-250000"/>
  </r>
  <r>
    <s v="2-01-01-02-031"/>
    <s v="2-01-01-02-031-PAYABLE TO DEZAIREOpen Society"/>
    <x v="1"/>
    <x v="1"/>
    <x v="1"/>
    <s v="Open Society"/>
    <n v="0"/>
    <n v="61500"/>
    <n v="0"/>
    <n v="0"/>
    <n v="0"/>
    <n v="61500"/>
    <m/>
    <m/>
    <m/>
    <n v="0"/>
    <n v="61500"/>
    <n v="-61500"/>
  </r>
  <r>
    <s v="2-01-01-02-031"/>
    <s v="2-01-01-02-031-PAYABLE TO DEZAIREFNV"/>
    <x v="1"/>
    <x v="1"/>
    <x v="1"/>
    <s v="FNV"/>
    <n v="0"/>
    <n v="50000"/>
    <n v="0"/>
    <n v="0"/>
    <n v="0"/>
    <n v="50000"/>
    <m/>
    <m/>
    <m/>
    <n v="0"/>
    <n v="50000"/>
    <n v="-50000"/>
  </r>
  <r>
    <s v="2-01-01-02-033"/>
    <s v="2-01-01-02-033-PLT LOAN PAYABLEPILER"/>
    <x v="2"/>
    <x v="3"/>
    <x v="3"/>
    <s v="PILER"/>
    <n v="0"/>
    <n v="30140656"/>
    <n v="2834148"/>
    <n v="3280933"/>
    <n v="0"/>
    <n v="30587441"/>
    <m/>
    <m/>
    <m/>
    <n v="0"/>
    <n v="30587441"/>
    <n v="-30587441"/>
  </r>
  <r>
    <s v="2-01-01-02-035"/>
    <s v="2-01-01-02-035-PAYABLE TO M.YOUNISPILER"/>
    <x v="2"/>
    <x v="6"/>
    <x v="29"/>
    <s v="PILER"/>
    <n v="0"/>
    <n v="96906"/>
    <n v="0"/>
    <n v="0"/>
    <n v="0"/>
    <n v="96906"/>
    <m/>
    <m/>
    <m/>
    <n v="0"/>
    <n v="96906"/>
    <n v="-96906"/>
  </r>
  <r>
    <s v="2-01-01-02-037"/>
    <s v="2-01-01-02-037-Payable to Maher AliOpen Society"/>
    <x v="2"/>
    <x v="6"/>
    <x v="29"/>
    <s v="Open Society"/>
    <n v="0"/>
    <n v="2"/>
    <n v="0"/>
    <n v="0"/>
    <n v="0"/>
    <n v="2"/>
    <m/>
    <m/>
    <m/>
    <n v="0"/>
    <n v="2"/>
    <n v="-2"/>
  </r>
  <r>
    <s v="2-01-02-01-001"/>
    <s v="2-01-02-01-001-SALARIES PAYABLEPILER"/>
    <x v="2"/>
    <x v="6"/>
    <x v="28"/>
    <s v="PILER"/>
    <n v="55600"/>
    <n v="0"/>
    <n v="6742462"/>
    <n v="6672462"/>
    <n v="125600"/>
    <n v="0"/>
    <m/>
    <m/>
    <m/>
    <n v="125600"/>
    <n v="0"/>
    <n v="125600"/>
  </r>
  <r>
    <s v="2-01-02-01-001"/>
    <s v="2-01-02-01-001-SALARIES PAYABLEUNICEF-3"/>
    <x v="2"/>
    <x v="6"/>
    <x v="28"/>
    <s v="UNICEF-3"/>
    <n v="0"/>
    <n v="3"/>
    <n v="0"/>
    <n v="0"/>
    <n v="0"/>
    <n v="3"/>
    <m/>
    <m/>
    <m/>
    <n v="0"/>
    <n v="3"/>
    <n v="-3"/>
  </r>
  <r>
    <s v="2-01-02-01-001"/>
    <s v="2-01-02-01-001-SALARIES PAYABLEOpen Society"/>
    <x v="2"/>
    <x v="6"/>
    <x v="29"/>
    <s v="Open Society"/>
    <n v="0"/>
    <n v="0"/>
    <n v="2275868"/>
    <n v="2275868"/>
    <n v="0"/>
    <n v="0"/>
    <m/>
    <m/>
    <m/>
    <n v="0"/>
    <n v="0"/>
    <n v="0"/>
  </r>
  <r>
    <s v="2-01-02-01-001"/>
    <s v="2-01-02-01-001-SALARIES PAYABLEDAI"/>
    <x v="2"/>
    <x v="6"/>
    <x v="29"/>
    <s v="DAI"/>
    <n v="5400"/>
    <n v="0"/>
    <n v="726889"/>
    <n v="0"/>
    <n v="732289"/>
    <n v="0"/>
    <m/>
    <m/>
    <n v="726889"/>
    <n v="732289"/>
    <n v="726889"/>
    <n v="5400"/>
  </r>
  <r>
    <s v="2-01-02-01-004"/>
    <s v="2-01-02-01-004-WATER &amp; SEWERAGE BILLPILER"/>
    <x v="2"/>
    <x v="6"/>
    <x v="29"/>
    <s v="PILER"/>
    <n v="6000"/>
    <n v="0"/>
    <n v="38764"/>
    <n v="0"/>
    <n v="44764"/>
    <n v="0"/>
    <m/>
    <m/>
    <m/>
    <n v="44764"/>
    <n v="0"/>
    <n v="44764"/>
  </r>
  <r>
    <s v="2-01-02-01-005"/>
    <s v="2-01-02-01-005-STAFF LUNCH CONTRIBUTIONPILER"/>
    <x v="2"/>
    <x v="6"/>
    <x v="29"/>
    <s v="PILER"/>
    <n v="0"/>
    <n v="18200"/>
    <n v="80400"/>
    <n v="58600"/>
    <n v="3600"/>
    <n v="0"/>
    <m/>
    <m/>
    <n v="7500"/>
    <n v="3600"/>
    <n v="7500"/>
    <n v="-3900"/>
  </r>
  <r>
    <s v="2-01-02-01-011"/>
    <s v="2-01-02-01-011-ACCURED EXPENSESTrocaire"/>
    <x v="2"/>
    <x v="6"/>
    <x v="28"/>
    <s v="Trocaire"/>
    <n v="0"/>
    <n v="420945"/>
    <n v="0"/>
    <n v="0"/>
    <n v="0"/>
    <n v="420945"/>
    <m/>
    <m/>
    <n v="0"/>
    <n v="0"/>
    <n v="420945"/>
    <n v="-420945"/>
  </r>
  <r>
    <s v="2-01-02-01-011"/>
    <s v="2-01-02-01-011-ACCURED EXPENSESPILER"/>
    <x v="2"/>
    <x v="6"/>
    <x v="28"/>
    <s v="PILER"/>
    <n v="0"/>
    <n v="912019"/>
    <n v="167950"/>
    <n v="0"/>
    <n v="0"/>
    <n v="744069"/>
    <m/>
    <m/>
    <n v="40000"/>
    <n v="0"/>
    <n v="784069"/>
    <n v="-784069"/>
  </r>
  <r>
    <s v="2-01-02-01-011"/>
    <s v="2-01-02-01-011-ACCURED EXPENSESshort projects"/>
    <x v="2"/>
    <x v="6"/>
    <x v="28"/>
    <s v="short projects"/>
    <n v="0"/>
    <n v="48843"/>
    <n v="110000"/>
    <n v="110000"/>
    <n v="0"/>
    <n v="48843"/>
    <m/>
    <m/>
    <m/>
    <n v="0"/>
    <n v="48843"/>
    <n v="-48843"/>
  </r>
  <r>
    <s v="2-01-02-01-011"/>
    <s v="2-01-02-01-011-ACCURED EXPENSESUNICEF-2"/>
    <x v="2"/>
    <x v="6"/>
    <x v="28"/>
    <s v="UNICEF-2"/>
    <n v="0"/>
    <n v="20912"/>
    <n v="0"/>
    <n v="0"/>
    <n v="0"/>
    <n v="20912"/>
    <m/>
    <m/>
    <m/>
    <n v="0"/>
    <n v="20912"/>
    <n v="-20912"/>
  </r>
  <r>
    <s v="2-01-02-01-011"/>
    <s v="2-01-02-01-011-ACCURED EXPENSESOpen Society"/>
    <x v="2"/>
    <x v="6"/>
    <x v="28"/>
    <s v="Open Society"/>
    <n v="0"/>
    <n v="1300000"/>
    <n v="100000"/>
    <n v="0"/>
    <n v="0"/>
    <n v="1200000"/>
    <m/>
    <m/>
    <m/>
    <n v="0"/>
    <n v="1200000"/>
    <n v="-1200000"/>
  </r>
  <r>
    <s v="2-01-02-01-011"/>
    <s v="2-01-02-01-011-ACCURED EXPENSESETI"/>
    <x v="2"/>
    <x v="6"/>
    <x v="28"/>
    <s v="ETI"/>
    <n v="0"/>
    <n v="359459"/>
    <n v="752282"/>
    <n v="392823"/>
    <n v="0"/>
    <n v="0"/>
    <m/>
    <m/>
    <m/>
    <n v="0"/>
    <n v="0"/>
    <n v="0"/>
  </r>
  <r>
    <s v="2-01-02-01-011"/>
    <s v="2-01-02-01-011-ACCURED EXPENSESDAI"/>
    <x v="2"/>
    <x v="6"/>
    <x v="28"/>
    <s v="DAI"/>
    <n v="0"/>
    <n v="1267939"/>
    <n v="1267939"/>
    <n v="0"/>
    <n v="0"/>
    <n v="0"/>
    <m/>
    <m/>
    <m/>
    <n v="0"/>
    <n v="0"/>
    <n v="0"/>
  </r>
  <r>
    <s v="2-01-02-01-015"/>
    <s v="2-01-02-01-015-EOBI PAYABLEPILER"/>
    <x v="2"/>
    <x v="6"/>
    <x v="29"/>
    <s v="PILER"/>
    <n v="0"/>
    <n v="100"/>
    <n v="68640"/>
    <n v="62880"/>
    <n v="5660"/>
    <n v="0"/>
    <m/>
    <m/>
    <n v="5760"/>
    <n v="5660"/>
    <n v="5760"/>
    <n v="-100"/>
  </r>
  <r>
    <s v="2-01-02-01-016"/>
    <s v="2-01-02-01-016-SESSI PAYABLEPILER"/>
    <x v="2"/>
    <x v="6"/>
    <x v="29"/>
    <s v="PILER"/>
    <n v="0"/>
    <n v="14100"/>
    <n v="64800"/>
    <n v="64800"/>
    <n v="0"/>
    <n v="14100"/>
    <m/>
    <m/>
    <m/>
    <n v="0"/>
    <n v="14100"/>
    <n v="-14100"/>
  </r>
  <r>
    <s v="2-01-02-02-001"/>
    <s v="2-01-02-02-001-SUPPLIER INCOME TAX WITHHOLDPILER"/>
    <x v="2"/>
    <x v="6"/>
    <x v="29"/>
    <s v="PILER"/>
    <n v="0"/>
    <n v="4664"/>
    <n v="771003"/>
    <n v="766339"/>
    <n v="0"/>
    <n v="0"/>
    <m/>
    <m/>
    <m/>
    <n v="0"/>
    <n v="0"/>
    <n v="0"/>
  </r>
  <r>
    <s v="2-01-02-02-002"/>
    <s v="2-01-02-02-002-STAFF INCOME TAX WITHHOLDPILER"/>
    <x v="2"/>
    <x v="6"/>
    <x v="29"/>
    <s v="PILER"/>
    <n v="0"/>
    <n v="0"/>
    <n v="235495"/>
    <n v="251370"/>
    <n v="0"/>
    <n v="15875"/>
    <m/>
    <m/>
    <n v="6008"/>
    <n v="0"/>
    <n v="21883"/>
    <n v="-21883"/>
  </r>
  <r>
    <s v="2-01-02-02-004"/>
    <s v="2-01-02-02-004-SALES TAX WITHHOLDPILER"/>
    <x v="2"/>
    <x v="6"/>
    <x v="29"/>
    <s v="PILER"/>
    <n v="0"/>
    <n v="3106"/>
    <n v="0"/>
    <n v="0"/>
    <n v="0"/>
    <n v="3106"/>
    <m/>
    <m/>
    <m/>
    <n v="0"/>
    <n v="3106"/>
    <n v="-3106"/>
  </r>
  <r>
    <s v="2-01-03-01-002"/>
    <s v="2-01-03-01-002-Other LiabilitiesPILER"/>
    <x v="2"/>
    <x v="6"/>
    <x v="29"/>
    <s v="PILER"/>
    <n v="0"/>
    <n v="229888"/>
    <n v="307840"/>
    <n v="215000"/>
    <n v="0"/>
    <n v="137048"/>
    <m/>
    <m/>
    <n v="207360"/>
    <n v="0"/>
    <n v="344408"/>
    <n v="-344408"/>
  </r>
  <r>
    <s v="2-01-03-01-002"/>
    <s v="2-01-03-01-002-Other LiabilitiesTAF"/>
    <x v="2"/>
    <x v="6"/>
    <x v="29"/>
    <s v="TAF"/>
    <n v="0"/>
    <n v="9710"/>
    <n v="0"/>
    <n v="0"/>
    <n v="0"/>
    <n v="9710"/>
    <m/>
    <m/>
    <m/>
    <n v="0"/>
    <n v="9710"/>
    <n v="-9710"/>
  </r>
  <r>
    <s v="2-02-01-01-001"/>
    <s v="2-02-01-01-001-STAFF GRATUITY PAYABLE ACCOUNTPILER"/>
    <x v="4"/>
    <x v="7"/>
    <x v="30"/>
    <s v="PILER"/>
    <n v="0"/>
    <n v="1940564"/>
    <n v="0"/>
    <n v="0"/>
    <n v="0"/>
    <n v="1940564"/>
    <m/>
    <m/>
    <m/>
    <n v="0"/>
    <n v="1940564"/>
    <n v="-1940564"/>
  </r>
  <r>
    <s v="2-02-01-01-02"/>
    <s v="2-02-01-01-02-Payable to Indus Solar IntlPILER"/>
    <x v="4"/>
    <x v="8"/>
    <x v="31"/>
    <s v="PILER"/>
    <n v="0"/>
    <n v="1924921"/>
    <n v="500000"/>
    <n v="0"/>
    <n v="0"/>
    <n v="1424921"/>
    <m/>
    <m/>
    <m/>
    <n v="0"/>
    <n v="1424921"/>
    <n v="-1424921"/>
  </r>
  <r>
    <s v="3-01-01-01-001"/>
    <s v="3-01-01-01-001-FUND BALANCEPILER"/>
    <x v="5"/>
    <x v="9"/>
    <x v="32"/>
    <s v="PILER"/>
    <n v="28795088.59"/>
    <n v="0"/>
    <n v="0"/>
    <n v="0"/>
    <n v="28795088.59"/>
    <n v="0"/>
    <m/>
    <m/>
    <n v="0"/>
    <n v="28795088.59"/>
    <n v="0"/>
    <n v="28795088.59"/>
  </r>
  <r>
    <s v="3-01-01-01-001"/>
    <s v="3-01-01-01-001-FUND BALANCEETI"/>
    <x v="5"/>
    <x v="9"/>
    <x v="32"/>
    <s v="ETI"/>
    <n v="13322"/>
    <n v="0"/>
    <n v="0"/>
    <n v="0"/>
    <n v="13322"/>
    <n v="0"/>
    <m/>
    <m/>
    <m/>
    <n v="13322"/>
    <n v="0"/>
    <n v="13322"/>
  </r>
  <r>
    <s v="3-01-01-01-001"/>
    <s v="3-01-01-01-001-FUND BALANCEFOSI"/>
    <x v="5"/>
    <x v="9"/>
    <x v="32"/>
    <s v="FOSI"/>
    <n v="0"/>
    <n v="1"/>
    <n v="0"/>
    <n v="0"/>
    <n v="0"/>
    <n v="1"/>
    <m/>
    <m/>
    <m/>
    <n v="0"/>
    <n v="1"/>
    <n v="-1"/>
  </r>
  <r>
    <s v="3-01-01-01-001"/>
    <s v="3-01-01-01-001-FUND BALANCEFNV"/>
    <x v="5"/>
    <x v="9"/>
    <x v="32"/>
    <s v="FNV"/>
    <n v="0"/>
    <n v="1321594.6000000001"/>
    <n v="0"/>
    <n v="0"/>
    <n v="0"/>
    <n v="1321594.6000000001"/>
    <m/>
    <m/>
    <m/>
    <n v="0"/>
    <n v="1321594.6000000001"/>
    <n v="-1321594.6000000001"/>
  </r>
  <r>
    <s v="3-01-01-01-001"/>
    <s v="3-01-01-01-001-FUND BALANCEDAI"/>
    <x v="5"/>
    <x v="9"/>
    <x v="32"/>
    <s v="DAI"/>
    <n v="0"/>
    <n v="1565816"/>
    <n v="0"/>
    <n v="0"/>
    <n v="0"/>
    <n v="1565816"/>
    <m/>
    <m/>
    <m/>
    <n v="0"/>
    <n v="1565816"/>
    <n v="-1565816"/>
  </r>
  <r>
    <s v="3-01-01-01-002"/>
    <s v="3-01-01-01-002-PROMOTING FUND BALANCEUnicef"/>
    <x v="5"/>
    <x v="9"/>
    <x v="32"/>
    <s v="Unicef"/>
    <n v="340760"/>
    <n v="0"/>
    <n v="0"/>
    <n v="0"/>
    <n v="340760"/>
    <n v="0"/>
    <m/>
    <m/>
    <m/>
    <n v="340760"/>
    <n v="0"/>
    <n v="340760"/>
  </r>
  <r>
    <s v="3-01-01-01-002"/>
    <s v="3-01-01-01-002-PROMOTING FUND BALANCEUNICEF-2"/>
    <x v="5"/>
    <x v="9"/>
    <x v="32"/>
    <s v="UNICEF-2"/>
    <n v="0"/>
    <n v="19686"/>
    <n v="0"/>
    <n v="0"/>
    <n v="0"/>
    <n v="19686"/>
    <m/>
    <m/>
    <m/>
    <n v="0"/>
    <n v="19686"/>
    <n v="-19686"/>
  </r>
  <r>
    <s v="3-01-01-01-002"/>
    <s v="3-01-01-01-002-PROMOTING FUND BALANCEUNICEF-3"/>
    <x v="5"/>
    <x v="9"/>
    <x v="32"/>
    <s v="UNICEF-3"/>
    <n v="0"/>
    <n v="113902"/>
    <n v="0"/>
    <n v="0"/>
    <n v="0"/>
    <n v="113902"/>
    <m/>
    <m/>
    <m/>
    <n v="0"/>
    <n v="113902"/>
    <n v="-113902"/>
  </r>
  <r>
    <s v="3-01-01-01-002"/>
    <s v="3-01-01-01-002-PROMOTING FUND BALANCERRCCHR"/>
    <x v="5"/>
    <x v="9"/>
    <x v="32"/>
    <s v="RRCCHR"/>
    <n v="0"/>
    <n v="14053"/>
    <n v="0"/>
    <n v="0"/>
    <n v="0"/>
    <n v="14053"/>
    <m/>
    <m/>
    <m/>
    <n v="0"/>
    <n v="14053"/>
    <n v="-14053"/>
  </r>
  <r>
    <s v="3-01-01-01-003"/>
    <s v="3-01-01-01-003-TDH-MI FUND BALANCETDH &amp; MI"/>
    <x v="5"/>
    <x v="9"/>
    <x v="32"/>
    <s v="TDH &amp; MI"/>
    <n v="0"/>
    <n v="1059128.96"/>
    <n v="0"/>
    <n v="0"/>
    <n v="0"/>
    <n v="1059128.96"/>
    <m/>
    <m/>
    <m/>
    <n v="0"/>
    <n v="1059128.96"/>
    <n v="-1059128.96"/>
  </r>
  <r>
    <s v="3-01-01-01-004"/>
    <s v="3-01-01-01-004-TROCAIRE FUND BALANCETrocaire"/>
    <x v="5"/>
    <x v="9"/>
    <x v="32"/>
    <s v="Trocaire"/>
    <n v="131573.38"/>
    <n v="0"/>
    <n v="0"/>
    <n v="0"/>
    <n v="131573.38"/>
    <n v="0"/>
    <m/>
    <m/>
    <m/>
    <n v="131573.38"/>
    <n v="0"/>
    <n v="131573.38"/>
  </r>
  <r>
    <s v="3-01-01-01-005"/>
    <s v="3-01-01-01-005-TDH PAK FUND BALANCETDH Pak"/>
    <x v="5"/>
    <x v="9"/>
    <x v="32"/>
    <s v="TDH Pak"/>
    <n v="0"/>
    <n v="160"/>
    <n v="0"/>
    <n v="0"/>
    <n v="0"/>
    <n v="160"/>
    <m/>
    <m/>
    <m/>
    <n v="0"/>
    <n v="160"/>
    <n v="-160"/>
  </r>
  <r>
    <s v="3-01-01-01-006"/>
    <s v="3-01-01-01-006-ICCO PAK FUND BALANCEICCO Pak"/>
    <x v="5"/>
    <x v="9"/>
    <x v="32"/>
    <s v="ICCO Pak"/>
    <n v="0"/>
    <n v="232"/>
    <n v="0"/>
    <n v="0"/>
    <n v="0"/>
    <n v="232"/>
    <m/>
    <m/>
    <m/>
    <n v="0"/>
    <n v="232"/>
    <n v="-232"/>
  </r>
  <r>
    <s v="3-01-01-01-007"/>
    <s v="3-01-01-01-007-TAF FUND BALANCETAF"/>
    <x v="5"/>
    <x v="9"/>
    <x v="32"/>
    <s v="TAF"/>
    <n v="0"/>
    <n v="143742"/>
    <n v="0"/>
    <n v="0"/>
    <n v="0"/>
    <n v="143742"/>
    <m/>
    <m/>
    <m/>
    <n v="0"/>
    <n v="143742"/>
    <n v="-143742"/>
  </r>
  <r>
    <s v="3-01-01-01-008"/>
    <s v="3-01-01-01-008-ICCO PROJECT FUND BALANCEICCO"/>
    <x v="5"/>
    <x v="9"/>
    <x v="32"/>
    <s v="ICCO"/>
    <n v="40031.769999999997"/>
    <n v="0"/>
    <n v="0"/>
    <n v="0"/>
    <n v="40031.769999999997"/>
    <n v="0"/>
    <m/>
    <m/>
    <m/>
    <n v="40031.769999999997"/>
    <n v="0"/>
    <n v="40031.769999999997"/>
  </r>
  <r>
    <s v="3-01-01-01-009"/>
    <s v="3-01-01-01-009-DEZAIRE FUND BALANCEDeezire"/>
    <x v="5"/>
    <x v="9"/>
    <x v="32"/>
    <s v="Deezire"/>
    <n v="0"/>
    <n v="1641568"/>
    <n v="0"/>
    <n v="0"/>
    <n v="0"/>
    <n v="1641568"/>
    <m/>
    <m/>
    <m/>
    <n v="0"/>
    <n v="1641568"/>
    <n v="-1641568"/>
  </r>
  <r>
    <s v="3-01-01-01-010"/>
    <s v="3-01-01-01-010-SHORT TERM FUND BALANCEshort projects"/>
    <x v="5"/>
    <x v="9"/>
    <x v="32"/>
    <s v="short projects"/>
    <n v="0"/>
    <n v="6393907.9400000004"/>
    <n v="0"/>
    <n v="0"/>
    <n v="0"/>
    <n v="6393907.9400000004"/>
    <m/>
    <m/>
    <m/>
    <n v="0"/>
    <n v="6393907.9400000004"/>
    <n v="-6393907.9400000004"/>
  </r>
  <r>
    <s v="3-01-01-01-011"/>
    <s v="3-01-01-01-011-TDH FUND BALANCETDH"/>
    <x v="5"/>
    <x v="9"/>
    <x v="32"/>
    <s v="TDH"/>
    <n v="0"/>
    <n v="197501"/>
    <n v="0"/>
    <n v="0"/>
    <n v="0"/>
    <n v="197501"/>
    <m/>
    <m/>
    <m/>
    <n v="0"/>
    <n v="197501"/>
    <n v="-197501"/>
  </r>
  <r>
    <s v="3-01-01-01-012"/>
    <s v="3-01-01-01-012-OSF-Fund balanceOpen Society"/>
    <x v="5"/>
    <x v="9"/>
    <x v="32"/>
    <s v="Open Society"/>
    <n v="0"/>
    <n v="10703356.359999999"/>
    <n v="4732189"/>
    <n v="4732189"/>
    <n v="0"/>
    <n v="10703356.359999999"/>
    <m/>
    <m/>
    <m/>
    <n v="0"/>
    <n v="10703356.359999999"/>
    <n v="-10703356.359999999"/>
  </r>
  <r>
    <s v="4-02-01-01-001"/>
    <s v="4-02-01-01-001-HOSTEL RENT INCOME WITH FOODSPILER"/>
    <x v="6"/>
    <x v="10"/>
    <x v="33"/>
    <s v="PILER"/>
    <n v="0"/>
    <n v="0"/>
    <n v="0"/>
    <n v="564119"/>
    <n v="0"/>
    <n v="564119"/>
    <m/>
    <m/>
    <m/>
    <n v="0"/>
    <n v="564119"/>
    <n v="-564119"/>
  </r>
  <r>
    <s v="4-02-02-01-001"/>
    <s v="4-02-02-01-001-HALL RENTAL INCOMEPILER"/>
    <x v="6"/>
    <x v="10"/>
    <x v="33"/>
    <s v="PILER"/>
    <n v="0"/>
    <n v="0"/>
    <n v="0"/>
    <n v="80000"/>
    <n v="0"/>
    <n v="80000"/>
    <m/>
    <m/>
    <m/>
    <n v="0"/>
    <n v="80000"/>
    <n v="-80000"/>
  </r>
  <r>
    <s v="4-03-01-01-001"/>
    <s v="4-03-01-01-001-DONATION FROM LOCAL SOURCEPILER"/>
    <x v="7"/>
    <x v="11"/>
    <x v="34"/>
    <s v="PILER"/>
    <n v="0"/>
    <n v="0"/>
    <n v="50000"/>
    <n v="350002"/>
    <n v="0"/>
    <n v="300002"/>
    <m/>
    <m/>
    <n v="315575"/>
    <n v="0"/>
    <n v="615577"/>
    <n v="-615577"/>
  </r>
  <r>
    <s v="4-03-01-01-002"/>
    <s v="4-03-01-01-002-DONATION FROM PLTPILER"/>
    <x v="7"/>
    <x v="11"/>
    <x v="34"/>
    <s v="PILER"/>
    <n v="0"/>
    <n v="0"/>
    <n v="0"/>
    <n v="288623"/>
    <n v="0"/>
    <n v="288623"/>
    <m/>
    <m/>
    <m/>
    <n v="0"/>
    <n v="288623"/>
    <n v="-288623"/>
  </r>
  <r>
    <s v="4-03-01-01-004"/>
    <s v="4-03-01-01-004-Donation for Rasheed Rizvi CentreRRCCHR"/>
    <x v="7"/>
    <x v="11"/>
    <x v="34"/>
    <s v="RRCCHR"/>
    <n v="0"/>
    <n v="0"/>
    <n v="749469"/>
    <n v="754469"/>
    <n v="0"/>
    <n v="5000"/>
    <m/>
    <m/>
    <m/>
    <n v="0"/>
    <n v="5000"/>
    <n v="-5000"/>
  </r>
  <r>
    <s v="4-03-01-01-006"/>
    <s v="4-03-01-01-006-Donation for Mapping on Pharmashort projects"/>
    <x v="7"/>
    <x v="11"/>
    <x v="34"/>
    <s v="short projects"/>
    <n v="0"/>
    <n v="0"/>
    <n v="0"/>
    <n v="275000"/>
    <n v="0"/>
    <n v="275000"/>
    <m/>
    <m/>
    <m/>
    <n v="0"/>
    <n v="275000"/>
    <n v="-275000"/>
  </r>
  <r>
    <s v="4-03-01-02-030"/>
    <s v="4-03-01-02-030-DONATION FROM CLEAN CLOTH CAMPshort projects"/>
    <x v="7"/>
    <x v="11"/>
    <x v="34"/>
    <s v="short projects"/>
    <n v="0"/>
    <n v="0"/>
    <n v="0"/>
    <n v="1458270.83"/>
    <n v="0"/>
    <n v="1458270.83"/>
    <m/>
    <m/>
    <m/>
    <n v="0"/>
    <n v="1458270.83"/>
    <n v="-1458270.83"/>
  </r>
  <r>
    <s v="4-03-01-02-034"/>
    <s v="4-03-01-02-034-DONATION FROM DAIDAI"/>
    <x v="7"/>
    <x v="11"/>
    <x v="34"/>
    <s v="DAI"/>
    <n v="0"/>
    <n v="0"/>
    <n v="0"/>
    <n v="2801076"/>
    <n v="0"/>
    <n v="2801076"/>
    <m/>
    <m/>
    <m/>
    <n v="0"/>
    <n v="2801076"/>
    <n v="-2801076"/>
  </r>
  <r>
    <s v="4-03-01-02-037"/>
    <s v="4-03-01-02-037-Donation from ETIETI"/>
    <x v="7"/>
    <x v="11"/>
    <x v="34"/>
    <s v="ETI"/>
    <n v="0"/>
    <n v="0"/>
    <n v="0"/>
    <n v="8451708"/>
    <n v="0"/>
    <n v="8451708"/>
    <m/>
    <m/>
    <m/>
    <n v="0"/>
    <n v="8451708"/>
    <n v="-8451708"/>
  </r>
  <r>
    <s v="4-03-01-02-042"/>
    <s v="4-03-01-02-042-DONATION FROM WOMENS FUND ASIAPILER"/>
    <x v="7"/>
    <x v="11"/>
    <x v="34"/>
    <s v="PILER"/>
    <n v="0"/>
    <n v="0"/>
    <n v="6555"/>
    <n v="776600"/>
    <n v="0"/>
    <n v="770045"/>
    <m/>
    <m/>
    <m/>
    <n v="0"/>
    <n v="770045"/>
    <n v="-770045"/>
  </r>
  <r>
    <s v="4-03-01-06-001"/>
    <s v="4-03-01-06-001-Donation from AVAAZ The World in ActionPILER"/>
    <x v="7"/>
    <x v="11"/>
    <x v="34"/>
    <s v="PILER"/>
    <n v="0"/>
    <n v="0"/>
    <n v="0"/>
    <n v="782070"/>
    <n v="0"/>
    <n v="782070"/>
    <m/>
    <m/>
    <m/>
    <n v="0"/>
    <n v="782070"/>
    <n v="-782070"/>
  </r>
  <r>
    <s v="4-04-01-01-007"/>
    <s v="4-04-01-01-007-OFFICE RENTAL INCOMEPILER"/>
    <x v="6"/>
    <x v="12"/>
    <x v="35"/>
    <s v="PILER"/>
    <n v="0"/>
    <n v="0"/>
    <n v="0"/>
    <n v="60000"/>
    <n v="0"/>
    <n v="60000"/>
    <m/>
    <m/>
    <m/>
    <n v="0"/>
    <n v="60000"/>
    <n v="-60000"/>
  </r>
  <r>
    <s v="5-01-01-01-001"/>
    <s v="5-01-01-01-001-STAFF SALARIES EXPENSEPILER"/>
    <x v="8"/>
    <x v="13"/>
    <x v="36"/>
    <s v="PILER"/>
    <n v="0"/>
    <n v="0"/>
    <n v="5183502"/>
    <n v="1245070"/>
    <n v="3938432"/>
    <n v="0"/>
    <m/>
    <m/>
    <m/>
    <n v="3938432"/>
    <n v="0"/>
    <n v="3938432"/>
  </r>
  <r>
    <s v="5-01-01-01-002"/>
    <s v="5-01-01-01-002-STAFF OVERTIMEPILER"/>
    <x v="8"/>
    <x v="13"/>
    <x v="36"/>
    <s v="PILER"/>
    <n v="0"/>
    <n v="0"/>
    <n v="52772"/>
    <n v="0"/>
    <n v="52772"/>
    <n v="0"/>
    <m/>
    <m/>
    <m/>
    <n v="52772"/>
    <n v="0"/>
    <n v="52772"/>
  </r>
  <r>
    <s v="5-01-01-02-001"/>
    <s v="5-01-01-02-001-ELECTRICITY EXPENSEPILER"/>
    <x v="8"/>
    <x v="14"/>
    <x v="37"/>
    <s v="PILER"/>
    <n v="0"/>
    <n v="0"/>
    <n v="358228"/>
    <n v="63470"/>
    <n v="294758"/>
    <n v="0"/>
    <m/>
    <m/>
    <m/>
    <n v="294758"/>
    <n v="0"/>
    <n v="294758"/>
  </r>
  <r>
    <s v="5-01-01-02-002"/>
    <s v="5-01-01-02-002-GAS CHARGES SSGCPILER"/>
    <x v="8"/>
    <x v="14"/>
    <x v="37"/>
    <s v="PILER"/>
    <n v="0"/>
    <n v="0"/>
    <n v="291490"/>
    <n v="53780"/>
    <n v="237710"/>
    <n v="0"/>
    <m/>
    <m/>
    <m/>
    <n v="237710"/>
    <n v="0"/>
    <n v="237710"/>
  </r>
  <r>
    <s v="5-01-01-02-003"/>
    <s v="5-01-01-02-003-TELEPHONE, MOBILE &amp; INTERNETPILER"/>
    <x v="8"/>
    <x v="15"/>
    <x v="38"/>
    <s v="PILER"/>
    <n v="0"/>
    <n v="0"/>
    <n v="309780"/>
    <n v="29250"/>
    <n v="280530"/>
    <n v="0"/>
    <m/>
    <m/>
    <m/>
    <n v="280530"/>
    <n v="0"/>
    <n v="280530"/>
  </r>
  <r>
    <s v="5-01-01-02-004"/>
    <s v="5-01-01-02-004-WATER &amp; SEWARAGE CHARGESPILER"/>
    <x v="8"/>
    <x v="14"/>
    <x v="37"/>
    <s v="PILER"/>
    <n v="0"/>
    <n v="0"/>
    <n v="569792"/>
    <n v="65000"/>
    <n v="504792"/>
    <n v="0"/>
    <m/>
    <m/>
    <m/>
    <n v="504792"/>
    <n v="0"/>
    <n v="504792"/>
  </r>
  <r>
    <s v="5-01-01-03-001"/>
    <s v="5-01-01-03-001-VEHICLE FUEL EXPENSEPILER"/>
    <x v="8"/>
    <x v="16"/>
    <x v="39"/>
    <s v="PILER"/>
    <n v="0"/>
    <n v="0"/>
    <n v="678124"/>
    <n v="0"/>
    <n v="678124"/>
    <n v="0"/>
    <m/>
    <m/>
    <n v="200"/>
    <n v="678124"/>
    <n v="200"/>
    <n v="677924"/>
  </r>
  <r>
    <s v="5-01-01-03-002"/>
    <s v="5-01-01-03-002-GENERATOR FUEL EXPENSEPILER"/>
    <x v="8"/>
    <x v="16"/>
    <x v="39"/>
    <s v="PILER"/>
    <n v="0"/>
    <n v="0"/>
    <n v="5155"/>
    <n v="0"/>
    <n v="5155"/>
    <n v="0"/>
    <m/>
    <m/>
    <m/>
    <n v="5155"/>
    <n v="0"/>
    <n v="5155"/>
  </r>
  <r>
    <s v="5-01-01-04-001"/>
    <s v="5-01-01-04-001-VEHICLE REPAIR &amp; MAINTENANCEPILER"/>
    <x v="8"/>
    <x v="17"/>
    <x v="40"/>
    <s v="PILER"/>
    <n v="0"/>
    <n v="0"/>
    <n v="148074"/>
    <n v="0"/>
    <n v="148074"/>
    <n v="0"/>
    <m/>
    <m/>
    <n v="1440"/>
    <n v="148074"/>
    <n v="1440"/>
    <n v="146634"/>
  </r>
  <r>
    <s v="5-01-01-04-002"/>
    <s v="5-01-01-04-002-GENERAL  REPAIR &amp; MAINTENANCEPILER"/>
    <x v="8"/>
    <x v="18"/>
    <x v="41"/>
    <s v="PILER"/>
    <n v="0"/>
    <n v="0"/>
    <n v="182724"/>
    <n v="0"/>
    <n v="182724"/>
    <n v="0"/>
    <m/>
    <m/>
    <m/>
    <n v="182724"/>
    <n v="0"/>
    <n v="182724"/>
  </r>
  <r>
    <s v="5-01-01-04-003"/>
    <s v="5-01-01-04-003-BUILDING REPAIR &amp; MAINTENANCEPILER"/>
    <x v="8"/>
    <x v="18"/>
    <x v="41"/>
    <s v="PILER"/>
    <n v="0"/>
    <n v="0"/>
    <n v="23740"/>
    <n v="0"/>
    <n v="23740"/>
    <n v="0"/>
    <m/>
    <m/>
    <m/>
    <n v="23740"/>
    <n v="0"/>
    <n v="23740"/>
  </r>
  <r>
    <s v="5-01-01-04-004"/>
    <s v="5-01-01-04-004-EQUIPMENTS REPAIR &amp; MAINTENANCPILER"/>
    <x v="8"/>
    <x v="19"/>
    <x v="42"/>
    <s v="PILER"/>
    <n v="0"/>
    <n v="0"/>
    <n v="39600"/>
    <n v="0"/>
    <n v="39600"/>
    <n v="0"/>
    <m/>
    <m/>
    <m/>
    <n v="39600"/>
    <n v="0"/>
    <n v="39600"/>
  </r>
  <r>
    <s v="5-01-01-04-006"/>
    <s v="5-01-01-04-006-COMPUTER REPAIR &amp; MAINTENANCEPILER"/>
    <x v="8"/>
    <x v="19"/>
    <x v="42"/>
    <s v="PILER"/>
    <n v="0"/>
    <n v="0"/>
    <n v="25720"/>
    <n v="0"/>
    <n v="25720"/>
    <n v="0"/>
    <m/>
    <m/>
    <n v="13750"/>
    <n v="25720"/>
    <n v="13750"/>
    <n v="11970"/>
  </r>
  <r>
    <s v="5-01-01-06-001"/>
    <s v="5-01-01-06-001-POSTAGE &amp; COURIERPILER"/>
    <x v="8"/>
    <x v="20"/>
    <x v="43"/>
    <s v="PILER"/>
    <n v="0"/>
    <n v="0"/>
    <n v="38201"/>
    <n v="0"/>
    <n v="38201"/>
    <n v="0"/>
    <m/>
    <m/>
    <m/>
    <n v="38201"/>
    <n v="0"/>
    <n v="38201"/>
  </r>
  <r>
    <s v="5-01-01-06-002"/>
    <s v="5-01-01-06-002-PRINTING &amp; STATIONERIESPILER"/>
    <x v="8"/>
    <x v="21"/>
    <x v="44"/>
    <s v="PILER"/>
    <n v="0"/>
    <n v="0"/>
    <n v="80147"/>
    <n v="0"/>
    <n v="80147"/>
    <n v="0"/>
    <m/>
    <m/>
    <m/>
    <n v="80147"/>
    <n v="0"/>
    <n v="80147"/>
  </r>
  <r>
    <s v="5-01-01-06-003"/>
    <s v="5-01-01-06-003-PHOTOCOPY &amp; COMPUT ACCESSARIESPILER"/>
    <x v="8"/>
    <x v="21"/>
    <x v="44"/>
    <s v="PILER"/>
    <n v="0"/>
    <n v="0"/>
    <n v="34617"/>
    <n v="0"/>
    <n v="34617"/>
    <n v="0"/>
    <m/>
    <m/>
    <m/>
    <n v="34617"/>
    <n v="0"/>
    <n v="34617"/>
  </r>
  <r>
    <s v="5-01-01-06-004"/>
    <s v="5-01-01-06-004-MISC. EXPENSESPILER"/>
    <x v="8"/>
    <x v="22"/>
    <x v="45"/>
    <s v="PILER"/>
    <n v="0"/>
    <n v="0"/>
    <n v="222454"/>
    <n v="375"/>
    <n v="222079"/>
    <n v="0"/>
    <m/>
    <m/>
    <n v="600"/>
    <n v="222079"/>
    <n v="600"/>
    <n v="221479"/>
  </r>
  <r>
    <s v="5-01-01-06-005"/>
    <s v="5-01-01-06-005-VEHICLE TOLL TAXPILER"/>
    <x v="8"/>
    <x v="16"/>
    <x v="39"/>
    <s v="PILER"/>
    <n v="0"/>
    <n v="0"/>
    <n v="46320"/>
    <n v="0"/>
    <n v="46320"/>
    <n v="0"/>
    <m/>
    <m/>
    <n v="840"/>
    <n v="46320"/>
    <n v="840"/>
    <n v="45480"/>
  </r>
  <r>
    <s v="5-01-01-06-006"/>
    <s v="5-01-01-06-006-TRANSPORTATION EXPENSEPILER"/>
    <x v="8"/>
    <x v="16"/>
    <x v="39"/>
    <s v="PILER"/>
    <n v="0"/>
    <n v="0"/>
    <n v="172517"/>
    <n v="68000"/>
    <n v="104517"/>
    <n v="0"/>
    <m/>
    <m/>
    <n v="2000"/>
    <n v="104517"/>
    <n v="2000"/>
    <n v="102517"/>
  </r>
  <r>
    <s v="5-01-01-06-007"/>
    <s v="5-01-01-06-007-TRAVELLING EXPENSESPILER"/>
    <x v="8"/>
    <x v="16"/>
    <x v="39"/>
    <s v="PILER"/>
    <n v="0"/>
    <n v="0"/>
    <n v="589018"/>
    <n v="0"/>
    <n v="589018"/>
    <n v="0"/>
    <m/>
    <m/>
    <m/>
    <n v="589018"/>
    <n v="0"/>
    <n v="589018"/>
  </r>
  <r>
    <s v="5-01-01-06-008"/>
    <s v="5-01-01-06-008-PROGRAMME STAFF/ BAORD MEETINGPILER"/>
    <x v="9"/>
    <x v="23"/>
    <x v="46"/>
    <s v="PILER"/>
    <n v="0"/>
    <n v="0"/>
    <n v="7650"/>
    <n v="0"/>
    <n v="7650"/>
    <n v="0"/>
    <m/>
    <m/>
    <m/>
    <n v="7650"/>
    <n v="0"/>
    <n v="7650"/>
  </r>
  <r>
    <s v="5-01-01-06-012"/>
    <s v="5-01-01-06-012-LIBRARY BOOKS &amp; PERIODICALSPILER"/>
    <x v="8"/>
    <x v="21"/>
    <x v="44"/>
    <s v="PILER"/>
    <n v="0"/>
    <n v="0"/>
    <n v="85024"/>
    <n v="0"/>
    <n v="85024"/>
    <n v="0"/>
    <m/>
    <m/>
    <m/>
    <n v="85024"/>
    <n v="0"/>
    <n v="85024"/>
  </r>
  <r>
    <s v="5-01-01-07-001"/>
    <s v="5-01-01-07-001-LEGAL &amp; PROFESSIONAL FEEPILER"/>
    <x v="8"/>
    <x v="24"/>
    <x v="47"/>
    <s v="PILER"/>
    <n v="0"/>
    <n v="0"/>
    <n v="46284"/>
    <n v="0"/>
    <n v="46284"/>
    <n v="0"/>
    <m/>
    <n v="247360"/>
    <m/>
    <n v="293644"/>
    <n v="0"/>
    <n v="293644"/>
  </r>
  <r>
    <s v="5-01-01-07-003"/>
    <s v="5-01-01-07-003-CONSULTANCY CHARGESPILER"/>
    <x v="8"/>
    <x v="25"/>
    <x v="48"/>
    <s v="PILER"/>
    <n v="0"/>
    <n v="0"/>
    <n v="50000"/>
    <n v="0"/>
    <n v="50000"/>
    <n v="0"/>
    <m/>
    <m/>
    <m/>
    <n v="50000"/>
    <n v="0"/>
    <n v="50000"/>
  </r>
  <r>
    <s v="5-01-01-07-004"/>
    <s v="5-01-01-07-004-VEHICLE TAX &amp; REGISTRATIONSPILER"/>
    <x v="8"/>
    <x v="26"/>
    <x v="49"/>
    <s v="PILER"/>
    <n v="0"/>
    <n v="0"/>
    <n v="8350"/>
    <n v="0"/>
    <n v="8350"/>
    <n v="0"/>
    <m/>
    <m/>
    <m/>
    <n v="8350"/>
    <n v="0"/>
    <n v="8350"/>
  </r>
  <r>
    <s v="5-01-01-08-003"/>
    <s v="5-01-01-08-003-EOBI CONTRIBUTIONSPILER"/>
    <x v="9"/>
    <x v="27"/>
    <x v="50"/>
    <s v="PILER"/>
    <n v="0"/>
    <n v="0"/>
    <n v="52400"/>
    <n v="0"/>
    <n v="52400"/>
    <n v="0"/>
    <m/>
    <n v="4800"/>
    <m/>
    <n v="57200"/>
    <n v="0"/>
    <n v="57200"/>
  </r>
  <r>
    <s v="5-01-01-08-004"/>
    <s v="5-01-01-08-004-SESSI CONTRIBUTIONSPILER"/>
    <x v="9"/>
    <x v="27"/>
    <x v="50"/>
    <s v="PILER"/>
    <n v="0"/>
    <n v="0"/>
    <n v="63360"/>
    <n v="0"/>
    <n v="63360"/>
    <n v="0"/>
    <m/>
    <m/>
    <m/>
    <n v="63360"/>
    <n v="0"/>
    <n v="63360"/>
  </r>
  <r>
    <s v="5-01-01-08-006"/>
    <s v="5-01-01-08-006-STAFF WELFARE EXPENSEPILER"/>
    <x v="9"/>
    <x v="27"/>
    <x v="50"/>
    <s v="PILER"/>
    <n v="0"/>
    <n v="0"/>
    <n v="34000"/>
    <n v="0"/>
    <n v="34000"/>
    <n v="0"/>
    <m/>
    <m/>
    <m/>
    <n v="34000"/>
    <n v="0"/>
    <n v="34000"/>
  </r>
  <r>
    <s v="5-01-01-09-001"/>
    <s v="5-01-01-09-001-BANK CHARGESPILER"/>
    <x v="10"/>
    <x v="28"/>
    <x v="51"/>
    <s v="PILER"/>
    <n v="0"/>
    <n v="0"/>
    <n v="8304.5"/>
    <n v="0"/>
    <n v="8304.5"/>
    <n v="0"/>
    <m/>
    <m/>
    <m/>
    <n v="8304.5"/>
    <n v="0"/>
    <n v="8304.5"/>
  </r>
  <r>
    <s v="5-01-01-09-001"/>
    <s v="5-01-01-09-001-BANK CHARGESshort projects"/>
    <x v="10"/>
    <x v="28"/>
    <x v="51"/>
    <s v="short projects"/>
    <n v="0"/>
    <n v="0"/>
    <n v="237.21"/>
    <n v="0"/>
    <n v="237.21"/>
    <n v="0"/>
    <m/>
    <m/>
    <m/>
    <n v="237.21"/>
    <n v="0"/>
    <n v="237.21"/>
  </r>
  <r>
    <s v="5-01-01-09-001"/>
    <s v="5-01-01-09-001-BANK CHARGESRRCCHR"/>
    <x v="10"/>
    <x v="28"/>
    <x v="51"/>
    <s v="RRCCHR"/>
    <n v="0"/>
    <n v="0"/>
    <n v="118.65"/>
    <n v="0"/>
    <n v="118.65"/>
    <n v="0"/>
    <m/>
    <m/>
    <m/>
    <n v="118.65"/>
    <n v="0"/>
    <n v="118.65"/>
  </r>
  <r>
    <s v="5-01-01-09-001"/>
    <s v="5-01-01-09-001-BANK CHARGESOpen Society"/>
    <x v="10"/>
    <x v="28"/>
    <x v="51"/>
    <s v="Open Society"/>
    <n v="0"/>
    <n v="0"/>
    <n v="2079.15"/>
    <n v="0"/>
    <n v="2079.15"/>
    <n v="0"/>
    <m/>
    <m/>
    <m/>
    <n v="2079.15"/>
    <n v="0"/>
    <n v="2079.15"/>
  </r>
  <r>
    <s v="5-01-01-09-001"/>
    <s v="5-01-01-09-001-BANK CHARGESETI"/>
    <x v="10"/>
    <x v="28"/>
    <x v="51"/>
    <s v="ETI"/>
    <n v="0"/>
    <n v="0"/>
    <n v="1711.95"/>
    <n v="0"/>
    <n v="1711.95"/>
    <n v="0"/>
    <m/>
    <m/>
    <m/>
    <n v="1711.95"/>
    <n v="0"/>
    <n v="1711.95"/>
  </r>
  <r>
    <s v="5-01-01-09-001"/>
    <s v="5-01-01-09-001-BANK CHARGESFNV"/>
    <x v="10"/>
    <x v="28"/>
    <x v="51"/>
    <s v="FNV"/>
    <n v="0"/>
    <n v="0"/>
    <n v="158.19999999999999"/>
    <n v="0"/>
    <n v="158.19999999999999"/>
    <n v="0"/>
    <m/>
    <m/>
    <m/>
    <n v="158.19999999999999"/>
    <n v="0"/>
    <n v="158.19999999999999"/>
  </r>
  <r>
    <s v="5-01-01-09-001"/>
    <s v="5-01-01-09-001-BANK CHARGESDAI"/>
    <x v="10"/>
    <x v="28"/>
    <x v="51"/>
    <s v="DAI"/>
    <n v="0"/>
    <n v="0"/>
    <n v="378.55"/>
    <n v="0"/>
    <n v="378.55"/>
    <n v="0"/>
    <m/>
    <m/>
    <m/>
    <n v="378.55"/>
    <n v="0"/>
    <n v="378.55"/>
  </r>
  <r>
    <s v="5-01-01-10-001"/>
    <s v="5-01-01-10-001-DEPRECIATION EXPENSES-BUILDINGPILER"/>
    <x v="8"/>
    <x v="29"/>
    <x v="52"/>
    <s v="PILER"/>
    <m/>
    <m/>
    <n v="455276"/>
    <m/>
    <n v="455276"/>
    <m/>
    <m/>
    <m/>
    <m/>
    <n v="455276"/>
    <n v="0"/>
    <n v="455276"/>
  </r>
  <r>
    <s v="5-01-01-10-002"/>
    <s v="5-01-01-10-002-DEPRECIATION EX-GENERATORPILER"/>
    <x v="8"/>
    <x v="29"/>
    <x v="52"/>
    <s v="PILER"/>
    <m/>
    <m/>
    <n v="62204"/>
    <m/>
    <n v="62204"/>
    <m/>
    <m/>
    <m/>
    <m/>
    <n v="62204"/>
    <n v="0"/>
    <n v="62204"/>
  </r>
  <r>
    <s v="5-01-01-10-003"/>
    <s v="5-01-01-10-003-DEPRECIATION EX-ELEC INSTALLAPILER"/>
    <x v="8"/>
    <x v="29"/>
    <x v="52"/>
    <s v="PILER"/>
    <m/>
    <m/>
    <n v="393542"/>
    <m/>
    <n v="393542"/>
    <m/>
    <m/>
    <m/>
    <m/>
    <n v="393542"/>
    <n v="0"/>
    <n v="393542"/>
  </r>
  <r>
    <s v="5-01-01-10-004"/>
    <s v="5-01-01-10-004-DEPRECIATION EX- OFFICE EQUIPPILER"/>
    <x v="8"/>
    <x v="29"/>
    <x v="52"/>
    <s v="PILER"/>
    <m/>
    <m/>
    <n v="23791"/>
    <m/>
    <n v="23791"/>
    <m/>
    <m/>
    <m/>
    <m/>
    <n v="23791"/>
    <n v="0"/>
    <n v="23791"/>
  </r>
  <r>
    <s v="5-01-01-10-005"/>
    <s v="5-01-01-10-005-DEPRECIATION EXP-FUR &amp; FIXPILER"/>
    <x v="8"/>
    <x v="29"/>
    <x v="52"/>
    <s v="PILER"/>
    <m/>
    <m/>
    <n v="20854"/>
    <m/>
    <n v="20854"/>
    <m/>
    <m/>
    <m/>
    <m/>
    <n v="20854"/>
    <n v="0"/>
    <n v="20854"/>
  </r>
  <r>
    <s v="5-01-01-10-007"/>
    <s v="5-01-01-10-007-DEPRECITION EX-MOTOR VEHICLEPILER"/>
    <x v="8"/>
    <x v="29"/>
    <x v="52"/>
    <s v="PILER"/>
    <m/>
    <m/>
    <n v="285200"/>
    <m/>
    <n v="285200"/>
    <m/>
    <m/>
    <m/>
    <m/>
    <n v="285200"/>
    <n v="0"/>
    <n v="285200"/>
  </r>
  <r>
    <s v="5-01-01-12-001"/>
    <s v="5-01-01-12-001-CLEANING &amp; LAUNDRYPILER"/>
    <x v="8"/>
    <x v="22"/>
    <x v="45"/>
    <s v="PILER"/>
    <n v="0"/>
    <n v="0"/>
    <n v="89243"/>
    <n v="0"/>
    <n v="89243"/>
    <n v="0"/>
    <m/>
    <m/>
    <n v="540"/>
    <n v="89243"/>
    <n v="540"/>
    <n v="88703"/>
  </r>
  <r>
    <s v="5-01-02-06-012"/>
    <s v="5-01-02-06-012-SEMINARSPILER"/>
    <x v="9"/>
    <x v="23"/>
    <x v="46"/>
    <s v="PILER"/>
    <n v="0"/>
    <n v="0"/>
    <n v="46165"/>
    <n v="0"/>
    <n v="46165"/>
    <n v="0"/>
    <m/>
    <m/>
    <m/>
    <n v="46165"/>
    <n v="0"/>
    <n v="46165"/>
  </r>
  <r>
    <s v="5-01-02-06-036"/>
    <s v="5-01-02-06-036-PRESS CONF &amp; MEDIA MOBLIZATIONPILER"/>
    <x v="9"/>
    <x v="23"/>
    <x v="46"/>
    <s v="PILER"/>
    <n v="0"/>
    <n v="0"/>
    <n v="97000"/>
    <n v="0"/>
    <n v="97000"/>
    <n v="0"/>
    <m/>
    <m/>
    <m/>
    <n v="97000"/>
    <n v="0"/>
    <n v="97000"/>
  </r>
  <r>
    <s v="5-01-02-07-005"/>
    <s v="5-01-02-07-005-PEACE SEMINAR ACTIVITIESPILER"/>
    <x v="9"/>
    <x v="23"/>
    <x v="46"/>
    <s v="PILER"/>
    <n v="0"/>
    <n v="0"/>
    <n v="61432"/>
    <n v="0"/>
    <n v="61432"/>
    <n v="0"/>
    <m/>
    <n v="32500"/>
    <m/>
    <n v="93932"/>
    <n v="0"/>
    <n v="93932"/>
  </r>
  <r>
    <s v="5-01-02-07-013"/>
    <s v="5-01-02-07-013-DREAM WORLD CHARGESPILER"/>
    <x v="8"/>
    <x v="30"/>
    <x v="53"/>
    <s v="PILER"/>
    <n v="0"/>
    <n v="0"/>
    <n v="67400"/>
    <n v="0"/>
    <n v="67400"/>
    <n v="0"/>
    <m/>
    <m/>
    <m/>
    <n v="67400"/>
    <n v="0"/>
    <n v="67400"/>
  </r>
  <r>
    <s v="5-01-02-07-014"/>
    <s v="5-01-02-07-014-PAYMENT OF LOCAL DONATIONSPILER"/>
    <x v="8"/>
    <x v="31"/>
    <x v="54"/>
    <s v="PILER"/>
    <n v="0"/>
    <n v="0"/>
    <n v="54000"/>
    <n v="0"/>
    <n v="54000"/>
    <n v="0"/>
    <m/>
    <m/>
    <m/>
    <n v="54000"/>
    <n v="0"/>
    <n v="54000"/>
  </r>
  <r>
    <s v="5-01-02-07-023"/>
    <s v="5-01-02-07-023-PILER STAFF TRAINING &amp; EDUCAT.PILER"/>
    <x v="9"/>
    <x v="23"/>
    <x v="46"/>
    <s v="PILER"/>
    <n v="0"/>
    <n v="0"/>
    <n v="25322"/>
    <n v="0"/>
    <n v="25322"/>
    <n v="0"/>
    <m/>
    <m/>
    <m/>
    <n v="25322"/>
    <n v="0"/>
    <n v="25322"/>
  </r>
  <r>
    <s v="5-01-02-07-036"/>
    <s v="5-01-02-07-036-WORKSHOP &amp; TRAININGPILER"/>
    <x v="9"/>
    <x v="32"/>
    <x v="55"/>
    <s v="PILER"/>
    <n v="0"/>
    <n v="0"/>
    <n v="332300"/>
    <n v="0"/>
    <n v="332300"/>
    <n v="0"/>
    <m/>
    <n v="80000"/>
    <n v="6630"/>
    <n v="412300"/>
    <n v="6630"/>
    <n v="405670"/>
  </r>
  <r>
    <s v="5-01-02-07-040"/>
    <s v="5-01-02-07-040-MEMORIAL PROGRAMMESPILER"/>
    <x v="9"/>
    <x v="23"/>
    <x v="46"/>
    <s v="PILER"/>
    <n v="0"/>
    <n v="0"/>
    <n v="9890"/>
    <n v="0"/>
    <n v="9890"/>
    <n v="0"/>
    <m/>
    <m/>
    <m/>
    <n v="9890"/>
    <n v="0"/>
    <n v="9890"/>
  </r>
  <r>
    <s v="5-01-02-07-047"/>
    <s v="5-01-02-07-047-National Labour Council.PILER"/>
    <x v="9"/>
    <x v="32"/>
    <x v="55"/>
    <s v="PILER"/>
    <n v="0"/>
    <n v="0"/>
    <n v="313380"/>
    <n v="0"/>
    <n v="313380"/>
    <n v="0"/>
    <m/>
    <m/>
    <m/>
    <n v="313380"/>
    <n v="0"/>
    <n v="313380"/>
  </r>
  <r>
    <s v="5-01-02-07-048"/>
    <s v="5-01-02-07-048-Mapping on Pharma Sectorsshort projects"/>
    <x v="9"/>
    <x v="33"/>
    <x v="56"/>
    <s v="short projects"/>
    <n v="0"/>
    <n v="0"/>
    <n v="260000"/>
    <n v="0"/>
    <n v="260000"/>
    <n v="0"/>
    <m/>
    <m/>
    <m/>
    <n v="260000"/>
    <n v="0"/>
    <n v="260000"/>
  </r>
  <r>
    <s v="5-01-02-48-001"/>
    <s v="5-01-02-48-001-OS-1.1-Project Coordinator / Manager Open Society"/>
    <x v="9"/>
    <x v="34"/>
    <x v="36"/>
    <s v="Open Society"/>
    <n v="0"/>
    <n v="0"/>
    <n v="840000"/>
    <n v="0"/>
    <n v="840000"/>
    <n v="0"/>
    <m/>
    <m/>
    <m/>
    <n v="840000"/>
    <n v="0"/>
    <n v="840000"/>
  </r>
  <r>
    <s v="5-01-02-48-002"/>
    <s v="5-01-02-48-002-OS-1.2-Senior Programme Staff Open Society"/>
    <x v="9"/>
    <x v="34"/>
    <x v="36"/>
    <s v="Open Society"/>
    <n v="0"/>
    <n v="0"/>
    <n v="720000"/>
    <n v="0"/>
    <n v="720000"/>
    <n v="0"/>
    <m/>
    <m/>
    <m/>
    <n v="720000"/>
    <n v="0"/>
    <n v="720000"/>
  </r>
  <r>
    <s v="5-01-02-48-004"/>
    <s v="5-01-02-48-004-OS-1.4-Finance OfficerOpen Society"/>
    <x v="8"/>
    <x v="13"/>
    <x v="36"/>
    <s v="Open Society"/>
    <n v="0"/>
    <n v="0"/>
    <n v="423000"/>
    <n v="0"/>
    <n v="423000"/>
    <n v="0"/>
    <m/>
    <m/>
    <m/>
    <n v="423000"/>
    <n v="0"/>
    <n v="423000"/>
  </r>
  <r>
    <s v="5-01-02-48-005"/>
    <s v="5-01-02-48-005-OS-1.5-Admin Officer/ LogisticOpen Society"/>
    <x v="8"/>
    <x v="13"/>
    <x v="36"/>
    <s v="Open Society"/>
    <n v="0"/>
    <n v="0"/>
    <n v="150000"/>
    <n v="0"/>
    <n v="150000"/>
    <n v="0"/>
    <m/>
    <m/>
    <m/>
    <n v="150000"/>
    <n v="0"/>
    <n v="150000"/>
  </r>
  <r>
    <s v="5-01-02-48-008"/>
    <s v="5-01-02-48-008-OS-5.1-Multi-stakeholders consultation human rights treaties &amp; Core Labour Rights Open Society"/>
    <x v="9"/>
    <x v="35"/>
    <x v="57"/>
    <s v="Open Society"/>
    <n v="0"/>
    <n v="0"/>
    <n v="858977"/>
    <n v="0"/>
    <n v="858977"/>
    <n v="0"/>
    <m/>
    <m/>
    <m/>
    <n v="858977"/>
    <n v="0"/>
    <n v="858977"/>
  </r>
  <r>
    <s v="5-01-02-48-009"/>
    <s v="5-01-02-48-009-OS-5.2-National conference on human rights, labour rights treaties and conventions.Open Society"/>
    <x v="9"/>
    <x v="35"/>
    <x v="58"/>
    <s v="Open Society"/>
    <n v="0"/>
    <n v="0"/>
    <n v="1003979"/>
    <n v="0"/>
    <n v="1003979"/>
    <n v="0"/>
    <m/>
    <m/>
    <m/>
    <n v="1003979"/>
    <n v="0"/>
    <n v="1003979"/>
  </r>
  <r>
    <s v="5-01-02-48-010"/>
    <s v="5-01-02-48-010-OS-5.3-Briefing paper on status of implement of the int treaties and convent since Jan-14Open Society"/>
    <x v="9"/>
    <x v="35"/>
    <x v="57"/>
    <s v="Open Society"/>
    <n v="0"/>
    <n v="0"/>
    <n v="250000"/>
    <n v="0"/>
    <n v="250000"/>
    <n v="0"/>
    <m/>
    <m/>
    <m/>
    <n v="250000"/>
    <n v="0"/>
    <n v="250000"/>
  </r>
  <r>
    <s v="5-01-02-48-011"/>
    <s v="5-01-02-48-011-OS-5.4-In depth analy of const &amp; bottlenecks in imple  &amp; lab rights instru rela to GSP+Open Society"/>
    <x v="9"/>
    <x v="35"/>
    <x v="58"/>
    <s v="Open Society"/>
    <n v="0"/>
    <n v="0"/>
    <n v="50000"/>
    <n v="0"/>
    <n v="50000"/>
    <n v="0"/>
    <m/>
    <m/>
    <m/>
    <n v="50000"/>
    <n v="0"/>
    <n v="50000"/>
  </r>
  <r>
    <s v="5-01-02-48-012"/>
    <s v="5-01-02-48-012-OS-5.5-Awareness/ Advoccay Sessions with legislators &amp; civil society  Open Society"/>
    <x v="9"/>
    <x v="35"/>
    <x v="58"/>
    <s v="Open Society"/>
    <n v="0"/>
    <n v="0"/>
    <n v="459652"/>
    <n v="0"/>
    <n v="459652"/>
    <n v="0"/>
    <m/>
    <m/>
    <m/>
    <n v="459652"/>
    <n v="0"/>
    <n v="459652"/>
  </r>
  <r>
    <s v="5-01-02-48-013"/>
    <s v="5-01-02-48-013-OS-5.6-Advoccay &amp; Networking meetings Open Society"/>
    <x v="9"/>
    <x v="35"/>
    <x v="58"/>
    <s v="Open Society"/>
    <n v="0"/>
    <n v="0"/>
    <n v="50000"/>
    <n v="0"/>
    <n v="50000"/>
    <n v="0"/>
    <m/>
    <m/>
    <m/>
    <n v="50000"/>
    <n v="0"/>
    <n v="50000"/>
  </r>
  <r>
    <s v="5-01-02-48-014"/>
    <s v="5-01-02-48-014-OS-5.7-Qrtly media update ( incl press conf &amp; statements) on GSP plus implementation status.Open Society"/>
    <x v="9"/>
    <x v="35"/>
    <x v="58"/>
    <s v="Open Society"/>
    <n v="0"/>
    <n v="0"/>
    <n v="223497"/>
    <n v="0"/>
    <n v="223497"/>
    <n v="0"/>
    <m/>
    <m/>
    <m/>
    <n v="223497"/>
    <n v="0"/>
    <n v="223497"/>
  </r>
  <r>
    <s v="5-01-02-56-004"/>
    <s v="DAI-KCD015-Program Associate"/>
    <x v="9"/>
    <x v="34"/>
    <x v="36"/>
    <s v="DAI"/>
    <n v="0"/>
    <n v="0"/>
    <n v="0"/>
    <n v="0"/>
    <n v="0"/>
    <n v="0"/>
    <n v="0"/>
    <n v="180000"/>
    <n v="0"/>
    <n v="180000"/>
    <n v="0"/>
    <n v="180000"/>
  </r>
  <r>
    <s v="5-01-02-56-006"/>
    <s v="DAI-KCD015- Social mobilizer"/>
    <x v="9"/>
    <x v="34"/>
    <x v="36"/>
    <s v="DAI"/>
    <n v="0"/>
    <n v="0"/>
    <n v="0"/>
    <n v="0"/>
    <n v="0"/>
    <n v="0"/>
    <n v="0"/>
    <n v="150000"/>
    <n v="0"/>
    <n v="150000"/>
    <n v="0"/>
    <n v="150000"/>
  </r>
  <r>
    <s v="5-01-02-56-007"/>
    <s v="DAI-KCD015-Reporting and communication officer"/>
    <x v="9"/>
    <x v="34"/>
    <x v="36"/>
    <s v="DAI"/>
    <n v="0"/>
    <n v="0"/>
    <n v="0"/>
    <n v="0"/>
    <n v="0"/>
    <n v="0"/>
    <n v="0"/>
    <n v="210000"/>
    <n v="0"/>
    <n v="210000"/>
    <n v="0"/>
    <n v="210000"/>
  </r>
  <r>
    <s v="5-01-02-56-005"/>
    <s v="DAI-KCD015-Finance and admin officer"/>
    <x v="8"/>
    <x v="13"/>
    <x v="36"/>
    <s v="DAI"/>
    <n v="0"/>
    <n v="0"/>
    <n v="0"/>
    <n v="0"/>
    <n v="0"/>
    <n v="0"/>
    <n v="0"/>
    <n v="99000"/>
    <n v="0"/>
    <n v="99000"/>
    <n v="0"/>
    <n v="99000"/>
  </r>
  <r>
    <s v="5-01-02-57-005"/>
    <s v="DAI-KCD031-Finance officer"/>
    <x v="8"/>
    <x v="13"/>
    <x v="36"/>
    <s v="DAI"/>
    <n v="0"/>
    <n v="0"/>
    <n v="0"/>
    <n v="0"/>
    <n v="0"/>
    <n v="0"/>
    <n v="0"/>
    <n v="117357"/>
    <n v="0"/>
    <n v="117357"/>
    <n v="0"/>
    <n v="117357"/>
  </r>
  <r>
    <s v="5-01-02-49-014"/>
    <s v="5-01-02-49-014-ETI-Surgical Instruments-Staff cost.ETI"/>
    <x v="9"/>
    <x v="36"/>
    <x v="59"/>
    <s v="ETI"/>
    <n v="0"/>
    <n v="0"/>
    <n v="638742"/>
    <n v="0"/>
    <n v="638742"/>
    <n v="0"/>
    <m/>
    <m/>
    <m/>
    <n v="638742"/>
    <n v="0"/>
    <n v="638742"/>
  </r>
  <r>
    <s v="5-01-02-49-016"/>
    <s v="5-01-02-49-016-ETI-Surgical Instruments-Research ExpensesETI"/>
    <x v="9"/>
    <x v="36"/>
    <x v="59"/>
    <s v="ETI"/>
    <n v="0"/>
    <n v="0"/>
    <n v="581712.76"/>
    <n v="0"/>
    <n v="581712.76"/>
    <n v="0"/>
    <m/>
    <m/>
    <m/>
    <n v="581712.76"/>
    <n v="0"/>
    <n v="581712.76"/>
  </r>
  <r>
    <s v="5-01-02-49-017"/>
    <s v="5-01-02-49-017-ETI-Surgical Instrument-PILER Over HeadETI"/>
    <x v="8"/>
    <x v="13"/>
    <x v="36"/>
    <s v="ETI"/>
    <n v="0"/>
    <n v="0"/>
    <n v="787536"/>
    <n v="0"/>
    <n v="787536"/>
    <n v="0"/>
    <m/>
    <m/>
    <m/>
    <n v="787536"/>
    <n v="0"/>
    <n v="787536"/>
  </r>
  <r>
    <s v="5-01-02-51-002"/>
    <s v="5-01-02-51-002-2.CCC-Regional Coordinating Bodyshort projects"/>
    <x v="9"/>
    <x v="37"/>
    <x v="60"/>
    <s v="short projects"/>
    <n v="0"/>
    <n v="0"/>
    <n v="671066"/>
    <n v="0"/>
    <n v="671066"/>
    <n v="0"/>
    <m/>
    <m/>
    <m/>
    <n v="671066"/>
    <n v="0"/>
    <n v="671066"/>
  </r>
  <r>
    <s v="5-01-02-57-009"/>
    <s v="5-01-02-57-009-DAI-KCD031-1.2 Engagment session in six universities (Session 2 and Three)DAI"/>
    <x v="9"/>
    <x v="38"/>
    <x v="61"/>
    <s v="DAI"/>
    <n v="0"/>
    <n v="0"/>
    <n v="70275"/>
    <n v="0"/>
    <n v="70275"/>
    <n v="0"/>
    <m/>
    <m/>
    <m/>
    <n v="70275"/>
    <n v="0"/>
    <n v="70275"/>
  </r>
  <r>
    <s v="5-01-02-58-001"/>
    <s v="5-01-02-58-001-CCC-ACCORDshort projects"/>
    <x v="9"/>
    <x v="39"/>
    <x v="62"/>
    <s v="short projects"/>
    <n v="0"/>
    <n v="0"/>
    <n v="157334"/>
    <n v="0"/>
    <n v="157334"/>
    <n v="0"/>
    <m/>
    <m/>
    <m/>
    <n v="157334"/>
    <n v="0"/>
    <n v="157334"/>
  </r>
  <r>
    <s v="5-01-02-59-001"/>
    <s v="5-01-02-59-001-Civic Charter 2019short projects"/>
    <x v="9"/>
    <x v="40"/>
    <x v="63"/>
    <s v="short projects"/>
    <n v="0"/>
    <n v="0"/>
    <n v="253200"/>
    <n v="0"/>
    <n v="253200"/>
    <n v="0"/>
    <m/>
    <m/>
    <m/>
    <n v="253200"/>
    <n v="0"/>
    <n v="253200"/>
  </r>
  <r>
    <s v="5-01-02-61-001"/>
    <s v="5-01-02-61-001-Sangat feminist programPILER"/>
    <x v="9"/>
    <x v="23"/>
    <x v="46"/>
    <s v="PILER"/>
    <n v="0"/>
    <n v="0"/>
    <n v="769255"/>
    <n v="0"/>
    <n v="769255"/>
    <n v="0"/>
    <m/>
    <m/>
    <m/>
    <n v="769255"/>
    <n v="0"/>
    <n v="769255"/>
  </r>
  <r>
    <s v="5-01-02-62-002"/>
    <s v="5-01-02-62-002-ETI-DFID#1.2- Project Manager ETI"/>
    <x v="9"/>
    <x v="34"/>
    <x v="36"/>
    <s v="ETI"/>
    <n v="0"/>
    <n v="0"/>
    <n v="2748243"/>
    <n v="0"/>
    <n v="2748243"/>
    <n v="0"/>
    <m/>
    <m/>
    <m/>
    <n v="2748243"/>
    <n v="0"/>
    <n v="2748243"/>
  </r>
  <r>
    <s v="5-01-02-62-004"/>
    <s v="5-01-02-62-004-ETI-DFID#Administration CostETI"/>
    <x v="8"/>
    <x v="41"/>
    <x v="64"/>
    <s v="ETI"/>
    <n v="0"/>
    <n v="0"/>
    <n v="90329"/>
    <n v="0"/>
    <n v="90329"/>
    <n v="0"/>
    <m/>
    <m/>
    <m/>
    <n v="90329"/>
    <n v="0"/>
    <n v="90329"/>
  </r>
  <r>
    <s v="5-01-02-62-005"/>
    <s v="5-01-02-62-005-ETI-DFID#1.7.1.1 Consultant AdvisorETI"/>
    <x v="9"/>
    <x v="42"/>
    <x v="65"/>
    <s v="ETI"/>
    <n v="0"/>
    <n v="0"/>
    <n v="474020"/>
    <n v="154130"/>
    <n v="319890"/>
    <n v="0"/>
    <m/>
    <m/>
    <m/>
    <n v="319890"/>
    <n v="0"/>
    <n v="319890"/>
  </r>
  <r>
    <s v="5-01-02-62-006"/>
    <s v="5-01-02-62-006-ETI-DFID#1.7.1.2 ResearcherETI"/>
    <x v="9"/>
    <x v="42"/>
    <x v="65"/>
    <s v="ETI"/>
    <n v="0"/>
    <n v="0"/>
    <n v="308260"/>
    <n v="0"/>
    <n v="308260"/>
    <n v="0"/>
    <m/>
    <m/>
    <m/>
    <n v="308260"/>
    <n v="0"/>
    <n v="308260"/>
  </r>
  <r>
    <s v="5-01-02-62-007"/>
    <s v="5-01-02-62-007-ETI-DFID#1.7.1.8 transportationETI"/>
    <x v="9"/>
    <x v="42"/>
    <x v="65"/>
    <s v="ETI"/>
    <n v="0"/>
    <n v="0"/>
    <n v="35658"/>
    <n v="13019"/>
    <n v="22639"/>
    <n v="0"/>
    <m/>
    <m/>
    <m/>
    <n v="22639"/>
    <n v="0"/>
    <n v="22639"/>
  </r>
  <r>
    <s v="5-01-02-62-008"/>
    <s v="5-01-02-62-008-ETI-DFID#1.7.1.4 RefreshmentETI"/>
    <x v="9"/>
    <x v="42"/>
    <x v="65"/>
    <s v="ETI"/>
    <n v="0"/>
    <n v="0"/>
    <n v="25790"/>
    <n v="7420"/>
    <n v="18370"/>
    <n v="0"/>
    <m/>
    <m/>
    <m/>
    <n v="18370"/>
    <n v="0"/>
    <n v="18370"/>
  </r>
  <r>
    <s v="5-01-02-62-009"/>
    <s v="5-01-02-62-009-ETI-DFID#1.7.1.7 Stationery,SoundETI"/>
    <x v="9"/>
    <x v="42"/>
    <x v="65"/>
    <s v="ETI"/>
    <n v="0"/>
    <n v="0"/>
    <n v="8440"/>
    <n v="3870"/>
    <n v="4570"/>
    <n v="0"/>
    <m/>
    <m/>
    <m/>
    <n v="4570"/>
    <n v="0"/>
    <n v="4570"/>
  </r>
  <r>
    <s v="5-01-02-62-010"/>
    <s v="5-01-02-62-010-ETI-DFID#1.7.1.5 Reimbursement of ParticipantsETI"/>
    <x v="9"/>
    <x v="42"/>
    <x v="65"/>
    <s v="ETI"/>
    <n v="0"/>
    <n v="0"/>
    <n v="95000"/>
    <n v="47500"/>
    <n v="47500"/>
    <n v="0"/>
    <m/>
    <m/>
    <m/>
    <n v="47500"/>
    <n v="0"/>
    <n v="47500"/>
  </r>
  <r>
    <s v="5-01-02-62-011"/>
    <s v="5-01-02-62-011-ETI-DFID#3.1 Administration &amp; NPACETI"/>
    <x v="9"/>
    <x v="42"/>
    <x v="65"/>
    <s v="ETI"/>
    <n v="0"/>
    <n v="0"/>
    <n v="19488"/>
    <n v="0"/>
    <n v="19488"/>
    <n v="0"/>
    <m/>
    <m/>
    <m/>
    <n v="19488"/>
    <n v="0"/>
    <n v="19488"/>
  </r>
  <r>
    <s v="5-01-02-62-012"/>
    <s v="5-01-02-62-012-ETI-DFID#1.7.7.1 Consultant feeETI"/>
    <x v="9"/>
    <x v="42"/>
    <x v="65"/>
    <s v="ETI"/>
    <n v="0"/>
    <n v="0"/>
    <n v="10000"/>
    <n v="0"/>
    <n v="10000"/>
    <n v="0"/>
    <m/>
    <m/>
    <m/>
    <n v="10000"/>
    <n v="0"/>
    <n v="10000"/>
  </r>
  <r>
    <s v="5-01-02-62-013"/>
    <s v="5-01-02-62-013-ETI-DFID#1.7.1.6 Venue chargesETI"/>
    <x v="9"/>
    <x v="42"/>
    <x v="65"/>
    <s v="ETI"/>
    <n v="0"/>
    <n v="0"/>
    <n v="8000"/>
    <n v="0"/>
    <n v="8000"/>
    <n v="0"/>
    <m/>
    <m/>
    <m/>
    <n v="8000"/>
    <n v="0"/>
    <n v="8000"/>
  </r>
  <r>
    <s v="5-01-02-62-014"/>
    <s v="5-01-02-62-014-ETI-DFID#1.7.2.2 Multimedia chargesETI"/>
    <x v="9"/>
    <x v="42"/>
    <x v="65"/>
    <s v="ETI"/>
    <n v="0"/>
    <n v="0"/>
    <n v="5000"/>
    <n v="0"/>
    <n v="5000"/>
    <n v="0"/>
    <m/>
    <m/>
    <m/>
    <n v="5000"/>
    <n v="0"/>
    <n v="5000"/>
  </r>
  <r>
    <s v="5-01-02-62-015"/>
    <s v="5-01-02-62-015-ETI-DFID#1.1:Joint Director ETI"/>
    <x v="9"/>
    <x v="13"/>
    <x v="36"/>
    <s v="ETI"/>
    <n v="0"/>
    <n v="0"/>
    <n v="860958"/>
    <n v="0"/>
    <n v="860958"/>
    <n v="0"/>
    <m/>
    <m/>
    <m/>
    <n v="860958"/>
    <n v="0"/>
    <n v="860958"/>
  </r>
  <r>
    <s v="5-01-02-62-017"/>
    <s v="5-01-02-62-017-ETI-DFID#1.4:Project Administration &amp; FinanceETI"/>
    <x v="8"/>
    <x v="13"/>
    <x v="36"/>
    <s v="ETI"/>
    <n v="0"/>
    <n v="0"/>
    <n v="832228"/>
    <n v="0"/>
    <n v="832228"/>
    <n v="0"/>
    <m/>
    <m/>
    <m/>
    <n v="832228"/>
    <n v="0"/>
    <n v="832228"/>
  </r>
  <r>
    <s v="5-01-02-62-018"/>
    <s v="5-01-02-62-018-ETI-DFID#1.7.1.3:PILER StaffETI"/>
    <x v="9"/>
    <x v="13"/>
    <x v="36"/>
    <s v="ETI"/>
    <n v="0"/>
    <n v="0"/>
    <n v="184000"/>
    <n v="0"/>
    <n v="184000"/>
    <n v="0"/>
    <m/>
    <m/>
    <m/>
    <n v="184000"/>
    <n v="0"/>
    <n v="184000"/>
  </r>
  <r>
    <s v="5-01-02-62-019"/>
    <s v="5-01-02-62-019-ETI-DFID#2.1:Digital &amp; Office Equipment for Programme StaffETI"/>
    <x v="9"/>
    <x v="42"/>
    <x v="36"/>
    <s v="ETI"/>
    <n v="0"/>
    <n v="0"/>
    <n v="55835"/>
    <n v="0"/>
    <n v="55835"/>
    <n v="0"/>
    <m/>
    <m/>
    <m/>
    <n v="55835"/>
    <n v="0"/>
    <n v="55835"/>
  </r>
  <r>
    <s v="5-01-02-63-001"/>
    <s v="5-01-02-63-001-Covid-19 ReliefOpen Society"/>
    <x v="9"/>
    <x v="43"/>
    <x v="66"/>
    <s v="Open Society"/>
    <n v="0"/>
    <n v="0"/>
    <n v="3677045"/>
    <n v="0"/>
    <n v="3677045"/>
    <n v="0"/>
    <m/>
    <m/>
    <m/>
    <n v="3677045"/>
    <n v="0"/>
    <n v="36770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1">
  <r>
    <x v="0"/>
    <s v="CASH IN HAND"/>
    <s v="1-01-01-01-001CASH IN HAND"/>
    <x v="0"/>
    <x v="0"/>
    <s v="Cash And Bank Balances"/>
    <s v="Cash With Banks In Current/Pls Accounts"/>
    <s v="PILER"/>
    <n v="3"/>
    <n v="0"/>
    <n v="0"/>
    <n v="0"/>
    <n v="3"/>
    <n v="0"/>
    <n v="3"/>
  </r>
  <r>
    <x v="0"/>
    <s v="CASH IN HAND"/>
    <s v="1-01-01-01-001CASH IN HAND"/>
    <x v="0"/>
    <x v="0"/>
    <s v="Cash And Bank Balances"/>
    <s v="Cash With Banks In Current/Pls Accounts"/>
    <s v="Karachi"/>
    <m/>
    <n v="0"/>
    <n v="0"/>
    <n v="0"/>
    <n v="0"/>
    <n v="0"/>
    <n v="0"/>
  </r>
  <r>
    <x v="1"/>
    <s v="PILER OWN BAHL A/C. 818-04-2"/>
    <s v="1-01-01-02-002PILER OWN BAHL A/C. 818-04-2"/>
    <x v="0"/>
    <x v="0"/>
    <s v="Cash And Bank Balances"/>
    <s v="Cash With Banks In Current/Pls Accounts"/>
    <s v="PILER"/>
    <n v="143120"/>
    <n v="0"/>
    <n v="0"/>
    <n v="0"/>
    <n v="143120"/>
    <n v="0"/>
    <n v="143120"/>
  </r>
  <r>
    <x v="2"/>
    <s v="PILER TDH &amp; MI BH A/C.818-09-7"/>
    <s v="1-01-01-02-011PILER TDH &amp; MI BH A/C.818-09-7"/>
    <x v="0"/>
    <x v="0"/>
    <s v="Cash And Bank Balances"/>
    <s v="Cash With Banks In Current/Pls Accounts"/>
    <s v="TDH &amp; MI"/>
    <n v="0"/>
    <n v="809205"/>
    <n v="0"/>
    <n v="0"/>
    <n v="0"/>
    <n v="809205"/>
    <n v="-809205"/>
  </r>
  <r>
    <x v="2"/>
    <s v="PILER TDH &amp; MI BH A/C.818-09-7"/>
    <s v="1-01-01-02-011PILER TDH &amp; MI BH A/C.818-09-7"/>
    <x v="0"/>
    <x v="0"/>
    <s v="Cash And Bank Balances"/>
    <s v="Cash With Banks In Current/Pls Accounts"/>
    <s v="TDH"/>
    <n v="0"/>
    <m/>
    <n v="0"/>
    <n v="0"/>
    <n v="0"/>
    <n v="0"/>
    <n v="0"/>
  </r>
  <r>
    <x v="3"/>
    <s v="PILER UBL-012-1940-6"/>
    <s v="1-01-01-02-012PILER UBL-012-1940-6"/>
    <x v="0"/>
    <x v="0"/>
    <s v="Cash And Bank Balances"/>
    <s v="Cash With Banks In Current/Pls Accounts"/>
    <s v="PILER"/>
    <n v="62500"/>
    <n v="0"/>
    <n v="0"/>
    <n v="0"/>
    <n v="62500"/>
    <n v="0"/>
    <n v="62500"/>
  </r>
  <r>
    <x v="4"/>
    <s v="PILER UBL-012-1707-3"/>
    <s v="1-01-01-02-013PILER UBL-012-1707-3"/>
    <x v="0"/>
    <x v="0"/>
    <s v="Cash And Bank Balances"/>
    <s v="Cash With Banks In Current/Pls Accounts"/>
    <s v="PILER"/>
    <n v="51853"/>
    <n v="0"/>
    <n v="0"/>
    <n v="0"/>
    <n v="51853"/>
    <n v="0"/>
    <n v="51853"/>
  </r>
  <r>
    <x v="5"/>
    <s v="PILER FNV PROJECT 06-0"/>
    <s v="1-01-01-02-015PILER FNV PROJECT 06-0"/>
    <x v="0"/>
    <x v="0"/>
    <s v="Cash And Bank Balances"/>
    <s v="Cash With Banks In Current/Pls Accounts"/>
    <s v="PILER"/>
    <n v="15489"/>
    <n v="0"/>
    <n v="0"/>
    <n v="0"/>
    <n v="15489"/>
    <n v="0"/>
    <n v="15489"/>
  </r>
  <r>
    <x v="6"/>
    <s v="PILER EU PROJECT BAHL-GJ 06-2"/>
    <s v="1-01-01-02-016PILER EU PROJECT BAHL-GJ 06-2"/>
    <x v="0"/>
    <x v="0"/>
    <s v="Cash And Bank Balances"/>
    <s v="Cash With Banks In Current/Pls Accounts"/>
    <s v="PILER"/>
    <n v="29198"/>
    <n v="0"/>
    <n v="0"/>
    <n v="0"/>
    <n v="29198"/>
    <n v="0"/>
    <n v="29198"/>
  </r>
  <r>
    <x v="7"/>
    <s v="PILER BAH-A/C.0081-004762-01-0"/>
    <s v="1-01-01-02-020PILER BAH-A/C.0081-004762-01-0"/>
    <x v="0"/>
    <x v="0"/>
    <s v="Cash And Bank Balances"/>
    <s v="Cash With Banks In Current/Pls Accounts"/>
    <s v="PILER"/>
    <n v="66295094.659999996"/>
    <n v="60963110.640000001"/>
    <n v="19887862.510000002"/>
    <n v="20628914.25"/>
    <n v="86182957.170000002"/>
    <n v="81592024.890000001"/>
    <n v="4590932.2800000012"/>
  </r>
  <r>
    <x v="8"/>
    <s v="PILER TAF BAH-0081-004762-02-1"/>
    <s v="1-01-01-02-021PILER TAF BAH-0081-004762-02-1"/>
    <x v="0"/>
    <x v="0"/>
    <s v="Cash And Bank Balances"/>
    <s v="Cash With Banks In Current/Pls Accounts"/>
    <s v="TAF"/>
    <n v="381581.2"/>
    <n v="79.099999999999994"/>
    <n v="0"/>
    <n v="0"/>
    <n v="381581.2"/>
    <n v="79.099999999999994"/>
    <n v="381502.10000000003"/>
  </r>
  <r>
    <x v="8"/>
    <s v="PILER TAF BAH-0081-004762-02-1"/>
    <s v="1-01-01-02-021PILER TAF BAH-0081-004762-02-1"/>
    <x v="0"/>
    <x v="0"/>
    <s v="Cash And Bank Balances"/>
    <s v="Cash With Banks In Current/Pls Accounts"/>
    <s v="ETI"/>
    <m/>
    <m/>
    <n v="0"/>
    <n v="0"/>
    <n v="0"/>
    <n v="0"/>
    <n v="0"/>
  </r>
  <r>
    <x v="9"/>
    <s v="BANK UNICEF-0081-004762-04-3"/>
    <s v="1-01-01-02-022BANK UNICEF-0081-004762-04-3"/>
    <x v="0"/>
    <x v="0"/>
    <s v="Cash And Bank Balances"/>
    <s v="Cash With Banks In Current/Pls Accounts"/>
    <s v="PILER"/>
    <n v="351956.05"/>
    <n v="347588.39999999997"/>
    <n v="0"/>
    <n v="0"/>
    <n v="351956.05"/>
    <n v="347588.39999999997"/>
    <n v="4367.6500000000233"/>
  </r>
  <r>
    <x v="9"/>
    <s v="BANK UNICEF-0081-004762-04-3"/>
    <s v="1-01-01-02-022BANK UNICEF-0081-004762-04-3"/>
    <x v="0"/>
    <x v="0"/>
    <s v="Cash And Bank Balances"/>
    <s v="Cash With Banks In Current/Pls Accounts"/>
    <s v="UNICEF-2"/>
    <m/>
    <m/>
    <n v="0"/>
    <n v="0"/>
    <n v="0"/>
    <n v="0"/>
    <n v="0"/>
  </r>
  <r>
    <x v="9"/>
    <s v="BANK UNICEF-0081-004762-04-3"/>
    <s v="1-01-01-02-022BANK UNICEF-0081-004762-04-3"/>
    <x v="0"/>
    <x v="0"/>
    <s v="Cash And Bank Balances"/>
    <s v="Cash With Banks In Current/Pls Accounts"/>
    <s v="UNICEF-3"/>
    <n v="351956.05"/>
    <n v="347588.39999999997"/>
    <n v="0"/>
    <n v="0"/>
    <n v="351956.05"/>
    <n v="347588.39999999997"/>
    <n v="4367.6500000000233"/>
  </r>
  <r>
    <x v="10"/>
    <s v="BANK TROCAIRE-0081-004762-06-5"/>
    <s v="1-01-01-02-023BANK TROCAIRE-0081-004762-06-5"/>
    <x v="0"/>
    <x v="0"/>
    <s v="Cash And Bank Balances"/>
    <s v="Cash With Banks In Current/Pls Accounts"/>
    <s v="Trocaire"/>
    <n v="100.6"/>
    <n v="79.099999999999994"/>
    <n v="0"/>
    <n v="0"/>
    <n v="100.6"/>
    <n v="79.099999999999994"/>
    <n v="21.5"/>
  </r>
  <r>
    <x v="10"/>
    <s v="BANK TROCAIRE-0081-004762-06-5"/>
    <s v="1-01-01-02-023BANK TROCAIRE-0081-004762-06-5"/>
    <x v="0"/>
    <x v="0"/>
    <s v="Cash And Bank Balances"/>
    <s v="Cash With Banks In Current/Pls Accounts"/>
    <s v="PILER"/>
    <m/>
    <m/>
    <n v="0"/>
    <n v="0"/>
    <n v="0"/>
    <n v="0"/>
    <n v="0"/>
  </r>
  <r>
    <x v="10"/>
    <s v="BANK TROCAIRE-0081-004762-06-5"/>
    <s v="1-01-01-02-023BANK TROCAIRE-0081-004762-06-5"/>
    <x v="0"/>
    <x v="0"/>
    <s v="Cash And Bank Balances"/>
    <s v="Cash With Banks In Current/Pls Accounts"/>
    <s v="FOSI"/>
    <m/>
    <m/>
    <n v="0"/>
    <n v="0"/>
    <n v="0"/>
    <n v="0"/>
    <n v="0"/>
  </r>
  <r>
    <x v="10"/>
    <s v="BANK TROCAIRE-0081-004762-06-5"/>
    <s v="1-01-01-02-023BANK TROCAIRE-0081-004762-06-5"/>
    <x v="0"/>
    <x v="0"/>
    <s v="Cash And Bank Balances"/>
    <s v="Cash With Banks In Current/Pls Accounts"/>
    <s v="DAI"/>
    <m/>
    <m/>
    <n v="0"/>
    <n v="0"/>
    <n v="0"/>
    <n v="0"/>
    <n v="0"/>
  </r>
  <r>
    <x v="11"/>
    <s v="BANK TDH-0081-004762-05-4"/>
    <s v="1-01-01-02-024BANK TDH-0081-004762-05-4"/>
    <x v="0"/>
    <x v="0"/>
    <s v="Cash And Bank Balances"/>
    <s v="Cash With Banks In Current/Pls Accounts"/>
    <s v="Deezire"/>
    <n v="100"/>
    <n v="1024795.76"/>
    <n v="0"/>
    <n v="0"/>
    <n v="100"/>
    <n v="1024795.76"/>
    <n v="-1024695.76"/>
  </r>
  <r>
    <x v="11"/>
    <s v="BANK TDH-0081-004762-05-4"/>
    <s v="1-01-01-02-024BANK TDH-0081-004762-05-4"/>
    <x v="0"/>
    <x v="0"/>
    <s v="Cash And Bank Balances"/>
    <s v="Cash With Banks In Current/Pls Accounts"/>
    <s v="PILER"/>
    <m/>
    <m/>
    <n v="0"/>
    <n v="0"/>
    <n v="0"/>
    <n v="0"/>
    <n v="0"/>
  </r>
  <r>
    <x v="11"/>
    <s v="BANK TDH-0081-004762-05-4"/>
    <s v="1-01-01-02-024BANK TDH-0081-004762-05-4"/>
    <x v="0"/>
    <x v="0"/>
    <s v="Cash And Bank Balances"/>
    <s v="Cash With Banks In Current/Pls Accounts"/>
    <s v="TDH"/>
    <m/>
    <m/>
    <n v="0"/>
    <n v="0"/>
    <n v="0"/>
    <n v="0"/>
    <n v="0"/>
  </r>
  <r>
    <x v="11"/>
    <s v="BANK TDH-0081-004762-05-4"/>
    <s v="1-01-01-02-024BANK TDH-0081-004762-05-4"/>
    <x v="0"/>
    <x v="0"/>
    <s v="Cash And Bank Balances"/>
    <s v="Cash With Banks In Current/Pls Accounts"/>
    <s v="FNV"/>
    <m/>
    <m/>
    <n v="0"/>
    <n v="0"/>
    <n v="0"/>
    <n v="0"/>
    <n v="0"/>
  </r>
  <r>
    <x v="12"/>
    <s v="BANK GRATUITY-0081-004762-09-8"/>
    <s v="1-01-01-02-025BANK GRATUITY-0081-004762-09-8"/>
    <x v="0"/>
    <x v="0"/>
    <s v="Cash And Bank Balances"/>
    <s v="Cash With Banks In Current/Pls Accounts"/>
    <s v="PILER"/>
    <m/>
    <m/>
    <n v="0"/>
    <n v="0"/>
    <n v="0"/>
    <n v="0"/>
    <n v="0"/>
  </r>
  <r>
    <x v="12"/>
    <s v="BANK GRATUITY-0081-004762-09-8"/>
    <s v="1-01-01-02-025BANK GRATUITY-0081-004762-09-8"/>
    <x v="0"/>
    <x v="0"/>
    <s v="Cash And Bank Balances"/>
    <s v="Cash With Banks In Current/Pls Accounts"/>
    <s v="SHORT"/>
    <m/>
    <m/>
    <n v="0"/>
    <n v="0"/>
    <n v="0"/>
    <n v="0"/>
    <n v="0"/>
  </r>
  <r>
    <x v="12"/>
    <s v="BANK GRATUITY-0081-004762-09-8"/>
    <s v="1-01-01-02-025BANK GRATUITY-0081-004762-09-8"/>
    <x v="0"/>
    <x v="0"/>
    <s v="Cash And Bank Balances"/>
    <s v="Cash With Banks In Current/Pls Accounts"/>
    <s v="GRC"/>
    <n v="22826301.579999998"/>
    <n v="23721004.059999999"/>
    <n v="11052908.869999999"/>
    <n v="12216127.390000001"/>
    <n v="33879210.449999996"/>
    <n v="35937131.450000003"/>
    <n v="-2057921.0000000075"/>
  </r>
  <r>
    <x v="12"/>
    <s v="BANK GRATUITY-0081-004762-09-8"/>
    <s v="1-01-01-02-025BANK GRATUITY-0081-004762-09-8"/>
    <x v="0"/>
    <x v="0"/>
    <s v="Cash And Bank Balances"/>
    <s v="Cash With Banks In Current/Pls Accounts"/>
    <s v="GRC Own"/>
    <m/>
    <m/>
    <n v="12465578.85"/>
    <n v="12795457.789999999"/>
    <n v="12465578.85"/>
    <n v="12795457.789999999"/>
    <n v="-329878.93999999948"/>
  </r>
  <r>
    <x v="13"/>
    <s v="BANK DOLLAR-0112-004762-10-9"/>
    <s v="1-01-01-02-027BANK DOLLAR-0112-004762-10-9"/>
    <x v="0"/>
    <x v="0"/>
    <s v="Cash And Bank Balances"/>
    <s v="Cash With Banks In Current/Pls Accounts"/>
    <s v="PILER"/>
    <n v="6261.86"/>
    <n v="0"/>
    <n v="0"/>
    <n v="0"/>
    <n v="6261.86"/>
    <n v="0"/>
    <n v="6261.86"/>
  </r>
  <r>
    <x v="14"/>
    <s v="BANK ICCO PAK-0081-004762-08-7"/>
    <s v="1-01-01-02-029BANK ICCO PAK-0081-004762-08-7"/>
    <x v="0"/>
    <x v="0"/>
    <s v="Cash And Bank Balances"/>
    <s v="Cash With Banks In Current/Pls Accounts"/>
    <s v="ICCO Pak"/>
    <n v="70646.14"/>
    <n v="79.099999999999994"/>
    <n v="0"/>
    <n v="0"/>
    <n v="70646.14"/>
    <n v="79.099999999999994"/>
    <n v="70567.039999999994"/>
  </r>
  <r>
    <x v="14"/>
    <s v="BANK ICCO PAK-0081-004762-08-7"/>
    <s v="1-01-01-02-029BANK ICCO PAK-0081-004762-08-7"/>
    <x v="0"/>
    <x v="0"/>
    <s v="Cash And Bank Balances"/>
    <s v="Cash With Banks In Current/Pls Accounts"/>
    <s v="Open Socie"/>
    <m/>
    <m/>
    <n v="0"/>
    <n v="0"/>
    <n v="0"/>
    <n v="0"/>
    <n v="0"/>
  </r>
  <r>
    <x v="15"/>
    <s v="BANK TDH PAK-0081-004762-03-2"/>
    <s v="1-01-01-02-030BANK TDH PAK-0081-004762-03-2"/>
    <x v="0"/>
    <x v="0"/>
    <s v="Cash And Bank Balances"/>
    <s v="Cash With Banks In Current/Pls Accounts"/>
    <s v="TDH Pak"/>
    <n v="260.10000000000002"/>
    <n v="0"/>
    <n v="0"/>
    <n v="0"/>
    <n v="260.10000000000002"/>
    <n v="0"/>
    <n v="260.10000000000002"/>
  </r>
  <r>
    <x v="15"/>
    <s v="BANK TDH PAK-0081-004762-03-2"/>
    <s v="1-01-01-02-030BANK TDH PAK-0081-004762-03-2"/>
    <x v="0"/>
    <x v="0"/>
    <s v="Cash And Bank Balances"/>
    <s v="Cash With Banks In Current/Pls Accounts"/>
    <s v="RRCCHR"/>
    <m/>
    <n v="0"/>
    <n v="0"/>
    <n v="0"/>
    <n v="0"/>
    <n v="0"/>
    <n v="0"/>
  </r>
  <r>
    <x v="16"/>
    <s v="BANK SMALL PR-0081-004762-07-6"/>
    <s v="1-01-01-02-031BANK SMALL PR-0081-004762-07-6"/>
    <x v="0"/>
    <x v="0"/>
    <s v="Cash And Bank Balances"/>
    <s v="Cash With Banks In Current/Pls Accounts"/>
    <s v="PILER"/>
    <n v="13399790.25"/>
    <n v="13189765.82"/>
    <n v="0"/>
    <n v="0"/>
    <n v="13399790.25"/>
    <n v="13189765.82"/>
    <n v="210024.4299999997"/>
  </r>
  <r>
    <x v="16"/>
    <s v="BANK SMALL PR-0081-004762-07-6"/>
    <s v="1-01-01-02-031BANK SMALL PR-0081-004762-07-6"/>
    <x v="0"/>
    <x v="0"/>
    <s v="Cash And Bank Balances"/>
    <s v="Cash With Banks In Current/Pls Accounts"/>
    <s v="SHORT"/>
    <m/>
    <m/>
    <n v="0"/>
    <n v="0"/>
    <n v="0"/>
    <n v="0"/>
    <n v="0"/>
  </r>
  <r>
    <x v="16"/>
    <s v="BANK SMALL PR-0081-004762-07-6"/>
    <s v="1-01-01-02-031BANK SMALL PR-0081-004762-07-6"/>
    <x v="0"/>
    <x v="0"/>
    <s v="Loans, Advances, Deposits, Prepayments And Receivables"/>
    <s v="Cash With Banks In Current/Pls Accounts"/>
    <s v="DAI"/>
    <m/>
    <m/>
    <n v="0"/>
    <n v="0"/>
    <n v="0"/>
    <n v="0"/>
    <n v="0"/>
  </r>
  <r>
    <x v="17"/>
    <s v="RECEIVABLE FROM TROCAIRE-MLRRS"/>
    <s v="-"/>
    <x v="1"/>
    <x v="1"/>
    <s v="Inter Project Balances"/>
    <s v="Inter Project Balances"/>
    <s v="PILER"/>
    <n v="0"/>
    <n v="14070"/>
    <n v="0"/>
    <n v="0"/>
    <n v="0"/>
    <n v="14070"/>
    <n v="-14070"/>
  </r>
  <r>
    <x v="18"/>
    <s v="R/A-TDH-MI REBUILDING LIVE PRO"/>
    <s v="-"/>
    <x v="1"/>
    <x v="1"/>
    <s v="Inter Project Balances"/>
    <s v="Inter Project Balances"/>
    <s v="Deezire"/>
    <n v="7638"/>
    <n v="0"/>
    <n v="0"/>
    <n v="0"/>
    <n v="7638"/>
    <n v="0"/>
    <n v="7638"/>
  </r>
  <r>
    <x v="18"/>
    <s v="R/A-TDH-MI REBUILDING LIVE PRO"/>
    <s v="-"/>
    <x v="1"/>
    <x v="1"/>
    <s v="Inter Project Balances"/>
    <s v="Inter Project Balances"/>
    <s v="PILER"/>
    <m/>
    <n v="0"/>
    <n v="0"/>
    <n v="0"/>
    <n v="0"/>
    <n v="0"/>
    <n v="0"/>
  </r>
  <r>
    <x v="19"/>
    <s v="RECEIVABLE FROM ICCO PROJ-THSW"/>
    <s v="-"/>
    <x v="1"/>
    <x v="1"/>
    <s v="Inter Project Balances"/>
    <s v="Inter Project Balances"/>
    <s v="PILER"/>
    <n v="398399"/>
    <n v="0"/>
    <n v="0"/>
    <n v="0"/>
    <n v="398399"/>
    <n v="0"/>
    <n v="398399"/>
  </r>
  <r>
    <x v="20"/>
    <s v="RECEIVABLE FROM TAF"/>
    <s v="-"/>
    <x v="1"/>
    <x v="1"/>
    <s v="Inter Project Balances"/>
    <s v="Inter Project Balances"/>
    <s v="Trocaire"/>
    <n v="95515"/>
    <n v="0"/>
    <n v="0"/>
    <n v="0"/>
    <n v="95515"/>
    <n v="0"/>
    <n v="95515"/>
  </r>
  <r>
    <x v="20"/>
    <s v="RECEIVABLE FROM TAF"/>
    <s v="-"/>
    <x v="1"/>
    <x v="1"/>
    <s v="Inter Project Balances"/>
    <s v="Inter Project Balances"/>
    <s v="PILER"/>
    <m/>
    <n v="0"/>
    <n v="0"/>
    <n v="0"/>
    <n v="0"/>
    <n v="0"/>
    <n v="0"/>
  </r>
  <r>
    <x v="21"/>
    <s v="RECEIVABLE FROM IUF-QAMARULL"/>
    <s v="1-01-02-01-015RECEIVABLE FROM IUF-QAMARULL"/>
    <x v="0"/>
    <x v="0"/>
    <s v="Loans, Advances, Deposits, Prepayments And Receivables"/>
    <s v="Other Receivables"/>
    <s v="PILER"/>
    <n v="8160"/>
    <n v="0"/>
    <n v="0"/>
    <n v="0"/>
    <n v="8160"/>
    <n v="0"/>
    <n v="8160"/>
  </r>
  <r>
    <x v="22"/>
    <s v="Rec / Pay with Sindh Human RC"/>
    <s v="1-01-02-01-016Rec / Pay with Sindh Human RC"/>
    <x v="0"/>
    <x v="0"/>
    <s v="Loans, Advances, Deposits, Prepayments And Receivables"/>
    <s v="Other Receivables"/>
    <s v="SHORT"/>
    <n v="0"/>
    <n v="8065"/>
    <n v="0"/>
    <n v="0"/>
    <n v="0"/>
    <n v="8065"/>
    <n v="-8065"/>
  </r>
  <r>
    <x v="23"/>
    <s v="Rec / pay with civic charter"/>
    <s v="-"/>
    <x v="1"/>
    <x v="1"/>
    <s v="Inter Project Balances"/>
    <s v="Inter Project Balances"/>
    <s v="PILER"/>
    <n v="11000"/>
    <n v="0"/>
    <n v="0"/>
    <n v="0"/>
    <n v="11000"/>
    <n v="0"/>
    <n v="11000"/>
  </r>
  <r>
    <x v="24"/>
    <s v="R/A-PAKISTAN LABOUR TRUST(PLT)"/>
    <s v="1-01-02-02-001R/A-PAKISTAN LABOUR TRUST(PLT)"/>
    <x v="0"/>
    <x v="0"/>
    <s v="Loans, Advances, Deposits, Prepayments And Receivables"/>
    <s v="Pakistan Labour Trust"/>
    <s v="Deezire"/>
    <n v="4846426"/>
    <n v="10746897"/>
    <n v="0"/>
    <n v="0"/>
    <n v="4846426"/>
    <n v="10746897"/>
    <n v="-5900471"/>
  </r>
  <r>
    <x v="24"/>
    <s v="R/A-PAKISTAN LABOUR TRUST(PLT)"/>
    <s v="1-01-02-02-001R/A-PAKISTAN LABOUR TRUST(PLT)"/>
    <x v="0"/>
    <x v="0"/>
    <s v="Loans, Advances, Deposits, Prepayments And Receivables"/>
    <s v="Pakistan Labour Trust"/>
    <s v="PILER"/>
    <m/>
    <m/>
    <n v="0"/>
    <n v="0"/>
    <n v="0"/>
    <n v="0"/>
    <n v="0"/>
  </r>
  <r>
    <x v="24"/>
    <s v="R/A-PAKISTAN LABOUR TRUST(PLT)"/>
    <s v="1-01-02-02-001R/A-PAKISTAN LABOUR TRUST(PLT)"/>
    <x v="0"/>
    <x v="0"/>
    <s v="Loans, Advances, Deposits, Prepayments And Receivables"/>
    <s v="Pakistan Labour Trust"/>
    <s v="ICCO"/>
    <m/>
    <m/>
    <n v="0"/>
    <n v="0"/>
    <n v="0"/>
    <n v="0"/>
    <n v="0"/>
  </r>
  <r>
    <x v="24"/>
    <s v="R/A-PAKISTAN LABOUR TRUST(PLT)"/>
    <s v="1-01-02-02-001R/A-PAKISTAN LABOUR TRUST(PLT)"/>
    <x v="0"/>
    <x v="0"/>
    <s v="Loans, Advances, Deposits, Prepayments And Receivables"/>
    <s v="Pakistan Labour Trust"/>
    <s v="TDH &amp; MI"/>
    <m/>
    <m/>
    <n v="0"/>
    <n v="0"/>
    <n v="0"/>
    <n v="0"/>
    <n v="0"/>
  </r>
  <r>
    <x v="24"/>
    <s v="R/A-PAKISTAN LABOUR TRUST(PLT)"/>
    <s v="1-01-02-02-001R/A-PAKISTAN LABOUR TRUST(PLT)"/>
    <x v="0"/>
    <x v="0"/>
    <s v="Loans, Advances, Deposits, Prepayments And Receivables"/>
    <s v="Pakistan Labour Trust"/>
    <s v="SHORT"/>
    <m/>
    <m/>
    <n v="0"/>
    <n v="0"/>
    <n v="0"/>
    <n v="0"/>
    <n v="0"/>
  </r>
  <r>
    <x v="24"/>
    <s v="R/A-PAKISTAN LABOUR TRUST(PLT)"/>
    <s v="1-01-02-02-001R/A-PAKISTAN LABOUR TRUST(PLT)"/>
    <x v="0"/>
    <x v="0"/>
    <s v="Loans, Advances, Deposits, Prepayments And Receivables"/>
    <s v="Pakistan Labour Trust"/>
    <s v="Open Socie"/>
    <m/>
    <m/>
    <n v="0"/>
    <n v="0"/>
    <n v="0"/>
    <n v="0"/>
    <n v="0"/>
  </r>
  <r>
    <x v="25"/>
    <s v="W.H. TAX DEDUCTION"/>
    <s v="1-01-02-02-002W.H. TAX DEDUCTION"/>
    <x v="0"/>
    <x v="0"/>
    <s v="Loans, Advances, Deposits, Prepayments And Receivables"/>
    <s v="Other Receivables"/>
    <s v="Deezire"/>
    <n v="12147.56"/>
    <n v="0"/>
    <n v="0"/>
    <n v="0"/>
    <n v="12147.56"/>
    <n v="0"/>
    <n v="12147.56"/>
  </r>
  <r>
    <x v="25"/>
    <s v="W.H. TAX DEDUCTION"/>
    <s v="1-01-02-02-002W.H. TAX DEDUCTION"/>
    <x v="0"/>
    <x v="0"/>
    <s v="Loans, Advances, Deposits, Prepayments And Receivables"/>
    <s v="Other Receivables"/>
    <s v="PILER"/>
    <m/>
    <n v="0"/>
    <n v="0"/>
    <n v="0"/>
    <n v="0"/>
    <n v="0"/>
    <n v="0"/>
  </r>
  <r>
    <x v="25"/>
    <s v="W.H. TAX DEDUCTION"/>
    <s v="1-01-02-02-002W.H. TAX DEDUCTION"/>
    <x v="0"/>
    <x v="0"/>
    <s v="Loans, Advances, Deposits, Prepayments And Receivables"/>
    <s v="Other Receivables"/>
    <s v="TDH &amp; MI"/>
    <m/>
    <n v="0"/>
    <n v="0"/>
    <n v="0"/>
    <n v="0"/>
    <n v="0"/>
    <n v="0"/>
  </r>
  <r>
    <x v="25"/>
    <s v="W.H. TAX DEDUCTION"/>
    <s v="1-01-02-02-002W.H. TAX DEDUCTION"/>
    <x v="0"/>
    <x v="0"/>
    <s v="Loans, Advances, Deposits, Prepayments And Receivables"/>
    <s v="Other Receivables"/>
    <s v="SHORT"/>
    <m/>
    <n v="0"/>
    <n v="0"/>
    <n v="0"/>
    <n v="0"/>
    <n v="0"/>
    <n v="0"/>
  </r>
  <r>
    <x v="25"/>
    <s v="W.H. TAX DEDUCTION"/>
    <s v="1-01-02-02-002W.H. TAX DEDUCTION"/>
    <x v="0"/>
    <x v="0"/>
    <s v="Loans, Advances, Deposits, Prepayments And Receivables"/>
    <s v="Other Receivables"/>
    <s v="UNICEF-3"/>
    <m/>
    <n v="0"/>
    <n v="0"/>
    <n v="0"/>
    <n v="0"/>
    <n v="0"/>
    <n v="0"/>
  </r>
  <r>
    <x v="25"/>
    <s v="W.H. TAX DEDUCTION"/>
    <s v="1-01-02-02-002W.H. TAX DEDUCTION"/>
    <x v="0"/>
    <x v="0"/>
    <s v="Loans, Advances, Deposits, Prepayments And Receivables"/>
    <s v="Other Receivables"/>
    <s v="RRCCHR"/>
    <m/>
    <n v="0"/>
    <n v="0"/>
    <n v="0"/>
    <n v="0"/>
    <n v="0"/>
    <n v="0"/>
  </r>
  <r>
    <x v="25"/>
    <s v="W.H. TAX DEDUCTION"/>
    <s v="1-01-02-02-002W.H. TAX DEDUCTION"/>
    <x v="0"/>
    <x v="0"/>
    <s v="Loans, Advances, Deposits, Prepayments And Receivables"/>
    <s v="Other Receivables"/>
    <s v="Open Socie"/>
    <m/>
    <n v="0"/>
    <n v="0"/>
    <n v="0"/>
    <n v="0"/>
    <n v="0"/>
    <n v="0"/>
  </r>
  <r>
    <x v="25"/>
    <s v="W.H. TAX DEDUCTION"/>
    <s v="1-01-02-02-002W.H. TAX DEDUCTION"/>
    <x v="0"/>
    <x v="0"/>
    <s v="Loans, Advances, Deposits, Prepayments And Receivables"/>
    <s v="Other Receivables"/>
    <s v="ETI"/>
    <m/>
    <n v="0"/>
    <n v="0"/>
    <n v="0"/>
    <n v="0"/>
    <n v="0"/>
    <n v="0"/>
  </r>
  <r>
    <x v="25"/>
    <s v="W.H. TAX DEDUCTION"/>
    <s v="1-01-02-02-002W.H. TAX DEDUCTION"/>
    <x v="0"/>
    <x v="0"/>
    <s v="Loans, Advances, Deposits, Prepayments And Receivables"/>
    <s v="Other Receivables"/>
    <s v="FOSI"/>
    <m/>
    <n v="0"/>
    <n v="0"/>
    <n v="0"/>
    <n v="0"/>
    <n v="0"/>
    <n v="0"/>
  </r>
  <r>
    <x v="25"/>
    <s v="W.H. TAX DEDUCTION"/>
    <s v="1-01-02-02-002W.H. TAX DEDUCTION"/>
    <x v="0"/>
    <x v="0"/>
    <s v="Loans, Advances, Deposits, Prepayments And Receivables"/>
    <s v="Other Receivables"/>
    <s v="FNV"/>
    <m/>
    <n v="0"/>
    <n v="0"/>
    <n v="0"/>
    <n v="0"/>
    <n v="0"/>
    <n v="0"/>
  </r>
  <r>
    <x v="25"/>
    <s v="W.H. TAX DEDUCTION"/>
    <s v="1-01-02-02-002W.H. TAX DEDUCTION"/>
    <x v="0"/>
    <x v="0"/>
    <s v="Loans, Advances, Deposits, Prepayments And Receivables"/>
    <s v="Other Receivables"/>
    <s v="DAI"/>
    <m/>
    <n v="0"/>
    <n v="0"/>
    <n v="0"/>
    <n v="0"/>
    <n v="0"/>
    <n v="0"/>
  </r>
  <r>
    <x v="26"/>
    <s v="SECURITY DEPOPSIT"/>
    <s v="1-01-02-02-004SECURITY DEPOPSIT"/>
    <x v="0"/>
    <x v="0"/>
    <s v="Loans, Advances, Deposits, Prepayments And Receivables"/>
    <s v="Other Receivables"/>
    <s v="PILER"/>
    <n v="319700"/>
    <n v="200000"/>
    <n v="0"/>
    <n v="0"/>
    <n v="319700"/>
    <n v="200000"/>
    <n v="119700"/>
  </r>
  <r>
    <x v="27"/>
    <s v="OTHERS RECEIVABLE"/>
    <s v="1-01-02-02-005OTHERS RECEIVABLE"/>
    <x v="0"/>
    <x v="0"/>
    <s v="Loans, Advances, Deposits, Prepayments And Receivables"/>
    <s v="Other Receivables"/>
    <s v="PILER"/>
    <n v="2810000"/>
    <n v="2750000"/>
    <n v="0"/>
    <n v="0"/>
    <n v="2810000"/>
    <n v="2750000"/>
    <n v="60000"/>
  </r>
  <r>
    <x v="27"/>
    <s v="OTHERS RECEIVABLE"/>
    <s v="1-01-02-02-005OTHERS RECEIVABLE"/>
    <x v="0"/>
    <x v="0"/>
    <s v="Loans, Advances, Deposits, Prepayments And Receivables"/>
    <s v="Other Receivables"/>
    <s v="SHORT"/>
    <m/>
    <m/>
    <n v="0"/>
    <n v="0"/>
    <n v="0"/>
    <n v="0"/>
    <n v="0"/>
  </r>
  <r>
    <x v="27"/>
    <s v="OTHERS RECEIVABLE"/>
    <s v="1-01-02-02-005OTHERS RECEIVABLE"/>
    <x v="0"/>
    <x v="0"/>
    <s v="Loans, Advances, Deposits, Prepayments And Receivables"/>
    <s v="Other Receivables"/>
    <s v="UNICEF-2"/>
    <m/>
    <m/>
    <n v="0"/>
    <n v="0"/>
    <n v="0"/>
    <n v="0"/>
    <n v="0"/>
  </r>
  <r>
    <x v="27"/>
    <s v="OTHERS RECEIVABLE"/>
    <s v="1-01-02-02-005OTHERS RECEIVABLE"/>
    <x v="0"/>
    <x v="0"/>
    <s v="Loans, Advances, Deposits, Prepayments And Receivables"/>
    <s v="Other Receivables"/>
    <s v="Open Socie"/>
    <m/>
    <m/>
    <n v="0"/>
    <n v="0"/>
    <n v="0"/>
    <n v="0"/>
    <n v="0"/>
  </r>
  <r>
    <x v="28"/>
    <s v="RECEIVABLE FROM PILER OWN"/>
    <s v="-"/>
    <x v="1"/>
    <x v="1"/>
    <s v="Inter Project Balances"/>
    <s v="Inter Project Balances"/>
    <s v="Trocaire"/>
    <n v="3591736"/>
    <n v="0"/>
    <n v="0"/>
    <n v="0"/>
    <n v="3591736"/>
    <n v="0"/>
    <n v="3591736"/>
  </r>
  <r>
    <x v="28"/>
    <s v="RECEIVABLE FROM PILER OWN"/>
    <s v="-"/>
    <x v="1"/>
    <x v="1"/>
    <s v="Inter Project Balances"/>
    <s v="Inter Project Balances"/>
    <s v="Deezire"/>
    <m/>
    <n v="0"/>
    <n v="0"/>
    <n v="0"/>
    <n v="0"/>
    <n v="0"/>
    <n v="0"/>
  </r>
  <r>
    <x v="28"/>
    <s v="RECEIVABLE FROM PILER OWN"/>
    <s v="-"/>
    <x v="1"/>
    <x v="1"/>
    <s v="Inter Project Balances"/>
    <s v="Inter Project Balances"/>
    <s v="PILER"/>
    <m/>
    <n v="0"/>
    <n v="0"/>
    <n v="0"/>
    <n v="0"/>
    <n v="0"/>
    <n v="0"/>
  </r>
  <r>
    <x v="28"/>
    <s v="RECEIVABLE FROM PILER OWN"/>
    <s v="-"/>
    <x v="1"/>
    <x v="1"/>
    <s v="Inter Project Balances"/>
    <s v="Inter Project Balances"/>
    <s v="SHORT"/>
    <m/>
    <n v="0"/>
    <n v="0"/>
    <n v="0"/>
    <n v="0"/>
    <n v="0"/>
    <n v="0"/>
  </r>
  <r>
    <x v="28"/>
    <s v="RECEIVABLE FROM PILER OWN"/>
    <s v="-"/>
    <x v="1"/>
    <x v="1"/>
    <s v="Inter Project Balances"/>
    <s v="Inter Project Balances"/>
    <s v="UNICEF-3"/>
    <m/>
    <n v="0"/>
    <n v="0"/>
    <n v="0"/>
    <n v="0"/>
    <n v="0"/>
    <n v="0"/>
  </r>
  <r>
    <x v="28"/>
    <s v="RECEIVABLE FROM PILER OWN"/>
    <s v="-"/>
    <x v="1"/>
    <x v="1"/>
    <s v="Inter Project Balances"/>
    <s v="Inter Project Balances"/>
    <s v="Open Socie"/>
    <m/>
    <n v="0"/>
    <n v="0"/>
    <n v="0"/>
    <n v="0"/>
    <n v="0"/>
    <n v="0"/>
  </r>
  <r>
    <x v="28"/>
    <s v="RECEIVABLE FROM PILER OWN"/>
    <s v="-"/>
    <x v="1"/>
    <x v="1"/>
    <s v="Inter Project Balances"/>
    <s v="Inter Project Balances"/>
    <s v="ETI"/>
    <m/>
    <n v="0"/>
    <n v="0"/>
    <n v="0"/>
    <n v="0"/>
    <n v="0"/>
    <n v="0"/>
  </r>
  <r>
    <x v="28"/>
    <s v="RECEIVABLE FROM PILER OWN"/>
    <s v="-"/>
    <x v="1"/>
    <x v="1"/>
    <s v="Inter Project Balances"/>
    <s v="Inter Project Balances"/>
    <s v="FNV"/>
    <m/>
    <n v="0"/>
    <n v="0"/>
    <n v="0"/>
    <n v="0"/>
    <n v="0"/>
    <n v="0"/>
  </r>
  <r>
    <x v="28"/>
    <s v="RECEIVABLE FROM PILER OWN"/>
    <s v="-"/>
    <x v="1"/>
    <x v="1"/>
    <s v="Inter Project Balances"/>
    <s v="Inter Project Balances"/>
    <s v="DAI"/>
    <m/>
    <n v="0"/>
    <n v="0"/>
    <n v="0"/>
    <n v="0"/>
    <n v="0"/>
    <n v="0"/>
  </r>
  <r>
    <x v="28"/>
    <s v="RECEIVABLE FROM PILER OWN"/>
    <s v="-"/>
    <x v="1"/>
    <x v="1"/>
    <s v="Inter Project Balances"/>
    <s v="Inter Project Balances"/>
    <s v="GRC"/>
    <m/>
    <n v="0"/>
    <n v="500000"/>
    <n v="500000"/>
    <n v="500000"/>
    <n v="500000"/>
    <n v="0"/>
  </r>
  <r>
    <x v="28"/>
    <s v="RECEIVABLE FROM PILER OWN"/>
    <s v="-"/>
    <x v="1"/>
    <x v="1"/>
    <s v="Inter Project Balances"/>
    <s v="Inter Project Balances"/>
    <s v="GRC Own"/>
    <m/>
    <n v="0"/>
    <n v="10000"/>
    <n v="0"/>
    <n v="10000"/>
    <n v="0"/>
    <n v="10000"/>
  </r>
  <r>
    <x v="29"/>
    <s v="RECEIVABLE FROM TDH-MI"/>
    <s v="-"/>
    <x v="1"/>
    <x v="1"/>
    <s v="Inter Project Balances"/>
    <s v="Inter Project Balances"/>
    <s v="PILER"/>
    <n v="16440"/>
    <n v="0"/>
    <n v="0"/>
    <n v="0"/>
    <n v="16440"/>
    <n v="0"/>
    <n v="16440"/>
  </r>
  <r>
    <x v="29"/>
    <s v="RECEIVABLE FROM TDH-MI"/>
    <s v="-"/>
    <x v="1"/>
    <x v="1"/>
    <s v="Inter Project Balances"/>
    <s v="Inter Project Balances"/>
    <s v="TDH"/>
    <m/>
    <n v="0"/>
    <n v="0"/>
    <n v="0"/>
    <n v="0"/>
    <n v="0"/>
    <n v="0"/>
  </r>
  <r>
    <x v="30"/>
    <s v="RECEIVABLE FROM UNICEF"/>
    <s v="-"/>
    <x v="1"/>
    <x v="1"/>
    <s v="Inter Project Balances"/>
    <s v="Inter Project Balances"/>
    <s v="PILER"/>
    <n v="3268048"/>
    <n v="0"/>
    <n v="0"/>
    <n v="0"/>
    <n v="3268048"/>
    <n v="0"/>
    <n v="3268048"/>
  </r>
  <r>
    <x v="30"/>
    <s v="RECEIVABLE FROM UNICEF"/>
    <s v="-"/>
    <x v="1"/>
    <x v="1"/>
    <s v="Inter Project Balances"/>
    <s v="Inter Project Balances"/>
    <s v="SHORT"/>
    <m/>
    <n v="0"/>
    <n v="0"/>
    <n v="0"/>
    <n v="0"/>
    <n v="0"/>
    <n v="0"/>
  </r>
  <r>
    <x v="31"/>
    <s v="RECEIVABLE FROM DEZAIRE"/>
    <s v="-"/>
    <x v="1"/>
    <x v="1"/>
    <s v="Inter Project Balances"/>
    <s v="Inter Project Balances"/>
    <s v="PILER"/>
    <n v="693696"/>
    <n v="0"/>
    <n v="0"/>
    <n v="0"/>
    <n v="693696"/>
    <n v="0"/>
    <n v="693696"/>
  </r>
  <r>
    <x v="31"/>
    <s v="RECEIVABLE FROM DEZAIRE"/>
    <s v="-"/>
    <x v="1"/>
    <x v="1"/>
    <s v="Inter Project Balances"/>
    <s v="Inter Project Balances"/>
    <s v="SHORT"/>
    <m/>
    <n v="0"/>
    <n v="0"/>
    <n v="0"/>
    <n v="0"/>
    <n v="0"/>
    <n v="0"/>
  </r>
  <r>
    <x v="31"/>
    <s v="RECEIVABLE FROM DEZAIRE"/>
    <s v="-"/>
    <x v="1"/>
    <x v="1"/>
    <s v="Inter Project Balances"/>
    <s v="Inter Project Balances"/>
    <s v="UNICEF-3"/>
    <m/>
    <n v="0"/>
    <n v="0"/>
    <n v="0"/>
    <n v="0"/>
    <n v="0"/>
    <n v="0"/>
  </r>
  <r>
    <x v="32"/>
    <s v="RECEIVABLE FROM RIDA ALI"/>
    <s v="1-01-02-02-013RECEIVABLE FROM RIDA ALI"/>
    <x v="0"/>
    <x v="0"/>
    <s v="Loans, Advances, Deposits, Prepayments And Receivables"/>
    <s v="Other Receivables"/>
    <s v="PILER"/>
    <n v="1400"/>
    <n v="0"/>
    <n v="0"/>
    <n v="0"/>
    <n v="1400"/>
    <n v="0"/>
    <n v="1400"/>
  </r>
  <r>
    <x v="33"/>
    <s v="RECEIVABLE FROM IDRC"/>
    <s v="-"/>
    <x v="1"/>
    <x v="1"/>
    <s v="Inter Project Balances"/>
    <s v="Inter Project Balances"/>
    <s v="PILER"/>
    <n v="367608"/>
    <n v="0"/>
    <n v="0"/>
    <n v="0"/>
    <n v="367608"/>
    <n v="0"/>
    <n v="367608"/>
  </r>
  <r>
    <x v="34"/>
    <s v="REC / PAY WITH TDH"/>
    <s v="-"/>
    <x v="1"/>
    <x v="1"/>
    <s v="Inter Project Balances"/>
    <s v="Inter Project Balances"/>
    <s v="PILER"/>
    <n v="233849"/>
    <n v="0"/>
    <n v="0"/>
    <n v="0"/>
    <n v="233849"/>
    <n v="0"/>
    <n v="233849"/>
  </r>
  <r>
    <x v="34"/>
    <s v="REC / PAY WITH TDH"/>
    <s v="-"/>
    <x v="1"/>
    <x v="1"/>
    <s v="Inter Project Balances"/>
    <s v="Inter Project Balances"/>
    <s v="TDH &amp; MI"/>
    <m/>
    <n v="0"/>
    <n v="0"/>
    <n v="0"/>
    <n v="0"/>
    <n v="0"/>
    <n v="0"/>
  </r>
  <r>
    <x v="34"/>
    <s v="REC / PAY WITH TDH"/>
    <s v="-"/>
    <x v="1"/>
    <x v="1"/>
    <s v="Inter Project Balances"/>
    <s v="Inter Project Balances"/>
    <s v="SHORT"/>
    <m/>
    <n v="0"/>
    <n v="0"/>
    <n v="0"/>
    <n v="0"/>
    <n v="0"/>
    <n v="0"/>
  </r>
  <r>
    <x v="35"/>
    <s v="RECEIVABLE FROM SOLIDARITY CEN"/>
    <s v="1-01-02-02-019RECEIVABLE FROM SOLIDARITY CEN"/>
    <x v="0"/>
    <x v="0"/>
    <s v="Loans, Advances, Deposits, Prepayments And Receivables"/>
    <s v="Other Receivables"/>
    <s v="PILER"/>
    <n v="66466"/>
    <n v="0"/>
    <n v="0"/>
    <n v="0"/>
    <n v="66466"/>
    <n v="0"/>
    <n v="66466"/>
  </r>
  <r>
    <x v="36"/>
    <s v="RECEIVABLE FROM ZULFIQAR SHAH"/>
    <s v="1-01-02-02-023RECEIVABLE FROM ZULFIQAR SHAH"/>
    <x v="0"/>
    <x v="0"/>
    <s v="Loans, Advances, Deposits, Prepayments And Receivables"/>
    <s v="Other Receivables"/>
    <s v="PILER"/>
    <n v="372335"/>
    <n v="340773"/>
    <n v="0"/>
    <n v="0"/>
    <n v="372335"/>
    <n v="340773"/>
    <n v="31562"/>
  </r>
  <r>
    <x v="37"/>
    <s v="RECEIVABLE FROM ZEENIA SHOUKAT"/>
    <s v="1-01-02-02-024RECEIVABLE FROM ZEENIA SHOUKAT"/>
    <x v="0"/>
    <x v="0"/>
    <s v="Loans, Advances, Deposits, Prepayments And Receivables"/>
    <s v="Other Receivables"/>
    <s v="ETI"/>
    <n v="17670"/>
    <n v="0"/>
    <n v="0"/>
    <n v="0"/>
    <n v="17670"/>
    <n v="0"/>
    <n v="17670"/>
  </r>
  <r>
    <x v="38"/>
    <s v="RECEIVABLE FROM FARHAT FATIMA"/>
    <s v="1-01-02-02-029RECEIVABLE FROM FARHAT FATIMA"/>
    <x v="0"/>
    <x v="0"/>
    <s v="Loans, Advances, Deposits, Prepayments And Receivables"/>
    <s v="Other Receivables"/>
    <s v="PILER"/>
    <n v="95"/>
    <n v="0"/>
    <n v="0"/>
    <n v="0"/>
    <n v="95"/>
    <n v="0"/>
    <n v="95"/>
  </r>
  <r>
    <x v="38"/>
    <s v="RECEIVABLE FROM FARHAT FATIMA"/>
    <s v="1-01-02-02-029RECEIVABLE FROM FARHAT FATIMA"/>
    <x v="0"/>
    <x v="0"/>
    <s v="Loans, Advances, Deposits, Prepayments And Receivables"/>
    <s v="Other Receivables"/>
    <s v="UNICEF-2"/>
    <m/>
    <n v="0"/>
    <n v="0"/>
    <n v="0"/>
    <n v="0"/>
    <n v="0"/>
    <n v="0"/>
  </r>
  <r>
    <x v="39"/>
    <s v="REC / PAY WITH KYI"/>
    <s v="-"/>
    <x v="1"/>
    <x v="1"/>
    <s v="Inter Project Balances"/>
    <s v="Inter Project Balances"/>
    <s v="PILER"/>
    <n v="0"/>
    <n v="849896"/>
    <n v="0"/>
    <n v="0"/>
    <n v="0"/>
    <n v="849896"/>
    <n v="-849896"/>
  </r>
  <r>
    <x v="40"/>
    <s v="REC / PAY WITH KIOS"/>
    <s v="-"/>
    <x v="1"/>
    <x v="1"/>
    <s v="Inter Project Balances"/>
    <s v="Inter Project Balances"/>
    <s v="PILER"/>
    <n v="0"/>
    <n v="186921"/>
    <n v="0"/>
    <n v="0"/>
    <n v="0"/>
    <n v="186921"/>
    <n v="-186921"/>
  </r>
  <r>
    <x v="41"/>
    <s v="RECEIVABLE FROM NOBAHAR"/>
    <s v="1-01-02-02-036RECEIVABLE FROM NOBAHAR"/>
    <x v="0"/>
    <x v="0"/>
    <s v="Loans, Advances, Deposits, Prepayments And Receivables"/>
    <s v="Other Receivables"/>
    <s v="Trocaire"/>
    <n v="50"/>
    <n v="0"/>
    <n v="0"/>
    <n v="0"/>
    <n v="50"/>
    <n v="0"/>
    <n v="50"/>
  </r>
  <r>
    <x v="42"/>
    <s v="RECEIVABLE FROM SHUJAUDDIN"/>
    <s v="1-01-02-02-038RECEIVABLE FROM SHUJAUDDIN"/>
    <x v="0"/>
    <x v="0"/>
    <s v="Loans, Advances, Deposits, Prepayments And Receivables"/>
    <s v="Other Receivables"/>
    <s v="Trocaire"/>
    <m/>
    <n v="0"/>
    <n v="0"/>
    <n v="0"/>
    <n v="0"/>
    <n v="0"/>
    <n v="0"/>
  </r>
  <r>
    <x v="42"/>
    <s v="RECEIVABLE FROM SHUJAUDDIN"/>
    <s v="1-01-02-02-038RECEIVABLE FROM SHUJAUDDIN"/>
    <x v="0"/>
    <x v="0"/>
    <s v="Loans, Advances, Deposits, Prepayments And Receivables"/>
    <s v="Other Receivables"/>
    <s v="PILER"/>
    <m/>
    <n v="0"/>
    <n v="0"/>
    <n v="0"/>
    <n v="0"/>
    <n v="0"/>
    <n v="0"/>
  </r>
  <r>
    <x v="43"/>
    <s v="REC / PAY AMRC"/>
    <s v="-"/>
    <x v="1"/>
    <x v="1"/>
    <s v="Inter Project Balances"/>
    <s v="Inter Project Balances"/>
    <s v="TDH"/>
    <n v="918"/>
    <n v="0"/>
    <n v="0"/>
    <n v="0"/>
    <n v="918"/>
    <n v="0"/>
    <n v="918"/>
  </r>
  <r>
    <x v="44"/>
    <s v="RECEIVABLE FROM KARAMAT ALI"/>
    <s v="1-01-02-02-040RECEIVABLE FROM KARAMAT ALI"/>
    <x v="0"/>
    <x v="0"/>
    <s v="Loans, Advances, Deposits, Prepayments And Receivables"/>
    <s v="Other Receivables"/>
    <s v="Deezire"/>
    <n v="11780"/>
    <n v="0"/>
    <n v="0"/>
    <n v="0"/>
    <n v="11780"/>
    <n v="0"/>
    <n v="11780"/>
  </r>
  <r>
    <x v="44"/>
    <s v="RECEIVABLE FROM KARAMAT ALI"/>
    <s v="1-01-02-02-040RECEIVABLE FROM KARAMAT ALI"/>
    <x v="0"/>
    <x v="0"/>
    <s v="Loans, Advances, Deposits, Prepayments And Receivables"/>
    <s v="Other Receivables"/>
    <s v="PILER"/>
    <m/>
    <n v="0"/>
    <n v="0"/>
    <n v="0"/>
    <n v="0"/>
    <n v="0"/>
    <n v="0"/>
  </r>
  <r>
    <x v="45"/>
    <s v="REC / PAY BCI"/>
    <s v="-"/>
    <x v="1"/>
    <x v="1"/>
    <s v="Inter Project Balances"/>
    <s v="Inter Project Balances"/>
    <s v="PILER"/>
    <n v="2901"/>
    <n v="0"/>
    <n v="0"/>
    <n v="0"/>
    <n v="2901"/>
    <n v="0"/>
    <n v="2901"/>
  </r>
  <r>
    <x v="45"/>
    <s v="REC / PAY BCI"/>
    <s v="-"/>
    <x v="1"/>
    <x v="1"/>
    <s v="Inter Project Balances"/>
    <s v="Inter Project Balances"/>
    <s v="TDH"/>
    <m/>
    <n v="0"/>
    <n v="0"/>
    <n v="0"/>
    <n v="0"/>
    <n v="0"/>
    <n v="0"/>
  </r>
  <r>
    <x v="46"/>
    <s v="RECEIVABLE FROM DANISH"/>
    <s v="1-01-02-02-042RECEIVABLE FROM DANISH"/>
    <x v="0"/>
    <x v="0"/>
    <s v="Loans, Advances, Deposits, Prepayments And Receivables"/>
    <s v="Other Receivables"/>
    <s v="Trocaire"/>
    <n v="50"/>
    <n v="0"/>
    <n v="0"/>
    <n v="0"/>
    <n v="50"/>
    <n v="0"/>
    <n v="50"/>
  </r>
  <r>
    <x v="46"/>
    <s v="RECEIVABLE FROM DANISH"/>
    <s v="1-01-02-02-042RECEIVABLE FROM DANISH"/>
    <x v="0"/>
    <x v="0"/>
    <s v="Loans, Advances, Deposits, Prepayments And Receivables"/>
    <s v="Other Receivables"/>
    <s v="ETI"/>
    <m/>
    <n v="0"/>
    <n v="0"/>
    <n v="0"/>
    <n v="0"/>
    <n v="0"/>
    <n v="0"/>
  </r>
  <r>
    <x v="47"/>
    <s v="RECEIVABLE FROM PERVEZ AHMED"/>
    <s v="1-01-02-02-043RECEIVABLE FROM PERVEZ AHMED"/>
    <x v="0"/>
    <x v="0"/>
    <s v="Loans, Advances, Deposits, Prepayments And Receivables"/>
    <s v="Other Receivables"/>
    <s v="Deezire"/>
    <n v="80"/>
    <n v="0"/>
    <n v="0"/>
    <n v="0"/>
    <n v="80"/>
    <n v="0"/>
    <n v="80"/>
  </r>
  <r>
    <x v="47"/>
    <s v="RECEIVABLE FROM PERVEZ AHMED"/>
    <s v="1-01-02-02-043RECEIVABLE FROM PERVEZ AHMED"/>
    <x v="0"/>
    <x v="0"/>
    <s v="Loans, Advances, Deposits, Prepayments And Receivables"/>
    <s v="Other Receivables"/>
    <s v="PILER"/>
    <m/>
    <n v="0"/>
    <n v="0"/>
    <n v="0"/>
    <n v="0"/>
    <n v="0"/>
    <n v="0"/>
  </r>
  <r>
    <x v="47"/>
    <s v="RECEIVABLE FROM PERVEZ AHMED"/>
    <s v="1-01-02-02-043RECEIVABLE FROM PERVEZ AHMED"/>
    <x v="0"/>
    <x v="0"/>
    <s v="Loans, Advances, Deposits, Prepayments And Receivables"/>
    <s v="Other Receivables"/>
    <s v="SHORT"/>
    <m/>
    <n v="0"/>
    <n v="0"/>
    <n v="0"/>
    <n v="0"/>
    <n v="0"/>
    <n v="0"/>
  </r>
  <r>
    <x v="47"/>
    <s v="RECEIVABLE FROM PERVEZ AHMED"/>
    <s v="1-01-02-02-043RECEIVABLE FROM PERVEZ AHMED"/>
    <x v="0"/>
    <x v="0"/>
    <s v="Loans, Advances, Deposits, Prepayments And Receivables"/>
    <s v="Other Receivables"/>
    <s v="UNICEF-2"/>
    <m/>
    <n v="0"/>
    <n v="0"/>
    <n v="0"/>
    <n v="0"/>
    <n v="0"/>
    <n v="0"/>
  </r>
  <r>
    <x v="47"/>
    <s v="RECEIVABLE FROM PERVEZ AHMED"/>
    <s v="1-01-02-02-043RECEIVABLE FROM PERVEZ AHMED"/>
    <x v="0"/>
    <x v="0"/>
    <s v="Loans, Advances, Deposits, Prepayments And Receivables"/>
    <s v="Other Receivables"/>
    <s v="FNV"/>
    <m/>
    <n v="0"/>
    <n v="0"/>
    <n v="0"/>
    <n v="0"/>
    <n v="0"/>
    <n v="0"/>
  </r>
  <r>
    <x v="48"/>
    <s v="REC / PAY WITH HBS"/>
    <s v="-"/>
    <x v="1"/>
    <x v="1"/>
    <s v="Inter Project Balances"/>
    <s v="Inter Project Balances"/>
    <s v="Deezire"/>
    <n v="250000"/>
    <n v="0"/>
    <n v="0"/>
    <n v="0"/>
    <n v="250000"/>
    <n v="0"/>
    <n v="250000"/>
  </r>
  <r>
    <x v="48"/>
    <s v="REC / PAY WITH HBS"/>
    <s v="-"/>
    <x v="1"/>
    <x v="1"/>
    <s v="Inter Project Balances"/>
    <s v="Inter Project Balances"/>
    <s v="PILER"/>
    <m/>
    <n v="0"/>
    <n v="0"/>
    <n v="0"/>
    <n v="0"/>
    <n v="0"/>
    <n v="0"/>
  </r>
  <r>
    <x v="48"/>
    <s v="REC / PAY WITH HBS"/>
    <s v="-"/>
    <x v="1"/>
    <x v="1"/>
    <s v="Inter Project Balances"/>
    <s v="Inter Project Balances"/>
    <s v="UNICEF-2"/>
    <m/>
    <n v="0"/>
    <n v="0"/>
    <n v="0"/>
    <n v="0"/>
    <n v="0"/>
    <n v="0"/>
  </r>
  <r>
    <x v="48"/>
    <s v="REC / PAY WITH HBS"/>
    <s v="-"/>
    <x v="1"/>
    <x v="1"/>
    <s v="Inter Project Balances"/>
    <s v="Inter Project Balances"/>
    <s v="FNV"/>
    <m/>
    <n v="0"/>
    <n v="0"/>
    <n v="0"/>
    <n v="0"/>
    <n v="0"/>
    <n v="0"/>
  </r>
  <r>
    <x v="49"/>
    <s v="REC / PAY WITH AFWM"/>
    <s v="-"/>
    <x v="1"/>
    <x v="1"/>
    <s v="Inter Project Balances"/>
    <s v="Inter Project Balances"/>
    <s v="PILER"/>
    <n v="886184"/>
    <n v="1382523"/>
    <n v="0"/>
    <n v="0"/>
    <n v="886184"/>
    <n v="1382523"/>
    <n v="-496339"/>
  </r>
  <r>
    <x v="50"/>
    <s v="RECEIVABLE FROM GHULAM ASGHAR"/>
    <s v="1-01-02-02-047RECEIVABLE FROM GHULAM ASGHAR"/>
    <x v="0"/>
    <x v="0"/>
    <s v="Loans, Advances, Deposits, Prepayments And Receivables"/>
    <s v="Other Receivables"/>
    <s v="TAF"/>
    <n v="50"/>
    <n v="0"/>
    <n v="0"/>
    <n v="0"/>
    <n v="50"/>
    <n v="0"/>
    <n v="50"/>
  </r>
  <r>
    <x v="51"/>
    <s v="RECEIVABLE FROM MAHER ALI"/>
    <s v="1-01-02-02-048RECEIVABLE FROM MAHER ALI"/>
    <x v="0"/>
    <x v="0"/>
    <s v="Loans, Advances, Deposits, Prepayments And Receivables"/>
    <s v="Other Receivables"/>
    <s v="TAF"/>
    <m/>
    <n v="0"/>
    <n v="0"/>
    <n v="0"/>
    <n v="0"/>
    <n v="0"/>
    <n v="0"/>
  </r>
  <r>
    <x v="52"/>
    <s v="REC / PAY WITH TSWW"/>
    <s v="-"/>
    <x v="1"/>
    <x v="1"/>
    <s v="Inter Project Balances"/>
    <s v="Inter Project Balances"/>
    <s v="Deezire"/>
    <n v="0"/>
    <n v="210640"/>
    <n v="0"/>
    <n v="0"/>
    <n v="0"/>
    <n v="210640"/>
    <n v="-210640"/>
  </r>
  <r>
    <x v="52"/>
    <s v="REC / PAY WITH TSWW"/>
    <s v="-"/>
    <x v="1"/>
    <x v="1"/>
    <s v="Inter Project Balances"/>
    <s v="Inter Project Balances"/>
    <s v="PILER"/>
    <n v="0"/>
    <m/>
    <n v="0"/>
    <n v="0"/>
    <n v="0"/>
    <n v="0"/>
    <n v="0"/>
  </r>
  <r>
    <x v="53"/>
    <s v="RECEIVABLE FROM SHAKEEL AHMED"/>
    <s v="1-01-02-02-050RECEIVABLE FROM SHAKEEL AHMED"/>
    <x v="0"/>
    <x v="0"/>
    <s v="Loans, Advances, Deposits, Prepayments And Receivables"/>
    <s v="Other Receivables"/>
    <s v="Trocaire"/>
    <n v="50"/>
    <n v="0"/>
    <n v="0"/>
    <n v="0"/>
    <n v="50"/>
    <n v="0"/>
    <n v="50"/>
  </r>
  <r>
    <x v="54"/>
    <s v="RECEIVABLE FROM SHAZAD ALI SHA"/>
    <s v="1-01-02-02-051RECEIVABLE FROM SHAZAD ALI SHA"/>
    <x v="0"/>
    <x v="0"/>
    <s v="Loans, Advances, Deposits, Prepayments And Receivables"/>
    <s v="Other Receivables"/>
    <s v="Trocaire"/>
    <m/>
    <n v="0"/>
    <n v="0"/>
    <n v="0"/>
    <n v="0"/>
    <n v="0"/>
    <n v="0"/>
  </r>
  <r>
    <x v="55"/>
    <s v="RECEIVABLE FROM FARHAN"/>
    <s v="1-01-02-02-052RECEIVABLE FROM FARHAN"/>
    <x v="0"/>
    <x v="0"/>
    <s v="Loans, Advances, Deposits, Prepayments And Receivables"/>
    <s v="Other Receivables"/>
    <s v="Trocaire"/>
    <m/>
    <n v="0"/>
    <n v="0"/>
    <n v="0"/>
    <n v="0"/>
    <n v="0"/>
    <n v="0"/>
  </r>
  <r>
    <x v="56"/>
    <s v="RECEIVABLE FROM ABBAS HAIDER"/>
    <s v="1-01-02-02-053RECEIVABLE FROM ABBAS HAIDER"/>
    <x v="0"/>
    <x v="0"/>
    <s v="Loans, Advances, Deposits, Prepayments And Receivables"/>
    <s v="Other Receivables"/>
    <s v="Deezire"/>
    <n v="0"/>
    <n v="240"/>
    <n v="0"/>
    <n v="0"/>
    <n v="0"/>
    <n v="240"/>
    <n v="-240"/>
  </r>
  <r>
    <x v="56"/>
    <s v="RECEIVABLE FROM ABBAS HAIDER"/>
    <s v="1-01-02-02-053RECEIVABLE FROM ABBAS HAIDER"/>
    <x v="0"/>
    <x v="0"/>
    <s v="Loans, Advances, Deposits, Prepayments And Receivables"/>
    <s v="Other Receivables"/>
    <s v="PILER"/>
    <n v="0"/>
    <m/>
    <n v="0"/>
    <n v="0"/>
    <n v="0"/>
    <n v="0"/>
    <n v="0"/>
  </r>
  <r>
    <x v="56"/>
    <s v="RECEIVABLE FROM ABBAS HAIDER"/>
    <s v="1-01-02-02-053RECEIVABLE FROM ABBAS HAIDER"/>
    <x v="0"/>
    <x v="0"/>
    <s v="Loans, Advances, Deposits, Prepayments And Receivables"/>
    <s v="Other Receivables"/>
    <s v="UNICEF-2"/>
    <n v="0"/>
    <m/>
    <n v="0"/>
    <n v="0"/>
    <n v="0"/>
    <n v="0"/>
    <n v="0"/>
  </r>
  <r>
    <x v="57"/>
    <s v="RECEIVABLE FROM ABIDA SHARAFAT"/>
    <s v="1-01-02-02-054RECEIVABLE FROM ABIDA SHARAFAT"/>
    <x v="0"/>
    <x v="0"/>
    <s v="Loans, Advances, Deposits, Prepayments And Receivables"/>
    <s v="Other Receivables"/>
    <s v="UNICEF-2"/>
    <n v="50"/>
    <n v="0"/>
    <n v="0"/>
    <n v="0"/>
    <n v="50"/>
    <n v="0"/>
    <n v="50"/>
  </r>
  <r>
    <x v="58"/>
    <s v="RECEIVABLE FROM MIR MULADAD"/>
    <s v="1-01-02-02-055RECEIVABLE FROM MIR MULADAD"/>
    <x v="0"/>
    <x v="0"/>
    <s v="Loans, Advances, Deposits, Prepayments And Receivables"/>
    <s v="Other Receivables"/>
    <s v="UNICEF-2"/>
    <m/>
    <n v="0"/>
    <n v="0"/>
    <n v="0"/>
    <n v="0"/>
    <n v="0"/>
    <n v="0"/>
  </r>
  <r>
    <x v="59"/>
    <s v="RECEIVABLE FROM SANA RUBAB"/>
    <s v="1-01-02-02-056RECEIVABLE FROM SANA RUBAB"/>
    <x v="0"/>
    <x v="0"/>
    <s v="Loans, Advances, Deposits, Prepayments And Receivables"/>
    <s v="Other Receivables"/>
    <s v="UNICEF-2"/>
    <m/>
    <n v="0"/>
    <n v="0"/>
    <n v="0"/>
    <n v="0"/>
    <n v="0"/>
    <n v="0"/>
  </r>
  <r>
    <x v="60"/>
    <s v="REC / PAY WOW"/>
    <s v="-"/>
    <x v="1"/>
    <x v="1"/>
    <s v="Inter Project Balances"/>
    <s v="Inter Project Balances"/>
    <s v="PILER"/>
    <n v="65268"/>
    <n v="0"/>
    <n v="0"/>
    <n v="0"/>
    <n v="65268"/>
    <n v="0"/>
    <n v="65268"/>
  </r>
  <r>
    <x v="61"/>
    <s v="REC / PAY DST"/>
    <s v="-"/>
    <x v="1"/>
    <x v="1"/>
    <s v="Inter Project Balances"/>
    <s v="Inter Project Balances"/>
    <s v="PILER"/>
    <n v="124685"/>
    <n v="0"/>
    <n v="0"/>
    <n v="0"/>
    <n v="124685"/>
    <n v="0"/>
    <n v="124685"/>
  </r>
  <r>
    <x v="62"/>
    <s v="REC / PAY WITH DAI"/>
    <s v="-"/>
    <x v="1"/>
    <x v="1"/>
    <s v="Inter Project Balances"/>
    <s v="Inter Project Balances"/>
    <s v="Trocaire"/>
    <n v="2100"/>
    <n v="0"/>
    <n v="0"/>
    <n v="0"/>
    <n v="2100"/>
    <n v="0"/>
    <n v="2100"/>
  </r>
  <r>
    <x v="62"/>
    <s v="REC / PAY WITH DAI"/>
    <s v="-"/>
    <x v="1"/>
    <x v="1"/>
    <s v="Inter Project Balances"/>
    <s v="Inter Project Balances"/>
    <s v="PILER"/>
    <m/>
    <n v="0"/>
    <n v="0"/>
    <n v="0"/>
    <n v="0"/>
    <n v="0"/>
    <n v="0"/>
  </r>
  <r>
    <x v="62"/>
    <s v="REC / PAY WITH DAI"/>
    <s v="-"/>
    <x v="1"/>
    <x v="1"/>
    <s v="Inter Project Balances"/>
    <s v="Inter Project Balances"/>
    <s v="UNICEF-3"/>
    <m/>
    <n v="0"/>
    <n v="0"/>
    <n v="0"/>
    <n v="0"/>
    <n v="0"/>
    <n v="0"/>
  </r>
  <r>
    <x v="63"/>
    <s v="REC / PAY UNICEF"/>
    <s v="-"/>
    <x v="1"/>
    <x v="1"/>
    <s v="Inter Project Balances"/>
    <s v="Inter Project Balances"/>
    <s v="Trocaire"/>
    <n v="33907"/>
    <n v="0"/>
    <n v="0"/>
    <n v="0"/>
    <n v="33907"/>
    <n v="0"/>
    <n v="33907"/>
  </r>
  <r>
    <x v="63"/>
    <s v="REC / PAY UNICEF"/>
    <s v="-"/>
    <x v="1"/>
    <x v="1"/>
    <s v="Inter Project Balances"/>
    <s v="Inter Project Balances"/>
    <s v="Deezire"/>
    <m/>
    <n v="0"/>
    <n v="0"/>
    <n v="0"/>
    <n v="0"/>
    <n v="0"/>
    <n v="0"/>
  </r>
  <r>
    <x v="63"/>
    <s v="REC / PAY UNICEF"/>
    <s v="-"/>
    <x v="1"/>
    <x v="1"/>
    <s v="Inter Project Balances"/>
    <s v="Inter Project Balances"/>
    <s v="PILER"/>
    <m/>
    <n v="0"/>
    <n v="0"/>
    <n v="0"/>
    <n v="0"/>
    <n v="0"/>
    <n v="0"/>
  </r>
  <r>
    <x v="63"/>
    <s v="REC / PAY UNICEF"/>
    <s v="-"/>
    <x v="1"/>
    <x v="1"/>
    <s v="Inter Project Balances"/>
    <s v="Inter Project Balances"/>
    <s v="TAF"/>
    <m/>
    <n v="0"/>
    <n v="0"/>
    <n v="0"/>
    <n v="0"/>
    <n v="0"/>
    <n v="0"/>
  </r>
  <r>
    <x v="63"/>
    <s v="REC / PAY UNICEF"/>
    <s v="-"/>
    <x v="1"/>
    <x v="1"/>
    <s v="Inter Project Balances"/>
    <s v="Inter Project Balances"/>
    <s v="SHORT"/>
    <m/>
    <n v="0"/>
    <n v="0"/>
    <n v="0"/>
    <n v="0"/>
    <n v="0"/>
    <n v="0"/>
  </r>
  <r>
    <x v="64"/>
    <s v="REC / PAY ACTIONAID"/>
    <s v="-"/>
    <x v="1"/>
    <x v="1"/>
    <s v="Inter Project Balances"/>
    <s v="Inter Project Balances"/>
    <s v="PILER"/>
    <n v="22000"/>
    <n v="0"/>
    <n v="0"/>
    <n v="0"/>
    <n v="22000"/>
    <n v="0"/>
    <n v="22000"/>
  </r>
  <r>
    <x v="65"/>
    <s v="Rec / Pay with RRCCHR"/>
    <s v="-"/>
    <x v="1"/>
    <x v="1"/>
    <s v="Inter Project Balances"/>
    <s v="Inter Project Balances"/>
    <s v="PILER"/>
    <n v="115"/>
    <n v="0"/>
    <n v="0"/>
    <n v="0"/>
    <n v="115"/>
    <n v="0"/>
    <n v="115"/>
  </r>
  <r>
    <x v="66"/>
    <s v="REC / Pay with DP World Port Qasim"/>
    <s v="-"/>
    <x v="1"/>
    <x v="1"/>
    <s v="Inter Project Balances"/>
    <s v="Inter Project Balances"/>
    <s v="PILER"/>
    <n v="15372"/>
    <n v="0"/>
    <n v="0"/>
    <n v="0"/>
    <n v="15372"/>
    <n v="0"/>
    <n v="15372"/>
  </r>
  <r>
    <x v="67"/>
    <s v="Rec / Pay with Open Society"/>
    <s v="-"/>
    <x v="1"/>
    <x v="1"/>
    <s v="Inter Project Balances"/>
    <s v="Inter Project Balances"/>
    <s v="Deezire"/>
    <n v="61500"/>
    <n v="0"/>
    <n v="0"/>
    <n v="0"/>
    <n v="61500"/>
    <n v="0"/>
    <n v="61500"/>
  </r>
  <r>
    <x v="67"/>
    <s v="Rec / Pay with Open Society"/>
    <s v="-"/>
    <x v="1"/>
    <x v="1"/>
    <s v="Inter Project Balances"/>
    <s v="Inter Project Balances"/>
    <s v="PILER"/>
    <m/>
    <n v="0"/>
    <n v="0"/>
    <n v="0"/>
    <n v="0"/>
    <n v="0"/>
    <n v="0"/>
  </r>
  <r>
    <x v="67"/>
    <s v="Rec / Pay with Open Society"/>
    <s v="-"/>
    <x v="1"/>
    <x v="1"/>
    <s v="Inter Project Balances"/>
    <s v="Inter Project Balances"/>
    <s v="ETI"/>
    <m/>
    <n v="0"/>
    <n v="0"/>
    <n v="0"/>
    <n v="0"/>
    <n v="0"/>
    <n v="0"/>
  </r>
  <r>
    <x v="67"/>
    <s v="Rec / Pay with Open Society"/>
    <s v="-"/>
    <x v="1"/>
    <x v="1"/>
    <s v="Inter Project Balances"/>
    <s v="Inter Project Balances"/>
    <s v="FNV"/>
    <m/>
    <n v="0"/>
    <n v="0"/>
    <n v="0"/>
    <n v="0"/>
    <n v="0"/>
    <n v="0"/>
  </r>
  <r>
    <x v="68"/>
    <s v="Rec / Pay with ETI"/>
    <s v="-"/>
    <x v="1"/>
    <x v="1"/>
    <s v="Inter Project Balances"/>
    <s v="Inter Project Balances"/>
    <s v="PILER"/>
    <n v="12822"/>
    <n v="1264793"/>
    <n v="0"/>
    <n v="0"/>
    <n v="12822"/>
    <n v="1264793"/>
    <n v="-1251971"/>
  </r>
  <r>
    <x v="69"/>
    <s v="Rec / Pay with Network CCC South Asia"/>
    <s v="-"/>
    <x v="1"/>
    <x v="1"/>
    <s v="Inter Project Balances"/>
    <s v="Inter Project Balances"/>
    <s v="PILER"/>
    <n v="427177"/>
    <n v="0"/>
    <n v="0"/>
    <n v="0"/>
    <n v="427177"/>
    <n v="0"/>
    <n v="427177"/>
  </r>
  <r>
    <x v="69"/>
    <s v="Rec / Pay with Network CCC South Asia"/>
    <s v="-"/>
    <x v="1"/>
    <x v="1"/>
    <s v="Inter Project Balances"/>
    <s v="Inter Project Balances"/>
    <s v="FNV"/>
    <m/>
    <n v="0"/>
    <n v="0"/>
    <n v="0"/>
    <n v="0"/>
    <n v="0"/>
    <n v="0"/>
  </r>
  <r>
    <x v="70"/>
    <s v="Rec / pay with FOSI"/>
    <s v="-"/>
    <x v="1"/>
    <x v="1"/>
    <s v="Inter Project Balances"/>
    <s v="Inter Project Balances"/>
    <s v="PILER"/>
    <n v="35108"/>
    <n v="0"/>
    <n v="0"/>
    <n v="0"/>
    <n v="35108"/>
    <n v="0"/>
    <n v="35108"/>
  </r>
  <r>
    <x v="71"/>
    <s v="Rec / Pay with IBP"/>
    <s v="-"/>
    <x v="1"/>
    <x v="1"/>
    <s v="Inter Project Balances"/>
    <s v="Inter Project Balances"/>
    <s v="PILER"/>
    <n v="28375"/>
    <n v="0"/>
    <n v="0"/>
    <n v="0"/>
    <n v="28375"/>
    <n v="0"/>
    <n v="28375"/>
  </r>
  <r>
    <x v="72"/>
    <s v="Rec / Pay with FNV"/>
    <s v="-"/>
    <x v="1"/>
    <x v="1"/>
    <s v="Inter Project Balances"/>
    <s v="Inter Project Balances"/>
    <s v="Deezire"/>
    <n v="50000"/>
    <n v="0"/>
    <n v="0"/>
    <n v="0"/>
    <n v="50000"/>
    <n v="0"/>
    <n v="50000"/>
  </r>
  <r>
    <x v="72"/>
    <s v="Rec / Pay with FNV"/>
    <s v="-"/>
    <x v="1"/>
    <x v="1"/>
    <s v="Inter Project Balances"/>
    <s v="Inter Project Balances"/>
    <s v="PILER"/>
    <m/>
    <n v="0"/>
    <n v="0"/>
    <n v="0"/>
    <n v="0"/>
    <n v="0"/>
    <n v="0"/>
  </r>
  <r>
    <x v="72"/>
    <s v="Rec / Pay with FNV"/>
    <s v="-"/>
    <x v="1"/>
    <x v="1"/>
    <s v="Inter Project Balances"/>
    <s v="Inter Project Balances"/>
    <s v="SHORT"/>
    <m/>
    <n v="0"/>
    <n v="0"/>
    <n v="0"/>
    <n v="0"/>
    <n v="0"/>
    <n v="0"/>
  </r>
  <r>
    <x v="72"/>
    <s v="Rec / Pay with FNV"/>
    <s v="-"/>
    <x v="1"/>
    <x v="1"/>
    <s v="Inter Project Balances"/>
    <s v="Inter Project Balances"/>
    <s v="Open Socie"/>
    <m/>
    <n v="0"/>
    <n v="0"/>
    <n v="0"/>
    <n v="0"/>
    <n v="0"/>
    <n v="0"/>
  </r>
  <r>
    <x v="73"/>
    <s v="REC / PAY WITH DAI KCD015"/>
    <s v="-"/>
    <x v="1"/>
    <x v="1"/>
    <s v="Inter Project Balances"/>
    <s v="Inter Project Balances"/>
    <s v="PILER"/>
    <n v="0"/>
    <n v="2662608"/>
    <n v="0"/>
    <n v="0"/>
    <n v="0"/>
    <n v="2662608"/>
    <n v="-2662608"/>
  </r>
  <r>
    <x v="74"/>
    <s v="REC / PAY WITH DAI KCD031"/>
    <s v="-"/>
    <x v="1"/>
    <x v="1"/>
    <s v="Inter Project Balances"/>
    <s v="Inter Project Balances"/>
    <s v="PILER"/>
    <n v="0"/>
    <n v="913998"/>
    <n v="0"/>
    <n v="0"/>
    <n v="0"/>
    <n v="913998"/>
    <n v="-913998"/>
  </r>
  <r>
    <x v="75"/>
    <s v="Rec / Pay With CCC"/>
    <s v="-"/>
    <x v="1"/>
    <x v="1"/>
    <s v="Inter Project Balances"/>
    <s v="Inter Project Balances"/>
    <s v="PILER"/>
    <n v="74085"/>
    <n v="389994"/>
    <n v="0"/>
    <n v="0"/>
    <n v="74085"/>
    <n v="389994"/>
    <n v="-315909"/>
  </r>
  <r>
    <x v="75"/>
    <s v="Rec / Pay With CCC"/>
    <s v="-"/>
    <x v="1"/>
    <x v="1"/>
    <s v="Inter Project Balances"/>
    <s v="Inter Project Balances"/>
    <s v="ETI"/>
    <n v="74085"/>
    <n v="389994"/>
    <n v="0"/>
    <n v="0"/>
    <n v="74085"/>
    <n v="389994"/>
    <n v="-315909"/>
  </r>
  <r>
    <x v="76"/>
    <s v="Rec / Pay with ETI-DFID"/>
    <s v="-"/>
    <x v="1"/>
    <x v="1"/>
    <s v="Inter Project Balances"/>
    <s v="Inter Project Balances"/>
    <s v="PILER"/>
    <n v="432467"/>
    <n v="16000"/>
    <n v="0"/>
    <n v="0"/>
    <n v="432467"/>
    <n v="16000"/>
    <n v="416467"/>
  </r>
  <r>
    <x v="76"/>
    <s v="Rec / Pay with ETI-DFID"/>
    <s v="-"/>
    <x v="1"/>
    <x v="1"/>
    <s v="Inter Project Balances"/>
    <s v="Inter Project Balances"/>
    <s v="SHORT"/>
    <m/>
    <m/>
    <n v="0"/>
    <n v="0"/>
    <n v="0"/>
    <n v="0"/>
    <n v="0"/>
  </r>
  <r>
    <x v="76"/>
    <s v="Rec / Pay with ETI-DFID"/>
    <s v="-"/>
    <x v="1"/>
    <x v="1"/>
    <s v="Inter Project Balances"/>
    <s v="Inter Project Balances"/>
    <s v="Open Socie"/>
    <m/>
    <m/>
    <n v="0"/>
    <n v="0"/>
    <n v="0"/>
    <n v="0"/>
    <n v="0"/>
  </r>
  <r>
    <x v="77"/>
    <s v="Rec / Pay with AVAAZ"/>
    <s v="-"/>
    <x v="1"/>
    <x v="1"/>
    <s v="Inter Project Balances"/>
    <s v="Inter Project Balances"/>
    <s v="PILER"/>
    <n v="0"/>
    <n v="809850"/>
    <n v="0"/>
    <n v="0"/>
    <n v="0"/>
    <n v="809850"/>
    <n v="-809850"/>
  </r>
  <r>
    <x v="78"/>
    <s v="Rec / Pay with Covid-19 Relief"/>
    <s v="-"/>
    <x v="1"/>
    <x v="1"/>
    <s v="Inter Project Balances"/>
    <s v="Inter Project Balances"/>
    <s v="PILER"/>
    <n v="3947407"/>
    <n v="0"/>
    <n v="0"/>
    <n v="0"/>
    <n v="3947407"/>
    <n v="0"/>
    <n v="3947407"/>
  </r>
  <r>
    <x v="78"/>
    <s v="Rec / Pay with Covid-19 Relief"/>
    <s v="-"/>
    <x v="1"/>
    <x v="1"/>
    <s v="Inter Project Balances"/>
    <s v="Inter Project Balances"/>
    <s v="ETI"/>
    <m/>
    <n v="0"/>
    <n v="0"/>
    <n v="0"/>
    <n v="0"/>
    <n v="0"/>
    <n v="0"/>
  </r>
  <r>
    <x v="79"/>
    <s v="Rec / Pay with Network Matter"/>
    <s v="-"/>
    <x v="1"/>
    <x v="1"/>
    <s v="Inter Project Balances"/>
    <s v="Inter Project Balances"/>
    <s v="PILER"/>
    <n v="84000"/>
    <n v="284000"/>
    <n v="0"/>
    <n v="0"/>
    <n v="84000"/>
    <n v="284000"/>
    <n v="-200000"/>
  </r>
  <r>
    <x v="80"/>
    <s v="Rec / Pay with OSF- impact of COVID-19"/>
    <s v="-"/>
    <x v="1"/>
    <x v="1"/>
    <s v="Inter Project Balances"/>
    <s v="Inter Project Balances"/>
    <s v="PILER"/>
    <n v="11309746"/>
    <n v="11966726"/>
    <n v="0"/>
    <n v="0"/>
    <n v="11309746"/>
    <n v="11966726"/>
    <n v="-656980"/>
  </r>
  <r>
    <x v="80"/>
    <s v="Rec / Pay with OSF- impact of COVID-19"/>
    <s v="-"/>
    <x v="1"/>
    <x v="1"/>
    <s v="Inter Project Balances"/>
    <s v="Inter Project Balances"/>
    <s v="DAI"/>
    <m/>
    <m/>
    <n v="0"/>
    <n v="0"/>
    <n v="0"/>
    <n v="0"/>
    <n v="0"/>
  </r>
  <r>
    <x v="81"/>
    <s v="Rec / Pay with DAI KCD 115"/>
    <s v="-"/>
    <x v="1"/>
    <x v="1"/>
    <s v="Inter Project Balances"/>
    <s v="Inter Project Balances"/>
    <s v="PILER"/>
    <n v="1896469"/>
    <n v="1781500"/>
    <n v="0"/>
    <n v="0"/>
    <n v="1896469"/>
    <n v="1781500"/>
    <n v="114969"/>
  </r>
  <r>
    <x v="81"/>
    <s v="Rec / Pay with DAI KCD 115"/>
    <s v="-"/>
    <x v="1"/>
    <x v="1"/>
    <s v="Inter Project Balances"/>
    <s v="Inter Project Balances"/>
    <s v="Open Socie"/>
    <m/>
    <m/>
    <n v="0"/>
    <n v="0"/>
    <n v="0"/>
    <n v="0"/>
    <n v="0"/>
  </r>
  <r>
    <x v="82"/>
    <s v="Rec / Pay with GRC"/>
    <s v="-"/>
    <x v="1"/>
    <x v="1"/>
    <s v="Inter Project Balances"/>
    <s v="Inter Project Balances"/>
    <s v="PILER"/>
    <n v="3489328.21"/>
    <n v="5153996.7"/>
    <n v="736997"/>
    <n v="1509464"/>
    <n v="4226325.21"/>
    <n v="6663460.7000000002"/>
    <n v="-2437135.4900000002"/>
  </r>
  <r>
    <x v="82"/>
    <s v="Rec / Pay with GRC"/>
    <s v="-"/>
    <x v="1"/>
    <x v="1"/>
    <s v="Inter Project Balances"/>
    <s v="Inter Project Balances"/>
    <s v="GRC"/>
    <m/>
    <m/>
    <n v="0"/>
    <n v="0"/>
    <n v="0"/>
    <n v="0"/>
    <n v="0"/>
  </r>
  <r>
    <x v="82"/>
    <s v="Rec / Pay with GRC"/>
    <s v="-"/>
    <x v="1"/>
    <x v="1"/>
    <s v="Inter Project Balances"/>
    <s v="Inter Project Balances"/>
    <s v="GRC Own"/>
    <m/>
    <m/>
    <n v="5818.88"/>
    <n v="0"/>
    <n v="5818.88"/>
    <n v="0"/>
    <n v="5818.88"/>
  </r>
  <r>
    <x v="83"/>
    <s v="Rec / Pay with GRC Own"/>
    <s v="-"/>
    <x v="1"/>
    <x v="1"/>
    <s v="Inter Project Balances"/>
    <s v="Inter Project Balances"/>
    <s v="PILER"/>
    <n v="765582"/>
    <n v="779095"/>
    <n v="1142710"/>
    <n v="333765"/>
    <n v="1908292"/>
    <n v="1112860"/>
    <n v="795432"/>
  </r>
  <r>
    <x v="83"/>
    <s v="Rec / Pay with GRC Own"/>
    <s v="-"/>
    <x v="1"/>
    <x v="1"/>
    <s v="Inter Project Balances"/>
    <s v="Inter Project Balances"/>
    <s v="GRC"/>
    <m/>
    <m/>
    <n v="0"/>
    <n v="0"/>
    <n v="0"/>
    <n v="0"/>
    <n v="0"/>
  </r>
  <r>
    <x v="83"/>
    <s v="Rec / Pay with GRC Own"/>
    <s v="-"/>
    <x v="1"/>
    <x v="1"/>
    <s v="Inter Project Balances"/>
    <s v="Inter Project Balances"/>
    <s v="GRC Own"/>
    <m/>
    <m/>
    <n v="944720.92"/>
    <n v="881253.33"/>
    <n v="944720.92"/>
    <n v="881253.33"/>
    <n v="63467.590000000084"/>
  </r>
  <r>
    <x v="84"/>
    <s v="ADVANCE TO GOHAR ALI"/>
    <s v="1-01-02-03-003ADVANCE TO GOHAR ALI"/>
    <x v="0"/>
    <x v="0"/>
    <s v="Loans, Advances, Deposits, Prepayments And Receivables"/>
    <s v="Advance Against Activities"/>
    <s v="PILER"/>
    <n v="2450"/>
    <n v="0"/>
    <n v="0"/>
    <n v="0"/>
    <n v="2450"/>
    <n v="0"/>
    <n v="2450"/>
  </r>
  <r>
    <x v="84"/>
    <s v="ADVANCE TO GOHAR ALI"/>
    <s v="1-01-02-03-003ADVANCE TO GOHAR ALI"/>
    <x v="0"/>
    <x v="0"/>
    <s v="Loans, Advances, Deposits, Prepayments And Receivables"/>
    <s v="Advance Against Activities"/>
    <s v="TDH"/>
    <m/>
    <n v="0"/>
    <n v="0"/>
    <n v="0"/>
    <n v="0"/>
    <n v="0"/>
    <n v="0"/>
  </r>
  <r>
    <x v="85"/>
    <s v="ADVANCE TO KHADIM HUSSAIN"/>
    <s v="1-01-02-03-008ADVANCE TO KHADIM HUSSAIN"/>
    <x v="0"/>
    <x v="0"/>
    <s v="Loans, Advances, Deposits, Prepayments And Receivables"/>
    <s v="Advance Against Activities"/>
    <s v="PILER"/>
    <n v="4754398"/>
    <n v="4754398"/>
    <n v="4137000"/>
    <n v="4137000"/>
    <n v="8891398"/>
    <n v="8891398"/>
    <n v="0"/>
  </r>
  <r>
    <x v="85"/>
    <s v="ADVANCE TO KHADIM HUSSAIN"/>
    <s v="1-01-02-03-008ADVANCE TO KHADIM HUSSAIN"/>
    <x v="0"/>
    <x v="0"/>
    <s v="Loans, Advances, Deposits, Prepayments And Receivables"/>
    <s v="Advance Against Activities"/>
    <s v="ICCO"/>
    <m/>
    <m/>
    <n v="0"/>
    <n v="0"/>
    <n v="0"/>
    <n v="0"/>
    <n v="0"/>
  </r>
  <r>
    <x v="85"/>
    <s v="ADVANCE TO KHADIM HUSSAIN"/>
    <s v="1-01-02-03-008ADVANCE TO KHADIM HUSSAIN"/>
    <x v="0"/>
    <x v="0"/>
    <s v="Loans, Advances, Deposits, Prepayments And Receivables"/>
    <s v="Advance Against Activities"/>
    <s v="SHORT"/>
    <m/>
    <m/>
    <n v="0"/>
    <n v="0"/>
    <n v="0"/>
    <n v="0"/>
    <n v="0"/>
  </r>
  <r>
    <x v="85"/>
    <s v="ADVANCE TO KHADIM HUSSAIN"/>
    <s v="1-01-02-03-008ADVANCE TO KHADIM HUSSAIN"/>
    <x v="0"/>
    <x v="0"/>
    <s v="Loans, Advances, Deposits, Prepayments And Receivables"/>
    <s v="Advance Against Activities"/>
    <s v="DAI"/>
    <m/>
    <m/>
    <n v="0"/>
    <n v="0"/>
    <n v="0"/>
    <n v="0"/>
    <n v="0"/>
  </r>
  <r>
    <x v="85"/>
    <s v="ADVANCE TO KHADIM HUSSAIN"/>
    <s v="1-01-02-03-008ADVANCE TO KHADIM HUSSAIN"/>
    <x v="0"/>
    <x v="0"/>
    <s v="Loans, Advances, Deposits, Prepayments And Receivables"/>
    <s v="Advance Against Activities"/>
    <s v="GRC"/>
    <n v="4754398"/>
    <n v="4754398"/>
    <n v="1063000"/>
    <n v="1063000"/>
    <n v="5817398"/>
    <n v="5817398"/>
    <n v="0"/>
  </r>
  <r>
    <x v="85"/>
    <s v="ADVANCE TO KHADIM HUSSAIN"/>
    <s v="1-01-02-03-008ADVANCE TO KHADIM HUSSAIN"/>
    <x v="0"/>
    <x v="0"/>
    <s v="Loans, Advances, Deposits, Prepayments And Receivables"/>
    <s v="Advance Against Activities"/>
    <s v="GRC Own"/>
    <m/>
    <m/>
    <n v="0"/>
    <n v="186000"/>
    <n v="0"/>
    <n v="186000"/>
    <n v="-186000"/>
  </r>
  <r>
    <x v="86"/>
    <s v="ADVANCE TO ABBAS HAIDER"/>
    <s v="1-01-02-03-020ADVANCE TO ABBAS HAIDER"/>
    <x v="0"/>
    <x v="0"/>
    <s v="Loans, Advances, Deposits, Prepayments And Receivables"/>
    <s v="Advance Against Activities"/>
    <s v="PILER"/>
    <n v="606350"/>
    <n v="564350"/>
    <n v="35000"/>
    <n v="0"/>
    <n v="641350"/>
    <n v="564350"/>
    <n v="77000"/>
  </r>
  <r>
    <x v="86"/>
    <s v="ADVANCE TO ABBAS HAIDER"/>
    <s v="1-01-02-03-020ADVANCE TO ABBAS HAIDER"/>
    <x v="0"/>
    <x v="0"/>
    <s v="Loans, Advances, Deposits, Prepayments And Receivables"/>
    <s v="Advance Against Activities"/>
    <s v="SHORT"/>
    <n v="606350"/>
    <n v="564350"/>
    <n v="0"/>
    <n v="0"/>
    <n v="606350"/>
    <n v="564350"/>
    <n v="42000"/>
  </r>
  <r>
    <x v="86"/>
    <s v="ADVANCE TO ABBAS HAIDER"/>
    <s v="1-01-02-03-020ADVANCE TO ABBAS HAIDER"/>
    <x v="0"/>
    <x v="0"/>
    <s v="Loans, Advances, Deposits, Prepayments And Receivables"/>
    <s v="Advance Against Activities"/>
    <s v="RRCCHR"/>
    <m/>
    <m/>
    <n v="0"/>
    <n v="0"/>
    <n v="0"/>
    <n v="0"/>
    <n v="0"/>
  </r>
  <r>
    <x v="86"/>
    <s v="ADVANCE TO ABBAS HAIDER"/>
    <s v="1-01-02-03-020ADVANCE TO ABBAS HAIDER"/>
    <x v="0"/>
    <x v="0"/>
    <s v="Loans, Advances, Deposits, Prepayments And Receivables"/>
    <s v="Advance Against Activities"/>
    <s v="GRC"/>
    <m/>
    <m/>
    <n v="30000"/>
    <n v="0"/>
    <n v="30000"/>
    <n v="0"/>
    <n v="30000"/>
  </r>
  <r>
    <x v="87"/>
    <s v="Advance to Zameer Awan"/>
    <s v="1-01-02-03-116Advance to Zameer Awan"/>
    <x v="0"/>
    <x v="0"/>
    <s v="Loans, Advances, Deposits, Prepayments And Receivables"/>
    <s v="Advance Against Activities"/>
    <s v="PILER"/>
    <n v="391000"/>
    <n v="391000"/>
    <n v="130000"/>
    <n v="10000"/>
    <n v="521000"/>
    <n v="401000"/>
    <n v="120000"/>
  </r>
  <r>
    <x v="88"/>
    <s v="Advance against Expenses"/>
    <s v="1-01-02-03-123Advance against Expenses"/>
    <x v="0"/>
    <x v="0"/>
    <s v="Loans, Advances, Deposits, Prepayments And Receivables"/>
    <s v="Advance Against Activities"/>
    <s v="PILER"/>
    <n v="791782"/>
    <n v="740500"/>
    <n v="609500"/>
    <n v="404500"/>
    <n v="1401282"/>
    <n v="1145000"/>
    <n v="256282"/>
  </r>
  <r>
    <x v="88"/>
    <s v="Advance against Expenses"/>
    <s v="1-01-02-03-123Advance against Expenses"/>
    <x v="0"/>
    <x v="0"/>
    <s v="Loans, Advances, Deposits, Prepayments And Receivables"/>
    <s v="Advance Against Activities"/>
    <s v="GRC Own"/>
    <m/>
    <m/>
    <n v="15000"/>
    <n v="15000"/>
    <n v="15000"/>
    <n v="15000"/>
    <n v="0"/>
  </r>
  <r>
    <x v="89"/>
    <s v="Advance to Farhan Haider"/>
    <s v="1-01-02-03-125Advance to Farhan Haider"/>
    <x v="0"/>
    <x v="0"/>
    <s v="Loans, Advances, Deposits, Prepayments And Receivables"/>
    <s v="Advance Against Activities"/>
    <s v="PILER"/>
    <n v="0"/>
    <n v="0"/>
    <n v="144000"/>
    <n v="144000"/>
    <n v="144000"/>
    <n v="144000"/>
    <n v="0"/>
  </r>
  <r>
    <x v="90"/>
    <s v="ADVANCE AGAINST SALARIES"/>
    <s v="1-01-02-04-001ADVANCE AGAINST SALARIES"/>
    <x v="0"/>
    <x v="0"/>
    <s v="Loans, Advances, Deposits, Prepayments And Receivables"/>
    <s v="Advance Against Activities"/>
    <s v="PILER"/>
    <n v="2926182"/>
    <n v="2886182"/>
    <n v="244277"/>
    <n v="254277"/>
    <n v="3170459"/>
    <n v="3140459"/>
    <n v="30000"/>
  </r>
  <r>
    <x v="90"/>
    <s v="ADVANCE AGAINST SALARIES"/>
    <s v="1-01-02-04-001ADVANCE AGAINST SALARIES"/>
    <x v="0"/>
    <x v="0"/>
    <s v="Loans, Advances, Deposits, Prepayments And Receivables"/>
    <s v="Advance Against Activities"/>
    <s v="SHORT"/>
    <m/>
    <m/>
    <n v="0"/>
    <n v="0"/>
    <n v="0"/>
    <n v="0"/>
    <n v="0"/>
  </r>
  <r>
    <x v="90"/>
    <s v="ADVANCE AGAINST SALARIES"/>
    <s v="1-01-02-04-001ADVANCE AGAINST SALARIES"/>
    <x v="0"/>
    <x v="0"/>
    <s v="Loans, Advances, Deposits, Prepayments And Receivables"/>
    <s v="Advance Against Activities"/>
    <s v="GRC"/>
    <m/>
    <m/>
    <n v="0"/>
    <n v="15000"/>
    <n v="0"/>
    <n v="15000"/>
    <n v="-15000"/>
  </r>
  <r>
    <x v="90"/>
    <s v="ADVANCE AGAINST SALARIES"/>
    <s v="1-01-02-04-001ADVANCE AGAINST SALARIES"/>
    <x v="0"/>
    <x v="0"/>
    <s v="Loans, Advances, Deposits, Prepayments And Receivables"/>
    <s v="Advance Against Activities"/>
    <s v="GRC Own"/>
    <m/>
    <m/>
    <n v="70000"/>
    <n v="110000"/>
    <n v="70000"/>
    <n v="110000"/>
    <n v="-40000"/>
  </r>
  <r>
    <x v="91"/>
    <s v="STAFF LOAN"/>
    <s v="1-01-02-04-002STAFF LOAN"/>
    <x v="0"/>
    <x v="0"/>
    <s v="Loans, Advances, Deposits, Prepayments And Receivables"/>
    <s v="Advance Against Activities"/>
    <s v="PILER"/>
    <n v="305000"/>
    <n v="73000"/>
    <n v="120000"/>
    <n v="198000"/>
    <n v="425000"/>
    <n v="271000"/>
    <n v="154000"/>
  </r>
  <r>
    <x v="91"/>
    <s v="STAFF LOAN"/>
    <s v="1-01-02-04-002STAFF LOAN"/>
    <x v="0"/>
    <x v="0"/>
    <s v="Loans, Advances, Deposits, Prepayments And Receivables"/>
    <s v="Advance Against Activities"/>
    <s v="GRC"/>
    <m/>
    <m/>
    <n v="100000"/>
    <n v="62500"/>
    <n v="100000"/>
    <n v="62500"/>
    <n v="37500"/>
  </r>
  <r>
    <x v="91"/>
    <s v="STAFF LOAN"/>
    <s v="1-01-02-04-002STAFF LOAN"/>
    <x v="0"/>
    <x v="0"/>
    <s v="Loans, Advances, Deposits, Prepayments And Receivables"/>
    <s v="Advance Against Activities"/>
    <s v="GRC Own"/>
    <m/>
    <m/>
    <n v="54000"/>
    <n v="48000"/>
    <n v="54000"/>
    <n v="48000"/>
    <n v="6000"/>
  </r>
  <r>
    <x v="92"/>
    <s v="Advance to hikmat ali"/>
    <s v="1-01-02-04-005Advance to hikmat ali"/>
    <x v="0"/>
    <x v="0"/>
    <s v="Loans, Advances, Deposits, Prepayments And Receivables"/>
    <s v="Advance Against Activities"/>
    <s v="PILER"/>
    <n v="116000"/>
    <n v="116000"/>
    <n v="35000"/>
    <n v="35000"/>
    <n v="151000"/>
    <n v="151000"/>
    <n v="0"/>
  </r>
  <r>
    <x v="93"/>
    <s v="PREPAID INSURANCE"/>
    <s v="1-01-02-05-001PREPAID INSURANCE"/>
    <x v="0"/>
    <x v="0"/>
    <s v="Loans, Advances, Deposits, Prepayments And Receivables"/>
    <s v="Prepaid Insurance"/>
    <s v="PILER"/>
    <n v="0"/>
    <n v="0"/>
    <n v="0"/>
    <n v="0"/>
    <n v="0"/>
    <n v="0"/>
    <n v="0"/>
  </r>
  <r>
    <x v="94"/>
    <s v="PREPAYMENTS"/>
    <s v="1-01-02-05-003PREPAYMENTS"/>
    <x v="0"/>
    <x v="0"/>
    <s v="Loans, Advances, Deposits, Prepayments And Receivables"/>
    <s v="Prepaid Insurance"/>
    <s v="PILER"/>
    <n v="9167"/>
    <n v="9167"/>
    <n v="0"/>
    <n v="0"/>
    <n v="9167"/>
    <n v="9167"/>
    <n v="0"/>
  </r>
  <r>
    <x v="95"/>
    <s v="PLOT# ST.001, X-V, PILER CENTR"/>
    <s v="1-02-02-01-001PLOT# ST.001, X-V, PILER CENTR"/>
    <x v="0"/>
    <x v="2"/>
    <s v="Tangible"/>
    <s v="Leasehold Land"/>
    <s v="PILER"/>
    <n v="1721000"/>
    <n v="0"/>
    <n v="0"/>
    <n v="0"/>
    <n v="1721000"/>
    <n v="0"/>
    <n v="1721000"/>
  </r>
  <r>
    <x v="96"/>
    <s v="BUILDING LEASE HOLD LAND"/>
    <s v="1-02-02-02-001BUILDING LEASE HOLD LAND"/>
    <x v="0"/>
    <x v="2"/>
    <s v="Tangible"/>
    <s v="Building On Leasehold Land"/>
    <s v="PILER"/>
    <n v="22763814"/>
    <n v="0"/>
    <n v="0"/>
    <n v="0"/>
    <n v="22763814"/>
    <n v="0"/>
    <n v="22763814"/>
  </r>
  <r>
    <x v="97"/>
    <s v="ACCUMULATED DEPRECIATION BUILD"/>
    <s v="1-02-02-02-002ACCUMULATED DEPRECIATION BUILD"/>
    <x v="0"/>
    <x v="2"/>
    <s v="Tangible"/>
    <s v="Acc Dep - Building On Leasehold Land"/>
    <s v="PILER"/>
    <n v="0"/>
    <n v="10086624"/>
    <n v="0"/>
    <n v="455276"/>
    <n v="0"/>
    <n v="10541900"/>
    <n v="-10541900"/>
  </r>
  <r>
    <x v="98"/>
    <s v="GENERATORS"/>
    <s v="1-02-02-03-001GENERATORS"/>
    <x v="0"/>
    <x v="2"/>
    <s v="Tangible"/>
    <s v="Generator"/>
    <s v="PILER"/>
    <n v="1244075"/>
    <n v="0"/>
    <n v="0"/>
    <n v="0"/>
    <n v="1244075"/>
    <n v="0"/>
    <n v="1244075"/>
  </r>
  <r>
    <x v="99"/>
    <s v="ACCUMULATED DEPRECIATION GENER"/>
    <s v="1-02-02-03-002ACCUMULATED DEPRECIATION GENER"/>
    <x v="0"/>
    <x v="2"/>
    <s v="Tangible"/>
    <s v="Acc Dep - Generator"/>
    <s v="PILER"/>
    <n v="30249"/>
    <n v="1255975"/>
    <n v="0"/>
    <n v="42323"/>
    <n v="30249"/>
    <n v="1298298"/>
    <n v="-1268049"/>
  </r>
  <r>
    <x v="100"/>
    <s v="ELECTRICAL INSTALLATIONS"/>
    <s v="1-02-02-04-001ELECTRICAL INSTALLATIONS"/>
    <x v="0"/>
    <x v="2"/>
    <s v="Tangible"/>
    <s v="Electrical Installations"/>
    <s v="PILER"/>
    <n v="4970458"/>
    <n v="0"/>
    <n v="0"/>
    <n v="0"/>
    <n v="4970458"/>
    <n v="0"/>
    <n v="4970458"/>
  </r>
  <r>
    <x v="101"/>
    <s v="ACCUMULATED DEPRECIATION ELECT"/>
    <s v="1-02-02-04-002ACCUMULATED DEPRECIATION ELECT"/>
    <x v="0"/>
    <x v="2"/>
    <s v="Tangible"/>
    <s v="Acc Dep - Electrical Installations"/>
    <s v="PILER"/>
    <n v="68126"/>
    <n v="4204569"/>
    <n v="0"/>
    <n v="358157"/>
    <n v="68126"/>
    <n v="4562726"/>
    <n v="-4494600"/>
  </r>
  <r>
    <x v="102"/>
    <s v="OFFICE EQUIPMENTS"/>
    <s v="1-02-02-05-001OFFICE EQUIPMENTS"/>
    <x v="0"/>
    <x v="2"/>
    <s v="Tangible"/>
    <s v="Other Equipments"/>
    <s v="PILER"/>
    <n v="911914"/>
    <n v="0"/>
    <n v="0"/>
    <n v="0"/>
    <n v="911914"/>
    <n v="0"/>
    <n v="911914"/>
  </r>
  <r>
    <x v="103"/>
    <s v="ACCUMULATED DEPRECIATION OTHER"/>
    <s v="1-02-02-05-002ACCUMULATED DEPRECIATION OTHER"/>
    <x v="0"/>
    <x v="2"/>
    <s v="Tangible"/>
    <s v="Acc Dep - Other Equipments"/>
    <s v="PILER"/>
    <n v="77185"/>
    <n v="965663"/>
    <n v="0"/>
    <n v="892"/>
    <n v="77185"/>
    <n v="966555"/>
    <n v="-889370"/>
  </r>
  <r>
    <x v="104"/>
    <s v="FURNITURE &amp; FIXTURES"/>
    <s v="1-02-02-06-001FURNITURE &amp; FIXTURES"/>
    <x v="0"/>
    <x v="2"/>
    <s v="Tangible"/>
    <s v="Furniture And Fixture"/>
    <s v="PILER"/>
    <n v="170000"/>
    <n v="170000"/>
    <n v="0"/>
    <n v="0"/>
    <n v="170000"/>
    <n v="170000"/>
    <n v="0"/>
  </r>
  <r>
    <x v="105"/>
    <s v="ACCUMULATED DEPRECIATION F &amp; F"/>
    <s v="1-02-02-06-002ACCUMULATED DEPRECIATION F &amp; F"/>
    <x v="0"/>
    <x v="2"/>
    <s v="Tangible"/>
    <s v="Acc Dep - Furniture And Fixture"/>
    <s v="PILER"/>
    <n v="45012"/>
    <n v="892293"/>
    <n v="0"/>
    <n v="1093"/>
    <n v="45012"/>
    <n v="893386"/>
    <n v="-848374"/>
  </r>
  <r>
    <x v="106"/>
    <s v="COMPUTER &amp; LAPTOPS"/>
    <s v="1-02-02-07-001COMPUTER &amp; LAPTOPS"/>
    <x v="0"/>
    <x v="2"/>
    <s v="Tangible"/>
    <s v="Computer Equipments"/>
    <s v="PILER"/>
    <n v="2903533"/>
    <n v="0"/>
    <n v="3000"/>
    <n v="0"/>
    <n v="2906533"/>
    <n v="0"/>
    <n v="2906533"/>
  </r>
  <r>
    <x v="107"/>
    <s v="ACCUMULATED DEPRECIATION COMPU"/>
    <s v="1-02-02-07-002ACCUMULATED DEPRECIATION COMPU"/>
    <x v="0"/>
    <x v="2"/>
    <s v="Tangible"/>
    <s v="Acc Dep - Computer Equipments"/>
    <s v="PILER"/>
    <n v="5854"/>
    <n v="2909388"/>
    <n v="0"/>
    <n v="0"/>
    <n v="5854"/>
    <n v="2909388"/>
    <n v="-2903534"/>
  </r>
  <r>
    <x v="108"/>
    <s v="COMPUTER SOFTWARE"/>
    <s v="1-02-02-07-003COMPUTER SOFTWARE"/>
    <x v="0"/>
    <x v="2"/>
    <s v="Intangible"/>
    <s v="Cost"/>
    <s v="PILER"/>
    <n v="886711"/>
    <n v="429522"/>
    <n v="0"/>
    <n v="0"/>
    <n v="886711"/>
    <n v="429522"/>
    <n v="457189"/>
  </r>
  <r>
    <x v="109"/>
    <s v="AMMORTIZATION OF SOFTWARE LICS"/>
    <s v="1-02-02-07-004AMMORTIZATION OF SOFTWARE LICS"/>
    <x v="0"/>
    <x v="2"/>
    <s v="Intangible"/>
    <s v="Accumulated Amortisation"/>
    <s v="PILER"/>
    <n v="122813"/>
    <n v="574186.66666666674"/>
    <n v="0"/>
    <n v="76888"/>
    <n v="122813"/>
    <n v="651074.66666666674"/>
    <n v="-528261.66666666674"/>
  </r>
  <r>
    <x v="109"/>
    <s v="AMMORTIZATION OF SOFTWARE LICS"/>
    <s v="1-02-02-07-004AMMORTIZATION OF SOFTWARE LICS"/>
    <x v="0"/>
    <x v="2"/>
    <s v="Intangible"/>
    <s v="Accumulated Amortisation"/>
    <s v="ETI"/>
    <n v="122813"/>
    <n v="574186.66666666674"/>
    <n v="0"/>
    <n v="0"/>
    <n v="122813"/>
    <n v="574186.66666666674"/>
    <n v="-451373.66666666674"/>
  </r>
  <r>
    <x v="110"/>
    <s v="MOTOR VEHICLES"/>
    <s v="1-02-02-08-001MOTOR VEHICLES"/>
    <x v="0"/>
    <x v="2"/>
    <s v="Tangible"/>
    <s v="Vehicles"/>
    <s v="PILER"/>
    <n v="2534605"/>
    <n v="1426000"/>
    <n v="0"/>
    <n v="0"/>
    <n v="2534605"/>
    <n v="1426000"/>
    <n v="1108605"/>
  </r>
  <r>
    <x v="111"/>
    <s v="ACCUMULTED DEPRECIATION MOTORS"/>
    <s v="1-02-02-08-002ACCUMULTED DEPRECIATION MOTORS"/>
    <x v="0"/>
    <x v="2"/>
    <s v="Tangible"/>
    <s v="Acc Dep - Vehicles"/>
    <s v="PILER"/>
    <n v="1384994"/>
    <n v="2493599"/>
    <n v="0"/>
    <n v="0"/>
    <n v="1384994"/>
    <n v="2493599"/>
    <n v="-1108605"/>
  </r>
  <r>
    <x v="112"/>
    <s v="BOOKS"/>
    <s v="1-02-02-09-001BOOKS"/>
    <x v="0"/>
    <x v="2"/>
    <s v="Tangible"/>
    <s v="Books"/>
    <s v="PILER"/>
    <n v="308439"/>
    <n v="0"/>
    <n v="0"/>
    <n v="0"/>
    <n v="308439"/>
    <n v="0"/>
    <n v="308439"/>
  </r>
  <r>
    <x v="113"/>
    <s v="ACCUMULTED DEPRECIATION BOOKS"/>
    <s v="1-02-02-09-002ACCUMULTED DEPRECIATION BOOKS"/>
    <x v="0"/>
    <x v="2"/>
    <s v="Tangible"/>
    <s v="Acc Dep - Books"/>
    <s v="PILER"/>
    <n v="0"/>
    <n v="308439"/>
    <n v="0"/>
    <n v="0"/>
    <n v="0"/>
    <n v="308439"/>
    <n v="-308439"/>
  </r>
  <r>
    <x v="114"/>
    <s v="AUDIT FEE PAYABLE"/>
    <s v="2-01-01-01-010AUDIT FEE PAYABLE"/>
    <x v="0"/>
    <x v="3"/>
    <s v="Accrued, Payables And Other Liabilities"/>
    <s v="Accrued Expenses"/>
    <s v="PILER"/>
    <n v="2565440"/>
    <n v="3257362"/>
    <n v="432000"/>
    <n v="0"/>
    <n v="2997440"/>
    <n v="3257362"/>
    <n v="-259922"/>
  </r>
  <r>
    <x v="115"/>
    <s v="PAYABLE TO SOLIDARITY"/>
    <s v="2-01-01-01-023PAYABLE TO SOLIDARITY"/>
    <x v="0"/>
    <x v="3"/>
    <s v="Accrued, Payables And Other Liabilities"/>
    <s v="Other Liabilities"/>
    <s v="PILER"/>
    <n v="0"/>
    <n v="368297"/>
    <n v="0"/>
    <n v="0"/>
    <n v="0"/>
    <n v="368297"/>
    <n v="-368297"/>
  </r>
  <r>
    <x v="116"/>
    <s v="PAYABLE TO HAMZA GABOOL"/>
    <s v="2-01-01-01-025PAYABLE TO HAMZA GABOOL"/>
    <x v="0"/>
    <x v="3"/>
    <s v="Accrued, Payables And Other Liabilities"/>
    <s v="Other Liabilities"/>
    <s v="PILER"/>
    <n v="0"/>
    <n v="177"/>
    <n v="0"/>
    <n v="0"/>
    <n v="0"/>
    <n v="177"/>
    <n v="-177"/>
  </r>
  <r>
    <x v="117"/>
    <s v="PAYABLE TO IDRC"/>
    <s v="2-01-01-01-026PAYABLE TO IDRC"/>
    <x v="0"/>
    <x v="3"/>
    <s v="Accrued, Payables And Other Liabilities"/>
    <s v="Other Liabilities"/>
    <s v="PILER"/>
    <n v="0"/>
    <n v="251835"/>
    <n v="0"/>
    <n v="0"/>
    <n v="0"/>
    <n v="251835"/>
    <n v="-251835"/>
  </r>
  <r>
    <x v="117"/>
    <s v="PAYABLE TO IDRC"/>
    <s v="2-01-01-01-026PAYABLE TO IDRC"/>
    <x v="0"/>
    <x v="3"/>
    <s v="Accrued, Payables And Other Liabilities"/>
    <s v="Other Liabilities"/>
    <s v="Karachi"/>
    <n v="0"/>
    <n v="251835"/>
    <n v="0"/>
    <n v="0"/>
    <n v="0"/>
    <n v="251835"/>
    <n v="-251835"/>
  </r>
  <r>
    <x v="118"/>
    <s v="PAYABLE TO SHUJAUDDIN"/>
    <s v="2-01-01-01-030PAYABLE TO SHUJAUDDIN"/>
    <x v="0"/>
    <x v="3"/>
    <s v="Accrued, Payables And Other Liabilities"/>
    <s v="Other Liabilities"/>
    <s v="Trocaire"/>
    <n v="0"/>
    <n v="50"/>
    <n v="0"/>
    <n v="0"/>
    <n v="0"/>
    <n v="50"/>
    <n v="-50"/>
  </r>
  <r>
    <x v="118"/>
    <s v="PAYABLE TO SHUJAUDDIN"/>
    <s v="2-01-01-01-030PAYABLE TO SHUJAUDDIN"/>
    <x v="0"/>
    <x v="3"/>
    <s v="Accrued, Payables And Other Liabilities"/>
    <s v="Other Liabilities"/>
    <s v="Open Socie"/>
    <n v="0"/>
    <n v="50"/>
    <n v="0"/>
    <n v="0"/>
    <n v="0"/>
    <n v="50"/>
    <n v="-50"/>
  </r>
  <r>
    <x v="119"/>
    <s v="NEPAL EARTHQUAKE"/>
    <s v="2-01-01-01-031NEPAL EARTHQUAKE"/>
    <x v="0"/>
    <x v="3"/>
    <s v="Accrued, Payables And Other Liabilities"/>
    <s v="Other Liabilities"/>
    <s v="PILER"/>
    <n v="0"/>
    <n v="75698"/>
    <n v="0"/>
    <n v="0"/>
    <n v="0"/>
    <n v="75698"/>
    <n v="-75698"/>
  </r>
  <r>
    <x v="120"/>
    <s v="PAYABLE TO MULA BUKSH"/>
    <s v="2-01-01-01-033PAYABLE TO MULA BUKSH"/>
    <x v="0"/>
    <x v="3"/>
    <s v="Accrued, Payables And Other Liabilities"/>
    <s v="Other Liabilities"/>
    <s v="TAF"/>
    <n v="0"/>
    <n v="464"/>
    <n v="0"/>
    <n v="0"/>
    <n v="0"/>
    <n v="464"/>
    <n v="-464"/>
  </r>
  <r>
    <x v="121"/>
    <s v="PAYABLE TO ALTAF HUSSAIN"/>
    <s v="2-01-01-01-034PAYABLE TO ALTAF HUSSAIN"/>
    <x v="0"/>
    <x v="3"/>
    <s v="Accrued, Payables And Other Liabilities"/>
    <s v="Other Liabilities"/>
    <s v="PILER"/>
    <n v="0"/>
    <n v="500"/>
    <n v="0"/>
    <n v="0"/>
    <n v="0"/>
    <n v="500"/>
    <n v="-500"/>
  </r>
  <r>
    <x v="122"/>
    <s v="PAYABLE TO SPO"/>
    <s v="2-01-01-01-036PAYABLE TO SPO"/>
    <x v="0"/>
    <x v="3"/>
    <s v="Accrued, Payables And Other Liabilities"/>
    <s v="Other Liabilities"/>
    <s v="UNICEF-2"/>
    <n v="0"/>
    <n v="35940"/>
    <n v="0"/>
    <n v="0"/>
    <n v="0"/>
    <n v="35940"/>
    <n v="-35940"/>
  </r>
  <r>
    <x v="123"/>
    <s v="PAYABLE TO GOHAR"/>
    <s v="2-01-01-01-037PAYABLE TO GOHAR"/>
    <x v="0"/>
    <x v="3"/>
    <s v="Accrued, Payables And Other Liabilities"/>
    <s v="Other Liabilities"/>
    <s v="PILER"/>
    <n v="0"/>
    <n v="68623"/>
    <n v="0"/>
    <n v="0"/>
    <n v="0"/>
    <n v="68623"/>
    <n v="-68623"/>
  </r>
  <r>
    <x v="124"/>
    <s v="Payable to Danish"/>
    <s v="2-01-01-01-038Payable to Danish"/>
    <x v="0"/>
    <x v="3"/>
    <s v="Accrued, Payables And Other Liabilities"/>
    <s v="Other Liabilities"/>
    <s v="DAI"/>
    <n v="0"/>
    <n v="275"/>
    <n v="0"/>
    <n v="0"/>
    <n v="0"/>
    <n v="275"/>
    <n v="-275"/>
  </r>
  <r>
    <x v="125"/>
    <s v="Payable to Zulfiqar Ali Shah"/>
    <s v="2-01-01-01-040Payable to Zulfiqar Ali Shah"/>
    <x v="0"/>
    <x v="3"/>
    <s v="Accrued, Payables And Other Liabilities"/>
    <s v="Other Liabilities"/>
    <s v="Open Socie"/>
    <n v="0"/>
    <n v="370"/>
    <n v="0"/>
    <n v="0"/>
    <n v="0"/>
    <n v="370"/>
    <n v="-370"/>
  </r>
  <r>
    <x v="126"/>
    <s v="PAKISTAN LABOUR TRUST"/>
    <s v="2-01-01-02-001PAKISTAN LABOUR TRUST"/>
    <x v="0"/>
    <x v="3"/>
    <s v="Short Term Liabilities"/>
    <s v="Pakistan Labour Trust"/>
    <s v="PILER"/>
    <n v="8323684"/>
    <n v="8323684"/>
    <n v="0"/>
    <n v="0"/>
    <n v="8323684"/>
    <n v="8323684"/>
    <n v="0"/>
  </r>
  <r>
    <x v="127"/>
    <s v="PAYABLE TO TROCAIRE-MLRRS"/>
    <s v="2-01-01-02-016PAYABLE TO TROCAIRE-MLRRS"/>
    <x v="0"/>
    <x v="3"/>
    <s v="Accrued, Payables And Other Liabilities"/>
    <s v="Other Liabilities"/>
    <s v="PILER"/>
    <n v="0"/>
    <n v="143529"/>
    <n v="0"/>
    <n v="0"/>
    <n v="0"/>
    <n v="143529"/>
    <n v="-143529"/>
  </r>
  <r>
    <x v="127"/>
    <s v="PAYABLE TO TROCAIRE-MLRRS"/>
    <s v="2-01-01-02-016PAYABLE TO TROCAIRE-MLRRS"/>
    <x v="0"/>
    <x v="3"/>
    <s v="Accrued, Payables And Other Liabilities"/>
    <s v="Other Liabilities"/>
    <s v="TAF"/>
    <n v="0"/>
    <n v="143529"/>
    <n v="0"/>
    <n v="0"/>
    <n v="0"/>
    <n v="143529"/>
    <n v="-143529"/>
  </r>
  <r>
    <x v="127"/>
    <s v="PAYABLE TO TROCAIRE-MLRRS"/>
    <s v="2-01-01-02-016PAYABLE TO TROCAIRE-MLRRS"/>
    <x v="0"/>
    <x v="3"/>
    <s v="Accrued, Payables And Other Liabilities"/>
    <s v="Other Liabilities"/>
    <s v="SHORT"/>
    <n v="0"/>
    <n v="143529"/>
    <n v="0"/>
    <n v="0"/>
    <n v="0"/>
    <n v="143529"/>
    <n v="-143529"/>
  </r>
  <r>
    <x v="127"/>
    <s v="PAYABLE TO TROCAIRE-MLRRS"/>
    <s v="2-01-01-02-016PAYABLE TO TROCAIRE-MLRRS"/>
    <x v="0"/>
    <x v="3"/>
    <s v="Accrued, Payables And Other Liabilities"/>
    <s v="Other Liabilities"/>
    <s v="UNICEF-3"/>
    <n v="0"/>
    <n v="143529"/>
    <n v="0"/>
    <n v="0"/>
    <n v="0"/>
    <n v="143529"/>
    <n v="-143529"/>
  </r>
  <r>
    <x v="128"/>
    <s v="PAYABLE TO PILER OWN"/>
    <s v="2-01-01-02-017PAYABLE TO PILER OWN"/>
    <x v="0"/>
    <x v="3"/>
    <s v="Accrued, Payables And Other Liabilities"/>
    <s v="Other Liabilities"/>
    <s v="Unicef"/>
    <n v="384219"/>
    <n v="2640536"/>
    <n v="0"/>
    <n v="0"/>
    <n v="384219"/>
    <n v="2640536"/>
    <n v="-2256317"/>
  </r>
  <r>
    <x v="128"/>
    <s v="PAYABLE TO PILER OWN"/>
    <s v="2-01-01-02-017PAYABLE TO PILER OWN"/>
    <x v="0"/>
    <x v="3"/>
    <s v="Accrued, Payables And Other Liabilities"/>
    <s v="Other Liabilities"/>
    <s v="Trocaire"/>
    <m/>
    <m/>
    <n v="0"/>
    <n v="0"/>
    <n v="0"/>
    <n v="0"/>
    <n v="0"/>
  </r>
  <r>
    <x v="128"/>
    <s v="PAYABLE TO PILER OWN"/>
    <s v="2-01-01-02-017PAYABLE TO PILER OWN"/>
    <x v="0"/>
    <x v="3"/>
    <s v="Accrued, Payables And Other Liabilities"/>
    <s v="Other Liabilities"/>
    <s v="Deezire"/>
    <m/>
    <m/>
    <n v="0"/>
    <n v="0"/>
    <n v="0"/>
    <n v="0"/>
    <n v="0"/>
  </r>
  <r>
    <x v="128"/>
    <s v="PAYABLE TO PILER OWN"/>
    <s v="2-01-01-02-017PAYABLE TO PILER OWN"/>
    <x v="0"/>
    <x v="3"/>
    <s v="Accrued, Payables And Other Liabilities"/>
    <s v="Other Liabilities"/>
    <s v="PILER"/>
    <m/>
    <m/>
    <n v="0"/>
    <n v="27914"/>
    <n v="0"/>
    <n v="27914"/>
    <n v="-27914"/>
  </r>
  <r>
    <x v="128"/>
    <s v="PAYABLE TO PILER OWN"/>
    <s v="2-01-01-02-017PAYABLE TO PILER OWN"/>
    <x v="0"/>
    <x v="3"/>
    <s v="Accrued, Payables And Other Liabilities"/>
    <s v="Other Liabilities"/>
    <s v="ICCO"/>
    <m/>
    <m/>
    <n v="0"/>
    <n v="0"/>
    <n v="0"/>
    <n v="0"/>
    <n v="0"/>
  </r>
  <r>
    <x v="128"/>
    <s v="PAYABLE TO PILER OWN"/>
    <s v="2-01-01-02-017PAYABLE TO PILER OWN"/>
    <x v="0"/>
    <x v="3"/>
    <s v="Accrued, Payables And Other Liabilities"/>
    <s v="Other Liabilities"/>
    <s v="TDH &amp; MI"/>
    <m/>
    <m/>
    <n v="0"/>
    <n v="0"/>
    <n v="0"/>
    <n v="0"/>
    <n v="0"/>
  </r>
  <r>
    <x v="128"/>
    <s v="PAYABLE TO PILER OWN"/>
    <s v="2-01-01-02-017PAYABLE TO PILER OWN"/>
    <x v="0"/>
    <x v="3"/>
    <s v="Accrued, Payables And Other Liabilities"/>
    <s v="Other Liabilities"/>
    <s v="TAF"/>
    <n v="384219"/>
    <n v="2640536"/>
    <n v="0"/>
    <n v="0"/>
    <n v="384219"/>
    <n v="2640536"/>
    <n v="-2256317"/>
  </r>
  <r>
    <x v="128"/>
    <s v="PAYABLE TO PILER OWN"/>
    <s v="2-01-01-02-017PAYABLE TO PILER OWN"/>
    <x v="0"/>
    <x v="3"/>
    <s v="Accrued, Payables And Other Liabilities"/>
    <s v="Other Liabilities"/>
    <s v="TDH"/>
    <m/>
    <m/>
    <n v="0"/>
    <n v="0"/>
    <n v="0"/>
    <n v="0"/>
    <n v="0"/>
  </r>
  <r>
    <x v="128"/>
    <s v="PAYABLE TO PILER OWN"/>
    <s v="2-01-01-02-017PAYABLE TO PILER OWN"/>
    <x v="0"/>
    <x v="3"/>
    <s v="Accrued, Payables And Other Liabilities"/>
    <s v="Other Liabilities"/>
    <s v="SHORT"/>
    <m/>
    <m/>
    <n v="0"/>
    <n v="0"/>
    <n v="0"/>
    <n v="0"/>
    <n v="0"/>
  </r>
  <r>
    <x v="128"/>
    <s v="PAYABLE TO PILER OWN"/>
    <s v="2-01-01-02-017PAYABLE TO PILER OWN"/>
    <x v="0"/>
    <x v="3"/>
    <s v="Accrued, Payables And Other Liabilities"/>
    <s v="Other Liabilities"/>
    <s v="UNICEF-2"/>
    <m/>
    <m/>
    <n v="0"/>
    <n v="0"/>
    <n v="0"/>
    <n v="0"/>
    <n v="0"/>
  </r>
  <r>
    <x v="128"/>
    <s v="PAYABLE TO PILER OWN"/>
    <s v="2-01-01-02-017PAYABLE TO PILER OWN"/>
    <x v="0"/>
    <x v="3"/>
    <s v="Accrued, Payables And Other Liabilities"/>
    <s v="Other Liabilities"/>
    <s v="UNICEF-3"/>
    <m/>
    <m/>
    <n v="0"/>
    <n v="0"/>
    <n v="0"/>
    <n v="0"/>
    <n v="0"/>
  </r>
  <r>
    <x v="128"/>
    <s v="PAYABLE TO PILER OWN"/>
    <s v="2-01-01-02-017PAYABLE TO PILER OWN"/>
    <x v="0"/>
    <x v="3"/>
    <s v="Accrued, Payables And Other Liabilities"/>
    <s v="Other Liabilities"/>
    <s v="RRCCHR"/>
    <m/>
    <m/>
    <n v="0"/>
    <n v="0"/>
    <n v="0"/>
    <n v="0"/>
    <n v="0"/>
  </r>
  <r>
    <x v="128"/>
    <s v="PAYABLE TO PILER OWN"/>
    <s v="2-01-01-02-017PAYABLE TO PILER OWN"/>
    <x v="0"/>
    <x v="3"/>
    <s v="Accrued, Payables And Other Liabilities"/>
    <s v="Other Liabilities"/>
    <s v="Open Socie"/>
    <m/>
    <m/>
    <n v="0"/>
    <n v="0"/>
    <n v="0"/>
    <n v="0"/>
    <n v="0"/>
  </r>
  <r>
    <x v="128"/>
    <s v="PAYABLE TO PILER OWN"/>
    <s v="2-01-01-02-017PAYABLE TO PILER OWN"/>
    <x v="0"/>
    <x v="3"/>
    <s v="Accrued, Payables And Other Liabilities"/>
    <s v="Other Liabilities"/>
    <s v="ETI"/>
    <m/>
    <m/>
    <n v="0"/>
    <n v="0"/>
    <n v="0"/>
    <n v="0"/>
    <n v="0"/>
  </r>
  <r>
    <x v="128"/>
    <s v="PAYABLE TO PILER OWN"/>
    <s v="2-01-01-02-017PAYABLE TO PILER OWN"/>
    <x v="0"/>
    <x v="3"/>
    <s v="Accrued, Payables And Other Liabilities"/>
    <s v="Other Liabilities"/>
    <s v="FOSI"/>
    <m/>
    <m/>
    <n v="0"/>
    <n v="0"/>
    <n v="0"/>
    <n v="0"/>
    <n v="0"/>
  </r>
  <r>
    <x v="128"/>
    <s v="PAYABLE TO PILER OWN"/>
    <s v="2-01-01-02-017PAYABLE TO PILER OWN"/>
    <x v="0"/>
    <x v="3"/>
    <s v="Accrued, Payables And Other Liabilities"/>
    <s v="Other Liabilities"/>
    <s v="FNV"/>
    <m/>
    <m/>
    <n v="0"/>
    <n v="0"/>
    <n v="0"/>
    <n v="0"/>
    <n v="0"/>
  </r>
  <r>
    <x v="128"/>
    <s v="PAYABLE TO PILER OWN"/>
    <s v="2-01-01-02-017PAYABLE TO PILER OWN"/>
    <x v="0"/>
    <x v="3"/>
    <s v="Accrued, Payables And Other Liabilities"/>
    <s v="Other Liabilities"/>
    <s v="DAI"/>
    <m/>
    <m/>
    <n v="0"/>
    <n v="0"/>
    <n v="0"/>
    <n v="0"/>
    <n v="0"/>
  </r>
  <r>
    <x v="128"/>
    <s v="PAYABLE TO PILER OWN"/>
    <s v="2-01-01-02-017PAYABLE TO PILER OWN"/>
    <x v="0"/>
    <x v="3"/>
    <s v="Accrued, Payables And Other Liabilities"/>
    <s v="Other Liabilities"/>
    <s v="GRC"/>
    <m/>
    <m/>
    <n v="183464"/>
    <n v="208133"/>
    <n v="183464"/>
    <n v="208133"/>
    <n v="-24669"/>
  </r>
  <r>
    <x v="128"/>
    <s v="PAYABLE TO PILER OWN"/>
    <s v="2-01-01-02-017PAYABLE TO PILER OWN"/>
    <x v="0"/>
    <x v="3"/>
    <s v="Accrued, Payables And Other Liabilities"/>
    <s v="Other Liabilities"/>
    <s v="GRC Own"/>
    <m/>
    <m/>
    <n v="1149765"/>
    <n v="1143660"/>
    <n v="1149765"/>
    <n v="1143660"/>
    <n v="6105"/>
  </r>
  <r>
    <x v="129"/>
    <s v="PAYABLE TO UNICEF"/>
    <s v="2-01-01-02-019PAYABLE TO UNICEF"/>
    <x v="0"/>
    <x v="3"/>
    <s v="Accrued, Payables And Other Liabilities"/>
    <s v="Other Liabilities"/>
    <s v="PILER"/>
    <n v="0"/>
    <n v="2935000"/>
    <n v="0"/>
    <n v="0"/>
    <n v="0"/>
    <n v="2935000"/>
    <n v="-2935000"/>
  </r>
  <r>
    <x v="130"/>
    <s v="PAYABLE TO TDH-MI"/>
    <s v="2-01-01-02-020PAYABLE TO TDH-MI"/>
    <x v="0"/>
    <x v="3"/>
    <s v="Accrued, Payables And Other Liabilities"/>
    <s v="Other Liabilities"/>
    <s v="PILER"/>
    <n v="0"/>
    <n v="1931265"/>
    <n v="0"/>
    <n v="0"/>
    <n v="0"/>
    <n v="1931265"/>
    <n v="-1931265"/>
  </r>
  <r>
    <x v="130"/>
    <s v="PAYABLE TO TDH-MI"/>
    <s v="2-01-01-02-020PAYABLE TO TDH-MI"/>
    <x v="0"/>
    <x v="3"/>
    <s v="Accrued, Payables And Other Liabilities"/>
    <s v="Other Liabilities"/>
    <s v="TDH"/>
    <n v="0"/>
    <m/>
    <n v="0"/>
    <n v="0"/>
    <n v="0"/>
    <n v="0"/>
    <n v="0"/>
  </r>
  <r>
    <x v="131"/>
    <s v="PAYABLE TO ICCO PROJECT-THSW"/>
    <s v="2-01-01-02-021PAYABLE TO ICCO PROJECT-THSW"/>
    <x v="0"/>
    <x v="3"/>
    <s v="Accrued, Payables And Other Liabilities"/>
    <s v="Other Liabilities"/>
    <s v="PILER"/>
    <n v="0"/>
    <n v="299904"/>
    <n v="0"/>
    <n v="0"/>
    <n v="0"/>
    <n v="299904"/>
    <n v="-299904"/>
  </r>
  <r>
    <x v="132"/>
    <s v="PAYABLE TO KHADIM"/>
    <s v="2-01-01-02-022PAYABLE TO KHADIM"/>
    <x v="0"/>
    <x v="3"/>
    <s v="Accrued, Payables And Other Liabilities"/>
    <s v="Other Liabilities"/>
    <s v="PILER"/>
    <n v="0"/>
    <n v="131479"/>
    <n v="0"/>
    <n v="0"/>
    <n v="0"/>
    <n v="131479"/>
    <n v="-131479"/>
  </r>
  <r>
    <x v="132"/>
    <s v="PAYABLE TO KHADIM"/>
    <s v="2-01-01-02-022PAYABLE TO KHADIM"/>
    <x v="0"/>
    <x v="3"/>
    <s v="Accrued, Payables And Other Liabilities"/>
    <s v="Other Liabilities"/>
    <s v="SHORT"/>
    <n v="0"/>
    <m/>
    <n v="0"/>
    <n v="0"/>
    <n v="0"/>
    <n v="0"/>
    <n v="0"/>
  </r>
  <r>
    <x v="133"/>
    <s v="PAYABLE TO TAF"/>
    <s v="2-01-01-02-026PAYABLE TO TAF"/>
    <x v="0"/>
    <x v="3"/>
    <s v="Accrued, Payables And Other Liabilities"/>
    <s v="Other Liabilities"/>
    <s v="PILER"/>
    <n v="0"/>
    <n v="391647"/>
    <n v="0"/>
    <n v="0"/>
    <n v="0"/>
    <n v="391647"/>
    <n v="-391647"/>
  </r>
  <r>
    <x v="133"/>
    <s v="PAYABLE TO TAF"/>
    <s v="2-01-01-02-026PAYABLE TO TAF"/>
    <x v="0"/>
    <x v="3"/>
    <s v="Accrued, Payables And Other Liabilities"/>
    <s v="Other Liabilities"/>
    <s v="UNICEF-3"/>
    <n v="0"/>
    <m/>
    <n v="0"/>
    <n v="0"/>
    <n v="0"/>
    <n v="0"/>
    <n v="0"/>
  </r>
  <r>
    <x v="134"/>
    <s v="PAYABLE TO PERVEZ"/>
    <s v="2-01-01-02-027PAYABLE TO PERVEZ"/>
    <x v="0"/>
    <x v="3"/>
    <s v="Accrued, Payables And Other Liabilities"/>
    <s v="Other Liabilities"/>
    <s v="Unicef"/>
    <n v="0"/>
    <n v="2020"/>
    <n v="0"/>
    <n v="0"/>
    <n v="0"/>
    <n v="2020"/>
    <n v="-2020"/>
  </r>
  <r>
    <x v="134"/>
    <s v="PAYABLE TO PERVEZ"/>
    <s v="2-01-01-02-027PAYABLE TO PERVEZ"/>
    <x v="0"/>
    <x v="3"/>
    <s v="Accrued, Payables And Other Liabilities"/>
    <s v="Other Liabilities"/>
    <s v="Deezire"/>
    <n v="0"/>
    <m/>
    <n v="0"/>
    <n v="0"/>
    <n v="0"/>
    <n v="0"/>
    <n v="0"/>
  </r>
  <r>
    <x v="134"/>
    <s v="PAYABLE TO PERVEZ"/>
    <s v="2-01-01-02-027PAYABLE TO PERVEZ"/>
    <x v="0"/>
    <x v="3"/>
    <s v="Accrued, Payables And Other Liabilities"/>
    <s v="Other Liabilities"/>
    <s v="PILER"/>
    <n v="0"/>
    <m/>
    <n v="0"/>
    <n v="0"/>
    <n v="0"/>
    <n v="0"/>
    <n v="0"/>
  </r>
  <r>
    <x v="134"/>
    <s v="PAYABLE TO PERVEZ"/>
    <s v="2-01-01-02-027PAYABLE TO PERVEZ"/>
    <x v="0"/>
    <x v="3"/>
    <s v="Accrued, Payables And Other Liabilities"/>
    <s v="Other Liabilities"/>
    <s v="SHORT"/>
    <n v="0"/>
    <m/>
    <n v="0"/>
    <n v="0"/>
    <n v="0"/>
    <n v="0"/>
    <n v="0"/>
  </r>
  <r>
    <x v="134"/>
    <s v="PAYABLE TO PERVEZ"/>
    <s v="2-01-01-02-027PAYABLE TO PERVEZ"/>
    <x v="0"/>
    <x v="3"/>
    <s v="Accrued, Payables And Other Liabilities"/>
    <s v="Other Liabilities"/>
    <s v="UNICEF-2"/>
    <n v="0"/>
    <m/>
    <n v="0"/>
    <n v="0"/>
    <n v="0"/>
    <n v="0"/>
    <n v="0"/>
  </r>
  <r>
    <x v="134"/>
    <s v="PAYABLE TO PERVEZ"/>
    <s v="2-01-01-02-027PAYABLE TO PERVEZ"/>
    <x v="0"/>
    <x v="3"/>
    <s v="Accrued, Payables And Other Liabilities"/>
    <s v="Other Liabilities"/>
    <s v="DAI"/>
    <n v="0"/>
    <m/>
    <n v="0"/>
    <n v="0"/>
    <n v="0"/>
    <n v="0"/>
    <n v="0"/>
  </r>
  <r>
    <x v="135"/>
    <s v="PAYABLE TO DEZAIRE"/>
    <s v="2-01-01-02-031PAYABLE TO DEZAIRE"/>
    <x v="0"/>
    <x v="3"/>
    <s v="Accrued, Payables And Other Liabilities"/>
    <s v="Other Liabilities"/>
    <s v="PILER"/>
    <n v="0"/>
    <n v="3516379.55"/>
    <n v="0"/>
    <n v="0"/>
    <n v="0"/>
    <n v="3516379.55"/>
    <n v="-3516379.55"/>
  </r>
  <r>
    <x v="135"/>
    <s v="PAYABLE TO DEZAIRE"/>
    <s v="2-01-01-02-031PAYABLE TO DEZAIRE"/>
    <x v="0"/>
    <x v="3"/>
    <s v="Accrued, Payables And Other Liabilities"/>
    <s v="Other Liabilities"/>
    <s v="SHORT"/>
    <n v="0"/>
    <m/>
    <n v="0"/>
    <n v="0"/>
    <n v="0"/>
    <n v="0"/>
    <n v="0"/>
  </r>
  <r>
    <x v="135"/>
    <s v="PAYABLE TO DEZAIRE"/>
    <s v="2-01-01-02-031PAYABLE TO DEZAIRE"/>
    <x v="0"/>
    <x v="3"/>
    <s v="Accrued, Payables And Other Liabilities"/>
    <s v="Other Liabilities"/>
    <s v="Open Socie"/>
    <n v="0"/>
    <m/>
    <n v="0"/>
    <n v="0"/>
    <n v="0"/>
    <n v="0"/>
    <n v="0"/>
  </r>
  <r>
    <x v="135"/>
    <s v="PAYABLE TO DEZAIRE"/>
    <s v="2-01-01-02-031PAYABLE TO DEZAIRE"/>
    <x v="0"/>
    <x v="3"/>
    <s v="Accrued, Payables And Other Liabilities"/>
    <s v="Other Liabilities"/>
    <s v="FNV"/>
    <n v="0"/>
    <m/>
    <n v="0"/>
    <n v="0"/>
    <n v="0"/>
    <n v="0"/>
    <n v="0"/>
  </r>
  <r>
    <x v="136"/>
    <s v="PLT LOAN PAYABLE"/>
    <s v="2-01-01-02-033PLT LOAN PAYABLE"/>
    <x v="0"/>
    <x v="3"/>
    <s v="Accrued, Payables And Other Liabilities"/>
    <s v="Other Liabilities"/>
    <s v="PILER"/>
    <n v="36167146"/>
    <n v="72802368"/>
    <n v="0"/>
    <n v="0"/>
    <n v="36167146"/>
    <n v="72802368"/>
    <n v="-36635222"/>
  </r>
  <r>
    <x v="137"/>
    <s v="PAYABLE TO M.YOUNIS"/>
    <s v="2-01-01-02-035PAYABLE TO M.YOUNIS"/>
    <x v="0"/>
    <x v="3"/>
    <s v="Accrued, Payables And Other Liabilities"/>
    <s v="Other Liabilities"/>
    <s v="PILER"/>
    <n v="0"/>
    <n v="96906"/>
    <n v="0"/>
    <n v="0"/>
    <n v="0"/>
    <n v="96906"/>
    <n v="-96906"/>
  </r>
  <r>
    <x v="138"/>
    <s v="Payable to Maher Ali"/>
    <s v="2-01-01-02-037Payable to Maher Ali"/>
    <x v="0"/>
    <x v="3"/>
    <s v="Accrued, Payables And Other Liabilities"/>
    <s v="Other Liabilities"/>
    <s v="Open Socie"/>
    <n v="0"/>
    <n v="2"/>
    <n v="0"/>
    <n v="0"/>
    <n v="0"/>
    <n v="2"/>
    <n v="-2"/>
  </r>
  <r>
    <x v="139"/>
    <s v="SALARIES PAYABLE"/>
    <s v="2-01-02-01-001SALARIES PAYABLE"/>
    <x v="0"/>
    <x v="3"/>
    <s v="Accrued, Payables And Other Liabilities"/>
    <s v="Other Liabilities"/>
    <s v="PILER"/>
    <n v="22599636"/>
    <n v="22546028"/>
    <n v="3178032"/>
    <n v="3144536"/>
    <n v="25777668"/>
    <n v="25690564"/>
    <n v="87104"/>
  </r>
  <r>
    <x v="139"/>
    <s v="SALARIES PAYABLE"/>
    <s v="2-01-02-01-001SALARIES PAYABLE"/>
    <x v="0"/>
    <x v="3"/>
    <s v="Accrued, Payables And Other Liabilities"/>
    <s v="Other Liabilities"/>
    <s v="UNICEF-3"/>
    <m/>
    <m/>
    <n v="0"/>
    <n v="0"/>
    <n v="0"/>
    <n v="0"/>
    <n v="0"/>
  </r>
  <r>
    <x v="139"/>
    <s v="SALARIES PAYABLE"/>
    <s v="2-01-02-01-001SALARIES PAYABLE"/>
    <x v="0"/>
    <x v="3"/>
    <s v="Accrued, Payables And Other Liabilities"/>
    <s v="Other Liabilities"/>
    <s v="DAI"/>
    <m/>
    <m/>
    <n v="0"/>
    <n v="0"/>
    <n v="0"/>
    <n v="0"/>
    <n v="0"/>
  </r>
  <r>
    <x v="139"/>
    <s v="SALARIES PAYABLE"/>
    <s v="2-01-02-01-001SALARIES PAYABLE"/>
    <x v="0"/>
    <x v="3"/>
    <s v="Accrued, Payables And Other Liabilities"/>
    <s v="Other Liabilities"/>
    <s v="GRC"/>
    <m/>
    <m/>
    <n v="6109243"/>
    <n v="6142739"/>
    <n v="6109243"/>
    <n v="6142739"/>
    <n v="-33496"/>
  </r>
  <r>
    <x v="140"/>
    <s v="WATER &amp; SEWERAGE BILL"/>
    <s v="2-01-02-01-004WATER &amp; SEWERAGE BILL"/>
    <x v="0"/>
    <x v="3"/>
    <s v="Accrued, Payables And Other Liabilities"/>
    <s v="Other Liabilities"/>
    <s v="PILER"/>
    <n v="0"/>
    <n v="0"/>
    <n v="0"/>
    <n v="0"/>
    <n v="0"/>
    <n v="0"/>
    <n v="0"/>
  </r>
  <r>
    <x v="141"/>
    <s v="STAFF LUNCH CONTRIBUTION"/>
    <s v="2-01-02-01-005STAFF LUNCH CONTRIBUTION"/>
    <x v="0"/>
    <x v="3"/>
    <s v="Accrued, Payables And Other Liabilities"/>
    <s v="Other Liabilities"/>
    <s v="PILER"/>
    <n v="55500"/>
    <n v="57900"/>
    <n v="0"/>
    <n v="0"/>
    <n v="55500"/>
    <n v="57900"/>
    <n v="-2400"/>
  </r>
  <r>
    <x v="142"/>
    <s v="ACCRUED LIABILITIES - 2010"/>
    <s v="2-01-02-01-009ACCRUED LIABILITIES - 2010"/>
    <x v="0"/>
    <x v="3"/>
    <s v="Accrued, Payables And Other Liabilities"/>
    <s v="Other Liabilities"/>
    <s v="PILER"/>
    <n v="0"/>
    <n v="0"/>
    <n v="0"/>
    <n v="0"/>
    <n v="0"/>
    <n v="0"/>
    <n v="0"/>
  </r>
  <r>
    <x v="143"/>
    <s v="ACCURED EXPENSES"/>
    <s v="2-01-02-01-011ACCURED EXPENSES"/>
    <x v="0"/>
    <x v="3"/>
    <s v="Accrued, Payables And Other Liabilities"/>
    <s v="Accrued Expenses"/>
    <s v="Trocaire"/>
    <n v="5519251"/>
    <n v="4760392.2966282675"/>
    <n v="0"/>
    <n v="0"/>
    <n v="5519251"/>
    <n v="4760392.2966282675"/>
    <n v="758858.7033717325"/>
  </r>
  <r>
    <x v="143"/>
    <s v="ACCURED EXPENSES"/>
    <s v="2-01-02-01-011ACCURED EXPENSES"/>
    <x v="0"/>
    <x v="3"/>
    <s v="Accrued, Payables And Other Liabilities"/>
    <s v="Accrued Expenses"/>
    <s v="PILER"/>
    <m/>
    <m/>
    <n v="0"/>
    <n v="0"/>
    <n v="0"/>
    <n v="0"/>
    <n v="0"/>
  </r>
  <r>
    <x v="143"/>
    <s v="ACCURED EXPENSES"/>
    <s v="2-01-02-01-011ACCURED EXPENSES"/>
    <x v="0"/>
    <x v="3"/>
    <s v="Accrued, Payables And Other Liabilities"/>
    <s v="Accrued Expenses"/>
    <s v="Karachi"/>
    <m/>
    <m/>
    <n v="0"/>
    <n v="0"/>
    <n v="0"/>
    <n v="0"/>
    <n v="0"/>
  </r>
  <r>
    <x v="143"/>
    <s v="ACCURED EXPENSES"/>
    <s v="2-01-02-01-011ACCURED EXPENSES"/>
    <x v="0"/>
    <x v="3"/>
    <s v="Accrued, Payables And Other Liabilities"/>
    <s v="Accrued Expenses"/>
    <s v="SHORT"/>
    <m/>
    <m/>
    <n v="0"/>
    <n v="0"/>
    <n v="0"/>
    <n v="0"/>
    <n v="0"/>
  </r>
  <r>
    <x v="143"/>
    <s v="ACCURED EXPENSES"/>
    <s v="2-01-02-01-011ACCURED EXPENSES"/>
    <x v="0"/>
    <x v="3"/>
    <s v="Accrued, Payables And Other Liabilities"/>
    <s v="Accrued Expenses"/>
    <s v="UNICEF-2"/>
    <m/>
    <m/>
    <n v="0"/>
    <n v="0"/>
    <n v="0"/>
    <n v="0"/>
    <n v="0"/>
  </r>
  <r>
    <x v="143"/>
    <s v="ACCURED EXPENSES"/>
    <s v="2-01-02-01-011ACCURED EXPENSES"/>
    <x v="0"/>
    <x v="3"/>
    <s v="Accrued, Payables And Other Liabilities"/>
    <s v="Accrued Expenses"/>
    <s v="Open Socie"/>
    <m/>
    <m/>
    <n v="0"/>
    <n v="0"/>
    <n v="0"/>
    <n v="0"/>
    <n v="0"/>
  </r>
  <r>
    <x v="143"/>
    <s v="ACCURED EXPENSES"/>
    <s v="2-01-02-01-011ACCURED EXPENSES"/>
    <x v="0"/>
    <x v="3"/>
    <s v="Accrued, Payables And Other Liabilities"/>
    <s v="Accrued Expenses"/>
    <s v="ETI"/>
    <m/>
    <m/>
    <n v="0"/>
    <n v="0"/>
    <n v="0"/>
    <n v="0"/>
    <n v="0"/>
  </r>
  <r>
    <x v="143"/>
    <s v="ACCURED EXPENSES"/>
    <s v="2-01-02-01-011ACCURED EXPENSES"/>
    <x v="0"/>
    <x v="3"/>
    <s v="Accrued, Payables And Other Liabilities"/>
    <s v="Accrued Expenses"/>
    <s v="GRC"/>
    <n v="5519251"/>
    <n v="4760392.2966282675"/>
    <n v="0"/>
    <n v="0"/>
    <n v="5519251"/>
    <n v="4760392.2966282675"/>
    <n v="758858.7033717325"/>
  </r>
  <r>
    <x v="144"/>
    <s v="EOBI PAYABLE"/>
    <s v="2-01-02-01-015EOBI PAYABLE"/>
    <x v="0"/>
    <x v="3"/>
    <s v="Accrued, Payables And Other Liabilities"/>
    <s v="Other Liabilities"/>
    <s v="PILER"/>
    <n v="668415"/>
    <n v="657570"/>
    <n v="266400"/>
    <n v="266700"/>
    <n v="934815"/>
    <n v="924270"/>
    <n v="10545"/>
  </r>
  <r>
    <x v="144"/>
    <s v="EOBI PAYABLE"/>
    <s v="2-01-02-01-015EOBI PAYABLE"/>
    <x v="0"/>
    <x v="3"/>
    <s v="Accrued, Payables And Other Liabilities"/>
    <s v="Other Liabilities"/>
    <s v="SHORT"/>
    <m/>
    <m/>
    <n v="0"/>
    <n v="0"/>
    <n v="0"/>
    <n v="0"/>
    <n v="0"/>
  </r>
  <r>
    <x v="145"/>
    <s v="SESSI PAYABLE"/>
    <s v="2-01-02-01-016SESSI PAYABLE"/>
    <x v="0"/>
    <x v="3"/>
    <s v="Accrued, Payables And Other Liabilities"/>
    <s v="Other Liabilities"/>
    <s v="PILER"/>
    <n v="23896"/>
    <n v="14100"/>
    <n v="0"/>
    <n v="0"/>
    <n v="23896"/>
    <n v="14100"/>
    <n v="9796"/>
  </r>
  <r>
    <x v="146"/>
    <s v="SUPPLIER INCOME TAX WITHHOLD"/>
    <s v="2-01-02-02-001SUPPLIER INCOME TAX WITHHOLD"/>
    <x v="0"/>
    <x v="3"/>
    <s v="Accrued, Payables And Other Liabilities"/>
    <s v="Other Liabilities"/>
    <s v="PILER"/>
    <n v="1689810"/>
    <n v="1859747"/>
    <n v="431192"/>
    <n v="431192"/>
    <n v="2121002"/>
    <n v="2290939"/>
    <n v="-169937"/>
  </r>
  <r>
    <x v="146"/>
    <s v="SUPPLIER INCOME TAX WITHHOLD"/>
    <s v="2-01-02-02-001SUPPLIER INCOME TAX WITHHOLD"/>
    <x v="0"/>
    <x v="3"/>
    <s v="Accrued, Payables And Other Liabilities"/>
    <s v="Other Liabilities"/>
    <s v="GRC"/>
    <m/>
    <m/>
    <n v="0"/>
    <n v="0"/>
    <n v="0"/>
    <n v="0"/>
    <n v="0"/>
  </r>
  <r>
    <x v="146"/>
    <s v="SUPPLIER INCOME TAX WITHHOLD"/>
    <s v="2-01-02-02-001SUPPLIER INCOME TAX WITHHOLD"/>
    <x v="0"/>
    <x v="3"/>
    <s v="Accrued, Payables And Other Liabilities"/>
    <s v="Other Liabilities"/>
    <s v="GRC Own"/>
    <m/>
    <m/>
    <n v="0"/>
    <n v="0"/>
    <n v="0"/>
    <n v="0"/>
    <n v="0"/>
  </r>
  <r>
    <x v="147"/>
    <s v="STAFF INCOME TAX WITHHOLD"/>
    <s v="2-01-02-02-002STAFF INCOME TAX WITHHOLD"/>
    <x v="0"/>
    <x v="3"/>
    <s v="Accrued, Payables And Other Liabilities"/>
    <s v="Other Liabilities"/>
    <s v="PILER"/>
    <n v="838478"/>
    <n v="888958"/>
    <n v="287064"/>
    <n v="279800"/>
    <n v="1125542"/>
    <n v="1168758"/>
    <n v="-43216"/>
  </r>
  <r>
    <x v="147"/>
    <s v="STAFF INCOME TAX WITHHOLD"/>
    <s v="2-01-02-02-002STAFF INCOME TAX WITHHOLD"/>
    <x v="0"/>
    <x v="3"/>
    <s v="Accrued, Payables And Other Liabilities"/>
    <s v="Other Liabilities"/>
    <s v="GRC Own"/>
    <m/>
    <m/>
    <n v="0"/>
    <n v="7263"/>
    <n v="0"/>
    <n v="7263"/>
    <n v="-7263"/>
  </r>
  <r>
    <x v="148"/>
    <s v="PROVISION FOR INCOME TAX"/>
    <s v="2-01-02-02-003PROVISION FOR INCOME TAX"/>
    <x v="0"/>
    <x v="3"/>
    <s v="Accrued, Payables And Other Liabilities"/>
    <s v="Other Liabilities"/>
    <s v="PILER"/>
    <n v="0"/>
    <n v="0"/>
    <n v="0"/>
    <n v="0"/>
    <n v="0"/>
    <n v="0"/>
    <n v="0"/>
  </r>
  <r>
    <x v="149"/>
    <s v="SALES TAX WITHHOLD"/>
    <s v="2-01-02-02-004SALES TAX WITHHOLD"/>
    <x v="0"/>
    <x v="3"/>
    <s v="Accrued, Payables And Other Liabilities"/>
    <s v="Other Liabilities"/>
    <s v="PILER"/>
    <n v="0"/>
    <n v="3106"/>
    <n v="0"/>
    <n v="0"/>
    <n v="0"/>
    <n v="3106"/>
    <n v="-3106"/>
  </r>
  <r>
    <x v="150"/>
    <s v="Other Liabilities"/>
    <s v="2-01-03-01-002Other Liabilities"/>
    <x v="0"/>
    <x v="3"/>
    <s v="Accrued, Payables And Other Liabilities"/>
    <s v="Other Liabilities"/>
    <s v="PILER"/>
    <n v="194400"/>
    <n v="383288"/>
    <n v="0"/>
    <n v="0"/>
    <n v="194400"/>
    <n v="383288"/>
    <n v="-188888"/>
  </r>
  <r>
    <x v="150"/>
    <s v="Other Liabilities"/>
    <s v="2-01-03-01-002Other Liabilities"/>
    <x v="0"/>
    <x v="3"/>
    <s v="Accrued, Payables And Other Liabilities"/>
    <s v="Other Liabilities"/>
    <s v="TAF"/>
    <m/>
    <m/>
    <n v="0"/>
    <n v="0"/>
    <n v="0"/>
    <n v="0"/>
    <n v="0"/>
  </r>
  <r>
    <x v="150"/>
    <s v="Other Liabilities"/>
    <s v="2-01-03-01-002Other Liabilities"/>
    <x v="0"/>
    <x v="3"/>
    <s v="Accrued, Payables And Other Liabilities"/>
    <s v="Other Liabilities"/>
    <s v="Open Socie"/>
    <m/>
    <m/>
    <n v="0"/>
    <n v="0"/>
    <n v="0"/>
    <n v="0"/>
    <n v="0"/>
  </r>
  <r>
    <x v="151"/>
    <s v="STAFF GRATUITY PAYABLE ACCOUNT"/>
    <s v="2-02-01-01-001STAFF GRATUITY PAYABLE ACCOUNT"/>
    <x v="0"/>
    <x v="3"/>
    <s v="Accrued, Payables And Other Liabilities"/>
    <s v="Other Liabilities"/>
    <s v="PILER"/>
    <n v="0"/>
    <n v="1940564"/>
    <n v="0"/>
    <n v="0"/>
    <n v="0"/>
    <n v="1940564"/>
    <n v="-1940564"/>
  </r>
  <r>
    <x v="152"/>
    <s v="Payable to Indus Solar Intl"/>
    <s v="2-02-01-01-02Payable to Indus Solar Intl"/>
    <x v="0"/>
    <x v="4"/>
    <s v="Liabilities Against Assets Subject To Finance Lease"/>
    <s v="Lease Payable"/>
    <s v="PILER"/>
    <n v="105750"/>
    <n v="615750"/>
    <n v="0"/>
    <n v="0"/>
    <n v="105750"/>
    <n v="615750"/>
    <n v="-510000"/>
  </r>
  <r>
    <x v="153"/>
    <s v="FUND BALANCE"/>
    <s v="3-01-01-01-001FUND BALANCE"/>
    <x v="0"/>
    <x v="5"/>
    <s v="Fund Balance"/>
    <s v="Fund Balance"/>
    <s v="PILER"/>
    <n v="39574329.299999997"/>
    <n v="0"/>
    <n v="0"/>
    <n v="0"/>
    <n v="39574329.299999997"/>
    <n v="0"/>
    <n v="39574329.299999997"/>
  </r>
  <r>
    <x v="154"/>
    <s v="DEZAIRE FUND BALANCE"/>
    <s v="3-01-01-01-009DEZAIRE FUND BALANCE"/>
    <x v="0"/>
    <x v="5"/>
    <s v="Fund Balance"/>
    <s v="Fund Balance"/>
    <s v="Deezire"/>
    <n v="0"/>
    <n v="1641568"/>
    <n v="0"/>
    <n v="0"/>
    <n v="0"/>
    <n v="1641568"/>
    <n v="-1641568"/>
  </r>
  <r>
    <x v="155"/>
    <s v="RCCHR FUND BALANCE"/>
    <s v="3-01-01-01-013RCCHR FUND BALANCE"/>
    <x v="0"/>
    <x v="5"/>
    <s v="Fund Balance"/>
    <s v="Fund Balance"/>
    <s v="Karachi"/>
    <n v="0"/>
    <n v="0"/>
    <n v="0"/>
    <n v="0"/>
    <n v="0"/>
    <n v="0"/>
    <n v="0"/>
  </r>
  <r>
    <x v="156"/>
    <s v="HOSTEL RENT INCOME WITH FOODS"/>
    <s v="4-02-01-01-001HOSTEL RENT INCOME WITH FOODS"/>
    <x v="2"/>
    <x v="6"/>
    <s v="Hostel And Hall Income"/>
    <s v="Hostel And Hall Income"/>
    <s v="PILER"/>
    <m/>
    <m/>
    <n v="0"/>
    <n v="103190.28"/>
    <n v="0"/>
    <n v="103190.28"/>
    <n v="-103190.28"/>
  </r>
  <r>
    <x v="157"/>
    <s v="HALL RENTAL INCOME"/>
    <s v="4-02-02-01-001HALL RENTAL INCOME"/>
    <x v="2"/>
    <x v="6"/>
    <s v="Hostel And Hall Income"/>
    <s v="Hostel And Hall Income"/>
    <s v="PILER"/>
    <m/>
    <m/>
    <n v="0"/>
    <n v="30000"/>
    <n v="0"/>
    <n v="30000"/>
    <n v="-30000"/>
  </r>
  <r>
    <x v="158"/>
    <s v="DONATION FROM LOCAL SOURCE"/>
    <s v="4-03-01-01-001DONATION FROM LOCAL SOURCE"/>
    <x v="2"/>
    <x v="7"/>
    <s v="Income From Donations"/>
    <s v="Income From Donations"/>
    <s v="PILER"/>
    <m/>
    <m/>
    <n v="0"/>
    <n v="10940035"/>
    <n v="0"/>
    <n v="10940035"/>
    <n v="-10940035"/>
  </r>
  <r>
    <x v="159"/>
    <s v="Donation from Global Rights Compliance"/>
    <s v="4-03-01-02-045Donation from Global Rights Compliance"/>
    <x v="2"/>
    <x v="7"/>
    <s v="Income From Donations"/>
    <s v="Income From Donations"/>
    <s v="GRC"/>
    <m/>
    <m/>
    <n v="0"/>
    <n v="10470408.869999999"/>
    <n v="0"/>
    <n v="10470408.869999999"/>
    <n v="-10470408.869999999"/>
  </r>
  <r>
    <x v="160"/>
    <s v="Donation from The Social Change Nest"/>
    <s v="4-03-01-09-001Donation from The Social Change Nest"/>
    <x v="2"/>
    <x v="7"/>
    <s v="Income From Donations"/>
    <s v="Income From Donations"/>
    <s v="PILER"/>
    <m/>
    <m/>
    <n v="0"/>
    <n v="3694211.23"/>
    <n v="0"/>
    <n v="3694211.23"/>
    <n v="-3694211.23"/>
  </r>
  <r>
    <x v="161"/>
    <s v="OFFICE RENTAL INCOME"/>
    <s v="4-04-01-01-007OFFICE RENTAL INCOME"/>
    <x v="2"/>
    <x v="6"/>
    <s v="Hostel And Hall Income"/>
    <s v="Hostel And Hall Income"/>
    <s v="PILER"/>
    <m/>
    <m/>
    <n v="15950"/>
    <n v="948049"/>
    <n v="15950"/>
    <n v="948049"/>
    <n v="-932099"/>
  </r>
  <r>
    <x v="162"/>
    <s v="STAFF SALARIES EXPENSE"/>
    <s v="5-01-01-01-001STAFF SALARIES EXPENSE"/>
    <x v="2"/>
    <x v="8"/>
    <s v="Salary, Wages And Benefits"/>
    <s v="Salary, Wages And Benefits"/>
    <s v="PILER"/>
    <m/>
    <m/>
    <n v="3602809"/>
    <n v="573216"/>
    <n v="3602809"/>
    <n v="573216"/>
    <n v="3029593"/>
  </r>
  <r>
    <x v="163"/>
    <s v="ELECTRICITY EXPENSE"/>
    <s v="5-01-01-02-001ELECTRICITY EXPENSE"/>
    <x v="2"/>
    <x v="8"/>
    <s v="Electricity, Gas And Water"/>
    <s v="Electricity, Gas And Water"/>
    <s v="PILER"/>
    <m/>
    <m/>
    <n v="899585"/>
    <n v="361153"/>
    <n v="899585"/>
    <n v="361153"/>
    <n v="538432"/>
  </r>
  <r>
    <x v="164"/>
    <s v="GAS CHARGES SSGC"/>
    <s v="5-01-01-02-002GAS CHARGES SSGC"/>
    <x v="2"/>
    <x v="8"/>
    <s v="Electricity, Gas And Water"/>
    <s v="Electricity, Gas And Water"/>
    <s v="PILER"/>
    <m/>
    <m/>
    <n v="53000"/>
    <n v="0"/>
    <n v="53000"/>
    <n v="0"/>
    <n v="53000"/>
  </r>
  <r>
    <x v="165"/>
    <s v="TELEPHONE, MOBILE &amp; INTERNET"/>
    <s v="5-01-01-02-003TELEPHONE, MOBILE &amp; INTERNET"/>
    <x v="2"/>
    <x v="8"/>
    <s v="Telephone"/>
    <s v="Telephone"/>
    <s v="PILER"/>
    <m/>
    <m/>
    <n v="245940"/>
    <n v="0"/>
    <n v="245940"/>
    <n v="0"/>
    <n v="245940"/>
  </r>
  <r>
    <x v="166"/>
    <s v="WATER &amp; SEWARAGE CHARGES"/>
    <s v="5-01-01-02-004WATER &amp; SEWARAGE CHARGES"/>
    <x v="2"/>
    <x v="8"/>
    <s v="Electricity, Gas And Water"/>
    <s v="Electricity, Gas And Water"/>
    <s v="PILER"/>
    <m/>
    <m/>
    <n v="127780"/>
    <n v="93000"/>
    <n v="127780"/>
    <n v="93000"/>
    <n v="34780"/>
  </r>
  <r>
    <x v="167"/>
    <s v="VEHICLE FUEL EXPENSE"/>
    <s v="5-01-01-03-001VEHICLE FUEL EXPENSE"/>
    <x v="2"/>
    <x v="8"/>
    <s v="Travelling, Vehicle And Generator Fuel"/>
    <s v="Travelling, Vehicle And Generator Fuel"/>
    <s v="PILER"/>
    <m/>
    <m/>
    <n v="469498"/>
    <n v="283118"/>
    <n v="469498"/>
    <n v="283118"/>
    <n v="186380"/>
  </r>
  <r>
    <x v="168"/>
    <s v="VEHICLE REPAIR &amp; MAINTENANCE"/>
    <s v="5-01-01-04-001VEHICLE REPAIR &amp; MAINTENANCE"/>
    <x v="2"/>
    <x v="8"/>
    <s v="Vehicle Maintenance"/>
    <s v="Vehicle Maintenance"/>
    <s v="PILER"/>
    <m/>
    <m/>
    <n v="213040"/>
    <n v="0"/>
    <n v="213040"/>
    <n v="0"/>
    <n v="213040"/>
  </r>
  <r>
    <x v="169"/>
    <s v="BUILDING REPAIR &amp; MAINTENANCE"/>
    <s v="5-01-01-04-003BUILDING REPAIR &amp; MAINTENANCE"/>
    <x v="2"/>
    <x v="8"/>
    <s v="Equipment Repair Maintenance"/>
    <s v="Equipment Repair Maintenance"/>
    <s v="PILER"/>
    <m/>
    <m/>
    <n v="615490"/>
    <n v="377220"/>
    <n v="615490"/>
    <n v="377220"/>
    <n v="238270"/>
  </r>
  <r>
    <x v="170"/>
    <s v="EQUIPMENTS REPAIR &amp; MAINTENANC"/>
    <s v="5-01-01-04-004EQUIPMENTS REPAIR &amp; MAINTENANC"/>
    <x v="2"/>
    <x v="8"/>
    <s v="Equipment Repair Maintenance"/>
    <s v="Equipment Repair Maintenance"/>
    <s v="PILER"/>
    <m/>
    <m/>
    <n v="85490"/>
    <n v="0"/>
    <n v="85490"/>
    <n v="0"/>
    <n v="85490"/>
  </r>
  <r>
    <x v="171"/>
    <s v="GENERATOR REPAIR &amp; MAINTENANCE"/>
    <s v="5-01-01-04-005GENERATOR REPAIR &amp; MAINTENANCE"/>
    <x v="2"/>
    <x v="8"/>
    <s v="Travelling, Vehicle And Generator Fuel"/>
    <s v="Travelling, Vehicle And Generator Fuel"/>
    <s v="PILER"/>
    <m/>
    <m/>
    <n v="3110"/>
    <n v="0"/>
    <n v="3110"/>
    <n v="0"/>
    <n v="3110"/>
  </r>
  <r>
    <x v="172"/>
    <s v="COMPUTER REPAIR &amp; MAINTENANCE"/>
    <s v="5-01-01-04-006COMPUTER REPAIR &amp; MAINTENANCE"/>
    <x v="2"/>
    <x v="8"/>
    <s v="Equipment Repair Maintenance"/>
    <s v="Equipment Repair Maintenance"/>
    <s v="PILER"/>
    <m/>
    <m/>
    <n v="78650"/>
    <n v="0"/>
    <n v="78650"/>
    <n v="0"/>
    <n v="78650"/>
  </r>
  <r>
    <x v="173"/>
    <s v="POSTAGE &amp; COURIER"/>
    <s v="5-01-01-06-001POSTAGE &amp; COURIER"/>
    <x v="2"/>
    <x v="8"/>
    <s v="Postage And Internet"/>
    <s v="Postage And Internet"/>
    <s v="PILER"/>
    <m/>
    <m/>
    <n v="17540"/>
    <n v="0"/>
    <n v="17540"/>
    <n v="0"/>
    <n v="17540"/>
  </r>
  <r>
    <x v="174"/>
    <s v="PRINTING &amp; STATIONERIES"/>
    <s v="5-01-01-06-002PRINTING &amp; STATIONERIES"/>
    <x v="2"/>
    <x v="8"/>
    <s v="Stationery, Photocopies And Materials"/>
    <s v="Stationery, Photocopies And Materials"/>
    <s v="PILER"/>
    <m/>
    <m/>
    <n v="85585"/>
    <n v="35000"/>
    <n v="85585"/>
    <n v="35000"/>
    <n v="50585"/>
  </r>
  <r>
    <x v="175"/>
    <s v="PHOTOCOPY &amp; COMPUT ACCESSARIES"/>
    <s v="5-01-01-06-003PHOTOCOPY &amp; COMPUT ACCESSARIES"/>
    <x v="2"/>
    <x v="8"/>
    <s v="Stationery, Photocopies And Materials"/>
    <s v="Stationery, Photocopies And Materials"/>
    <s v="PILER"/>
    <m/>
    <m/>
    <n v="8926"/>
    <n v="0"/>
    <n v="8926"/>
    <n v="0"/>
    <n v="8926"/>
  </r>
  <r>
    <x v="176"/>
    <s v="MISC. EXPENSES"/>
    <s v="5-01-01-06-004MISC. EXPENSES"/>
    <x v="2"/>
    <x v="8"/>
    <s v="Miscellaneous"/>
    <s v="Miscellaneous"/>
    <s v="PILER"/>
    <m/>
    <m/>
    <n v="502551"/>
    <n v="485000"/>
    <n v="502551"/>
    <n v="485000"/>
    <n v="17551"/>
  </r>
  <r>
    <x v="177"/>
    <s v="VEHICLE TOLL TAX"/>
    <s v="5-01-01-06-005VEHICLE TOLL TAX"/>
    <x v="2"/>
    <x v="8"/>
    <s v="Travelling, Vehicle And Generator Fuel"/>
    <s v="Travelling, Vehicle And Generator Fuel"/>
    <s v="PILER"/>
    <m/>
    <m/>
    <n v="33740"/>
    <n v="0"/>
    <n v="33740"/>
    <n v="0"/>
    <n v="33740"/>
  </r>
  <r>
    <x v="178"/>
    <s v="TRANSPORTATION EXPENSE"/>
    <s v="5-01-01-06-006TRANSPORTATION EXPENSE"/>
    <x v="2"/>
    <x v="8"/>
    <s v="Travelling, Vehicle And Generator Fuel"/>
    <s v="Travelling, Vehicle And Generator Fuel"/>
    <s v="PILER"/>
    <m/>
    <m/>
    <n v="39458"/>
    <n v="0"/>
    <n v="39458"/>
    <n v="0"/>
    <n v="39458"/>
  </r>
  <r>
    <x v="179"/>
    <s v="TRAVELLING EXPENSES"/>
    <s v="5-01-01-06-007TRAVELLING EXPENSES"/>
    <x v="2"/>
    <x v="8"/>
    <s v="Travelling, Vehicle And Generator Fuel"/>
    <s v="Travelling, Vehicle And Generator Fuel"/>
    <s v="PILER"/>
    <m/>
    <m/>
    <n v="203423"/>
    <n v="15000"/>
    <n v="203423"/>
    <n v="15000"/>
    <n v="188423"/>
  </r>
  <r>
    <x v="180"/>
    <s v="LIBRARY BOOKS &amp; PERIODICALS"/>
    <s v="5-01-01-06-012LIBRARY BOOKS &amp; PERIODICALS"/>
    <x v="2"/>
    <x v="8"/>
    <s v="Stationery, Photocopies And Materials"/>
    <s v="Stationery, Photocopies And Materials"/>
    <s v="PILER"/>
    <m/>
    <m/>
    <n v="32460"/>
    <n v="0"/>
    <n v="32460"/>
    <n v="0"/>
    <n v="32460"/>
  </r>
  <r>
    <x v="181"/>
    <s v="LEGAL &amp; PROFESSIONAL FEE"/>
    <s v="5-01-01-07-001LEGAL &amp; PROFESSIONAL FEE"/>
    <x v="2"/>
    <x v="8"/>
    <s v="Legal And Professional Charges"/>
    <s v="Legal And Professional Charges"/>
    <s v="PILER"/>
    <m/>
    <m/>
    <n v="303956"/>
    <n v="0"/>
    <n v="303956"/>
    <n v="0"/>
    <n v="303956"/>
  </r>
  <r>
    <x v="182"/>
    <s v="AUDITOR REMUNERATIONS"/>
    <s v="5-01-01-07-002AUDITOR REMUNERATIONS"/>
    <x v="2"/>
    <x v="8"/>
    <s v="Auditors' Remuneration"/>
    <s v="Auditor Remunerations"/>
    <s v="PILER"/>
    <m/>
    <m/>
    <n v="21600"/>
    <n v="0"/>
    <n v="21600"/>
    <n v="0"/>
    <n v="21600"/>
  </r>
  <r>
    <x v="183"/>
    <s v="CONSULTANCY CHARGES"/>
    <s v="5-01-01-07-003CONSULTANCY CHARGES"/>
    <x v="2"/>
    <x v="8"/>
    <s v="Legal And Professional Charges"/>
    <s v="Legal And Professional Charges"/>
    <s v="PILER"/>
    <m/>
    <m/>
    <n v="10000"/>
    <n v="0"/>
    <n v="10000"/>
    <n v="0"/>
    <n v="10000"/>
  </r>
  <r>
    <x v="184"/>
    <s v="EOBI CONTRIBUTIONS"/>
    <s v="5-01-01-08-003EOBI CONTRIBUTIONS"/>
    <x v="2"/>
    <x v="9"/>
    <s v="Salary, Wages And Benefits: Staff Welfare"/>
    <s v="Salary, Wages And Benefits: Staff Welfare"/>
    <s v="PILER"/>
    <m/>
    <m/>
    <n v="222000"/>
    <n v="49704"/>
    <n v="222000"/>
    <n v="49704"/>
    <n v="172296"/>
  </r>
  <r>
    <x v="184"/>
    <s v="EOBI CONTRIBUTIONS"/>
    <s v="5-01-01-08-003EOBI CONTRIBUTIONS"/>
    <x v="2"/>
    <x v="9"/>
    <s v="Salary, Wages And Benefits: Staff Welfare"/>
    <s v="Salary, Wages And Benefits: Staff Welfare"/>
    <s v="GRC"/>
    <m/>
    <m/>
    <n v="0"/>
    <n v="4527"/>
    <n v="0"/>
    <n v="4527"/>
    <n v="-4527"/>
  </r>
  <r>
    <x v="185"/>
    <s v="SESSI CONTRIBUTIONS"/>
    <s v="5-01-01-08-004SESSI CONTRIBUTIONS"/>
    <x v="2"/>
    <x v="9"/>
    <s v="Salary, Wages And Benefits: Staff Welfare"/>
    <s v="Salary, Wages And Benefits: Staff Welfare"/>
    <s v="PILER"/>
    <m/>
    <m/>
    <n v="239700"/>
    <n v="0"/>
    <n v="239700"/>
    <n v="0"/>
    <n v="239700"/>
  </r>
  <r>
    <x v="186"/>
    <s v="STAFF WELFARE EXPENSE"/>
    <s v="5-01-01-08-006STAFF WELFARE EXPENSE"/>
    <x v="2"/>
    <x v="8"/>
    <s v="Salary, Wages And Benefits: Staff Welfare"/>
    <s v="Salary, Wages And Benefits: Staff Welfare"/>
    <s v="PILER"/>
    <m/>
    <m/>
    <n v="18374"/>
    <n v="0"/>
    <n v="18374"/>
    <n v="0"/>
    <n v="18374"/>
  </r>
  <r>
    <x v="187"/>
    <s v="BANK CHARGES"/>
    <s v="5-01-01-09-001BANK CHARGES"/>
    <x v="2"/>
    <x v="10"/>
    <s v="Bank Charges"/>
    <s v="Bank Charges"/>
    <s v="PILER"/>
    <m/>
    <m/>
    <n v="12368.25"/>
    <n v="1"/>
    <n v="12368.25"/>
    <n v="1"/>
    <n v="12367.25"/>
  </r>
  <r>
    <x v="187"/>
    <s v="BANK CHARGES"/>
    <s v="5-01-01-09-001BANK CHARGES"/>
    <x v="2"/>
    <x v="10"/>
    <s v="Bank Charges"/>
    <s v="Bank Charges"/>
    <s v="GRC"/>
    <m/>
    <m/>
    <n v="9913.24"/>
    <n v="0"/>
    <n v="9913.24"/>
    <n v="0"/>
    <n v="9913.24"/>
  </r>
  <r>
    <x v="188"/>
    <s v="DEPRECIATION EXPENSES-BUILDING"/>
    <s v="5-01-01-10-001DEPRECIATION EXPENSES-BUILDING"/>
    <x v="2"/>
    <x v="8"/>
    <s v="Depreciation Expenses"/>
    <s v="Depreciaton Exp"/>
    <s v="PILER"/>
    <m/>
    <m/>
    <n v="455276"/>
    <n v="0"/>
    <n v="455276"/>
    <n v="0"/>
    <n v="455276"/>
  </r>
  <r>
    <x v="189"/>
    <s v="DEPRECIATION EX-GENERATOR"/>
    <s v="5-01-01-10-002DEPRECIATION EX-GENERATOR"/>
    <x v="2"/>
    <x v="8"/>
    <s v="Depreciation Expenses"/>
    <s v="Depreciaton Exp"/>
    <s v="PILER"/>
    <m/>
    <m/>
    <n v="42323"/>
    <n v="0"/>
    <n v="42323"/>
    <n v="0"/>
    <n v="42323"/>
  </r>
  <r>
    <x v="190"/>
    <s v="DEPRECIATION EX-ELEC INSTALLA"/>
    <s v="5-01-01-10-003DEPRECIATION EX-ELEC INSTALLA"/>
    <x v="2"/>
    <x v="8"/>
    <s v="Depreciation Expenses"/>
    <s v="Depreciaton Exp"/>
    <s v="PILER"/>
    <m/>
    <m/>
    <n v="358157"/>
    <n v="0"/>
    <n v="358157"/>
    <n v="0"/>
    <n v="358157"/>
  </r>
  <r>
    <x v="191"/>
    <s v="DEPRECIATION EX- OFFICE EQUIP"/>
    <s v="5-01-01-10-004DEPRECIATION EX- OFFICE EQUIP"/>
    <x v="2"/>
    <x v="8"/>
    <s v="Depreciation Expenses"/>
    <s v="Depreciaton Exp"/>
    <s v="PILER"/>
    <m/>
    <m/>
    <n v="892"/>
    <n v="0"/>
    <n v="892"/>
    <n v="0"/>
    <n v="892"/>
  </r>
  <r>
    <x v="192"/>
    <s v="DEPRECIATION EXP-FUR &amp; FIX"/>
    <s v="5-01-01-10-005DEPRECIATION EXP-FUR &amp; FIX"/>
    <x v="2"/>
    <x v="8"/>
    <s v="Depreciation Expenses"/>
    <s v="Depreciaton Exp"/>
    <s v="PILER"/>
    <m/>
    <m/>
    <n v="1093"/>
    <n v="0"/>
    <n v="1093"/>
    <n v="0"/>
    <n v="1093"/>
  </r>
  <r>
    <x v="193"/>
    <s v="SOFTWARE AMORTIZATION"/>
    <s v="5-01-01-10-009SOFTWARE AMORTIZATION"/>
    <x v="2"/>
    <x v="8"/>
    <s v="Amortisation"/>
    <s v="Amortisation Expenses"/>
    <s v="PILER"/>
    <m/>
    <m/>
    <n v="76888"/>
    <n v="0"/>
    <n v="76888"/>
    <n v="0"/>
    <n v="76888"/>
  </r>
  <r>
    <x v="194"/>
    <s v="INCOME TAX EXPENSES"/>
    <s v="5-01-01-11-001INCOME TAX EXPENSES"/>
    <x v="2"/>
    <x v="11"/>
    <s v="Income Tax Expenses"/>
    <s v="Income Tax Expenses"/>
    <s v="GRC"/>
    <m/>
    <m/>
    <n v="73015.149999999994"/>
    <n v="0"/>
    <n v="73015.149999999994"/>
    <n v="0"/>
    <n v="73015.149999999994"/>
  </r>
  <r>
    <x v="194"/>
    <s v="INCOME TAX EXPENSES"/>
    <s v="5-01-01-11-001INCOME TAX EXPENSES"/>
    <x v="2"/>
    <x v="11"/>
    <s v="Income Tax Expenses"/>
    <s v="Income Tax Expenses"/>
    <s v="GRC Own"/>
    <m/>
    <m/>
    <n v="105135.79"/>
    <n v="62900"/>
    <n v="105135.79"/>
    <n v="62900"/>
    <n v="42235.789999999994"/>
  </r>
  <r>
    <x v="195"/>
    <s v="CLEANING &amp; LAUNDRY"/>
    <s v="5-01-01-12-001CLEANING &amp; LAUNDRY"/>
    <x v="2"/>
    <x v="8"/>
    <s v="Miscellaneous"/>
    <s v="Miscellaneous"/>
    <s v="PILER"/>
    <m/>
    <m/>
    <n v="80045"/>
    <n v="0"/>
    <n v="80045"/>
    <n v="0"/>
    <n v="80045"/>
  </r>
  <r>
    <x v="196"/>
    <s v="GARDEN &amp; GROUND UPKEEP"/>
    <s v="5-01-01-12-002GARDEN &amp; GROUND UPKEEP"/>
    <x v="2"/>
    <x v="8"/>
    <s v="Miscellaneous"/>
    <s v="Garden &amp; Ground Upkeep"/>
    <s v="PILER"/>
    <m/>
    <m/>
    <n v="19400"/>
    <n v="0"/>
    <n v="19400"/>
    <n v="0"/>
    <n v="19400"/>
  </r>
  <r>
    <x v="197"/>
    <s v="BASIC UTENSILS &amp; COOKING STOVE"/>
    <s v="5-01-02-06-044BASIC UTENSILS &amp; COOKING STOVE"/>
    <x v="2"/>
    <x v="8"/>
    <s v="Stationery, Photocopies And Materials"/>
    <s v="Stationery, Photocopies And Materials"/>
    <s v="PILER"/>
    <m/>
    <m/>
    <n v="81480"/>
    <n v="0"/>
    <n v="81480"/>
    <n v="0"/>
    <n v="81480"/>
  </r>
  <r>
    <x v="198"/>
    <s v="PAYMENT OF LOCAL DONATIONS"/>
    <s v="5-01-02-07-014PAYMENT OF LOCAL DONATIONS"/>
    <x v="2"/>
    <x v="8"/>
    <s v="Local Donation"/>
    <s v="Local Donation"/>
    <s v="PILER"/>
    <m/>
    <m/>
    <n v="35000"/>
    <n v="0"/>
    <n v="35000"/>
    <n v="0"/>
    <n v="35000"/>
  </r>
  <r>
    <x v="199"/>
    <s v="PILER STAFF TRAINING &amp; EDUCAT."/>
    <s v="5-01-02-07-023PILER STAFF TRAINING &amp; EDUCAT."/>
    <x v="2"/>
    <x v="9"/>
    <s v="Piler Program Activities : Peace / Labor Related Seminars &amp; Conferences Activities"/>
    <s v="Piler Program Activities : Peace / Labor Related Seminars &amp; Conferences Activities"/>
    <s v="PILER"/>
    <m/>
    <m/>
    <n v="41990"/>
    <n v="0"/>
    <n v="41990"/>
    <n v="0"/>
    <n v="41990"/>
  </r>
  <r>
    <x v="200"/>
    <s v="WORKSHOP &amp; TRAINING"/>
    <s v="5-01-02-07-036WORKSHOP &amp; TRAINING"/>
    <x v="2"/>
    <x v="9"/>
    <s v="Piler Program Activities : Peace / Labor Related Seminars &amp; Conferences Activities"/>
    <s v="Piler Program Activities : Peace / Labor Related Seminars &amp; Conferences Activities"/>
    <s v="PILER"/>
    <m/>
    <m/>
    <n v="56900"/>
    <n v="0"/>
    <n v="56900"/>
    <n v="0"/>
    <n v="56900"/>
  </r>
  <r>
    <x v="201"/>
    <s v="Shirkat Gah#2.5-Awareness Session with Trade Unions Members &amp; Workers Groups"/>
    <s v="5-01-02-10-020Shirkat Gah#2.5-Awareness Session with Trade Unions Members &amp; Workers Groups"/>
    <x v="2"/>
    <x v="9"/>
    <s v="Shirkat Gah#2.5-Awareness Session with Trade Unions Members &amp; Workers Groups"/>
    <s v="Shirkat Gah#2.5-Awareness Session with Trade Unions Members &amp; Workers Groups"/>
    <s v="PILER"/>
    <m/>
    <m/>
    <n v="3764557"/>
    <n v="0"/>
    <n v="3764557"/>
    <n v="0"/>
    <n v="3764557"/>
  </r>
  <r>
    <x v="202"/>
    <s v="GLJ-ILRF : OBS-A.49-Field Coordinator "/>
    <s v="5-01-02-69-042GLJ-ILRF : OBS-A.49-Field Coordinator "/>
    <x v="2"/>
    <x v="9"/>
    <s v="GLJ-ILRF : OBS-A.49-Field Coordinator "/>
    <s v="GLJ-ILRF : OBS-A.49-Field Coordinator "/>
    <s v="PILER"/>
    <m/>
    <m/>
    <n v="781000"/>
    <n v="0"/>
    <n v="781000"/>
    <n v="0"/>
    <n v="781000"/>
  </r>
  <r>
    <x v="203"/>
    <s v="GLJ-ILRF : OBS-B.1.11.a-Translation of the materials ( 2 languages transaltion) "/>
    <s v="5-01-02-69-049GLJ-ILRF : OBS-B.1.11.a-Translation of the materials ( 2 languages transaltion) "/>
    <x v="2"/>
    <x v="9"/>
    <s v="GLJ-ILRF : OBS-B.1.11.a-Translation of the materials ( 2 languages transaltion) "/>
    <s v="GLJ-ILRF : OBS-B.1.11.a-Translation of the materials ( 2 languages transaltion) "/>
    <s v="PILER"/>
    <m/>
    <m/>
    <n v="5000"/>
    <n v="0"/>
    <n v="5000"/>
    <n v="0"/>
    <n v="5000"/>
  </r>
  <r>
    <x v="204"/>
    <s v="GLJ-ILRF : OBS-B.2.1.2.c-Report Translation"/>
    <s v="5-01-02-69-053GLJ-ILRF : OBS-B.2.1.2.c-Report Translation"/>
    <x v="2"/>
    <x v="9"/>
    <s v="GLJ-ILRF : OBS-B.2.1.2.c-Report Translation"/>
    <s v="GLJ-ILRF : OBS-B.2.1.2.c-Report Translation"/>
    <s v="PILER"/>
    <m/>
    <m/>
    <n v="30000"/>
    <n v="0"/>
    <n v="30000"/>
    <n v="0"/>
    <n v="30000"/>
  </r>
  <r>
    <x v="205"/>
    <s v="GLJ-ILRF : OBS-B.2.2.2-Wage Group Meeting "/>
    <s v="5-01-02-69-055GLJ-ILRF : OBS-B.2.2.2-Wage Group Meeting "/>
    <x v="2"/>
    <x v="9"/>
    <s v="GLJ-ILRF : OBS-B.2.2.2-Wage Group Meeting "/>
    <s v="GLJ-ILRF : OBS-B.2.2.2-Wage Group Meeting "/>
    <s v="PILER"/>
    <m/>
    <m/>
    <n v="115000"/>
    <n v="0"/>
    <n v="115000"/>
    <n v="0"/>
    <n v="115000"/>
  </r>
  <r>
    <x v="206"/>
    <s v="GLJ-ILRF : OBS-B.2.2.5-Public discussion/seminar-Round Table consultation"/>
    <s v="5-01-02-69-056GLJ-ILRF : OBS-B.2.2.5-Public discussion/seminar-Round Table consultation"/>
    <x v="2"/>
    <x v="9"/>
    <s v="GLJ-ILRF : OBS-B.2.2.5-Public discussion/seminar-Round Table consultation"/>
    <s v="GLJ-ILRF : OBS-B.2.2.5-Public discussion/seminar-Round Table consultation"/>
    <s v="PILER"/>
    <m/>
    <m/>
    <n v="480810"/>
    <n v="0"/>
    <n v="480810"/>
    <n v="0"/>
    <n v="480810"/>
  </r>
  <r>
    <x v="207"/>
    <s v="GLJ-ILRF : OBS-B.5.10-National Meeting"/>
    <s v="5-01-02-69-080GLJ-ILRF : OBS-B.5.10-National Meeting"/>
    <x v="2"/>
    <x v="9"/>
    <s v="GLJ-ILRF : OBS-B.5.10-National Meeting"/>
    <s v="GLJ-ILRF : OBS-B.5.10-National Meeting"/>
    <s v="PILER"/>
    <m/>
    <m/>
    <n v="217055"/>
    <n v="0"/>
    <n v="217055"/>
    <n v="0"/>
    <n v="217055"/>
  </r>
  <r>
    <x v="208"/>
    <s v="GLJ-ILRF:INKOTA-Gender Justice Coordinator"/>
    <s v="5-01-02-69-083GLJ-ILRF:INKOTA-Gender Justice Coordinator"/>
    <x v="2"/>
    <x v="9"/>
    <s v="GLJ-ILRF:INKOTA-Gender Justice Coordinator"/>
    <s v="GLJ-ILRF:INKOTA-Gender Justice Coordinator"/>
    <s v="PILER"/>
    <m/>
    <m/>
    <n v="452000"/>
    <n v="0"/>
    <n v="452000"/>
    <n v="0"/>
    <n v="452000"/>
  </r>
  <r>
    <x v="209"/>
    <s v="GLJ-ILRF:INKOTA-Field Coordinator"/>
    <s v="5-01-02-69-084GLJ-ILRF:INKOTA-Field Coordinator"/>
    <x v="2"/>
    <x v="9"/>
    <s v="GLJ-ILRF:INKOTA-Field Coordinator"/>
    <s v="GLJ-ILRF:INKOTA-Field Coordinator"/>
    <s v="PILER"/>
    <m/>
    <m/>
    <n v="605000"/>
    <n v="0"/>
    <n v="605000"/>
    <n v="0"/>
    <n v="605000"/>
  </r>
  <r>
    <x v="210"/>
    <s v="GLJ-ILRF:INKOTA-2.1.a#Organizing strategy-Geographic focus including field strategy &amp; designated tea"/>
    <s v="5-01-02-69-085GLJ-ILRF:INKOTA-2.1.a#Organizing strategy-Geographic focus including field strategy &amp; designated tea"/>
    <x v="2"/>
    <x v="9"/>
    <s v="GLJ-ILRF:INKOTA-2.1.a#Organizing strategy-Geographic focus including field strategy &amp; designated tea"/>
    <s v="GLJ-ILRF:INKOTA-2.1.a#Organizing strategy-Geographic focus including field strategy &amp; designated tea"/>
    <s v="PILER"/>
    <m/>
    <m/>
    <n v="1100"/>
    <n v="0"/>
    <n v="1100"/>
    <n v="0"/>
    <n v="1100"/>
  </r>
  <r>
    <x v="211"/>
    <s v="GLJ-ILRF:INKOTA-3.1.a#Organizing training &amp; Capacity development for partner union"/>
    <s v="5-01-02-69-086GLJ-ILRF:INKOTA-3.1.a#Organizing training &amp; Capacity development for partner union"/>
    <x v="2"/>
    <x v="9"/>
    <s v="GLJ-ILRF:INKOTA-3.1.a#Organizing training &amp; Capacity development for partner union"/>
    <s v="GLJ-ILRF:INKOTA-3.1.a#Organizing training &amp; Capacity development for partner union"/>
    <s v="PILER"/>
    <m/>
    <m/>
    <n v="1100"/>
    <n v="0"/>
    <n v="1100"/>
    <n v="0"/>
    <n v="1100"/>
  </r>
  <r>
    <x v="212"/>
    <s v="GLJ-ILRF:INKOTA-4.1.b#Consumption survey resulting in LW figure to support nation wage bargaining &amp; "/>
    <s v="5-01-02-69-088GLJ-ILRF:INKOTA-4.1.b#Consumption survey resulting in LW figure to support nation wage bargaining &amp; "/>
    <x v="2"/>
    <x v="9"/>
    <s v="GLJ-ILRF:INKOTA-4.1.b#Consumption survey resulting in LW figure to support nation wage bargaining &amp; "/>
    <s v="GLJ-ILRF:INKOTA-4.1.b#Consumption survey resulting in LW figure to support nation wage bargaining &amp; "/>
    <s v="PILER"/>
    <m/>
    <m/>
    <n v="163397"/>
    <n v="0"/>
    <n v="163397"/>
    <n v="0"/>
    <n v="163397"/>
  </r>
  <r>
    <x v="213"/>
    <s v="GLJ-ILRF:INKOTA-5.3.c#coordinated day of Action WLC"/>
    <s v="5-01-02-69-091GLJ-ILRF:INKOTA-5.3.c#coordinated day of Action WLC"/>
    <x v="2"/>
    <x v="9"/>
    <s v="GLJ-ILRF:INKOTA-5.3.c#coordinated day of Action WLC"/>
    <s v="GLJ-ILRF:INKOTA-5.3.c#coordinated day of Action WLC"/>
    <s v="PILER"/>
    <m/>
    <m/>
    <n v="154000"/>
    <n v="0"/>
    <n v="154000"/>
    <n v="0"/>
    <n v="154000"/>
  </r>
  <r>
    <x v="214"/>
    <s v="GLJ-ILRF:INKOTA-6.1..a#Convening of National Committee to Strengthening the alliance through regular"/>
    <s v="5-01-02-69-093GLJ-ILRF:INKOTA-6.1..a#Convening of National Committee to Strengthening the alliance through regular"/>
    <x v="2"/>
    <x v="9"/>
    <s v="GLJ-ILRF:INKOTA-6.1..a#Convening of National Committee to Strengthening the alliance through regular"/>
    <s v="GLJ-ILRF:INKOTA-6.1..a#Convening of National Committee to Strengthening the alliance through regular"/>
    <s v="PILER"/>
    <m/>
    <m/>
    <n v="22000"/>
    <n v="0"/>
    <n v="22000"/>
    <n v="0"/>
    <n v="22000"/>
  </r>
  <r>
    <x v="215"/>
    <s v="GLJ-ILRF:INKOTA-6.2.a#Public dicussion on wage(MW &amp; LW)"/>
    <s v="5-01-02-69-094GLJ-ILRF:INKOTA-6.2.a#Public dicussion on wage(MW &amp; LW)"/>
    <x v="2"/>
    <x v="9"/>
    <s v="GLJ-ILRF:INKOTA-6.2.a#Public dicussion on wage(MW &amp; LW)"/>
    <s v="GLJ-ILRF:INKOTA-6.2.a#Public dicussion on wage(MW &amp; LW)"/>
    <s v="PILER"/>
    <m/>
    <m/>
    <n v="521188"/>
    <n v="0"/>
    <n v="521188"/>
    <n v="0"/>
    <n v="521188"/>
  </r>
  <r>
    <x v="216"/>
    <s v="GLJ-ILRF:INKOTA-6.9.a#Interpreter-Regional event"/>
    <s v="5-01-02-69-097GLJ-ILRF:INKOTA-6.9.a#Interpreter-Regional event"/>
    <x v="2"/>
    <x v="9"/>
    <s v="GLJ-ILRF:INKOTA-6.9.a#Interpreter-Regional event"/>
    <s v="GLJ-ILRF:INKOTA-6.9.a#Interpreter-Regional event"/>
    <s v="PILER"/>
    <m/>
    <m/>
    <n v="160000"/>
    <n v="0"/>
    <n v="160000"/>
    <n v="0"/>
    <n v="160000"/>
  </r>
  <r>
    <x v="217"/>
    <s v="GRC-6.3# Office Rent"/>
    <s v="5-01-02-74-004GRC-6.3# Office Rent"/>
    <x v="2"/>
    <x v="9"/>
    <s v="GRC-6.3# Office Rent"/>
    <s v="GRC-6.3# Office Rent"/>
    <s v="GRC"/>
    <m/>
    <m/>
    <n v="0"/>
    <n v="84000"/>
    <n v="0"/>
    <n v="84000"/>
    <n v="-84000"/>
  </r>
  <r>
    <x v="217"/>
    <s v="GRC-6.3# Office Rent"/>
    <s v="5-01-02-74-004GRC-6.3# Office Rent"/>
    <x v="2"/>
    <x v="9"/>
    <s v="GRC-6.3# Office Rent"/>
    <s v="GRC-6.3# Office Rent"/>
    <s v="GRC Own"/>
    <m/>
    <m/>
    <n v="862600"/>
    <n v="768200"/>
    <n v="862600"/>
    <n v="768200"/>
    <n v="94400"/>
  </r>
  <r>
    <x v="218"/>
    <s v="GRC-8.1.1# Baseline Assessment (development, implementation, analysis and reporting, recruitment and"/>
    <s v="5-01-02-74-005GRC-8.1.1# Baseline Assessment (development, implementation, analysis and reporting, recruitment and"/>
    <x v="2"/>
    <x v="9"/>
    <s v="GRC-8.1.1# Baseline Assessment (development, implementation, analysis and reporting, recruitment and"/>
    <s v="GRC-8.1.1# Baseline Assessment (development, implementation, analysis and reporting, recruitment and"/>
    <s v="GRC"/>
    <m/>
    <m/>
    <n v="114520"/>
    <n v="0"/>
    <n v="114520"/>
    <n v="0"/>
    <n v="114520"/>
  </r>
  <r>
    <x v="219"/>
    <s v="GRC-8.2.5 # Stationary &amp; material"/>
    <s v="5-01-02-74-012GRC-8.2.5 # Stationary &amp; material"/>
    <x v="2"/>
    <x v="9"/>
    <s v="GRC-8.2.5 # Stationary &amp; material"/>
    <s v="GRC-8.2.5 # Stationary &amp; material"/>
    <s v="GRC"/>
    <m/>
    <m/>
    <n v="4990"/>
    <n v="0"/>
    <n v="4990"/>
    <n v="0"/>
    <n v="4990"/>
  </r>
  <r>
    <x v="220"/>
    <s v="GRC-Indirect Costs"/>
    <s v="5-01-02-74-013GRC-Indirect Costs"/>
    <x v="2"/>
    <x v="9"/>
    <s v="GRC-Indirect Costs"/>
    <s v="GRC-Indirect Costs"/>
    <s v="GRC"/>
    <m/>
    <m/>
    <n v="679879"/>
    <n v="0"/>
    <n v="679879"/>
    <n v="0"/>
    <n v="679879"/>
  </r>
  <r>
    <x v="221"/>
    <s v="GRC-6.1.2#Paralegal trainer/facilitator"/>
    <s v="5-01-02-74-015GRC-6.1.2#Paralegal trainer/facilitator"/>
    <x v="2"/>
    <x v="9"/>
    <s v="GRC-6.1.2#Paralegal trainer/facilitator"/>
    <s v="GRC-6.1.2#Paralegal trainer/facilitator"/>
    <s v="GRC"/>
    <m/>
    <m/>
    <n v="0"/>
    <n v="691990"/>
    <n v="0"/>
    <n v="691990"/>
    <n v="-691990"/>
  </r>
  <r>
    <x v="221"/>
    <s v="GRC-6.1.2#Paralegal trainer/facilitator"/>
    <s v="5-01-02-74-015GRC-6.1.2#Paralegal trainer/facilitator"/>
    <x v="2"/>
    <x v="9"/>
    <s v="GRC-6.1.2#Paralegal trainer/facilitator"/>
    <s v="GRC-6.1.2#Paralegal trainer/facilitator"/>
    <s v="GRC Own"/>
    <m/>
    <m/>
    <n v="10863930"/>
    <n v="9751775.3200000003"/>
    <n v="10863930"/>
    <n v="9751775.3200000003"/>
    <n v="1112154.6799999997"/>
  </r>
  <r>
    <x v="222"/>
    <s v="GRC-A.1.1#Project Manager"/>
    <s v="5-01-02-86-001GRC-A.1.1#Project Manager"/>
    <x v="2"/>
    <x v="9"/>
    <s v="GRC-A.1.1#Project Manager"/>
    <s v="GRC-A.1.1#Project Manager"/>
    <s v="GRC"/>
    <m/>
    <m/>
    <n v="2468400"/>
    <n v="0"/>
    <n v="2468400"/>
    <n v="0"/>
    <n v="2468400"/>
  </r>
  <r>
    <x v="223"/>
    <s v="GRC-A.1.2#Finance Coordinator"/>
    <s v="5-01-02-86-002GRC-A.1.2#Finance Coordinator"/>
    <x v="2"/>
    <x v="9"/>
    <s v="GRC-A.1.2#Finance Coordinator"/>
    <s v="GRC-A.1.2#Finance Coordinator"/>
    <s v="GRC"/>
    <m/>
    <m/>
    <n v="1604727"/>
    <n v="0"/>
    <n v="1604727"/>
    <n v="0"/>
    <n v="1604727"/>
  </r>
  <r>
    <x v="224"/>
    <s v="GRC-A.1.3#Project Coordinator"/>
    <s v="5-01-02-86-003GRC-A.1.3#Project Coordinator"/>
    <x v="2"/>
    <x v="9"/>
    <s v="GRC-A.1.3#Project Coordinator"/>
    <s v="GRC-A.1.3#Project Coordinator"/>
    <s v="GRC"/>
    <m/>
    <m/>
    <n v="1205282"/>
    <n v="0"/>
    <n v="1205282"/>
    <n v="0"/>
    <n v="1205282"/>
  </r>
  <r>
    <x v="225"/>
    <s v="GRC-A.1.#Admn Officer"/>
    <s v="5-01-02-86-004GRC-A.1.#Admn Officer"/>
    <x v="2"/>
    <x v="9"/>
    <s v="GRC-A.1.#Admn Officer"/>
    <s v="GRC-A.1.#Admn Officer"/>
    <s v="PILER"/>
    <m/>
    <m/>
    <n v="88799"/>
    <n v="0"/>
    <n v="88799"/>
    <n v="0"/>
    <n v="88799"/>
  </r>
  <r>
    <x v="225"/>
    <s v="GRC-A.1.#Admn Officer"/>
    <s v="5-01-02-86-004GRC-A.1.#Admn Officer"/>
    <x v="2"/>
    <x v="9"/>
    <s v="GRC-A.1.#Admn Officer"/>
    <s v="GRC-A.1.#Admn Officer"/>
    <s v="GRC"/>
    <m/>
    <m/>
    <n v="916237"/>
    <n v="0"/>
    <n v="916237"/>
    <n v="0"/>
    <n v="916237"/>
  </r>
  <r>
    <x v="226"/>
    <s v="GRC-B.1.1#EOBI Contribution"/>
    <s v="5-01-02-86-005GRC-B.1.1#EOBI Contribution"/>
    <x v="2"/>
    <x v="9"/>
    <s v="GRC-B.1.1#EOBI Contribution"/>
    <s v="GRC-B.1.1#EOBI Contribution"/>
    <s v="GRC"/>
    <m/>
    <m/>
    <n v="54231"/>
    <n v="0"/>
    <n v="54231"/>
    <n v="0"/>
    <n v="54231"/>
  </r>
  <r>
    <x v="227"/>
    <s v="GRC-D.1#Laptop for office use"/>
    <s v="5-01-02-86-013GRC-D.1#Laptop for office use"/>
    <x v="2"/>
    <x v="9"/>
    <s v="GRC-D.1#Laptop for office use"/>
    <s v="GRC-D.1#Laptop for office use"/>
    <s v="GRC"/>
    <m/>
    <m/>
    <n v="148000"/>
    <n v="0"/>
    <n v="148000"/>
    <n v="0"/>
    <n v="148000"/>
  </r>
  <r>
    <x v="228"/>
    <s v="GRC-F.2#Office Rent"/>
    <s v="5-01-02-86-014GRC-F.2#Office Rent"/>
    <x v="2"/>
    <x v="9"/>
    <s v="GRC-F.2#Office Rent"/>
    <s v="GRC-F.2#Office Rent"/>
    <s v="GRC"/>
    <m/>
    <m/>
    <n v="932099"/>
    <n v="0"/>
    <n v="932099"/>
    <n v="0"/>
    <n v="932099"/>
  </r>
  <r>
    <x v="229"/>
    <s v="GRC-H.1.4#Venue, including food and drinks"/>
    <s v="5-01-02-86-017GRC-H.1.4#Venue, including food and drinks"/>
    <x v="2"/>
    <x v="9"/>
    <s v="GRC-H.1.4#Venue, including food and drinks"/>
    <s v="GRC-H.1.4#Venue, including food and drinks"/>
    <s v="GRC"/>
    <m/>
    <m/>
    <n v="2000369"/>
    <n v="0"/>
    <n v="2000369"/>
    <n v="0"/>
    <n v="2000369"/>
  </r>
  <r>
    <x v="230"/>
    <s v="GRC-H.1.5#Travel for participants"/>
    <s v="5-01-02-86-018GRC-H.1.5#Travel for participants"/>
    <x v="2"/>
    <x v="9"/>
    <s v="GRC-H.1.5#Travel for participants"/>
    <s v="GRC-H.1.5#Travel for participants"/>
    <s v="GRC"/>
    <m/>
    <m/>
    <n v="785528"/>
    <n v="0"/>
    <n v="785528"/>
    <n v="0"/>
    <n v="785528"/>
  </r>
  <r>
    <x v="231"/>
    <s v="GRC-H.1.7#Facilitators fee"/>
    <s v="5-01-02-86-019GRC-H.1.7#Facilitators fee"/>
    <x v="2"/>
    <x v="9"/>
    <s v="GRC-H.1.7#Facilitators fee"/>
    <s v="GRC-H.1.7#Facilitators fee"/>
    <s v="GRC"/>
    <m/>
    <m/>
    <n v="333058"/>
    <n v="0"/>
    <n v="333058"/>
    <n v="0"/>
    <n v="333058"/>
  </r>
  <r>
    <x v="232"/>
    <s v="GRC-H.1.8#Stationary &amp; material"/>
    <s v="5-01-02-86-020GRC-H.1.8#Stationary &amp; material"/>
    <x v="2"/>
    <x v="9"/>
    <s v="GRC-H.1.8#Stationary &amp; material"/>
    <s v="GRC-H.1.8#Stationary &amp; material"/>
    <s v="GRC"/>
    <m/>
    <m/>
    <n v="206350"/>
    <n v="0"/>
    <n v="206350"/>
    <n v="0"/>
    <n v="206350"/>
  </r>
  <r>
    <x v="233"/>
    <s v="SAPPK-5#Cultural Events engaging all Stakeholders(one in each district)"/>
    <s v="5-01-02-88-005SAPPK-5#Cultural Events engaging all Stakeholders(one in each district)"/>
    <x v="2"/>
    <x v="9"/>
    <s v="SAPPK-5#Cultural Events engaging all Stakeholders(one in each district)"/>
    <s v="SAPPK-5#Cultural Events engaging all Stakeholders(one in each district)"/>
    <s v="PILER"/>
    <m/>
    <m/>
    <n v="112360"/>
    <n v="0"/>
    <n v="112360"/>
    <n v="0"/>
    <n v="112360"/>
  </r>
  <r>
    <x v="234"/>
    <s v="GCE#2-Community Engagement"/>
    <s v="5-01-05--002GCE#2-Community Engagement"/>
    <x v="2"/>
    <x v="9"/>
    <s v="GCE#2-Community Engagement"/>
    <s v="GCE#2-Community Engagement"/>
    <s v="PILER"/>
    <m/>
    <m/>
    <n v="139315"/>
    <n v="0"/>
    <n v="139315"/>
    <n v="0"/>
    <n v="139315"/>
  </r>
  <r>
    <x v="235"/>
    <s v="GCE#4-Multistake holder Consultation"/>
    <s v="5-01-05--004GCE#4-Multistake holder Consultation"/>
    <x v="2"/>
    <x v="9"/>
    <s v="GCE#4-Multistake holder Consultation"/>
    <s v="GCE#4-Multistake holder Consultation"/>
    <s v="PILER"/>
    <m/>
    <m/>
    <n v="1553283"/>
    <n v="0"/>
    <n v="1553283"/>
    <n v="0"/>
    <n v="1553283"/>
  </r>
  <r>
    <x v="236"/>
    <s v="GCE#6-Report Writer"/>
    <s v="5-01-05-0-001GCE#6-Report Writer"/>
    <x v="2"/>
    <x v="9"/>
    <s v="GCE#6-Report Writer"/>
    <s v="GCE#6-Report Writer"/>
    <s v="PILER"/>
    <m/>
    <m/>
    <n v="235294"/>
    <n v="0"/>
    <n v="235294"/>
    <n v="0"/>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1">
  <r>
    <s v="1-01-01-01-001"/>
    <m/>
    <s v="CASH IN HAND"/>
    <s v="1-01-01-01-001CASH IN HAND"/>
    <x v="0"/>
    <x v="0"/>
    <x v="0"/>
    <s v="Cash With Banks In Current/Pls Accounts"/>
    <s v="PILER"/>
    <n v="3"/>
    <n v="0"/>
    <n v="0"/>
    <n v="0"/>
    <n v="3"/>
    <n v="0"/>
    <x v="0"/>
  </r>
  <r>
    <s v="1-01-01-01-001"/>
    <m/>
    <s v="CASH IN HAND"/>
    <s v="1-01-01-01-001CASH IN HAND"/>
    <x v="0"/>
    <x v="0"/>
    <x v="0"/>
    <s v="Cash With Banks In Current/Pls Accounts"/>
    <s v="Karachi"/>
    <m/>
    <n v="0"/>
    <n v="0"/>
    <n v="0"/>
    <n v="0"/>
    <n v="0"/>
    <x v="1"/>
  </r>
  <r>
    <s v="1-01-01-02-002"/>
    <m/>
    <s v="PILER OWN BAHL A/C. 818-04-2"/>
    <s v="1-01-01-02-002PILER OWN BAHL A/C. 818-04-2"/>
    <x v="0"/>
    <x v="0"/>
    <x v="0"/>
    <s v="Cash With Banks In Current/Pls Accounts"/>
    <s v="PILER"/>
    <n v="143120"/>
    <n v="0"/>
    <n v="0"/>
    <n v="0"/>
    <n v="143120"/>
    <n v="0"/>
    <x v="2"/>
  </r>
  <r>
    <s v="1-01-01-02-011"/>
    <m/>
    <s v="PILER TDH &amp; MI BH A/C.818-09-7"/>
    <s v="1-01-01-02-011PILER TDH &amp; MI BH A/C.818-09-7"/>
    <x v="0"/>
    <x v="0"/>
    <x v="0"/>
    <s v="Cash With Banks In Current/Pls Accounts"/>
    <s v="TDH &amp; MI"/>
    <n v="0"/>
    <n v="809205"/>
    <n v="0"/>
    <n v="0"/>
    <n v="0"/>
    <n v="809205"/>
    <x v="3"/>
  </r>
  <r>
    <s v="1-01-01-02-011"/>
    <m/>
    <s v="PILER TDH &amp; MI BH A/C.818-09-7"/>
    <s v="1-01-01-02-011PILER TDH &amp; MI BH A/C.818-09-7"/>
    <x v="0"/>
    <x v="0"/>
    <x v="0"/>
    <s v="Cash With Banks In Current/Pls Accounts"/>
    <s v="TDH"/>
    <n v="0"/>
    <m/>
    <n v="0"/>
    <n v="0"/>
    <n v="0"/>
    <n v="0"/>
    <x v="1"/>
  </r>
  <r>
    <s v="1-01-01-02-012"/>
    <m/>
    <s v="PILER UBL-012-1940-6"/>
    <s v="1-01-01-02-012PILER UBL-012-1940-6"/>
    <x v="0"/>
    <x v="0"/>
    <x v="0"/>
    <s v="Cash With Banks In Current/Pls Accounts"/>
    <s v="PILER"/>
    <n v="62500"/>
    <n v="0"/>
    <n v="0"/>
    <n v="0"/>
    <n v="62500"/>
    <n v="0"/>
    <x v="4"/>
  </r>
  <r>
    <s v="1-01-01-02-013"/>
    <m/>
    <s v="PILER UBL-012-1707-3"/>
    <s v="1-01-01-02-013PILER UBL-012-1707-3"/>
    <x v="0"/>
    <x v="0"/>
    <x v="0"/>
    <s v="Cash With Banks In Current/Pls Accounts"/>
    <s v="PILER"/>
    <n v="51853"/>
    <n v="0"/>
    <n v="0"/>
    <n v="0"/>
    <n v="51853"/>
    <n v="0"/>
    <x v="5"/>
  </r>
  <r>
    <s v="1-01-01-02-015"/>
    <m/>
    <s v="PILER FNV PROJECT 06-0"/>
    <s v="1-01-01-02-015PILER FNV PROJECT 06-0"/>
    <x v="0"/>
    <x v="0"/>
    <x v="0"/>
    <s v="Cash With Banks In Current/Pls Accounts"/>
    <s v="PILER"/>
    <n v="15489"/>
    <n v="0"/>
    <n v="0"/>
    <n v="0"/>
    <n v="15489"/>
    <n v="0"/>
    <x v="6"/>
  </r>
  <r>
    <s v="1-01-01-02-016"/>
    <m/>
    <s v="PILER EU PROJECT BAHL-GJ 06-2"/>
    <s v="1-01-01-02-016PILER EU PROJECT BAHL-GJ 06-2"/>
    <x v="0"/>
    <x v="0"/>
    <x v="0"/>
    <s v="Cash With Banks In Current/Pls Accounts"/>
    <s v="PILER"/>
    <n v="29198"/>
    <n v="0"/>
    <n v="0"/>
    <n v="0"/>
    <n v="29198"/>
    <n v="0"/>
    <x v="7"/>
  </r>
  <r>
    <s v="1-01-01-02-020"/>
    <m/>
    <s v="PILER BAH-A/C.0081-004762-01-0"/>
    <s v="1-01-01-02-020PILER BAH-A/C.0081-004762-01-0"/>
    <x v="0"/>
    <x v="0"/>
    <x v="0"/>
    <s v="Cash With Banks In Current/Pls Accounts"/>
    <s v="PILER"/>
    <n v="66295094.659999996"/>
    <n v="60963110.640000001"/>
    <n v="19887862.510000002"/>
    <n v="20628914.25"/>
    <n v="86182957.170000002"/>
    <n v="81592024.890000001"/>
    <x v="8"/>
  </r>
  <r>
    <s v="1-01-01-02-021"/>
    <m/>
    <s v="PILER TAF BAH-0081-004762-02-1"/>
    <s v="1-01-01-02-021PILER TAF BAH-0081-004762-02-1"/>
    <x v="0"/>
    <x v="0"/>
    <x v="0"/>
    <s v="Cash With Banks In Current/Pls Accounts"/>
    <s v="TAF"/>
    <n v="381581.2"/>
    <n v="79.099999999999994"/>
    <n v="0"/>
    <n v="0"/>
    <n v="381581.2"/>
    <n v="79.099999999999994"/>
    <x v="9"/>
  </r>
  <r>
    <s v="1-01-01-02-021"/>
    <m/>
    <s v="PILER TAF BAH-0081-004762-02-1"/>
    <s v="1-01-01-02-021PILER TAF BAH-0081-004762-02-1"/>
    <x v="0"/>
    <x v="0"/>
    <x v="0"/>
    <s v="Cash With Banks In Current/Pls Accounts"/>
    <s v="ETI"/>
    <m/>
    <m/>
    <n v="0"/>
    <n v="0"/>
    <n v="0"/>
    <n v="0"/>
    <x v="1"/>
  </r>
  <r>
    <s v="1-01-01-02-022"/>
    <m/>
    <s v="BANK UNICEF-0081-004762-04-3"/>
    <s v="1-01-01-02-022BANK UNICEF-0081-004762-04-3"/>
    <x v="0"/>
    <x v="0"/>
    <x v="0"/>
    <s v="Cash With Banks In Current/Pls Accounts"/>
    <s v="PILER"/>
    <n v="351956.05"/>
    <n v="347588.39999999997"/>
    <n v="0"/>
    <n v="0"/>
    <n v="351956.05"/>
    <n v="347588.39999999997"/>
    <x v="10"/>
  </r>
  <r>
    <s v="1-01-01-02-022"/>
    <m/>
    <s v="BANK UNICEF-0081-004762-04-3"/>
    <s v="1-01-01-02-022BANK UNICEF-0081-004762-04-3"/>
    <x v="0"/>
    <x v="0"/>
    <x v="0"/>
    <s v="Cash With Banks In Current/Pls Accounts"/>
    <s v="UNICEF-2"/>
    <m/>
    <m/>
    <n v="0"/>
    <n v="0"/>
    <n v="0"/>
    <n v="0"/>
    <x v="1"/>
  </r>
  <r>
    <s v="1-01-01-02-022"/>
    <m/>
    <s v="BANK UNICEF-0081-004762-04-3"/>
    <s v="1-01-01-02-022BANK UNICEF-0081-004762-04-3"/>
    <x v="0"/>
    <x v="0"/>
    <x v="0"/>
    <s v="Cash With Banks In Current/Pls Accounts"/>
    <s v="UNICEF-3"/>
    <n v="351956.05"/>
    <n v="347588.39999999997"/>
    <n v="0"/>
    <n v="0"/>
    <n v="351956.05"/>
    <n v="347588.39999999997"/>
    <x v="10"/>
  </r>
  <r>
    <s v="1-01-01-02-023"/>
    <m/>
    <s v="BANK TROCAIRE-0081-004762-06-5"/>
    <s v="1-01-01-02-023BANK TROCAIRE-0081-004762-06-5"/>
    <x v="0"/>
    <x v="0"/>
    <x v="0"/>
    <s v="Cash With Banks In Current/Pls Accounts"/>
    <s v="Trocaire"/>
    <n v="100.6"/>
    <n v="79.099999999999994"/>
    <n v="0"/>
    <n v="0"/>
    <n v="100.6"/>
    <n v="79.099999999999994"/>
    <x v="11"/>
  </r>
  <r>
    <s v="1-01-01-02-023"/>
    <m/>
    <s v="BANK TROCAIRE-0081-004762-06-5"/>
    <s v="1-01-01-02-023BANK TROCAIRE-0081-004762-06-5"/>
    <x v="0"/>
    <x v="0"/>
    <x v="0"/>
    <s v="Cash With Banks In Current/Pls Accounts"/>
    <s v="PILER"/>
    <m/>
    <m/>
    <n v="0"/>
    <n v="0"/>
    <n v="0"/>
    <n v="0"/>
    <x v="1"/>
  </r>
  <r>
    <s v="1-01-01-02-023"/>
    <m/>
    <s v="BANK TROCAIRE-0081-004762-06-5"/>
    <s v="1-01-01-02-023BANK TROCAIRE-0081-004762-06-5"/>
    <x v="0"/>
    <x v="0"/>
    <x v="0"/>
    <s v="Cash With Banks In Current/Pls Accounts"/>
    <s v="FOSI"/>
    <m/>
    <m/>
    <n v="0"/>
    <n v="0"/>
    <n v="0"/>
    <n v="0"/>
    <x v="1"/>
  </r>
  <r>
    <s v="1-01-01-02-023"/>
    <m/>
    <s v="BANK TROCAIRE-0081-004762-06-5"/>
    <s v="1-01-01-02-023BANK TROCAIRE-0081-004762-06-5"/>
    <x v="0"/>
    <x v="0"/>
    <x v="0"/>
    <s v="Cash With Banks In Current/Pls Accounts"/>
    <s v="DAI"/>
    <m/>
    <m/>
    <n v="0"/>
    <n v="0"/>
    <n v="0"/>
    <n v="0"/>
    <x v="1"/>
  </r>
  <r>
    <s v="1-01-01-02-024"/>
    <m/>
    <s v="BANK TDH-0081-004762-05-4"/>
    <s v="1-01-01-02-024BANK TDH-0081-004762-05-4"/>
    <x v="0"/>
    <x v="0"/>
    <x v="0"/>
    <s v="Cash With Banks In Current/Pls Accounts"/>
    <s v="Deezire"/>
    <n v="100"/>
    <n v="1024795.76"/>
    <n v="0"/>
    <n v="0"/>
    <n v="100"/>
    <n v="1024795.76"/>
    <x v="12"/>
  </r>
  <r>
    <s v="1-01-01-02-024"/>
    <m/>
    <s v="BANK TDH-0081-004762-05-4"/>
    <s v="1-01-01-02-024BANK TDH-0081-004762-05-4"/>
    <x v="0"/>
    <x v="0"/>
    <x v="0"/>
    <s v="Cash With Banks In Current/Pls Accounts"/>
    <s v="PILER"/>
    <m/>
    <m/>
    <n v="0"/>
    <n v="0"/>
    <n v="0"/>
    <n v="0"/>
    <x v="1"/>
  </r>
  <r>
    <s v="1-01-01-02-024"/>
    <m/>
    <s v="BANK TDH-0081-004762-05-4"/>
    <s v="1-01-01-02-024BANK TDH-0081-004762-05-4"/>
    <x v="0"/>
    <x v="0"/>
    <x v="0"/>
    <s v="Cash With Banks In Current/Pls Accounts"/>
    <s v="TDH"/>
    <m/>
    <m/>
    <n v="0"/>
    <n v="0"/>
    <n v="0"/>
    <n v="0"/>
    <x v="1"/>
  </r>
  <r>
    <s v="1-01-01-02-024"/>
    <m/>
    <s v="BANK TDH-0081-004762-05-4"/>
    <s v="1-01-01-02-024BANK TDH-0081-004762-05-4"/>
    <x v="0"/>
    <x v="0"/>
    <x v="0"/>
    <s v="Cash With Banks In Current/Pls Accounts"/>
    <s v="FNV"/>
    <m/>
    <m/>
    <n v="0"/>
    <n v="0"/>
    <n v="0"/>
    <n v="0"/>
    <x v="1"/>
  </r>
  <r>
    <s v="1-01-01-02-025"/>
    <m/>
    <s v="BANK GRATUITY-0081-004762-09-8"/>
    <s v="1-01-01-02-025BANK GRATUITY-0081-004762-09-8"/>
    <x v="0"/>
    <x v="0"/>
    <x v="0"/>
    <s v="Cash With Banks In Current/Pls Accounts"/>
    <s v="PILER"/>
    <m/>
    <m/>
    <n v="0"/>
    <n v="0"/>
    <n v="0"/>
    <n v="0"/>
    <x v="1"/>
  </r>
  <r>
    <s v="1-01-01-02-025"/>
    <m/>
    <s v="BANK GRATUITY-0081-004762-09-8"/>
    <s v="1-01-01-02-025BANK GRATUITY-0081-004762-09-8"/>
    <x v="0"/>
    <x v="0"/>
    <x v="0"/>
    <s v="Cash With Banks In Current/Pls Accounts"/>
    <s v="SHORT"/>
    <m/>
    <m/>
    <n v="0"/>
    <n v="0"/>
    <n v="0"/>
    <n v="0"/>
    <x v="1"/>
  </r>
  <r>
    <s v="1-01-01-02-025"/>
    <m/>
    <s v="BANK GRATUITY-0081-004762-09-8"/>
    <s v="1-01-01-02-025BANK GRATUITY-0081-004762-09-8"/>
    <x v="0"/>
    <x v="0"/>
    <x v="0"/>
    <s v="Cash With Banks In Current/Pls Accounts"/>
    <s v="GRC"/>
    <n v="22826301.579999998"/>
    <n v="23721004.059999999"/>
    <n v="11052908.869999999"/>
    <n v="12216127.390000001"/>
    <n v="33879210.449999996"/>
    <n v="35937131.450000003"/>
    <x v="13"/>
  </r>
  <r>
    <s v="1-01-01-02-025"/>
    <m/>
    <s v="BANK GRATUITY-0081-004762-09-8"/>
    <s v="1-01-01-02-025BANK GRATUITY-0081-004762-09-8"/>
    <x v="0"/>
    <x v="0"/>
    <x v="0"/>
    <s v="Cash With Banks In Current/Pls Accounts"/>
    <s v="GRC Own"/>
    <m/>
    <m/>
    <n v="12465578.85"/>
    <n v="12795457.789999999"/>
    <n v="12465578.85"/>
    <n v="12795457.789999999"/>
    <x v="14"/>
  </r>
  <r>
    <s v="1-01-01-02-027"/>
    <m/>
    <s v="BANK DOLLAR-0112-004762-10-9"/>
    <s v="1-01-01-02-027BANK DOLLAR-0112-004762-10-9"/>
    <x v="0"/>
    <x v="0"/>
    <x v="0"/>
    <s v="Cash With Banks In Current/Pls Accounts"/>
    <s v="PILER"/>
    <n v="6261.86"/>
    <n v="0"/>
    <n v="0"/>
    <n v="0"/>
    <n v="6261.86"/>
    <n v="0"/>
    <x v="15"/>
  </r>
  <r>
    <s v="1-01-01-02-029"/>
    <m/>
    <s v="BANK ICCO PAK-0081-004762-08-7"/>
    <s v="1-01-01-02-029BANK ICCO PAK-0081-004762-08-7"/>
    <x v="0"/>
    <x v="0"/>
    <x v="0"/>
    <s v="Cash With Banks In Current/Pls Accounts"/>
    <s v="ICCO Pak"/>
    <n v="70646.14"/>
    <n v="79.099999999999994"/>
    <n v="0"/>
    <n v="0"/>
    <n v="70646.14"/>
    <n v="79.099999999999994"/>
    <x v="16"/>
  </r>
  <r>
    <s v="1-01-01-02-029"/>
    <m/>
    <s v="BANK ICCO PAK-0081-004762-08-7"/>
    <s v="1-01-01-02-029BANK ICCO PAK-0081-004762-08-7"/>
    <x v="0"/>
    <x v="0"/>
    <x v="0"/>
    <s v="Cash With Banks In Current/Pls Accounts"/>
    <s v="Open Socie"/>
    <m/>
    <m/>
    <n v="0"/>
    <n v="0"/>
    <n v="0"/>
    <n v="0"/>
    <x v="1"/>
  </r>
  <r>
    <s v="1-01-01-02-030"/>
    <m/>
    <s v="BANK TDH PAK-0081-004762-03-2"/>
    <s v="1-01-01-02-030BANK TDH PAK-0081-004762-03-2"/>
    <x v="0"/>
    <x v="0"/>
    <x v="0"/>
    <s v="Cash With Banks In Current/Pls Accounts"/>
    <s v="TDH Pak"/>
    <n v="260.10000000000002"/>
    <n v="0"/>
    <n v="0"/>
    <n v="0"/>
    <n v="260.10000000000002"/>
    <n v="0"/>
    <x v="17"/>
  </r>
  <r>
    <s v="1-01-01-02-030"/>
    <m/>
    <s v="BANK TDH PAK-0081-004762-03-2"/>
    <s v="1-01-01-02-030BANK TDH PAK-0081-004762-03-2"/>
    <x v="0"/>
    <x v="0"/>
    <x v="0"/>
    <s v="Cash With Banks In Current/Pls Accounts"/>
    <s v="RRCCHR"/>
    <m/>
    <n v="0"/>
    <n v="0"/>
    <n v="0"/>
    <n v="0"/>
    <n v="0"/>
    <x v="1"/>
  </r>
  <r>
    <s v="1-01-01-02-031"/>
    <m/>
    <s v="BANK SMALL PR-0081-004762-07-6"/>
    <s v="1-01-01-02-031BANK SMALL PR-0081-004762-07-6"/>
    <x v="0"/>
    <x v="0"/>
    <x v="0"/>
    <s v="Cash With Banks In Current/Pls Accounts"/>
    <s v="PILER"/>
    <n v="13399790.25"/>
    <n v="13189765.82"/>
    <n v="0"/>
    <n v="0"/>
    <n v="13399790.25"/>
    <n v="13189765.82"/>
    <x v="18"/>
  </r>
  <r>
    <s v="1-01-01-02-031"/>
    <m/>
    <s v="BANK SMALL PR-0081-004762-07-6"/>
    <s v="1-01-01-02-031BANK SMALL PR-0081-004762-07-6"/>
    <x v="0"/>
    <x v="0"/>
    <x v="0"/>
    <s v="Cash With Banks In Current/Pls Accounts"/>
    <s v="SHORT"/>
    <m/>
    <m/>
    <n v="0"/>
    <n v="0"/>
    <n v="0"/>
    <n v="0"/>
    <x v="1"/>
  </r>
  <r>
    <s v="1-01-01-02-031"/>
    <m/>
    <s v="BANK SMALL PR-0081-004762-07-6"/>
    <s v="1-01-01-02-031BANK SMALL PR-0081-004762-07-6"/>
    <x v="0"/>
    <x v="0"/>
    <x v="1"/>
    <s v="Cash With Banks In Current/Pls Accounts"/>
    <s v="DAI"/>
    <m/>
    <m/>
    <n v="0"/>
    <n v="0"/>
    <n v="0"/>
    <n v="0"/>
    <x v="1"/>
  </r>
  <r>
    <s v="1-01-02-01-002"/>
    <m/>
    <s v="RECEIVABLE FROM TROCAIRE-MLRRS"/>
    <s v="-"/>
    <x v="1"/>
    <x v="1"/>
    <x v="2"/>
    <s v="Inter Project Balances"/>
    <s v="PILER"/>
    <n v="0"/>
    <n v="14070"/>
    <n v="0"/>
    <n v="0"/>
    <n v="0"/>
    <n v="14070"/>
    <x v="19"/>
  </r>
  <r>
    <s v="1-01-02-01-005"/>
    <m/>
    <s v="R/A-TDH-MI REBUILDING LIVE PRO"/>
    <s v="-"/>
    <x v="1"/>
    <x v="1"/>
    <x v="2"/>
    <s v="Inter Project Balances"/>
    <s v="Deezire"/>
    <n v="7638"/>
    <n v="0"/>
    <n v="0"/>
    <n v="0"/>
    <n v="7638"/>
    <n v="0"/>
    <x v="20"/>
  </r>
  <r>
    <s v="1-01-02-01-005"/>
    <m/>
    <s v="R/A-TDH-MI REBUILDING LIVE PRO"/>
    <s v="-"/>
    <x v="1"/>
    <x v="1"/>
    <x v="2"/>
    <s v="Inter Project Balances"/>
    <s v="PILER"/>
    <m/>
    <n v="0"/>
    <n v="0"/>
    <n v="0"/>
    <n v="0"/>
    <n v="0"/>
    <x v="1"/>
  </r>
  <r>
    <s v="1-01-02-01-007"/>
    <m/>
    <s v="RECEIVABLE FROM ICCO PROJ-THSW"/>
    <s v="-"/>
    <x v="1"/>
    <x v="1"/>
    <x v="2"/>
    <s v="Inter Project Balances"/>
    <s v="PILER"/>
    <n v="398399"/>
    <n v="0"/>
    <n v="0"/>
    <n v="0"/>
    <n v="398399"/>
    <n v="0"/>
    <x v="21"/>
  </r>
  <r>
    <s v="1-01-02-01-010"/>
    <m/>
    <s v="RECEIVABLE FROM TAF"/>
    <s v="-"/>
    <x v="1"/>
    <x v="1"/>
    <x v="2"/>
    <s v="Inter Project Balances"/>
    <s v="Trocaire"/>
    <n v="95515"/>
    <n v="0"/>
    <n v="0"/>
    <n v="0"/>
    <n v="95515"/>
    <n v="0"/>
    <x v="22"/>
  </r>
  <r>
    <s v="1-01-02-01-010"/>
    <m/>
    <s v="RECEIVABLE FROM TAF"/>
    <s v="-"/>
    <x v="1"/>
    <x v="1"/>
    <x v="2"/>
    <s v="Inter Project Balances"/>
    <s v="PILER"/>
    <m/>
    <n v="0"/>
    <n v="0"/>
    <n v="0"/>
    <n v="0"/>
    <n v="0"/>
    <x v="1"/>
  </r>
  <r>
    <s v="1-01-02-01-015"/>
    <m/>
    <s v="RECEIVABLE FROM IUF-QAMARULL"/>
    <s v="1-01-02-01-015RECEIVABLE FROM IUF-QAMARULL"/>
    <x v="0"/>
    <x v="0"/>
    <x v="1"/>
    <s v="Other Receivables"/>
    <s v="PILER"/>
    <n v="8160"/>
    <n v="0"/>
    <n v="0"/>
    <n v="0"/>
    <n v="8160"/>
    <n v="0"/>
    <x v="23"/>
  </r>
  <r>
    <s v="1-01-02-01-016"/>
    <m/>
    <s v="Rec / Pay with Sindh Human RC"/>
    <s v="1-01-02-01-016Rec / Pay with Sindh Human RC"/>
    <x v="0"/>
    <x v="0"/>
    <x v="1"/>
    <s v="Other Receivables"/>
    <s v="SHORT"/>
    <n v="0"/>
    <n v="8065"/>
    <n v="0"/>
    <n v="0"/>
    <n v="0"/>
    <n v="8065"/>
    <x v="24"/>
  </r>
  <r>
    <s v="1-01-02-01-017"/>
    <m/>
    <s v="Rec / pay with civic charter"/>
    <s v="-"/>
    <x v="1"/>
    <x v="1"/>
    <x v="2"/>
    <s v="Inter Project Balances"/>
    <s v="PILER"/>
    <n v="11000"/>
    <n v="0"/>
    <n v="0"/>
    <n v="0"/>
    <n v="11000"/>
    <n v="0"/>
    <x v="25"/>
  </r>
  <r>
    <s v="1-01-02-02-001"/>
    <m/>
    <s v="R/A-PAKISTAN LABOUR TRUST(PLT)"/>
    <s v="1-01-02-02-001R/A-PAKISTAN LABOUR TRUST(PLT)"/>
    <x v="0"/>
    <x v="0"/>
    <x v="1"/>
    <s v="Pakistan Labour Trust"/>
    <s v="Deezire"/>
    <n v="4846426"/>
    <n v="10746897"/>
    <n v="0"/>
    <n v="0"/>
    <n v="4846426"/>
    <n v="10746897"/>
    <x v="26"/>
  </r>
  <r>
    <s v="1-01-02-02-001"/>
    <m/>
    <s v="R/A-PAKISTAN LABOUR TRUST(PLT)"/>
    <s v="1-01-02-02-001R/A-PAKISTAN LABOUR TRUST(PLT)"/>
    <x v="0"/>
    <x v="0"/>
    <x v="1"/>
    <s v="Pakistan Labour Trust"/>
    <s v="PILER"/>
    <m/>
    <m/>
    <n v="0"/>
    <n v="0"/>
    <n v="0"/>
    <n v="0"/>
    <x v="1"/>
  </r>
  <r>
    <s v="1-01-02-02-001"/>
    <m/>
    <s v="R/A-PAKISTAN LABOUR TRUST(PLT)"/>
    <s v="1-01-02-02-001R/A-PAKISTAN LABOUR TRUST(PLT)"/>
    <x v="0"/>
    <x v="0"/>
    <x v="1"/>
    <s v="Pakistan Labour Trust"/>
    <s v="ICCO"/>
    <m/>
    <m/>
    <n v="0"/>
    <n v="0"/>
    <n v="0"/>
    <n v="0"/>
    <x v="1"/>
  </r>
  <r>
    <s v="1-01-02-02-001"/>
    <m/>
    <s v="R/A-PAKISTAN LABOUR TRUST(PLT)"/>
    <s v="1-01-02-02-001R/A-PAKISTAN LABOUR TRUST(PLT)"/>
    <x v="0"/>
    <x v="0"/>
    <x v="1"/>
    <s v="Pakistan Labour Trust"/>
    <s v="TDH &amp; MI"/>
    <m/>
    <m/>
    <n v="0"/>
    <n v="0"/>
    <n v="0"/>
    <n v="0"/>
    <x v="1"/>
  </r>
  <r>
    <s v="1-01-02-02-001"/>
    <m/>
    <s v="R/A-PAKISTAN LABOUR TRUST(PLT)"/>
    <s v="1-01-02-02-001R/A-PAKISTAN LABOUR TRUST(PLT)"/>
    <x v="0"/>
    <x v="0"/>
    <x v="1"/>
    <s v="Pakistan Labour Trust"/>
    <s v="SHORT"/>
    <m/>
    <m/>
    <n v="0"/>
    <n v="0"/>
    <n v="0"/>
    <n v="0"/>
    <x v="1"/>
  </r>
  <r>
    <s v="1-01-02-02-001"/>
    <m/>
    <s v="R/A-PAKISTAN LABOUR TRUST(PLT)"/>
    <s v="1-01-02-02-001R/A-PAKISTAN LABOUR TRUST(PLT)"/>
    <x v="0"/>
    <x v="0"/>
    <x v="1"/>
    <s v="Pakistan Labour Trust"/>
    <s v="Open Socie"/>
    <m/>
    <m/>
    <n v="0"/>
    <n v="0"/>
    <n v="0"/>
    <n v="0"/>
    <x v="1"/>
  </r>
  <r>
    <s v="1-01-02-02-002"/>
    <m/>
    <s v="W.H. TAX DEDUCTION"/>
    <s v="1-01-02-02-002W.H. TAX DEDUCTION"/>
    <x v="0"/>
    <x v="0"/>
    <x v="1"/>
    <s v="Other Receivables"/>
    <s v="Deezire"/>
    <n v="12147.56"/>
    <n v="0"/>
    <n v="0"/>
    <n v="0"/>
    <n v="12147.56"/>
    <n v="0"/>
    <x v="27"/>
  </r>
  <r>
    <s v="1-01-02-02-002"/>
    <m/>
    <s v="W.H. TAX DEDUCTION"/>
    <s v="1-01-02-02-002W.H. TAX DEDUCTION"/>
    <x v="0"/>
    <x v="0"/>
    <x v="1"/>
    <s v="Other Receivables"/>
    <s v="PILER"/>
    <m/>
    <n v="0"/>
    <n v="0"/>
    <n v="0"/>
    <n v="0"/>
    <n v="0"/>
    <x v="1"/>
  </r>
  <r>
    <s v="1-01-02-02-002"/>
    <m/>
    <s v="W.H. TAX DEDUCTION"/>
    <s v="1-01-02-02-002W.H. TAX DEDUCTION"/>
    <x v="0"/>
    <x v="0"/>
    <x v="1"/>
    <s v="Other Receivables"/>
    <s v="TDH &amp; MI"/>
    <m/>
    <n v="0"/>
    <n v="0"/>
    <n v="0"/>
    <n v="0"/>
    <n v="0"/>
    <x v="1"/>
  </r>
  <r>
    <s v="1-01-02-02-002"/>
    <m/>
    <s v="W.H. TAX DEDUCTION"/>
    <s v="1-01-02-02-002W.H. TAX DEDUCTION"/>
    <x v="0"/>
    <x v="0"/>
    <x v="1"/>
    <s v="Other Receivables"/>
    <s v="SHORT"/>
    <m/>
    <n v="0"/>
    <n v="0"/>
    <n v="0"/>
    <n v="0"/>
    <n v="0"/>
    <x v="1"/>
  </r>
  <r>
    <s v="1-01-02-02-002"/>
    <m/>
    <s v="W.H. TAX DEDUCTION"/>
    <s v="1-01-02-02-002W.H. TAX DEDUCTION"/>
    <x v="0"/>
    <x v="0"/>
    <x v="1"/>
    <s v="Other Receivables"/>
    <s v="UNICEF-3"/>
    <m/>
    <n v="0"/>
    <n v="0"/>
    <n v="0"/>
    <n v="0"/>
    <n v="0"/>
    <x v="1"/>
  </r>
  <r>
    <s v="1-01-02-02-002"/>
    <m/>
    <s v="W.H. TAX DEDUCTION"/>
    <s v="1-01-02-02-002W.H. TAX DEDUCTION"/>
    <x v="0"/>
    <x v="0"/>
    <x v="1"/>
    <s v="Other Receivables"/>
    <s v="RRCCHR"/>
    <m/>
    <n v="0"/>
    <n v="0"/>
    <n v="0"/>
    <n v="0"/>
    <n v="0"/>
    <x v="1"/>
  </r>
  <r>
    <s v="1-01-02-02-002"/>
    <m/>
    <s v="W.H. TAX DEDUCTION"/>
    <s v="1-01-02-02-002W.H. TAX DEDUCTION"/>
    <x v="0"/>
    <x v="0"/>
    <x v="1"/>
    <s v="Other Receivables"/>
    <s v="Open Socie"/>
    <m/>
    <n v="0"/>
    <n v="0"/>
    <n v="0"/>
    <n v="0"/>
    <n v="0"/>
    <x v="1"/>
  </r>
  <r>
    <s v="1-01-02-02-002"/>
    <m/>
    <s v="W.H. TAX DEDUCTION"/>
    <s v="1-01-02-02-002W.H. TAX DEDUCTION"/>
    <x v="0"/>
    <x v="0"/>
    <x v="1"/>
    <s v="Other Receivables"/>
    <s v="ETI"/>
    <m/>
    <n v="0"/>
    <n v="0"/>
    <n v="0"/>
    <n v="0"/>
    <n v="0"/>
    <x v="1"/>
  </r>
  <r>
    <s v="1-01-02-02-002"/>
    <m/>
    <s v="W.H. TAX DEDUCTION"/>
    <s v="1-01-02-02-002W.H. TAX DEDUCTION"/>
    <x v="0"/>
    <x v="0"/>
    <x v="1"/>
    <s v="Other Receivables"/>
    <s v="FOSI"/>
    <m/>
    <n v="0"/>
    <n v="0"/>
    <n v="0"/>
    <n v="0"/>
    <n v="0"/>
    <x v="1"/>
  </r>
  <r>
    <s v="1-01-02-02-002"/>
    <m/>
    <s v="W.H. TAX DEDUCTION"/>
    <s v="1-01-02-02-002W.H. TAX DEDUCTION"/>
    <x v="0"/>
    <x v="0"/>
    <x v="1"/>
    <s v="Other Receivables"/>
    <s v="FNV"/>
    <m/>
    <n v="0"/>
    <n v="0"/>
    <n v="0"/>
    <n v="0"/>
    <n v="0"/>
    <x v="1"/>
  </r>
  <r>
    <s v="1-01-02-02-002"/>
    <m/>
    <s v="W.H. TAX DEDUCTION"/>
    <s v="1-01-02-02-002W.H. TAX DEDUCTION"/>
    <x v="0"/>
    <x v="0"/>
    <x v="1"/>
    <s v="Other Receivables"/>
    <s v="DAI"/>
    <m/>
    <n v="0"/>
    <n v="0"/>
    <n v="0"/>
    <n v="0"/>
    <n v="0"/>
    <x v="1"/>
  </r>
  <r>
    <s v="1-01-02-02-004"/>
    <m/>
    <s v="SECURITY DEPOPSIT"/>
    <s v="1-01-02-02-004SECURITY DEPOPSIT"/>
    <x v="0"/>
    <x v="0"/>
    <x v="1"/>
    <s v="Other Receivables"/>
    <s v="PILER"/>
    <n v="319700"/>
    <n v="200000"/>
    <n v="0"/>
    <n v="0"/>
    <n v="319700"/>
    <n v="200000"/>
    <x v="28"/>
  </r>
  <r>
    <s v="1-01-02-02-005"/>
    <m/>
    <s v="OTHERS RECEIVABLE"/>
    <s v="1-01-02-02-005OTHERS RECEIVABLE"/>
    <x v="0"/>
    <x v="0"/>
    <x v="1"/>
    <s v="Other Receivables"/>
    <s v="PILER"/>
    <n v="2810000"/>
    <n v="2750000"/>
    <n v="0"/>
    <n v="0"/>
    <n v="2810000"/>
    <n v="2750000"/>
    <x v="29"/>
  </r>
  <r>
    <s v="1-01-02-02-005"/>
    <m/>
    <s v="OTHERS RECEIVABLE"/>
    <s v="1-01-02-02-005OTHERS RECEIVABLE"/>
    <x v="0"/>
    <x v="0"/>
    <x v="1"/>
    <s v="Other Receivables"/>
    <s v="SHORT"/>
    <m/>
    <m/>
    <n v="0"/>
    <n v="0"/>
    <n v="0"/>
    <n v="0"/>
    <x v="1"/>
  </r>
  <r>
    <s v="1-01-02-02-005"/>
    <m/>
    <s v="OTHERS RECEIVABLE"/>
    <s v="1-01-02-02-005OTHERS RECEIVABLE"/>
    <x v="0"/>
    <x v="0"/>
    <x v="1"/>
    <s v="Other Receivables"/>
    <s v="UNICEF-2"/>
    <m/>
    <m/>
    <n v="0"/>
    <n v="0"/>
    <n v="0"/>
    <n v="0"/>
    <x v="1"/>
  </r>
  <r>
    <s v="1-01-02-02-005"/>
    <m/>
    <s v="OTHERS RECEIVABLE"/>
    <s v="1-01-02-02-005OTHERS RECEIVABLE"/>
    <x v="0"/>
    <x v="0"/>
    <x v="1"/>
    <s v="Other Receivables"/>
    <s v="Open Socie"/>
    <m/>
    <m/>
    <n v="0"/>
    <n v="0"/>
    <n v="0"/>
    <n v="0"/>
    <x v="1"/>
  </r>
  <r>
    <s v="1-01-02-02-006"/>
    <m/>
    <s v="RECEIVABLE FROM PILER OWN"/>
    <s v="-"/>
    <x v="1"/>
    <x v="1"/>
    <x v="2"/>
    <s v="Inter Project Balances"/>
    <s v="Trocaire"/>
    <n v="3591736"/>
    <n v="0"/>
    <n v="0"/>
    <n v="0"/>
    <n v="3591736"/>
    <n v="0"/>
    <x v="30"/>
  </r>
  <r>
    <s v="1-01-02-02-006"/>
    <m/>
    <s v="RECEIVABLE FROM PILER OWN"/>
    <s v="-"/>
    <x v="1"/>
    <x v="1"/>
    <x v="2"/>
    <s v="Inter Project Balances"/>
    <s v="Deezire"/>
    <m/>
    <n v="0"/>
    <n v="0"/>
    <n v="0"/>
    <n v="0"/>
    <n v="0"/>
    <x v="1"/>
  </r>
  <r>
    <s v="1-01-02-02-006"/>
    <m/>
    <s v="RECEIVABLE FROM PILER OWN"/>
    <s v="-"/>
    <x v="1"/>
    <x v="1"/>
    <x v="2"/>
    <s v="Inter Project Balances"/>
    <s v="PILER"/>
    <m/>
    <n v="0"/>
    <n v="0"/>
    <n v="0"/>
    <n v="0"/>
    <n v="0"/>
    <x v="1"/>
  </r>
  <r>
    <s v="1-01-02-02-006"/>
    <m/>
    <s v="RECEIVABLE FROM PILER OWN"/>
    <s v="-"/>
    <x v="1"/>
    <x v="1"/>
    <x v="2"/>
    <s v="Inter Project Balances"/>
    <s v="SHORT"/>
    <m/>
    <n v="0"/>
    <n v="0"/>
    <n v="0"/>
    <n v="0"/>
    <n v="0"/>
    <x v="1"/>
  </r>
  <r>
    <s v="1-01-02-02-006"/>
    <m/>
    <s v="RECEIVABLE FROM PILER OWN"/>
    <s v="-"/>
    <x v="1"/>
    <x v="1"/>
    <x v="2"/>
    <s v="Inter Project Balances"/>
    <s v="UNICEF-3"/>
    <m/>
    <n v="0"/>
    <n v="0"/>
    <n v="0"/>
    <n v="0"/>
    <n v="0"/>
    <x v="1"/>
  </r>
  <r>
    <s v="1-01-02-02-006"/>
    <m/>
    <s v="RECEIVABLE FROM PILER OWN"/>
    <s v="-"/>
    <x v="1"/>
    <x v="1"/>
    <x v="2"/>
    <s v="Inter Project Balances"/>
    <s v="Open Socie"/>
    <m/>
    <n v="0"/>
    <n v="0"/>
    <n v="0"/>
    <n v="0"/>
    <n v="0"/>
    <x v="1"/>
  </r>
  <r>
    <s v="1-01-02-02-006"/>
    <m/>
    <s v="RECEIVABLE FROM PILER OWN"/>
    <s v="-"/>
    <x v="1"/>
    <x v="1"/>
    <x v="2"/>
    <s v="Inter Project Balances"/>
    <s v="ETI"/>
    <m/>
    <n v="0"/>
    <n v="0"/>
    <n v="0"/>
    <n v="0"/>
    <n v="0"/>
    <x v="1"/>
  </r>
  <r>
    <s v="1-01-02-02-006"/>
    <m/>
    <s v="RECEIVABLE FROM PILER OWN"/>
    <s v="-"/>
    <x v="1"/>
    <x v="1"/>
    <x v="2"/>
    <s v="Inter Project Balances"/>
    <s v="FNV"/>
    <m/>
    <n v="0"/>
    <n v="0"/>
    <n v="0"/>
    <n v="0"/>
    <n v="0"/>
    <x v="1"/>
  </r>
  <r>
    <s v="1-01-02-02-006"/>
    <m/>
    <s v="RECEIVABLE FROM PILER OWN"/>
    <s v="-"/>
    <x v="1"/>
    <x v="1"/>
    <x v="2"/>
    <s v="Inter Project Balances"/>
    <s v="DAI"/>
    <m/>
    <n v="0"/>
    <n v="0"/>
    <n v="0"/>
    <n v="0"/>
    <n v="0"/>
    <x v="1"/>
  </r>
  <r>
    <s v="1-01-02-02-006"/>
    <m/>
    <s v="RECEIVABLE FROM PILER OWN"/>
    <s v="-"/>
    <x v="1"/>
    <x v="1"/>
    <x v="2"/>
    <s v="Inter Project Balances"/>
    <s v="GRC"/>
    <m/>
    <n v="0"/>
    <n v="500000"/>
    <n v="500000"/>
    <n v="500000"/>
    <n v="500000"/>
    <x v="1"/>
  </r>
  <r>
    <s v="1-01-02-02-006"/>
    <m/>
    <s v="RECEIVABLE FROM PILER OWN"/>
    <s v="-"/>
    <x v="1"/>
    <x v="1"/>
    <x v="2"/>
    <s v="Inter Project Balances"/>
    <s v="GRC Own"/>
    <m/>
    <n v="0"/>
    <n v="10000"/>
    <n v="0"/>
    <n v="10000"/>
    <n v="0"/>
    <x v="31"/>
  </r>
  <r>
    <s v="1-01-02-02-008"/>
    <m/>
    <s v="RECEIVABLE FROM TDH-MI"/>
    <s v="-"/>
    <x v="1"/>
    <x v="1"/>
    <x v="2"/>
    <s v="Inter Project Balances"/>
    <s v="PILER"/>
    <n v="16440"/>
    <n v="0"/>
    <n v="0"/>
    <n v="0"/>
    <n v="16440"/>
    <n v="0"/>
    <x v="32"/>
  </r>
  <r>
    <s v="1-01-02-02-008"/>
    <m/>
    <s v="RECEIVABLE FROM TDH-MI"/>
    <s v="-"/>
    <x v="1"/>
    <x v="1"/>
    <x v="2"/>
    <s v="Inter Project Balances"/>
    <s v="TDH"/>
    <m/>
    <n v="0"/>
    <n v="0"/>
    <n v="0"/>
    <n v="0"/>
    <n v="0"/>
    <x v="1"/>
  </r>
  <r>
    <s v="1-01-02-02-009"/>
    <m/>
    <s v="RECEIVABLE FROM UNICEF"/>
    <s v="-"/>
    <x v="1"/>
    <x v="1"/>
    <x v="2"/>
    <s v="Inter Project Balances"/>
    <s v="PILER"/>
    <n v="3268048"/>
    <n v="0"/>
    <n v="0"/>
    <n v="0"/>
    <n v="3268048"/>
    <n v="0"/>
    <x v="33"/>
  </r>
  <r>
    <s v="1-01-02-02-009"/>
    <m/>
    <s v="RECEIVABLE FROM UNICEF"/>
    <s v="-"/>
    <x v="1"/>
    <x v="1"/>
    <x v="2"/>
    <s v="Inter Project Balances"/>
    <s v="SHORT"/>
    <m/>
    <n v="0"/>
    <n v="0"/>
    <n v="0"/>
    <n v="0"/>
    <n v="0"/>
    <x v="1"/>
  </r>
  <r>
    <s v="1-01-02-02-012"/>
    <m/>
    <s v="RECEIVABLE FROM DEZAIRE"/>
    <s v="-"/>
    <x v="1"/>
    <x v="1"/>
    <x v="2"/>
    <s v="Inter Project Balances"/>
    <s v="PILER"/>
    <n v="693696"/>
    <n v="0"/>
    <n v="0"/>
    <n v="0"/>
    <n v="693696"/>
    <n v="0"/>
    <x v="34"/>
  </r>
  <r>
    <s v="1-01-02-02-012"/>
    <m/>
    <s v="RECEIVABLE FROM DEZAIRE"/>
    <s v="-"/>
    <x v="1"/>
    <x v="1"/>
    <x v="2"/>
    <s v="Inter Project Balances"/>
    <s v="SHORT"/>
    <m/>
    <n v="0"/>
    <n v="0"/>
    <n v="0"/>
    <n v="0"/>
    <n v="0"/>
    <x v="1"/>
  </r>
  <r>
    <s v="1-01-02-02-012"/>
    <m/>
    <s v="RECEIVABLE FROM DEZAIRE"/>
    <s v="-"/>
    <x v="1"/>
    <x v="1"/>
    <x v="2"/>
    <s v="Inter Project Balances"/>
    <s v="UNICEF-3"/>
    <m/>
    <n v="0"/>
    <n v="0"/>
    <n v="0"/>
    <n v="0"/>
    <n v="0"/>
    <x v="1"/>
  </r>
  <r>
    <s v="1-01-02-02-013"/>
    <m/>
    <s v="RECEIVABLE FROM RIDA ALI"/>
    <s v="1-01-02-02-013RECEIVABLE FROM RIDA ALI"/>
    <x v="0"/>
    <x v="0"/>
    <x v="1"/>
    <s v="Other Receivables"/>
    <s v="PILER"/>
    <n v="1400"/>
    <n v="0"/>
    <n v="0"/>
    <n v="0"/>
    <n v="1400"/>
    <n v="0"/>
    <x v="35"/>
  </r>
  <r>
    <s v="1-01-02-02-016"/>
    <m/>
    <s v="RECEIVABLE FROM IDRC"/>
    <s v="-"/>
    <x v="1"/>
    <x v="1"/>
    <x v="2"/>
    <s v="Inter Project Balances"/>
    <s v="PILER"/>
    <n v="367608"/>
    <n v="0"/>
    <n v="0"/>
    <n v="0"/>
    <n v="367608"/>
    <n v="0"/>
    <x v="36"/>
  </r>
  <r>
    <s v="1-01-02-02-017"/>
    <m/>
    <s v="REC / PAY WITH TDH"/>
    <s v="-"/>
    <x v="1"/>
    <x v="1"/>
    <x v="2"/>
    <s v="Inter Project Balances"/>
    <s v="PILER"/>
    <n v="233849"/>
    <n v="0"/>
    <n v="0"/>
    <n v="0"/>
    <n v="233849"/>
    <n v="0"/>
    <x v="37"/>
  </r>
  <r>
    <s v="1-01-02-02-017"/>
    <m/>
    <s v="REC / PAY WITH TDH"/>
    <s v="-"/>
    <x v="1"/>
    <x v="1"/>
    <x v="2"/>
    <s v="Inter Project Balances"/>
    <s v="TDH &amp; MI"/>
    <m/>
    <n v="0"/>
    <n v="0"/>
    <n v="0"/>
    <n v="0"/>
    <n v="0"/>
    <x v="1"/>
  </r>
  <r>
    <s v="1-01-02-02-017"/>
    <m/>
    <s v="REC / PAY WITH TDH"/>
    <s v="-"/>
    <x v="1"/>
    <x v="1"/>
    <x v="2"/>
    <s v="Inter Project Balances"/>
    <s v="SHORT"/>
    <m/>
    <n v="0"/>
    <n v="0"/>
    <n v="0"/>
    <n v="0"/>
    <n v="0"/>
    <x v="1"/>
  </r>
  <r>
    <s v="1-01-02-02-019"/>
    <m/>
    <s v="RECEIVABLE FROM SOLIDARITY CEN"/>
    <s v="1-01-02-02-019RECEIVABLE FROM SOLIDARITY CEN"/>
    <x v="0"/>
    <x v="0"/>
    <x v="1"/>
    <s v="Other Receivables"/>
    <s v="PILER"/>
    <n v="66466"/>
    <n v="0"/>
    <n v="0"/>
    <n v="0"/>
    <n v="66466"/>
    <n v="0"/>
    <x v="38"/>
  </r>
  <r>
    <s v="1-01-02-02-023"/>
    <m/>
    <s v="RECEIVABLE FROM ZULFIQAR SHAH"/>
    <s v="1-01-02-02-023RECEIVABLE FROM ZULFIQAR SHAH"/>
    <x v="0"/>
    <x v="0"/>
    <x v="1"/>
    <s v="Other Receivables"/>
    <s v="PILER"/>
    <n v="372335"/>
    <n v="340773"/>
    <n v="0"/>
    <n v="0"/>
    <n v="372335"/>
    <n v="340773"/>
    <x v="39"/>
  </r>
  <r>
    <s v="1-01-02-02-024"/>
    <m/>
    <s v="RECEIVABLE FROM ZEENIA SHOUKAT"/>
    <s v="1-01-02-02-024RECEIVABLE FROM ZEENIA SHOUKAT"/>
    <x v="0"/>
    <x v="0"/>
    <x v="1"/>
    <s v="Other Receivables"/>
    <s v="ETI"/>
    <n v="17670"/>
    <n v="0"/>
    <n v="0"/>
    <n v="0"/>
    <n v="17670"/>
    <n v="0"/>
    <x v="40"/>
  </r>
  <r>
    <s v="1-01-02-02-029"/>
    <m/>
    <s v="RECEIVABLE FROM FARHAT FATIMA"/>
    <s v="1-01-02-02-029RECEIVABLE FROM FARHAT FATIMA"/>
    <x v="0"/>
    <x v="0"/>
    <x v="1"/>
    <s v="Other Receivables"/>
    <s v="PILER"/>
    <n v="95"/>
    <n v="0"/>
    <n v="0"/>
    <n v="0"/>
    <n v="95"/>
    <n v="0"/>
    <x v="41"/>
  </r>
  <r>
    <s v="1-01-02-02-029"/>
    <m/>
    <s v="RECEIVABLE FROM FARHAT FATIMA"/>
    <s v="1-01-02-02-029RECEIVABLE FROM FARHAT FATIMA"/>
    <x v="0"/>
    <x v="0"/>
    <x v="1"/>
    <s v="Other Receivables"/>
    <s v="UNICEF-2"/>
    <m/>
    <n v="0"/>
    <n v="0"/>
    <n v="0"/>
    <n v="0"/>
    <n v="0"/>
    <x v="1"/>
  </r>
  <r>
    <s v="1-01-02-02-032"/>
    <m/>
    <s v="REC / PAY WITH KYI"/>
    <s v="-"/>
    <x v="1"/>
    <x v="1"/>
    <x v="2"/>
    <s v="Inter Project Balances"/>
    <s v="PILER"/>
    <n v="0"/>
    <n v="849896"/>
    <n v="0"/>
    <n v="0"/>
    <n v="0"/>
    <n v="849896"/>
    <x v="42"/>
  </r>
  <r>
    <s v="1-01-02-02-035"/>
    <m/>
    <s v="REC / PAY WITH KIOS"/>
    <s v="-"/>
    <x v="1"/>
    <x v="1"/>
    <x v="2"/>
    <s v="Inter Project Balances"/>
    <s v="PILER"/>
    <n v="0"/>
    <n v="186921"/>
    <n v="0"/>
    <n v="0"/>
    <n v="0"/>
    <n v="186921"/>
    <x v="43"/>
  </r>
  <r>
    <s v="1-01-02-02-036"/>
    <m/>
    <s v="RECEIVABLE FROM NOBAHAR"/>
    <s v="1-01-02-02-036RECEIVABLE FROM NOBAHAR"/>
    <x v="0"/>
    <x v="0"/>
    <x v="1"/>
    <s v="Other Receivables"/>
    <s v="Trocaire"/>
    <n v="50"/>
    <n v="0"/>
    <n v="0"/>
    <n v="0"/>
    <n v="50"/>
    <n v="0"/>
    <x v="44"/>
  </r>
  <r>
    <s v="1-01-02-02-038"/>
    <m/>
    <s v="RECEIVABLE FROM SHUJAUDDIN"/>
    <s v="1-01-02-02-038RECEIVABLE FROM SHUJAUDDIN"/>
    <x v="0"/>
    <x v="0"/>
    <x v="1"/>
    <s v="Other Receivables"/>
    <s v="Trocaire"/>
    <m/>
    <n v="0"/>
    <n v="0"/>
    <n v="0"/>
    <n v="0"/>
    <n v="0"/>
    <x v="1"/>
  </r>
  <r>
    <s v="1-01-02-02-038"/>
    <m/>
    <s v="RECEIVABLE FROM SHUJAUDDIN"/>
    <s v="1-01-02-02-038RECEIVABLE FROM SHUJAUDDIN"/>
    <x v="0"/>
    <x v="0"/>
    <x v="1"/>
    <s v="Other Receivables"/>
    <s v="PILER"/>
    <m/>
    <n v="0"/>
    <n v="0"/>
    <n v="0"/>
    <n v="0"/>
    <n v="0"/>
    <x v="1"/>
  </r>
  <r>
    <s v="1-01-02-02-039"/>
    <m/>
    <s v="REC / PAY AMRC"/>
    <s v="-"/>
    <x v="1"/>
    <x v="1"/>
    <x v="2"/>
    <s v="Inter Project Balances"/>
    <s v="TDH"/>
    <n v="918"/>
    <n v="0"/>
    <n v="0"/>
    <n v="0"/>
    <n v="918"/>
    <n v="0"/>
    <x v="45"/>
  </r>
  <r>
    <s v="1-01-02-02-040"/>
    <m/>
    <s v="RECEIVABLE FROM KARAMAT ALI"/>
    <s v="1-01-02-02-040RECEIVABLE FROM KARAMAT ALI"/>
    <x v="0"/>
    <x v="0"/>
    <x v="1"/>
    <s v="Other Receivables"/>
    <s v="Deezire"/>
    <n v="11780"/>
    <n v="0"/>
    <n v="0"/>
    <n v="0"/>
    <n v="11780"/>
    <n v="0"/>
    <x v="46"/>
  </r>
  <r>
    <s v="1-01-02-02-040"/>
    <m/>
    <s v="RECEIVABLE FROM KARAMAT ALI"/>
    <s v="1-01-02-02-040RECEIVABLE FROM KARAMAT ALI"/>
    <x v="0"/>
    <x v="0"/>
    <x v="1"/>
    <s v="Other Receivables"/>
    <s v="PILER"/>
    <m/>
    <n v="0"/>
    <n v="0"/>
    <n v="0"/>
    <n v="0"/>
    <n v="0"/>
    <x v="1"/>
  </r>
  <r>
    <s v="1-01-02-02-041"/>
    <m/>
    <s v="REC / PAY BCI"/>
    <s v="-"/>
    <x v="1"/>
    <x v="1"/>
    <x v="2"/>
    <s v="Inter Project Balances"/>
    <s v="PILER"/>
    <n v="2901"/>
    <n v="0"/>
    <n v="0"/>
    <n v="0"/>
    <n v="2901"/>
    <n v="0"/>
    <x v="47"/>
  </r>
  <r>
    <s v="1-01-02-02-041"/>
    <m/>
    <s v="REC / PAY BCI"/>
    <s v="-"/>
    <x v="1"/>
    <x v="1"/>
    <x v="2"/>
    <s v="Inter Project Balances"/>
    <s v="TDH"/>
    <m/>
    <n v="0"/>
    <n v="0"/>
    <n v="0"/>
    <n v="0"/>
    <n v="0"/>
    <x v="1"/>
  </r>
  <r>
    <s v="1-01-02-02-042"/>
    <m/>
    <s v="RECEIVABLE FROM DANISH"/>
    <s v="1-01-02-02-042RECEIVABLE FROM DANISH"/>
    <x v="0"/>
    <x v="0"/>
    <x v="1"/>
    <s v="Other Receivables"/>
    <s v="Trocaire"/>
    <n v="50"/>
    <n v="0"/>
    <n v="0"/>
    <n v="0"/>
    <n v="50"/>
    <n v="0"/>
    <x v="44"/>
  </r>
  <r>
    <s v="1-01-02-02-042"/>
    <m/>
    <s v="RECEIVABLE FROM DANISH"/>
    <s v="1-01-02-02-042RECEIVABLE FROM DANISH"/>
    <x v="0"/>
    <x v="0"/>
    <x v="1"/>
    <s v="Other Receivables"/>
    <s v="ETI"/>
    <m/>
    <n v="0"/>
    <n v="0"/>
    <n v="0"/>
    <n v="0"/>
    <n v="0"/>
    <x v="1"/>
  </r>
  <r>
    <s v="1-01-02-02-043"/>
    <m/>
    <s v="RECEIVABLE FROM PERVEZ AHMED"/>
    <s v="1-01-02-02-043RECEIVABLE FROM PERVEZ AHMED"/>
    <x v="0"/>
    <x v="0"/>
    <x v="1"/>
    <s v="Other Receivables"/>
    <s v="Deezire"/>
    <n v="80"/>
    <n v="0"/>
    <n v="0"/>
    <n v="0"/>
    <n v="80"/>
    <n v="0"/>
    <x v="48"/>
  </r>
  <r>
    <s v="1-01-02-02-043"/>
    <m/>
    <s v="RECEIVABLE FROM PERVEZ AHMED"/>
    <s v="1-01-02-02-043RECEIVABLE FROM PERVEZ AHMED"/>
    <x v="0"/>
    <x v="0"/>
    <x v="1"/>
    <s v="Other Receivables"/>
    <s v="PILER"/>
    <m/>
    <n v="0"/>
    <n v="0"/>
    <n v="0"/>
    <n v="0"/>
    <n v="0"/>
    <x v="1"/>
  </r>
  <r>
    <s v="1-01-02-02-043"/>
    <m/>
    <s v="RECEIVABLE FROM PERVEZ AHMED"/>
    <s v="1-01-02-02-043RECEIVABLE FROM PERVEZ AHMED"/>
    <x v="0"/>
    <x v="0"/>
    <x v="1"/>
    <s v="Other Receivables"/>
    <s v="SHORT"/>
    <m/>
    <n v="0"/>
    <n v="0"/>
    <n v="0"/>
    <n v="0"/>
    <n v="0"/>
    <x v="1"/>
  </r>
  <r>
    <s v="1-01-02-02-043"/>
    <m/>
    <s v="RECEIVABLE FROM PERVEZ AHMED"/>
    <s v="1-01-02-02-043RECEIVABLE FROM PERVEZ AHMED"/>
    <x v="0"/>
    <x v="0"/>
    <x v="1"/>
    <s v="Other Receivables"/>
    <s v="UNICEF-2"/>
    <m/>
    <n v="0"/>
    <n v="0"/>
    <n v="0"/>
    <n v="0"/>
    <n v="0"/>
    <x v="1"/>
  </r>
  <r>
    <s v="1-01-02-02-043"/>
    <m/>
    <s v="RECEIVABLE FROM PERVEZ AHMED"/>
    <s v="1-01-02-02-043RECEIVABLE FROM PERVEZ AHMED"/>
    <x v="0"/>
    <x v="0"/>
    <x v="1"/>
    <s v="Other Receivables"/>
    <s v="FNV"/>
    <m/>
    <n v="0"/>
    <n v="0"/>
    <n v="0"/>
    <n v="0"/>
    <n v="0"/>
    <x v="1"/>
  </r>
  <r>
    <s v="1-01-02-02-044"/>
    <m/>
    <s v="REC / PAY WITH HBS"/>
    <s v="-"/>
    <x v="1"/>
    <x v="1"/>
    <x v="2"/>
    <s v="Inter Project Balances"/>
    <s v="Deezire"/>
    <n v="250000"/>
    <n v="0"/>
    <n v="0"/>
    <n v="0"/>
    <n v="250000"/>
    <n v="0"/>
    <x v="49"/>
  </r>
  <r>
    <s v="1-01-02-02-044"/>
    <m/>
    <s v="REC / PAY WITH HBS"/>
    <s v="-"/>
    <x v="1"/>
    <x v="1"/>
    <x v="2"/>
    <s v="Inter Project Balances"/>
    <s v="PILER"/>
    <m/>
    <n v="0"/>
    <n v="0"/>
    <n v="0"/>
    <n v="0"/>
    <n v="0"/>
    <x v="1"/>
  </r>
  <r>
    <s v="1-01-02-02-044"/>
    <m/>
    <s v="REC / PAY WITH HBS"/>
    <s v="-"/>
    <x v="1"/>
    <x v="1"/>
    <x v="2"/>
    <s v="Inter Project Balances"/>
    <s v="UNICEF-2"/>
    <m/>
    <n v="0"/>
    <n v="0"/>
    <n v="0"/>
    <n v="0"/>
    <n v="0"/>
    <x v="1"/>
  </r>
  <r>
    <s v="1-01-02-02-044"/>
    <m/>
    <s v="REC / PAY WITH HBS"/>
    <s v="-"/>
    <x v="1"/>
    <x v="1"/>
    <x v="2"/>
    <s v="Inter Project Balances"/>
    <s v="FNV"/>
    <m/>
    <n v="0"/>
    <n v="0"/>
    <n v="0"/>
    <n v="0"/>
    <n v="0"/>
    <x v="1"/>
  </r>
  <r>
    <s v="1-01-02-02-046"/>
    <m/>
    <s v="REC / PAY WITH AFWM"/>
    <s v="-"/>
    <x v="1"/>
    <x v="1"/>
    <x v="2"/>
    <s v="Inter Project Balances"/>
    <s v="PILER"/>
    <n v="886184"/>
    <n v="1382523"/>
    <n v="0"/>
    <n v="0"/>
    <n v="886184"/>
    <n v="1382523"/>
    <x v="50"/>
  </r>
  <r>
    <s v="1-01-02-02-047"/>
    <m/>
    <s v="RECEIVABLE FROM GHULAM ASGHAR"/>
    <s v="1-01-02-02-047RECEIVABLE FROM GHULAM ASGHAR"/>
    <x v="0"/>
    <x v="0"/>
    <x v="1"/>
    <s v="Other Receivables"/>
    <s v="TAF"/>
    <n v="50"/>
    <n v="0"/>
    <n v="0"/>
    <n v="0"/>
    <n v="50"/>
    <n v="0"/>
    <x v="44"/>
  </r>
  <r>
    <s v="1-01-02-02-048"/>
    <m/>
    <s v="RECEIVABLE FROM MAHER ALI"/>
    <s v="1-01-02-02-048RECEIVABLE FROM MAHER ALI"/>
    <x v="0"/>
    <x v="0"/>
    <x v="1"/>
    <s v="Other Receivables"/>
    <s v="TAF"/>
    <m/>
    <n v="0"/>
    <n v="0"/>
    <n v="0"/>
    <n v="0"/>
    <n v="0"/>
    <x v="1"/>
  </r>
  <r>
    <s v="1-01-02-02-049"/>
    <m/>
    <s v="REC / PAY WITH TSWW"/>
    <s v="-"/>
    <x v="1"/>
    <x v="1"/>
    <x v="2"/>
    <s v="Inter Project Balances"/>
    <s v="Deezire"/>
    <n v="0"/>
    <n v="210640"/>
    <n v="0"/>
    <n v="0"/>
    <n v="0"/>
    <n v="210640"/>
    <x v="51"/>
  </r>
  <r>
    <s v="1-01-02-02-049"/>
    <m/>
    <s v="REC / PAY WITH TSWW"/>
    <s v="-"/>
    <x v="1"/>
    <x v="1"/>
    <x v="2"/>
    <s v="Inter Project Balances"/>
    <s v="PILER"/>
    <n v="0"/>
    <m/>
    <n v="0"/>
    <n v="0"/>
    <n v="0"/>
    <n v="0"/>
    <x v="1"/>
  </r>
  <r>
    <s v="1-01-02-02-050"/>
    <m/>
    <s v="RECEIVABLE FROM SHAKEEL AHMED"/>
    <s v="1-01-02-02-050RECEIVABLE FROM SHAKEEL AHMED"/>
    <x v="0"/>
    <x v="0"/>
    <x v="1"/>
    <s v="Other Receivables"/>
    <s v="Trocaire"/>
    <n v="50"/>
    <n v="0"/>
    <n v="0"/>
    <n v="0"/>
    <n v="50"/>
    <n v="0"/>
    <x v="44"/>
  </r>
  <r>
    <s v="1-01-02-02-051"/>
    <m/>
    <s v="RECEIVABLE FROM SHAZAD ALI SHA"/>
    <s v="1-01-02-02-051RECEIVABLE FROM SHAZAD ALI SHA"/>
    <x v="0"/>
    <x v="0"/>
    <x v="1"/>
    <s v="Other Receivables"/>
    <s v="Trocaire"/>
    <m/>
    <n v="0"/>
    <n v="0"/>
    <n v="0"/>
    <n v="0"/>
    <n v="0"/>
    <x v="1"/>
  </r>
  <r>
    <s v="1-01-02-02-052"/>
    <m/>
    <s v="RECEIVABLE FROM FARHAN"/>
    <s v="1-01-02-02-052RECEIVABLE FROM FARHAN"/>
    <x v="0"/>
    <x v="0"/>
    <x v="1"/>
    <s v="Other Receivables"/>
    <s v="Trocaire"/>
    <m/>
    <n v="0"/>
    <n v="0"/>
    <n v="0"/>
    <n v="0"/>
    <n v="0"/>
    <x v="1"/>
  </r>
  <r>
    <s v="1-01-02-02-053"/>
    <m/>
    <s v="RECEIVABLE FROM ABBAS HAIDER"/>
    <s v="1-01-02-02-053RECEIVABLE FROM ABBAS HAIDER"/>
    <x v="0"/>
    <x v="0"/>
    <x v="1"/>
    <s v="Other Receivables"/>
    <s v="Deezire"/>
    <n v="0"/>
    <n v="240"/>
    <n v="0"/>
    <n v="0"/>
    <n v="0"/>
    <n v="240"/>
    <x v="52"/>
  </r>
  <r>
    <s v="1-01-02-02-053"/>
    <m/>
    <s v="RECEIVABLE FROM ABBAS HAIDER"/>
    <s v="1-01-02-02-053RECEIVABLE FROM ABBAS HAIDER"/>
    <x v="0"/>
    <x v="0"/>
    <x v="1"/>
    <s v="Other Receivables"/>
    <s v="PILER"/>
    <n v="0"/>
    <m/>
    <n v="0"/>
    <n v="0"/>
    <n v="0"/>
    <n v="0"/>
    <x v="1"/>
  </r>
  <r>
    <s v="1-01-02-02-053"/>
    <m/>
    <s v="RECEIVABLE FROM ABBAS HAIDER"/>
    <s v="1-01-02-02-053RECEIVABLE FROM ABBAS HAIDER"/>
    <x v="0"/>
    <x v="0"/>
    <x v="1"/>
    <s v="Other Receivables"/>
    <s v="UNICEF-2"/>
    <n v="0"/>
    <m/>
    <n v="0"/>
    <n v="0"/>
    <n v="0"/>
    <n v="0"/>
    <x v="1"/>
  </r>
  <r>
    <s v="1-01-02-02-054"/>
    <m/>
    <s v="RECEIVABLE FROM ABIDA SHARAFAT"/>
    <s v="1-01-02-02-054RECEIVABLE FROM ABIDA SHARAFAT"/>
    <x v="0"/>
    <x v="0"/>
    <x v="1"/>
    <s v="Other Receivables"/>
    <s v="UNICEF-2"/>
    <n v="50"/>
    <n v="0"/>
    <n v="0"/>
    <n v="0"/>
    <n v="50"/>
    <n v="0"/>
    <x v="44"/>
  </r>
  <r>
    <s v="1-01-02-02-055"/>
    <m/>
    <s v="RECEIVABLE FROM MIR MULADAD"/>
    <s v="1-01-02-02-055RECEIVABLE FROM MIR MULADAD"/>
    <x v="0"/>
    <x v="0"/>
    <x v="1"/>
    <s v="Other Receivables"/>
    <s v="UNICEF-2"/>
    <m/>
    <n v="0"/>
    <n v="0"/>
    <n v="0"/>
    <n v="0"/>
    <n v="0"/>
    <x v="1"/>
  </r>
  <r>
    <s v="1-01-02-02-056"/>
    <m/>
    <s v="RECEIVABLE FROM SANA RUBAB"/>
    <s v="1-01-02-02-056RECEIVABLE FROM SANA RUBAB"/>
    <x v="0"/>
    <x v="0"/>
    <x v="1"/>
    <s v="Other Receivables"/>
    <s v="UNICEF-2"/>
    <m/>
    <n v="0"/>
    <n v="0"/>
    <n v="0"/>
    <n v="0"/>
    <n v="0"/>
    <x v="1"/>
  </r>
  <r>
    <s v="1-01-02-02-057"/>
    <m/>
    <s v="REC / PAY WOW"/>
    <s v="-"/>
    <x v="1"/>
    <x v="1"/>
    <x v="2"/>
    <s v="Inter Project Balances"/>
    <s v="PILER"/>
    <n v="65268"/>
    <n v="0"/>
    <n v="0"/>
    <n v="0"/>
    <n v="65268"/>
    <n v="0"/>
    <x v="53"/>
  </r>
  <r>
    <s v="1-01-02-02-058"/>
    <m/>
    <s v="REC / PAY DST"/>
    <s v="-"/>
    <x v="1"/>
    <x v="1"/>
    <x v="2"/>
    <s v="Inter Project Balances"/>
    <s v="PILER"/>
    <n v="124685"/>
    <n v="0"/>
    <n v="0"/>
    <n v="0"/>
    <n v="124685"/>
    <n v="0"/>
    <x v="54"/>
  </r>
  <r>
    <s v="1-01-02-02-059"/>
    <m/>
    <s v="REC / PAY WITH DAI"/>
    <s v="-"/>
    <x v="1"/>
    <x v="1"/>
    <x v="2"/>
    <s v="Inter Project Balances"/>
    <s v="Trocaire"/>
    <n v="2100"/>
    <n v="0"/>
    <n v="0"/>
    <n v="0"/>
    <n v="2100"/>
    <n v="0"/>
    <x v="55"/>
  </r>
  <r>
    <s v="1-01-02-02-059"/>
    <m/>
    <s v="REC / PAY WITH DAI"/>
    <s v="-"/>
    <x v="1"/>
    <x v="1"/>
    <x v="2"/>
    <s v="Inter Project Balances"/>
    <s v="PILER"/>
    <m/>
    <n v="0"/>
    <n v="0"/>
    <n v="0"/>
    <n v="0"/>
    <n v="0"/>
    <x v="1"/>
  </r>
  <r>
    <s v="1-01-02-02-059"/>
    <m/>
    <s v="REC / PAY WITH DAI"/>
    <s v="-"/>
    <x v="1"/>
    <x v="1"/>
    <x v="2"/>
    <s v="Inter Project Balances"/>
    <s v="UNICEF-3"/>
    <m/>
    <n v="0"/>
    <n v="0"/>
    <n v="0"/>
    <n v="0"/>
    <n v="0"/>
    <x v="1"/>
  </r>
  <r>
    <s v="1-01-02-02-060"/>
    <m/>
    <s v="REC / PAY UNICEF"/>
    <s v="-"/>
    <x v="1"/>
    <x v="1"/>
    <x v="2"/>
    <s v="Inter Project Balances"/>
    <s v="Trocaire"/>
    <n v="33907"/>
    <n v="0"/>
    <n v="0"/>
    <n v="0"/>
    <n v="33907"/>
    <n v="0"/>
    <x v="56"/>
  </r>
  <r>
    <s v="1-01-02-02-060"/>
    <m/>
    <s v="REC / PAY UNICEF"/>
    <s v="-"/>
    <x v="1"/>
    <x v="1"/>
    <x v="2"/>
    <s v="Inter Project Balances"/>
    <s v="Deezire"/>
    <m/>
    <n v="0"/>
    <n v="0"/>
    <n v="0"/>
    <n v="0"/>
    <n v="0"/>
    <x v="1"/>
  </r>
  <r>
    <s v="1-01-02-02-060"/>
    <m/>
    <s v="REC / PAY UNICEF"/>
    <s v="-"/>
    <x v="1"/>
    <x v="1"/>
    <x v="2"/>
    <s v="Inter Project Balances"/>
    <s v="PILER"/>
    <m/>
    <n v="0"/>
    <n v="0"/>
    <n v="0"/>
    <n v="0"/>
    <n v="0"/>
    <x v="1"/>
  </r>
  <r>
    <s v="1-01-02-02-060"/>
    <m/>
    <s v="REC / PAY UNICEF"/>
    <s v="-"/>
    <x v="1"/>
    <x v="1"/>
    <x v="2"/>
    <s v="Inter Project Balances"/>
    <s v="TAF"/>
    <m/>
    <n v="0"/>
    <n v="0"/>
    <n v="0"/>
    <n v="0"/>
    <n v="0"/>
    <x v="1"/>
  </r>
  <r>
    <s v="1-01-02-02-060"/>
    <m/>
    <s v="REC / PAY UNICEF"/>
    <s v="-"/>
    <x v="1"/>
    <x v="1"/>
    <x v="2"/>
    <s v="Inter Project Balances"/>
    <s v="SHORT"/>
    <m/>
    <n v="0"/>
    <n v="0"/>
    <n v="0"/>
    <n v="0"/>
    <n v="0"/>
    <x v="1"/>
  </r>
  <r>
    <s v="1-01-02-02-061"/>
    <m/>
    <s v="REC / PAY ACTIONAID"/>
    <s v="-"/>
    <x v="1"/>
    <x v="1"/>
    <x v="2"/>
    <s v="Inter Project Balances"/>
    <s v="PILER"/>
    <n v="22000"/>
    <n v="0"/>
    <n v="0"/>
    <n v="0"/>
    <n v="22000"/>
    <n v="0"/>
    <x v="57"/>
  </r>
  <r>
    <s v="1-01-02-02-063"/>
    <m/>
    <s v="Rec / Pay with RRCCHR"/>
    <s v="-"/>
    <x v="1"/>
    <x v="1"/>
    <x v="2"/>
    <s v="Inter Project Balances"/>
    <s v="PILER"/>
    <n v="115"/>
    <n v="0"/>
    <n v="0"/>
    <n v="0"/>
    <n v="115"/>
    <n v="0"/>
    <x v="58"/>
  </r>
  <r>
    <s v="1-01-02-02-064"/>
    <m/>
    <s v="REC / Pay with DP World Port Qasim"/>
    <s v="-"/>
    <x v="1"/>
    <x v="1"/>
    <x v="2"/>
    <s v="Inter Project Balances"/>
    <s v="PILER"/>
    <n v="15372"/>
    <n v="0"/>
    <n v="0"/>
    <n v="0"/>
    <n v="15372"/>
    <n v="0"/>
    <x v="59"/>
  </r>
  <r>
    <s v="1-01-02-02-066"/>
    <m/>
    <s v="Rec / Pay with Open Society"/>
    <s v="-"/>
    <x v="1"/>
    <x v="1"/>
    <x v="2"/>
    <s v="Inter Project Balances"/>
    <s v="Deezire"/>
    <n v="61500"/>
    <n v="0"/>
    <n v="0"/>
    <n v="0"/>
    <n v="61500"/>
    <n v="0"/>
    <x v="60"/>
  </r>
  <r>
    <s v="1-01-02-02-066"/>
    <m/>
    <s v="Rec / Pay with Open Society"/>
    <s v="-"/>
    <x v="1"/>
    <x v="1"/>
    <x v="2"/>
    <s v="Inter Project Balances"/>
    <s v="PILER"/>
    <m/>
    <n v="0"/>
    <n v="0"/>
    <n v="0"/>
    <n v="0"/>
    <n v="0"/>
    <x v="1"/>
  </r>
  <r>
    <s v="1-01-02-02-066"/>
    <m/>
    <s v="Rec / Pay with Open Society"/>
    <s v="-"/>
    <x v="1"/>
    <x v="1"/>
    <x v="2"/>
    <s v="Inter Project Balances"/>
    <s v="ETI"/>
    <m/>
    <n v="0"/>
    <n v="0"/>
    <n v="0"/>
    <n v="0"/>
    <n v="0"/>
    <x v="1"/>
  </r>
  <r>
    <s v="1-01-02-02-066"/>
    <m/>
    <s v="Rec / Pay with Open Society"/>
    <s v="-"/>
    <x v="1"/>
    <x v="1"/>
    <x v="2"/>
    <s v="Inter Project Balances"/>
    <s v="FNV"/>
    <m/>
    <n v="0"/>
    <n v="0"/>
    <n v="0"/>
    <n v="0"/>
    <n v="0"/>
    <x v="1"/>
  </r>
  <r>
    <s v="1-01-02-02-067"/>
    <m/>
    <s v="Rec / Pay with ETI"/>
    <s v="-"/>
    <x v="1"/>
    <x v="1"/>
    <x v="2"/>
    <s v="Inter Project Balances"/>
    <s v="PILER"/>
    <n v="12822"/>
    <n v="1264793"/>
    <n v="0"/>
    <n v="0"/>
    <n v="12822"/>
    <n v="1264793"/>
    <x v="61"/>
  </r>
  <r>
    <s v="1-01-02-02-068"/>
    <m/>
    <s v="Rec / Pay with Network CCC South Asia"/>
    <s v="-"/>
    <x v="1"/>
    <x v="1"/>
    <x v="2"/>
    <s v="Inter Project Balances"/>
    <s v="PILER"/>
    <n v="427177"/>
    <n v="0"/>
    <n v="0"/>
    <n v="0"/>
    <n v="427177"/>
    <n v="0"/>
    <x v="62"/>
  </r>
  <r>
    <s v="1-01-02-02-068"/>
    <m/>
    <s v="Rec / Pay with Network CCC South Asia"/>
    <s v="-"/>
    <x v="1"/>
    <x v="1"/>
    <x v="2"/>
    <s v="Inter Project Balances"/>
    <s v="FNV"/>
    <m/>
    <n v="0"/>
    <n v="0"/>
    <n v="0"/>
    <n v="0"/>
    <n v="0"/>
    <x v="1"/>
  </r>
  <r>
    <s v="1-01-02-02-069"/>
    <m/>
    <s v="Rec / pay with FOSI"/>
    <s v="-"/>
    <x v="1"/>
    <x v="1"/>
    <x v="2"/>
    <s v="Inter Project Balances"/>
    <s v="PILER"/>
    <n v="35108"/>
    <n v="0"/>
    <n v="0"/>
    <n v="0"/>
    <n v="35108"/>
    <n v="0"/>
    <x v="63"/>
  </r>
  <r>
    <s v="1-01-02-02-070"/>
    <m/>
    <s v="Rec / Pay with IBP"/>
    <s v="-"/>
    <x v="1"/>
    <x v="1"/>
    <x v="2"/>
    <s v="Inter Project Balances"/>
    <s v="PILER"/>
    <n v="28375"/>
    <n v="0"/>
    <n v="0"/>
    <n v="0"/>
    <n v="28375"/>
    <n v="0"/>
    <x v="64"/>
  </r>
  <r>
    <s v="1-01-02-02-071"/>
    <m/>
    <s v="Rec / Pay with FNV"/>
    <s v="-"/>
    <x v="1"/>
    <x v="1"/>
    <x v="2"/>
    <s v="Inter Project Balances"/>
    <s v="Deezire"/>
    <n v="50000"/>
    <n v="0"/>
    <n v="0"/>
    <n v="0"/>
    <n v="50000"/>
    <n v="0"/>
    <x v="65"/>
  </r>
  <r>
    <s v="1-01-02-02-071"/>
    <m/>
    <s v="Rec / Pay with FNV"/>
    <s v="-"/>
    <x v="1"/>
    <x v="1"/>
    <x v="2"/>
    <s v="Inter Project Balances"/>
    <s v="PILER"/>
    <m/>
    <n v="0"/>
    <n v="0"/>
    <n v="0"/>
    <n v="0"/>
    <n v="0"/>
    <x v="1"/>
  </r>
  <r>
    <s v="1-01-02-02-071"/>
    <m/>
    <s v="Rec / Pay with FNV"/>
    <s v="-"/>
    <x v="1"/>
    <x v="1"/>
    <x v="2"/>
    <s v="Inter Project Balances"/>
    <s v="SHORT"/>
    <m/>
    <n v="0"/>
    <n v="0"/>
    <n v="0"/>
    <n v="0"/>
    <n v="0"/>
    <x v="1"/>
  </r>
  <r>
    <s v="1-01-02-02-071"/>
    <m/>
    <s v="Rec / Pay with FNV"/>
    <s v="-"/>
    <x v="1"/>
    <x v="1"/>
    <x v="2"/>
    <s v="Inter Project Balances"/>
    <s v="Open Socie"/>
    <m/>
    <n v="0"/>
    <n v="0"/>
    <n v="0"/>
    <n v="0"/>
    <n v="0"/>
    <x v="1"/>
  </r>
  <r>
    <s v="1-01-02-02-072"/>
    <m/>
    <s v="REC / PAY WITH DAI KCD015"/>
    <s v="-"/>
    <x v="1"/>
    <x v="1"/>
    <x v="2"/>
    <s v="Inter Project Balances"/>
    <s v="PILER"/>
    <n v="0"/>
    <n v="2662608"/>
    <n v="0"/>
    <n v="0"/>
    <n v="0"/>
    <n v="2662608"/>
    <x v="66"/>
  </r>
  <r>
    <s v="1-01-02-02-073"/>
    <m/>
    <s v="REC / PAY WITH DAI KCD031"/>
    <s v="-"/>
    <x v="1"/>
    <x v="1"/>
    <x v="2"/>
    <s v="Inter Project Balances"/>
    <s v="PILER"/>
    <n v="0"/>
    <n v="913998"/>
    <n v="0"/>
    <n v="0"/>
    <n v="0"/>
    <n v="913998"/>
    <x v="67"/>
  </r>
  <r>
    <s v="1-01-02-02-074"/>
    <m/>
    <s v="Rec / Pay With CCC"/>
    <s v="-"/>
    <x v="1"/>
    <x v="1"/>
    <x v="2"/>
    <s v="Inter Project Balances"/>
    <s v="PILER"/>
    <n v="74085"/>
    <n v="389994"/>
    <n v="0"/>
    <n v="0"/>
    <n v="74085"/>
    <n v="389994"/>
    <x v="68"/>
  </r>
  <r>
    <s v="1-01-02-02-074"/>
    <m/>
    <s v="Rec / Pay With CCC"/>
    <s v="-"/>
    <x v="1"/>
    <x v="1"/>
    <x v="2"/>
    <s v="Inter Project Balances"/>
    <s v="ETI"/>
    <n v="74085"/>
    <n v="389994"/>
    <n v="0"/>
    <n v="0"/>
    <n v="74085"/>
    <n v="389994"/>
    <x v="68"/>
  </r>
  <r>
    <s v="1-01-02-02-075"/>
    <m/>
    <s v="Rec / Pay with ETI-DFID"/>
    <s v="-"/>
    <x v="1"/>
    <x v="1"/>
    <x v="2"/>
    <s v="Inter Project Balances"/>
    <s v="PILER"/>
    <n v="432467"/>
    <n v="16000"/>
    <n v="0"/>
    <n v="0"/>
    <n v="432467"/>
    <n v="16000"/>
    <x v="69"/>
  </r>
  <r>
    <s v="1-01-02-02-075"/>
    <m/>
    <s v="Rec / Pay with ETI-DFID"/>
    <s v="-"/>
    <x v="1"/>
    <x v="1"/>
    <x v="2"/>
    <s v="Inter Project Balances"/>
    <s v="SHORT"/>
    <m/>
    <m/>
    <n v="0"/>
    <n v="0"/>
    <n v="0"/>
    <n v="0"/>
    <x v="1"/>
  </r>
  <r>
    <s v="1-01-02-02-075"/>
    <m/>
    <s v="Rec / Pay with ETI-DFID"/>
    <s v="-"/>
    <x v="1"/>
    <x v="1"/>
    <x v="2"/>
    <s v="Inter Project Balances"/>
    <s v="Open Socie"/>
    <m/>
    <m/>
    <n v="0"/>
    <n v="0"/>
    <n v="0"/>
    <n v="0"/>
    <x v="1"/>
  </r>
  <r>
    <s v="1-01-02-02-076"/>
    <m/>
    <s v="Rec / Pay with AVAAZ"/>
    <s v="-"/>
    <x v="1"/>
    <x v="1"/>
    <x v="2"/>
    <s v="Inter Project Balances"/>
    <s v="PILER"/>
    <n v="0"/>
    <n v="809850"/>
    <n v="0"/>
    <n v="0"/>
    <n v="0"/>
    <n v="809850"/>
    <x v="70"/>
  </r>
  <r>
    <s v="1-01-02-02-078"/>
    <m/>
    <s v="Rec / Pay with Covid-19 Relief"/>
    <s v="-"/>
    <x v="1"/>
    <x v="1"/>
    <x v="2"/>
    <s v="Inter Project Balances"/>
    <s v="PILER"/>
    <n v="3947407"/>
    <n v="0"/>
    <n v="0"/>
    <n v="0"/>
    <n v="3947407"/>
    <n v="0"/>
    <x v="71"/>
  </r>
  <r>
    <s v="1-01-02-02-078"/>
    <m/>
    <s v="Rec / Pay with Covid-19 Relief"/>
    <s v="-"/>
    <x v="1"/>
    <x v="1"/>
    <x v="2"/>
    <s v="Inter Project Balances"/>
    <s v="ETI"/>
    <m/>
    <n v="0"/>
    <n v="0"/>
    <n v="0"/>
    <n v="0"/>
    <n v="0"/>
    <x v="1"/>
  </r>
  <r>
    <s v="1-01-02-02-079"/>
    <m/>
    <s v="Rec / Pay with Network Matter"/>
    <s v="-"/>
    <x v="1"/>
    <x v="1"/>
    <x v="2"/>
    <s v="Inter Project Balances"/>
    <s v="PILER"/>
    <n v="84000"/>
    <n v="284000"/>
    <n v="0"/>
    <n v="0"/>
    <n v="84000"/>
    <n v="284000"/>
    <x v="72"/>
  </r>
  <r>
    <s v="1-01-02-02-080"/>
    <m/>
    <s v="Rec / Pay with OSF- impact of COVID-19"/>
    <s v="-"/>
    <x v="1"/>
    <x v="1"/>
    <x v="2"/>
    <s v="Inter Project Balances"/>
    <s v="PILER"/>
    <n v="11309746"/>
    <n v="11966726"/>
    <n v="0"/>
    <n v="0"/>
    <n v="11309746"/>
    <n v="11966726"/>
    <x v="73"/>
  </r>
  <r>
    <s v="1-01-02-02-080"/>
    <m/>
    <s v="Rec / Pay with OSF- impact of COVID-19"/>
    <s v="-"/>
    <x v="1"/>
    <x v="1"/>
    <x v="2"/>
    <s v="Inter Project Balances"/>
    <s v="DAI"/>
    <m/>
    <m/>
    <n v="0"/>
    <n v="0"/>
    <n v="0"/>
    <n v="0"/>
    <x v="1"/>
  </r>
  <r>
    <s v="1-01-02-02-081"/>
    <m/>
    <s v="Rec / Pay with DAI KCD 115"/>
    <s v="-"/>
    <x v="1"/>
    <x v="1"/>
    <x v="2"/>
    <s v="Inter Project Balances"/>
    <s v="PILER"/>
    <n v="1896469"/>
    <n v="1781500"/>
    <n v="0"/>
    <n v="0"/>
    <n v="1896469"/>
    <n v="1781500"/>
    <x v="74"/>
  </r>
  <r>
    <s v="1-01-02-02-081"/>
    <m/>
    <s v="Rec / Pay with DAI KCD 115"/>
    <s v="-"/>
    <x v="1"/>
    <x v="1"/>
    <x v="2"/>
    <s v="Inter Project Balances"/>
    <s v="Open Socie"/>
    <m/>
    <m/>
    <n v="0"/>
    <n v="0"/>
    <n v="0"/>
    <n v="0"/>
    <x v="1"/>
  </r>
  <r>
    <s v="1-01-02-02-082"/>
    <m/>
    <s v="Rec / Pay with GRC"/>
    <s v="-"/>
    <x v="1"/>
    <x v="1"/>
    <x v="2"/>
    <s v="Inter Project Balances"/>
    <s v="PILER"/>
    <n v="3489328.21"/>
    <n v="5153996.7"/>
    <n v="736997"/>
    <n v="1509464"/>
    <n v="4226325.21"/>
    <n v="6663460.7000000002"/>
    <x v="75"/>
  </r>
  <r>
    <s v="1-01-02-02-082"/>
    <m/>
    <s v="Rec / Pay with GRC"/>
    <s v="-"/>
    <x v="1"/>
    <x v="1"/>
    <x v="2"/>
    <s v="Inter Project Balances"/>
    <s v="GRC"/>
    <m/>
    <m/>
    <n v="0"/>
    <n v="0"/>
    <n v="0"/>
    <n v="0"/>
    <x v="1"/>
  </r>
  <r>
    <s v="1-01-02-02-082"/>
    <m/>
    <s v="Rec / Pay with GRC"/>
    <s v="-"/>
    <x v="1"/>
    <x v="1"/>
    <x v="2"/>
    <s v="Inter Project Balances"/>
    <s v="GRC Own"/>
    <m/>
    <m/>
    <n v="5818.88"/>
    <n v="0"/>
    <n v="5818.88"/>
    <n v="0"/>
    <x v="76"/>
  </r>
  <r>
    <s v="1-01-02-02-083"/>
    <m/>
    <s v="Rec / Pay with GRC Own"/>
    <s v="-"/>
    <x v="1"/>
    <x v="1"/>
    <x v="2"/>
    <s v="Inter Project Balances"/>
    <s v="PILER"/>
    <n v="765582"/>
    <n v="779095"/>
    <n v="1142710"/>
    <n v="333765"/>
    <n v="1908292"/>
    <n v="1112860"/>
    <x v="77"/>
  </r>
  <r>
    <s v="1-01-02-02-083"/>
    <m/>
    <s v="Rec / Pay with GRC Own"/>
    <s v="-"/>
    <x v="1"/>
    <x v="1"/>
    <x v="2"/>
    <s v="Inter Project Balances"/>
    <s v="GRC"/>
    <m/>
    <m/>
    <n v="0"/>
    <n v="0"/>
    <n v="0"/>
    <n v="0"/>
    <x v="1"/>
  </r>
  <r>
    <s v="1-01-02-02-083"/>
    <m/>
    <s v="Rec / Pay with GRC Own"/>
    <s v="-"/>
    <x v="1"/>
    <x v="1"/>
    <x v="2"/>
    <s v="Inter Project Balances"/>
    <s v="GRC Own"/>
    <m/>
    <m/>
    <n v="944720.92"/>
    <n v="881253.33"/>
    <n v="944720.92"/>
    <n v="881253.33"/>
    <x v="78"/>
  </r>
  <r>
    <s v="1-01-02-03-003"/>
    <m/>
    <s v="ADVANCE TO GOHAR ALI"/>
    <s v="1-01-02-03-003ADVANCE TO GOHAR ALI"/>
    <x v="0"/>
    <x v="0"/>
    <x v="1"/>
    <s v="Advance Against Activities"/>
    <s v="PILER"/>
    <n v="2450"/>
    <n v="0"/>
    <n v="0"/>
    <n v="0"/>
    <n v="2450"/>
    <n v="0"/>
    <x v="79"/>
  </r>
  <r>
    <s v="1-01-02-03-003"/>
    <m/>
    <s v="ADVANCE TO GOHAR ALI"/>
    <s v="1-01-02-03-003ADVANCE TO GOHAR ALI"/>
    <x v="0"/>
    <x v="0"/>
    <x v="1"/>
    <s v="Advance Against Activities"/>
    <s v="TDH"/>
    <m/>
    <n v="0"/>
    <n v="0"/>
    <n v="0"/>
    <n v="0"/>
    <n v="0"/>
    <x v="1"/>
  </r>
  <r>
    <s v="1-01-02-03-008"/>
    <m/>
    <s v="ADVANCE TO KHADIM HUSSAIN"/>
    <s v="1-01-02-03-008ADVANCE TO KHADIM HUSSAIN"/>
    <x v="0"/>
    <x v="0"/>
    <x v="1"/>
    <s v="Advance Against Activities"/>
    <s v="PILER"/>
    <n v="4754398"/>
    <n v="4754398"/>
    <n v="4137000"/>
    <n v="4137000"/>
    <n v="8891398"/>
    <n v="8891398"/>
    <x v="1"/>
  </r>
  <r>
    <s v="1-01-02-03-008"/>
    <m/>
    <s v="ADVANCE TO KHADIM HUSSAIN"/>
    <s v="1-01-02-03-008ADVANCE TO KHADIM HUSSAIN"/>
    <x v="0"/>
    <x v="0"/>
    <x v="1"/>
    <s v="Advance Against Activities"/>
    <s v="ICCO"/>
    <m/>
    <m/>
    <n v="0"/>
    <n v="0"/>
    <n v="0"/>
    <n v="0"/>
    <x v="1"/>
  </r>
  <r>
    <s v="1-01-02-03-008"/>
    <m/>
    <s v="ADVANCE TO KHADIM HUSSAIN"/>
    <s v="1-01-02-03-008ADVANCE TO KHADIM HUSSAIN"/>
    <x v="0"/>
    <x v="0"/>
    <x v="1"/>
    <s v="Advance Against Activities"/>
    <s v="SHORT"/>
    <m/>
    <m/>
    <n v="0"/>
    <n v="0"/>
    <n v="0"/>
    <n v="0"/>
    <x v="1"/>
  </r>
  <r>
    <s v="1-01-02-03-008"/>
    <m/>
    <s v="ADVANCE TO KHADIM HUSSAIN"/>
    <s v="1-01-02-03-008ADVANCE TO KHADIM HUSSAIN"/>
    <x v="0"/>
    <x v="0"/>
    <x v="1"/>
    <s v="Advance Against Activities"/>
    <s v="DAI"/>
    <m/>
    <m/>
    <n v="0"/>
    <n v="0"/>
    <n v="0"/>
    <n v="0"/>
    <x v="1"/>
  </r>
  <r>
    <s v="1-01-02-03-008"/>
    <m/>
    <s v="ADVANCE TO KHADIM HUSSAIN"/>
    <s v="1-01-02-03-008ADVANCE TO KHADIM HUSSAIN"/>
    <x v="0"/>
    <x v="0"/>
    <x v="1"/>
    <s v="Advance Against Activities"/>
    <s v="GRC"/>
    <n v="4754398"/>
    <n v="4754398"/>
    <n v="1063000"/>
    <n v="1063000"/>
    <n v="5817398"/>
    <n v="5817398"/>
    <x v="1"/>
  </r>
  <r>
    <s v="1-01-02-03-008"/>
    <m/>
    <s v="ADVANCE TO KHADIM HUSSAIN"/>
    <s v="1-01-02-03-008ADVANCE TO KHADIM HUSSAIN"/>
    <x v="0"/>
    <x v="0"/>
    <x v="1"/>
    <s v="Advance Against Activities"/>
    <s v="GRC Own"/>
    <m/>
    <m/>
    <n v="0"/>
    <n v="186000"/>
    <n v="0"/>
    <n v="186000"/>
    <x v="80"/>
  </r>
  <r>
    <s v="1-01-02-03-020"/>
    <m/>
    <s v="ADVANCE TO ABBAS HAIDER"/>
    <s v="1-01-02-03-020ADVANCE TO ABBAS HAIDER"/>
    <x v="0"/>
    <x v="0"/>
    <x v="1"/>
    <s v="Advance Against Activities"/>
    <s v="PILER"/>
    <n v="606350"/>
    <n v="564350"/>
    <n v="35000"/>
    <n v="0"/>
    <n v="641350"/>
    <n v="564350"/>
    <x v="81"/>
  </r>
  <r>
    <s v="1-01-02-03-020"/>
    <m/>
    <s v="ADVANCE TO ABBAS HAIDER"/>
    <s v="1-01-02-03-020ADVANCE TO ABBAS HAIDER"/>
    <x v="0"/>
    <x v="0"/>
    <x v="1"/>
    <s v="Advance Against Activities"/>
    <s v="SHORT"/>
    <n v="606350"/>
    <n v="564350"/>
    <n v="0"/>
    <n v="0"/>
    <n v="606350"/>
    <n v="564350"/>
    <x v="82"/>
  </r>
  <r>
    <s v="1-01-02-03-020"/>
    <m/>
    <s v="ADVANCE TO ABBAS HAIDER"/>
    <s v="1-01-02-03-020ADVANCE TO ABBAS HAIDER"/>
    <x v="0"/>
    <x v="0"/>
    <x v="1"/>
    <s v="Advance Against Activities"/>
    <s v="RRCCHR"/>
    <m/>
    <m/>
    <n v="0"/>
    <n v="0"/>
    <n v="0"/>
    <n v="0"/>
    <x v="1"/>
  </r>
  <r>
    <s v="1-01-02-03-020"/>
    <m/>
    <s v="ADVANCE TO ABBAS HAIDER"/>
    <s v="1-01-02-03-020ADVANCE TO ABBAS HAIDER"/>
    <x v="0"/>
    <x v="0"/>
    <x v="1"/>
    <s v="Advance Against Activities"/>
    <s v="GRC"/>
    <m/>
    <m/>
    <n v="30000"/>
    <n v="0"/>
    <n v="30000"/>
    <n v="0"/>
    <x v="83"/>
  </r>
  <r>
    <s v="1-01-02-03-116"/>
    <m/>
    <s v="Advance to Zameer Awan"/>
    <s v="1-01-02-03-116Advance to Zameer Awan"/>
    <x v="0"/>
    <x v="0"/>
    <x v="1"/>
    <s v="Advance Against Activities"/>
    <s v="PILER"/>
    <n v="391000"/>
    <n v="391000"/>
    <n v="130000"/>
    <n v="10000"/>
    <n v="521000"/>
    <n v="401000"/>
    <x v="84"/>
  </r>
  <r>
    <s v="1-01-02-03-123"/>
    <m/>
    <s v="Advance against Expenses"/>
    <s v="1-01-02-03-123Advance against Expenses"/>
    <x v="0"/>
    <x v="0"/>
    <x v="1"/>
    <s v="Advance Against Activities"/>
    <s v="PILER"/>
    <n v="791782"/>
    <n v="740500"/>
    <n v="609500"/>
    <n v="404500"/>
    <n v="1401282"/>
    <n v="1145000"/>
    <x v="85"/>
  </r>
  <r>
    <s v="1-01-02-03-123"/>
    <m/>
    <s v="Advance against Expenses"/>
    <s v="1-01-02-03-123Advance against Expenses"/>
    <x v="0"/>
    <x v="0"/>
    <x v="1"/>
    <s v="Advance Against Activities"/>
    <s v="GRC Own"/>
    <m/>
    <m/>
    <n v="15000"/>
    <n v="15000"/>
    <n v="15000"/>
    <n v="15000"/>
    <x v="1"/>
  </r>
  <r>
    <s v="1-01-02-03-125"/>
    <m/>
    <s v="Advance to Farhan Haider"/>
    <s v="1-01-02-03-125Advance to Farhan Haider"/>
    <x v="0"/>
    <x v="0"/>
    <x v="1"/>
    <s v="Advance Against Activities"/>
    <s v="PILER"/>
    <n v="0"/>
    <n v="0"/>
    <n v="144000"/>
    <n v="144000"/>
    <n v="144000"/>
    <n v="144000"/>
    <x v="1"/>
  </r>
  <r>
    <s v="1-01-02-04-001"/>
    <m/>
    <s v="ADVANCE AGAINST SALARIES"/>
    <s v="1-01-02-04-001ADVANCE AGAINST SALARIES"/>
    <x v="0"/>
    <x v="0"/>
    <x v="1"/>
    <s v="Advance Against Activities"/>
    <s v="PILER"/>
    <n v="2926182"/>
    <n v="2886182"/>
    <n v="244277"/>
    <n v="254277"/>
    <n v="3170459"/>
    <n v="3140459"/>
    <x v="83"/>
  </r>
  <r>
    <s v="1-01-02-04-001"/>
    <m/>
    <s v="ADVANCE AGAINST SALARIES"/>
    <s v="1-01-02-04-001ADVANCE AGAINST SALARIES"/>
    <x v="0"/>
    <x v="0"/>
    <x v="1"/>
    <s v="Advance Against Activities"/>
    <s v="SHORT"/>
    <m/>
    <m/>
    <n v="0"/>
    <n v="0"/>
    <n v="0"/>
    <n v="0"/>
    <x v="1"/>
  </r>
  <r>
    <s v="1-01-02-04-001"/>
    <m/>
    <s v="ADVANCE AGAINST SALARIES"/>
    <s v="1-01-02-04-001ADVANCE AGAINST SALARIES"/>
    <x v="0"/>
    <x v="0"/>
    <x v="1"/>
    <s v="Advance Against Activities"/>
    <s v="GRC"/>
    <m/>
    <m/>
    <n v="0"/>
    <n v="15000"/>
    <n v="0"/>
    <n v="15000"/>
    <x v="86"/>
  </r>
  <r>
    <s v="1-01-02-04-001"/>
    <m/>
    <s v="ADVANCE AGAINST SALARIES"/>
    <s v="1-01-02-04-001ADVANCE AGAINST SALARIES"/>
    <x v="0"/>
    <x v="0"/>
    <x v="1"/>
    <s v="Advance Against Activities"/>
    <s v="GRC Own"/>
    <m/>
    <m/>
    <n v="70000"/>
    <n v="110000"/>
    <n v="70000"/>
    <n v="110000"/>
    <x v="87"/>
  </r>
  <r>
    <s v="1-01-02-04-002"/>
    <m/>
    <s v="STAFF LOAN"/>
    <s v="1-01-02-04-002STAFF LOAN"/>
    <x v="0"/>
    <x v="0"/>
    <x v="1"/>
    <s v="Advance Against Activities"/>
    <s v="PILER"/>
    <n v="305000"/>
    <n v="73000"/>
    <n v="120000"/>
    <n v="198000"/>
    <n v="425000"/>
    <n v="271000"/>
    <x v="88"/>
  </r>
  <r>
    <s v="1-01-02-04-002"/>
    <m/>
    <s v="STAFF LOAN"/>
    <s v="1-01-02-04-002STAFF LOAN"/>
    <x v="0"/>
    <x v="0"/>
    <x v="1"/>
    <s v="Advance Against Activities"/>
    <s v="GRC"/>
    <m/>
    <m/>
    <n v="100000"/>
    <n v="62500"/>
    <n v="100000"/>
    <n v="62500"/>
    <x v="89"/>
  </r>
  <r>
    <s v="1-01-02-04-002"/>
    <m/>
    <s v="STAFF LOAN"/>
    <s v="1-01-02-04-002STAFF LOAN"/>
    <x v="0"/>
    <x v="0"/>
    <x v="1"/>
    <s v="Advance Against Activities"/>
    <s v="GRC Own"/>
    <m/>
    <m/>
    <n v="54000"/>
    <n v="48000"/>
    <n v="54000"/>
    <n v="48000"/>
    <x v="90"/>
  </r>
  <r>
    <s v="1-01-02-04-005"/>
    <m/>
    <s v="Advance to hikmat ali"/>
    <s v="1-01-02-04-005Advance to hikmat ali"/>
    <x v="0"/>
    <x v="0"/>
    <x v="1"/>
    <s v="Advance Against Activities"/>
    <s v="PILER"/>
    <n v="116000"/>
    <n v="116000"/>
    <n v="35000"/>
    <n v="35000"/>
    <n v="151000"/>
    <n v="151000"/>
    <x v="1"/>
  </r>
  <r>
    <s v="1-01-02-05-001"/>
    <m/>
    <s v="PREPAID INSURANCE"/>
    <s v="1-01-02-05-001PREPAID INSURANCE"/>
    <x v="0"/>
    <x v="0"/>
    <x v="1"/>
    <s v="Prepaid Insurance"/>
    <s v="PILER"/>
    <n v="0"/>
    <n v="0"/>
    <n v="0"/>
    <n v="0"/>
    <n v="0"/>
    <n v="0"/>
    <x v="1"/>
  </r>
  <r>
    <s v="1-01-02-05-003"/>
    <m/>
    <s v="PREPAYMENTS"/>
    <s v="1-01-02-05-003PREPAYMENTS"/>
    <x v="0"/>
    <x v="0"/>
    <x v="1"/>
    <s v="Prepaid Insurance"/>
    <s v="PILER"/>
    <n v="9167"/>
    <n v="9167"/>
    <n v="0"/>
    <n v="0"/>
    <n v="9167"/>
    <n v="9167"/>
    <x v="1"/>
  </r>
  <r>
    <s v="1-02-02-01-001"/>
    <m/>
    <s v="PLOT# ST.001, X-V, PILER CENTR"/>
    <s v="1-02-02-01-001PLOT# ST.001, X-V, PILER CENTR"/>
    <x v="0"/>
    <x v="2"/>
    <x v="3"/>
    <s v="Leasehold Land"/>
    <s v="PILER"/>
    <n v="1721000"/>
    <n v="0"/>
    <n v="0"/>
    <n v="0"/>
    <n v="1721000"/>
    <n v="0"/>
    <x v="91"/>
  </r>
  <r>
    <s v="1-02-02-02-001"/>
    <m/>
    <s v="BUILDING LEASE HOLD LAND"/>
    <s v="1-02-02-02-001BUILDING LEASE HOLD LAND"/>
    <x v="0"/>
    <x v="2"/>
    <x v="3"/>
    <s v="Building On Leasehold Land"/>
    <s v="PILER"/>
    <n v="22763814"/>
    <n v="0"/>
    <n v="0"/>
    <n v="0"/>
    <n v="22763814"/>
    <n v="0"/>
    <x v="92"/>
  </r>
  <r>
    <s v="1-02-02-02-002"/>
    <m/>
    <s v="ACCUMULATED DEPRECIATION BUILD"/>
    <s v="1-02-02-02-002ACCUMULATED DEPRECIATION BUILD"/>
    <x v="0"/>
    <x v="2"/>
    <x v="3"/>
    <s v="Acc Dep - Building On Leasehold Land"/>
    <s v="PILER"/>
    <n v="0"/>
    <n v="10086624"/>
    <n v="0"/>
    <n v="455276"/>
    <n v="0"/>
    <n v="10541900"/>
    <x v="93"/>
  </r>
  <r>
    <s v="1-02-02-03-001"/>
    <m/>
    <s v="GENERATORS"/>
    <s v="1-02-02-03-001GENERATORS"/>
    <x v="0"/>
    <x v="2"/>
    <x v="3"/>
    <s v="Generator"/>
    <s v="PILER"/>
    <n v="1244075"/>
    <n v="0"/>
    <n v="0"/>
    <n v="0"/>
    <n v="1244075"/>
    <n v="0"/>
    <x v="94"/>
  </r>
  <r>
    <s v="1-02-02-03-002"/>
    <m/>
    <s v="ACCUMULATED DEPRECIATION GENER"/>
    <s v="1-02-02-03-002ACCUMULATED DEPRECIATION GENER"/>
    <x v="0"/>
    <x v="2"/>
    <x v="3"/>
    <s v="Acc Dep - Generator"/>
    <s v="PILER"/>
    <n v="30249"/>
    <n v="1255975"/>
    <n v="0"/>
    <n v="42323"/>
    <n v="30249"/>
    <n v="1298298"/>
    <x v="95"/>
  </r>
  <r>
    <s v="1-02-02-04-001"/>
    <m/>
    <s v="ELECTRICAL INSTALLATIONS"/>
    <s v="1-02-02-04-001ELECTRICAL INSTALLATIONS"/>
    <x v="0"/>
    <x v="2"/>
    <x v="3"/>
    <s v="Electrical Installations"/>
    <s v="PILER"/>
    <n v="4970458"/>
    <n v="0"/>
    <n v="0"/>
    <n v="0"/>
    <n v="4970458"/>
    <n v="0"/>
    <x v="96"/>
  </r>
  <r>
    <s v="1-02-02-04-002"/>
    <m/>
    <s v="ACCUMULATED DEPRECIATION ELECT"/>
    <s v="1-02-02-04-002ACCUMULATED DEPRECIATION ELECT"/>
    <x v="0"/>
    <x v="2"/>
    <x v="3"/>
    <s v="Acc Dep - Electrical Installations"/>
    <s v="PILER"/>
    <n v="68126"/>
    <n v="4204569"/>
    <n v="0"/>
    <n v="358157"/>
    <n v="68126"/>
    <n v="4562726"/>
    <x v="97"/>
  </r>
  <r>
    <s v="1-02-02-05-001"/>
    <m/>
    <s v="OFFICE EQUIPMENTS"/>
    <s v="1-02-02-05-001OFFICE EQUIPMENTS"/>
    <x v="0"/>
    <x v="2"/>
    <x v="3"/>
    <s v="Other Equipments"/>
    <s v="PILER"/>
    <n v="911914"/>
    <n v="0"/>
    <n v="0"/>
    <n v="0"/>
    <n v="911914"/>
    <n v="0"/>
    <x v="98"/>
  </r>
  <r>
    <s v="1-02-02-05-002"/>
    <m/>
    <s v="ACCUMULATED DEPRECIATION OTHER"/>
    <s v="1-02-02-05-002ACCUMULATED DEPRECIATION OTHER"/>
    <x v="0"/>
    <x v="2"/>
    <x v="3"/>
    <s v="Acc Dep - Other Equipments"/>
    <s v="PILER"/>
    <n v="77185"/>
    <n v="965663"/>
    <n v="0"/>
    <n v="892"/>
    <n v="77185"/>
    <n v="966555"/>
    <x v="99"/>
  </r>
  <r>
    <s v="1-02-02-06-001"/>
    <m/>
    <s v="FURNITURE &amp; FIXTURES"/>
    <s v="1-02-02-06-001FURNITURE &amp; FIXTURES"/>
    <x v="0"/>
    <x v="2"/>
    <x v="3"/>
    <s v="Furniture And Fixture"/>
    <s v="PILER"/>
    <n v="170000"/>
    <n v="170000"/>
    <n v="0"/>
    <n v="0"/>
    <n v="170000"/>
    <n v="170000"/>
    <x v="1"/>
  </r>
  <r>
    <s v="1-02-02-06-002"/>
    <m/>
    <s v="ACCUMULATED DEPRECIATION F &amp; F"/>
    <s v="1-02-02-06-002ACCUMULATED DEPRECIATION F &amp; F"/>
    <x v="0"/>
    <x v="2"/>
    <x v="3"/>
    <s v="Acc Dep - Furniture And Fixture"/>
    <s v="PILER"/>
    <n v="45012"/>
    <n v="892293"/>
    <n v="0"/>
    <n v="1093"/>
    <n v="45012"/>
    <n v="893386"/>
    <x v="100"/>
  </r>
  <r>
    <s v="1-02-02-07-001"/>
    <m/>
    <s v="COMPUTER &amp; LAPTOPS"/>
    <s v="1-02-02-07-001COMPUTER &amp; LAPTOPS"/>
    <x v="0"/>
    <x v="2"/>
    <x v="3"/>
    <s v="Computer Equipments"/>
    <s v="PILER"/>
    <n v="2903533"/>
    <n v="0"/>
    <n v="3000"/>
    <n v="0"/>
    <n v="2906533"/>
    <n v="0"/>
    <x v="101"/>
  </r>
  <r>
    <s v="1-02-02-07-002"/>
    <m/>
    <s v="ACCUMULATED DEPRECIATION COMPU"/>
    <s v="1-02-02-07-002ACCUMULATED DEPRECIATION COMPU"/>
    <x v="0"/>
    <x v="2"/>
    <x v="3"/>
    <s v="Acc Dep - Computer Equipments"/>
    <s v="PILER"/>
    <n v="5854"/>
    <n v="2909388"/>
    <n v="0"/>
    <n v="0"/>
    <n v="5854"/>
    <n v="2909388"/>
    <x v="102"/>
  </r>
  <r>
    <s v="1-02-02-07-003"/>
    <m/>
    <s v="COMPUTER SOFTWARE"/>
    <s v="1-02-02-07-003COMPUTER SOFTWARE"/>
    <x v="0"/>
    <x v="2"/>
    <x v="4"/>
    <s v="Cost"/>
    <s v="PILER"/>
    <n v="886711"/>
    <n v="429522"/>
    <n v="0"/>
    <n v="0"/>
    <n v="886711"/>
    <n v="429522"/>
    <x v="103"/>
  </r>
  <r>
    <s v="1-02-02-07-004"/>
    <m/>
    <s v="AMMORTIZATION OF SOFTWARE LICS"/>
    <s v="1-02-02-07-004AMMORTIZATION OF SOFTWARE LICS"/>
    <x v="0"/>
    <x v="2"/>
    <x v="4"/>
    <s v="Accumulated Amortisation"/>
    <s v="PILER"/>
    <n v="122813"/>
    <n v="574186.66666666674"/>
    <n v="0"/>
    <n v="76888"/>
    <n v="122813"/>
    <n v="651074.66666666674"/>
    <x v="104"/>
  </r>
  <r>
    <s v="1-02-02-07-004"/>
    <m/>
    <s v="AMMORTIZATION OF SOFTWARE LICS"/>
    <s v="1-02-02-07-004AMMORTIZATION OF SOFTWARE LICS"/>
    <x v="0"/>
    <x v="2"/>
    <x v="4"/>
    <s v="Accumulated Amortisation"/>
    <s v="ETI"/>
    <n v="122813"/>
    <n v="574186.66666666674"/>
    <n v="0"/>
    <n v="0"/>
    <n v="122813"/>
    <n v="574186.66666666674"/>
    <x v="105"/>
  </r>
  <r>
    <s v="1-02-02-08-001"/>
    <m/>
    <s v="MOTOR VEHICLES"/>
    <s v="1-02-02-08-001MOTOR VEHICLES"/>
    <x v="0"/>
    <x v="2"/>
    <x v="3"/>
    <s v="Vehicles"/>
    <s v="PILER"/>
    <n v="2534605"/>
    <n v="1426000"/>
    <n v="0"/>
    <n v="0"/>
    <n v="2534605"/>
    <n v="1426000"/>
    <x v="106"/>
  </r>
  <r>
    <s v="1-02-02-08-002"/>
    <m/>
    <s v="ACCUMULTED DEPRECIATION MOTORS"/>
    <s v="1-02-02-08-002ACCUMULTED DEPRECIATION MOTORS"/>
    <x v="0"/>
    <x v="2"/>
    <x v="3"/>
    <s v="Acc Dep - Vehicles"/>
    <s v="PILER"/>
    <n v="1384994"/>
    <n v="2493599"/>
    <n v="0"/>
    <n v="0"/>
    <n v="1384994"/>
    <n v="2493599"/>
    <x v="107"/>
  </r>
  <r>
    <s v="1-02-02-09-001"/>
    <m/>
    <s v="BOOKS"/>
    <s v="1-02-02-09-001BOOKS"/>
    <x v="0"/>
    <x v="2"/>
    <x v="3"/>
    <s v="Books"/>
    <s v="PILER"/>
    <n v="308439"/>
    <n v="0"/>
    <n v="0"/>
    <n v="0"/>
    <n v="308439"/>
    <n v="0"/>
    <x v="108"/>
  </r>
  <r>
    <s v="1-02-02-09-002"/>
    <m/>
    <s v="ACCUMULTED DEPRECIATION BOOKS"/>
    <s v="1-02-02-09-002ACCUMULTED DEPRECIATION BOOKS"/>
    <x v="0"/>
    <x v="2"/>
    <x v="3"/>
    <s v="Acc Dep - Books"/>
    <s v="PILER"/>
    <n v="0"/>
    <n v="308439"/>
    <n v="0"/>
    <n v="0"/>
    <n v="0"/>
    <n v="308439"/>
    <x v="109"/>
  </r>
  <r>
    <s v="2-01-01-01-010"/>
    <m/>
    <s v="AUDIT FEE PAYABLE"/>
    <s v="2-01-01-01-010AUDIT FEE PAYABLE"/>
    <x v="0"/>
    <x v="3"/>
    <x v="5"/>
    <s v="Accrued Expenses"/>
    <s v="PILER"/>
    <n v="2565440"/>
    <n v="3257362"/>
    <n v="432000"/>
    <n v="0"/>
    <n v="2997440"/>
    <n v="3257362"/>
    <x v="110"/>
  </r>
  <r>
    <s v="2-01-01-01-023"/>
    <m/>
    <s v="PAYABLE TO SOLIDARITY"/>
    <s v="2-01-01-01-023PAYABLE TO SOLIDARITY"/>
    <x v="0"/>
    <x v="3"/>
    <x v="5"/>
    <s v="Other Liabilities"/>
    <s v="PILER"/>
    <n v="0"/>
    <n v="368297"/>
    <n v="0"/>
    <n v="0"/>
    <n v="0"/>
    <n v="368297"/>
    <x v="111"/>
  </r>
  <r>
    <s v="2-01-01-01-025"/>
    <m/>
    <s v="PAYABLE TO HAMZA GABOOL"/>
    <s v="2-01-01-01-025PAYABLE TO HAMZA GABOOL"/>
    <x v="0"/>
    <x v="3"/>
    <x v="5"/>
    <s v="Other Liabilities"/>
    <s v="PILER"/>
    <n v="0"/>
    <n v="177"/>
    <n v="0"/>
    <n v="0"/>
    <n v="0"/>
    <n v="177"/>
    <x v="112"/>
  </r>
  <r>
    <s v="2-01-01-01-026"/>
    <m/>
    <s v="PAYABLE TO IDRC"/>
    <s v="2-01-01-01-026PAYABLE TO IDRC"/>
    <x v="0"/>
    <x v="3"/>
    <x v="5"/>
    <s v="Other Liabilities"/>
    <s v="PILER"/>
    <n v="0"/>
    <n v="251835"/>
    <n v="0"/>
    <n v="0"/>
    <n v="0"/>
    <n v="251835"/>
    <x v="113"/>
  </r>
  <r>
    <s v="2-01-01-01-026"/>
    <m/>
    <s v="PAYABLE TO IDRC"/>
    <s v="2-01-01-01-026PAYABLE TO IDRC"/>
    <x v="0"/>
    <x v="3"/>
    <x v="5"/>
    <s v="Other Liabilities"/>
    <s v="Karachi"/>
    <n v="0"/>
    <n v="251835"/>
    <n v="0"/>
    <n v="0"/>
    <n v="0"/>
    <n v="251835"/>
    <x v="113"/>
  </r>
  <r>
    <s v="2-01-01-01-030"/>
    <m/>
    <s v="PAYABLE TO SHUJAUDDIN"/>
    <s v="2-01-01-01-030PAYABLE TO SHUJAUDDIN"/>
    <x v="0"/>
    <x v="3"/>
    <x v="5"/>
    <s v="Other Liabilities"/>
    <s v="Trocaire"/>
    <n v="0"/>
    <n v="50"/>
    <n v="0"/>
    <n v="0"/>
    <n v="0"/>
    <n v="50"/>
    <x v="114"/>
  </r>
  <r>
    <s v="2-01-01-01-030"/>
    <m/>
    <s v="PAYABLE TO SHUJAUDDIN"/>
    <s v="2-01-01-01-030PAYABLE TO SHUJAUDDIN"/>
    <x v="0"/>
    <x v="3"/>
    <x v="5"/>
    <s v="Other Liabilities"/>
    <s v="Open Socie"/>
    <n v="0"/>
    <n v="50"/>
    <n v="0"/>
    <n v="0"/>
    <n v="0"/>
    <n v="50"/>
    <x v="114"/>
  </r>
  <r>
    <s v="2-01-01-01-031"/>
    <m/>
    <s v="NEPAL EARTHQUAKE"/>
    <s v="2-01-01-01-031NEPAL EARTHQUAKE"/>
    <x v="0"/>
    <x v="3"/>
    <x v="5"/>
    <s v="Other Liabilities"/>
    <s v="PILER"/>
    <n v="0"/>
    <n v="75698"/>
    <n v="0"/>
    <n v="0"/>
    <n v="0"/>
    <n v="75698"/>
    <x v="115"/>
  </r>
  <r>
    <s v="2-01-01-01-033"/>
    <m/>
    <s v="PAYABLE TO MULA BUKSH"/>
    <s v="2-01-01-01-033PAYABLE TO MULA BUKSH"/>
    <x v="0"/>
    <x v="3"/>
    <x v="5"/>
    <s v="Other Liabilities"/>
    <s v="TAF"/>
    <n v="0"/>
    <n v="464"/>
    <n v="0"/>
    <n v="0"/>
    <n v="0"/>
    <n v="464"/>
    <x v="116"/>
  </r>
  <r>
    <s v="2-01-01-01-034"/>
    <m/>
    <s v="PAYABLE TO ALTAF HUSSAIN"/>
    <s v="2-01-01-01-034PAYABLE TO ALTAF HUSSAIN"/>
    <x v="0"/>
    <x v="3"/>
    <x v="5"/>
    <s v="Other Liabilities"/>
    <s v="PILER"/>
    <n v="0"/>
    <n v="500"/>
    <n v="0"/>
    <n v="0"/>
    <n v="0"/>
    <n v="500"/>
    <x v="117"/>
  </r>
  <r>
    <s v="2-01-01-01-036"/>
    <m/>
    <s v="PAYABLE TO SPO"/>
    <s v="2-01-01-01-036PAYABLE TO SPO"/>
    <x v="0"/>
    <x v="3"/>
    <x v="5"/>
    <s v="Other Liabilities"/>
    <s v="UNICEF-2"/>
    <n v="0"/>
    <n v="35940"/>
    <n v="0"/>
    <n v="0"/>
    <n v="0"/>
    <n v="35940"/>
    <x v="118"/>
  </r>
  <r>
    <s v="2-01-01-01-037"/>
    <m/>
    <s v="PAYABLE TO GOHAR"/>
    <s v="2-01-01-01-037PAYABLE TO GOHAR"/>
    <x v="0"/>
    <x v="3"/>
    <x v="5"/>
    <s v="Other Liabilities"/>
    <s v="PILER"/>
    <n v="0"/>
    <n v="68623"/>
    <n v="0"/>
    <n v="0"/>
    <n v="0"/>
    <n v="68623"/>
    <x v="119"/>
  </r>
  <r>
    <s v="2-01-01-01-038"/>
    <m/>
    <s v="Payable to Danish"/>
    <s v="2-01-01-01-038Payable to Danish"/>
    <x v="0"/>
    <x v="3"/>
    <x v="5"/>
    <s v="Other Liabilities"/>
    <s v="DAI"/>
    <n v="0"/>
    <n v="275"/>
    <n v="0"/>
    <n v="0"/>
    <n v="0"/>
    <n v="275"/>
    <x v="120"/>
  </r>
  <r>
    <s v="2-01-01-01-040"/>
    <m/>
    <s v="Payable to Zulfiqar Ali Shah"/>
    <s v="2-01-01-01-040Payable to Zulfiqar Ali Shah"/>
    <x v="0"/>
    <x v="3"/>
    <x v="5"/>
    <s v="Other Liabilities"/>
    <s v="Open Socie"/>
    <n v="0"/>
    <n v="370"/>
    <n v="0"/>
    <n v="0"/>
    <n v="0"/>
    <n v="370"/>
    <x v="121"/>
  </r>
  <r>
    <s v="2-01-01-02-001"/>
    <m/>
    <s v="PAKISTAN LABOUR TRUST"/>
    <s v="2-01-01-02-001PAKISTAN LABOUR TRUST"/>
    <x v="0"/>
    <x v="3"/>
    <x v="6"/>
    <s v="Pakistan Labour Trust"/>
    <s v="PILER"/>
    <n v="8323684"/>
    <n v="8323684"/>
    <n v="0"/>
    <n v="0"/>
    <n v="8323684"/>
    <n v="8323684"/>
    <x v="1"/>
  </r>
  <r>
    <s v="2-01-01-02-016"/>
    <m/>
    <s v="PAYABLE TO TROCAIRE-MLRRS"/>
    <s v="2-01-01-02-016PAYABLE TO TROCAIRE-MLRRS"/>
    <x v="0"/>
    <x v="3"/>
    <x v="5"/>
    <s v="Other Liabilities"/>
    <s v="PILER"/>
    <n v="0"/>
    <n v="143529"/>
    <n v="0"/>
    <n v="0"/>
    <n v="0"/>
    <n v="143529"/>
    <x v="122"/>
  </r>
  <r>
    <s v="2-01-01-02-016"/>
    <m/>
    <s v="PAYABLE TO TROCAIRE-MLRRS"/>
    <s v="2-01-01-02-016PAYABLE TO TROCAIRE-MLRRS"/>
    <x v="0"/>
    <x v="3"/>
    <x v="5"/>
    <s v="Other Liabilities"/>
    <s v="TAF"/>
    <n v="0"/>
    <n v="143529"/>
    <n v="0"/>
    <n v="0"/>
    <n v="0"/>
    <n v="143529"/>
    <x v="122"/>
  </r>
  <r>
    <s v="2-01-01-02-016"/>
    <m/>
    <s v="PAYABLE TO TROCAIRE-MLRRS"/>
    <s v="2-01-01-02-016PAYABLE TO TROCAIRE-MLRRS"/>
    <x v="0"/>
    <x v="3"/>
    <x v="5"/>
    <s v="Other Liabilities"/>
    <s v="SHORT"/>
    <n v="0"/>
    <n v="143529"/>
    <n v="0"/>
    <n v="0"/>
    <n v="0"/>
    <n v="143529"/>
    <x v="122"/>
  </r>
  <r>
    <s v="2-01-01-02-016"/>
    <m/>
    <s v="PAYABLE TO TROCAIRE-MLRRS"/>
    <s v="2-01-01-02-016PAYABLE TO TROCAIRE-MLRRS"/>
    <x v="0"/>
    <x v="3"/>
    <x v="5"/>
    <s v="Other Liabilities"/>
    <s v="UNICEF-3"/>
    <n v="0"/>
    <n v="143529"/>
    <n v="0"/>
    <n v="0"/>
    <n v="0"/>
    <n v="143529"/>
    <x v="122"/>
  </r>
  <r>
    <s v="2-01-01-02-017"/>
    <m/>
    <s v="PAYABLE TO PILER OWN"/>
    <s v="2-01-01-02-017PAYABLE TO PILER OWN"/>
    <x v="0"/>
    <x v="3"/>
    <x v="5"/>
    <s v="Other Liabilities"/>
    <s v="Unicef"/>
    <n v="384219"/>
    <n v="2640536"/>
    <n v="0"/>
    <n v="0"/>
    <n v="384219"/>
    <n v="2640536"/>
    <x v="123"/>
  </r>
  <r>
    <s v="2-01-01-02-017"/>
    <m/>
    <s v="PAYABLE TO PILER OWN"/>
    <s v="2-01-01-02-017PAYABLE TO PILER OWN"/>
    <x v="0"/>
    <x v="3"/>
    <x v="5"/>
    <s v="Other Liabilities"/>
    <s v="Trocaire"/>
    <m/>
    <m/>
    <n v="0"/>
    <n v="0"/>
    <n v="0"/>
    <n v="0"/>
    <x v="1"/>
  </r>
  <r>
    <s v="2-01-01-02-017"/>
    <m/>
    <s v="PAYABLE TO PILER OWN"/>
    <s v="2-01-01-02-017PAYABLE TO PILER OWN"/>
    <x v="0"/>
    <x v="3"/>
    <x v="5"/>
    <s v="Other Liabilities"/>
    <s v="Deezire"/>
    <m/>
    <m/>
    <n v="0"/>
    <n v="0"/>
    <n v="0"/>
    <n v="0"/>
    <x v="1"/>
  </r>
  <r>
    <s v="2-01-01-02-017"/>
    <m/>
    <s v="PAYABLE TO PILER OWN"/>
    <s v="2-01-01-02-017PAYABLE TO PILER OWN"/>
    <x v="0"/>
    <x v="3"/>
    <x v="5"/>
    <s v="Other Liabilities"/>
    <s v="PILER"/>
    <m/>
    <m/>
    <n v="0"/>
    <n v="27914"/>
    <n v="0"/>
    <n v="27914"/>
    <x v="124"/>
  </r>
  <r>
    <s v="2-01-01-02-017"/>
    <m/>
    <s v="PAYABLE TO PILER OWN"/>
    <s v="2-01-01-02-017PAYABLE TO PILER OWN"/>
    <x v="0"/>
    <x v="3"/>
    <x v="5"/>
    <s v="Other Liabilities"/>
    <s v="ICCO"/>
    <m/>
    <m/>
    <n v="0"/>
    <n v="0"/>
    <n v="0"/>
    <n v="0"/>
    <x v="1"/>
  </r>
  <r>
    <s v="2-01-01-02-017"/>
    <m/>
    <s v="PAYABLE TO PILER OWN"/>
    <s v="2-01-01-02-017PAYABLE TO PILER OWN"/>
    <x v="0"/>
    <x v="3"/>
    <x v="5"/>
    <s v="Other Liabilities"/>
    <s v="TDH &amp; MI"/>
    <m/>
    <m/>
    <n v="0"/>
    <n v="0"/>
    <n v="0"/>
    <n v="0"/>
    <x v="1"/>
  </r>
  <r>
    <s v="2-01-01-02-017"/>
    <m/>
    <s v="PAYABLE TO PILER OWN"/>
    <s v="2-01-01-02-017PAYABLE TO PILER OWN"/>
    <x v="0"/>
    <x v="3"/>
    <x v="5"/>
    <s v="Other Liabilities"/>
    <s v="TAF"/>
    <n v="384219"/>
    <n v="2640536"/>
    <n v="0"/>
    <n v="0"/>
    <n v="384219"/>
    <n v="2640536"/>
    <x v="123"/>
  </r>
  <r>
    <s v="2-01-01-02-017"/>
    <m/>
    <s v="PAYABLE TO PILER OWN"/>
    <s v="2-01-01-02-017PAYABLE TO PILER OWN"/>
    <x v="0"/>
    <x v="3"/>
    <x v="5"/>
    <s v="Other Liabilities"/>
    <s v="TDH"/>
    <m/>
    <m/>
    <n v="0"/>
    <n v="0"/>
    <n v="0"/>
    <n v="0"/>
    <x v="1"/>
  </r>
  <r>
    <s v="2-01-01-02-017"/>
    <m/>
    <s v="PAYABLE TO PILER OWN"/>
    <s v="2-01-01-02-017PAYABLE TO PILER OWN"/>
    <x v="0"/>
    <x v="3"/>
    <x v="5"/>
    <s v="Other Liabilities"/>
    <s v="SHORT"/>
    <m/>
    <m/>
    <n v="0"/>
    <n v="0"/>
    <n v="0"/>
    <n v="0"/>
    <x v="1"/>
  </r>
  <r>
    <s v="2-01-01-02-017"/>
    <m/>
    <s v="PAYABLE TO PILER OWN"/>
    <s v="2-01-01-02-017PAYABLE TO PILER OWN"/>
    <x v="0"/>
    <x v="3"/>
    <x v="5"/>
    <s v="Other Liabilities"/>
    <s v="UNICEF-2"/>
    <m/>
    <m/>
    <n v="0"/>
    <n v="0"/>
    <n v="0"/>
    <n v="0"/>
    <x v="1"/>
  </r>
  <r>
    <s v="2-01-01-02-017"/>
    <m/>
    <s v="PAYABLE TO PILER OWN"/>
    <s v="2-01-01-02-017PAYABLE TO PILER OWN"/>
    <x v="0"/>
    <x v="3"/>
    <x v="5"/>
    <s v="Other Liabilities"/>
    <s v="UNICEF-3"/>
    <m/>
    <m/>
    <n v="0"/>
    <n v="0"/>
    <n v="0"/>
    <n v="0"/>
    <x v="1"/>
  </r>
  <r>
    <s v="2-01-01-02-017"/>
    <m/>
    <s v="PAYABLE TO PILER OWN"/>
    <s v="2-01-01-02-017PAYABLE TO PILER OWN"/>
    <x v="0"/>
    <x v="3"/>
    <x v="5"/>
    <s v="Other Liabilities"/>
    <s v="RRCCHR"/>
    <m/>
    <m/>
    <n v="0"/>
    <n v="0"/>
    <n v="0"/>
    <n v="0"/>
    <x v="1"/>
  </r>
  <r>
    <s v="2-01-01-02-017"/>
    <m/>
    <s v="PAYABLE TO PILER OWN"/>
    <s v="2-01-01-02-017PAYABLE TO PILER OWN"/>
    <x v="0"/>
    <x v="3"/>
    <x v="5"/>
    <s v="Other Liabilities"/>
    <s v="Open Socie"/>
    <m/>
    <m/>
    <n v="0"/>
    <n v="0"/>
    <n v="0"/>
    <n v="0"/>
    <x v="1"/>
  </r>
  <r>
    <s v="2-01-01-02-017"/>
    <m/>
    <s v="PAYABLE TO PILER OWN"/>
    <s v="2-01-01-02-017PAYABLE TO PILER OWN"/>
    <x v="0"/>
    <x v="3"/>
    <x v="5"/>
    <s v="Other Liabilities"/>
    <s v="ETI"/>
    <m/>
    <m/>
    <n v="0"/>
    <n v="0"/>
    <n v="0"/>
    <n v="0"/>
    <x v="1"/>
  </r>
  <r>
    <s v="2-01-01-02-017"/>
    <m/>
    <s v="PAYABLE TO PILER OWN"/>
    <s v="2-01-01-02-017PAYABLE TO PILER OWN"/>
    <x v="0"/>
    <x v="3"/>
    <x v="5"/>
    <s v="Other Liabilities"/>
    <s v="FOSI"/>
    <m/>
    <m/>
    <n v="0"/>
    <n v="0"/>
    <n v="0"/>
    <n v="0"/>
    <x v="1"/>
  </r>
  <r>
    <s v="2-01-01-02-017"/>
    <m/>
    <s v="PAYABLE TO PILER OWN"/>
    <s v="2-01-01-02-017PAYABLE TO PILER OWN"/>
    <x v="0"/>
    <x v="3"/>
    <x v="5"/>
    <s v="Other Liabilities"/>
    <s v="FNV"/>
    <m/>
    <m/>
    <n v="0"/>
    <n v="0"/>
    <n v="0"/>
    <n v="0"/>
    <x v="1"/>
  </r>
  <r>
    <s v="2-01-01-02-017"/>
    <m/>
    <s v="PAYABLE TO PILER OWN"/>
    <s v="2-01-01-02-017PAYABLE TO PILER OWN"/>
    <x v="0"/>
    <x v="3"/>
    <x v="5"/>
    <s v="Other Liabilities"/>
    <s v="DAI"/>
    <m/>
    <m/>
    <n v="0"/>
    <n v="0"/>
    <n v="0"/>
    <n v="0"/>
    <x v="1"/>
  </r>
  <r>
    <s v="2-01-01-02-017"/>
    <m/>
    <s v="PAYABLE TO PILER OWN"/>
    <s v="2-01-01-02-017PAYABLE TO PILER OWN"/>
    <x v="0"/>
    <x v="3"/>
    <x v="5"/>
    <s v="Other Liabilities"/>
    <s v="GRC"/>
    <m/>
    <m/>
    <n v="183464"/>
    <n v="208133"/>
    <n v="183464"/>
    <n v="208133"/>
    <x v="125"/>
  </r>
  <r>
    <s v="2-01-01-02-017"/>
    <m/>
    <s v="PAYABLE TO PILER OWN"/>
    <s v="2-01-01-02-017PAYABLE TO PILER OWN"/>
    <x v="0"/>
    <x v="3"/>
    <x v="5"/>
    <s v="Other Liabilities"/>
    <s v="GRC Own"/>
    <m/>
    <m/>
    <n v="1149765"/>
    <n v="1143660"/>
    <n v="1149765"/>
    <n v="1143660"/>
    <x v="126"/>
  </r>
  <r>
    <s v="2-01-01-02-019"/>
    <m/>
    <s v="PAYABLE TO UNICEF"/>
    <s v="2-01-01-02-019PAYABLE TO UNICEF"/>
    <x v="0"/>
    <x v="3"/>
    <x v="5"/>
    <s v="Other Liabilities"/>
    <s v="PILER"/>
    <n v="0"/>
    <n v="2935000"/>
    <n v="0"/>
    <n v="0"/>
    <n v="0"/>
    <n v="2935000"/>
    <x v="127"/>
  </r>
  <r>
    <s v="2-01-01-02-020"/>
    <m/>
    <s v="PAYABLE TO TDH-MI"/>
    <s v="2-01-01-02-020PAYABLE TO TDH-MI"/>
    <x v="0"/>
    <x v="3"/>
    <x v="5"/>
    <s v="Other Liabilities"/>
    <s v="PILER"/>
    <n v="0"/>
    <n v="1931265"/>
    <n v="0"/>
    <n v="0"/>
    <n v="0"/>
    <n v="1931265"/>
    <x v="128"/>
  </r>
  <r>
    <s v="2-01-01-02-020"/>
    <m/>
    <s v="PAYABLE TO TDH-MI"/>
    <s v="2-01-01-02-020PAYABLE TO TDH-MI"/>
    <x v="0"/>
    <x v="3"/>
    <x v="5"/>
    <s v="Other Liabilities"/>
    <s v="TDH"/>
    <n v="0"/>
    <m/>
    <n v="0"/>
    <n v="0"/>
    <n v="0"/>
    <n v="0"/>
    <x v="1"/>
  </r>
  <r>
    <s v="2-01-01-02-021"/>
    <m/>
    <s v="PAYABLE TO ICCO PROJECT-THSW"/>
    <s v="2-01-01-02-021PAYABLE TO ICCO PROJECT-THSW"/>
    <x v="0"/>
    <x v="3"/>
    <x v="5"/>
    <s v="Other Liabilities"/>
    <s v="PILER"/>
    <n v="0"/>
    <n v="299904"/>
    <n v="0"/>
    <n v="0"/>
    <n v="0"/>
    <n v="299904"/>
    <x v="129"/>
  </r>
  <r>
    <s v="2-01-01-02-022"/>
    <m/>
    <s v="PAYABLE TO KHADIM"/>
    <s v="2-01-01-02-022PAYABLE TO KHADIM"/>
    <x v="0"/>
    <x v="3"/>
    <x v="5"/>
    <s v="Other Liabilities"/>
    <s v="PILER"/>
    <n v="0"/>
    <n v="131479"/>
    <n v="0"/>
    <n v="0"/>
    <n v="0"/>
    <n v="131479"/>
    <x v="130"/>
  </r>
  <r>
    <s v="2-01-01-02-022"/>
    <m/>
    <s v="PAYABLE TO KHADIM"/>
    <s v="2-01-01-02-022PAYABLE TO KHADIM"/>
    <x v="0"/>
    <x v="3"/>
    <x v="5"/>
    <s v="Other Liabilities"/>
    <s v="SHORT"/>
    <n v="0"/>
    <m/>
    <n v="0"/>
    <n v="0"/>
    <n v="0"/>
    <n v="0"/>
    <x v="1"/>
  </r>
  <r>
    <s v="2-01-01-02-026"/>
    <m/>
    <s v="PAYABLE TO TAF"/>
    <s v="2-01-01-02-026PAYABLE TO TAF"/>
    <x v="0"/>
    <x v="3"/>
    <x v="5"/>
    <s v="Other Liabilities"/>
    <s v="PILER"/>
    <n v="0"/>
    <n v="391647"/>
    <n v="0"/>
    <n v="0"/>
    <n v="0"/>
    <n v="391647"/>
    <x v="131"/>
  </r>
  <r>
    <s v="2-01-01-02-026"/>
    <m/>
    <s v="PAYABLE TO TAF"/>
    <s v="2-01-01-02-026PAYABLE TO TAF"/>
    <x v="0"/>
    <x v="3"/>
    <x v="5"/>
    <s v="Other Liabilities"/>
    <s v="UNICEF-3"/>
    <n v="0"/>
    <m/>
    <n v="0"/>
    <n v="0"/>
    <n v="0"/>
    <n v="0"/>
    <x v="1"/>
  </r>
  <r>
    <s v="2-01-01-02-027"/>
    <m/>
    <s v="PAYABLE TO PERVEZ"/>
    <s v="2-01-01-02-027PAYABLE TO PERVEZ"/>
    <x v="0"/>
    <x v="3"/>
    <x v="5"/>
    <s v="Other Liabilities"/>
    <s v="Unicef"/>
    <n v="0"/>
    <n v="2020"/>
    <n v="0"/>
    <n v="0"/>
    <n v="0"/>
    <n v="2020"/>
    <x v="132"/>
  </r>
  <r>
    <s v="2-01-01-02-027"/>
    <m/>
    <s v="PAYABLE TO PERVEZ"/>
    <s v="2-01-01-02-027PAYABLE TO PERVEZ"/>
    <x v="0"/>
    <x v="3"/>
    <x v="5"/>
    <s v="Other Liabilities"/>
    <s v="Deezire"/>
    <n v="0"/>
    <m/>
    <n v="0"/>
    <n v="0"/>
    <n v="0"/>
    <n v="0"/>
    <x v="1"/>
  </r>
  <r>
    <s v="2-01-01-02-027"/>
    <m/>
    <s v="PAYABLE TO PERVEZ"/>
    <s v="2-01-01-02-027PAYABLE TO PERVEZ"/>
    <x v="0"/>
    <x v="3"/>
    <x v="5"/>
    <s v="Other Liabilities"/>
    <s v="PILER"/>
    <n v="0"/>
    <m/>
    <n v="0"/>
    <n v="0"/>
    <n v="0"/>
    <n v="0"/>
    <x v="1"/>
  </r>
  <r>
    <s v="2-01-01-02-027"/>
    <m/>
    <s v="PAYABLE TO PERVEZ"/>
    <s v="2-01-01-02-027PAYABLE TO PERVEZ"/>
    <x v="0"/>
    <x v="3"/>
    <x v="5"/>
    <s v="Other Liabilities"/>
    <s v="SHORT"/>
    <n v="0"/>
    <m/>
    <n v="0"/>
    <n v="0"/>
    <n v="0"/>
    <n v="0"/>
    <x v="1"/>
  </r>
  <r>
    <s v="2-01-01-02-027"/>
    <m/>
    <s v="PAYABLE TO PERVEZ"/>
    <s v="2-01-01-02-027PAYABLE TO PERVEZ"/>
    <x v="0"/>
    <x v="3"/>
    <x v="5"/>
    <s v="Other Liabilities"/>
    <s v="UNICEF-2"/>
    <n v="0"/>
    <m/>
    <n v="0"/>
    <n v="0"/>
    <n v="0"/>
    <n v="0"/>
    <x v="1"/>
  </r>
  <r>
    <s v="2-01-01-02-027"/>
    <m/>
    <s v="PAYABLE TO PERVEZ"/>
    <s v="2-01-01-02-027PAYABLE TO PERVEZ"/>
    <x v="0"/>
    <x v="3"/>
    <x v="5"/>
    <s v="Other Liabilities"/>
    <s v="DAI"/>
    <n v="0"/>
    <m/>
    <n v="0"/>
    <n v="0"/>
    <n v="0"/>
    <n v="0"/>
    <x v="1"/>
  </r>
  <r>
    <s v="2-01-01-02-031"/>
    <m/>
    <s v="PAYABLE TO DEZAIRE"/>
    <s v="2-01-01-02-031PAYABLE TO DEZAIRE"/>
    <x v="0"/>
    <x v="3"/>
    <x v="5"/>
    <s v="Other Liabilities"/>
    <s v="PILER"/>
    <n v="0"/>
    <n v="3516379.55"/>
    <n v="0"/>
    <n v="0"/>
    <n v="0"/>
    <n v="3516379.55"/>
    <x v="133"/>
  </r>
  <r>
    <s v="2-01-01-02-031"/>
    <m/>
    <s v="PAYABLE TO DEZAIRE"/>
    <s v="2-01-01-02-031PAYABLE TO DEZAIRE"/>
    <x v="0"/>
    <x v="3"/>
    <x v="5"/>
    <s v="Other Liabilities"/>
    <s v="SHORT"/>
    <n v="0"/>
    <m/>
    <n v="0"/>
    <n v="0"/>
    <n v="0"/>
    <n v="0"/>
    <x v="1"/>
  </r>
  <r>
    <s v="2-01-01-02-031"/>
    <m/>
    <s v="PAYABLE TO DEZAIRE"/>
    <s v="2-01-01-02-031PAYABLE TO DEZAIRE"/>
    <x v="0"/>
    <x v="3"/>
    <x v="5"/>
    <s v="Other Liabilities"/>
    <s v="Open Socie"/>
    <n v="0"/>
    <m/>
    <n v="0"/>
    <n v="0"/>
    <n v="0"/>
    <n v="0"/>
    <x v="1"/>
  </r>
  <r>
    <s v="2-01-01-02-031"/>
    <m/>
    <s v="PAYABLE TO DEZAIRE"/>
    <s v="2-01-01-02-031PAYABLE TO DEZAIRE"/>
    <x v="0"/>
    <x v="3"/>
    <x v="5"/>
    <s v="Other Liabilities"/>
    <s v="FNV"/>
    <n v="0"/>
    <m/>
    <n v="0"/>
    <n v="0"/>
    <n v="0"/>
    <n v="0"/>
    <x v="1"/>
  </r>
  <r>
    <s v="2-01-01-02-033"/>
    <m/>
    <s v="PLT LOAN PAYABLE"/>
    <s v="2-01-01-02-033PLT LOAN PAYABLE"/>
    <x v="0"/>
    <x v="3"/>
    <x v="5"/>
    <s v="Other Liabilities"/>
    <s v="PILER"/>
    <n v="36167146"/>
    <n v="72802368"/>
    <n v="0"/>
    <n v="0"/>
    <n v="36167146"/>
    <n v="72802368"/>
    <x v="134"/>
  </r>
  <r>
    <s v="2-01-01-02-035"/>
    <m/>
    <s v="PAYABLE TO M.YOUNIS"/>
    <s v="2-01-01-02-035PAYABLE TO M.YOUNIS"/>
    <x v="0"/>
    <x v="3"/>
    <x v="5"/>
    <s v="Other Liabilities"/>
    <s v="PILER"/>
    <n v="0"/>
    <n v="96906"/>
    <n v="0"/>
    <n v="0"/>
    <n v="0"/>
    <n v="96906"/>
    <x v="135"/>
  </r>
  <r>
    <s v="2-01-01-02-037"/>
    <m/>
    <s v="Payable to Maher Ali"/>
    <s v="2-01-01-02-037Payable to Maher Ali"/>
    <x v="0"/>
    <x v="3"/>
    <x v="5"/>
    <s v="Other Liabilities"/>
    <s v="Open Socie"/>
    <n v="0"/>
    <n v="2"/>
    <n v="0"/>
    <n v="0"/>
    <n v="0"/>
    <n v="2"/>
    <x v="136"/>
  </r>
  <r>
    <s v="2-01-02-01-001"/>
    <m/>
    <s v="SALARIES PAYABLE"/>
    <s v="2-01-02-01-001SALARIES PAYABLE"/>
    <x v="0"/>
    <x v="3"/>
    <x v="5"/>
    <s v="Other Liabilities"/>
    <s v="PILER"/>
    <n v="22599636"/>
    <n v="22546028"/>
    <n v="3178032"/>
    <n v="3144536"/>
    <n v="25777668"/>
    <n v="25690564"/>
    <x v="137"/>
  </r>
  <r>
    <s v="2-01-02-01-001"/>
    <m/>
    <s v="SALARIES PAYABLE"/>
    <s v="2-01-02-01-001SALARIES PAYABLE"/>
    <x v="0"/>
    <x v="3"/>
    <x v="5"/>
    <s v="Other Liabilities"/>
    <s v="UNICEF-3"/>
    <m/>
    <m/>
    <n v="0"/>
    <n v="0"/>
    <n v="0"/>
    <n v="0"/>
    <x v="1"/>
  </r>
  <r>
    <s v="2-01-02-01-001"/>
    <m/>
    <s v="SALARIES PAYABLE"/>
    <s v="2-01-02-01-001SALARIES PAYABLE"/>
    <x v="0"/>
    <x v="3"/>
    <x v="5"/>
    <s v="Other Liabilities"/>
    <s v="DAI"/>
    <m/>
    <m/>
    <n v="0"/>
    <n v="0"/>
    <n v="0"/>
    <n v="0"/>
    <x v="1"/>
  </r>
  <r>
    <s v="2-01-02-01-001"/>
    <m/>
    <s v="SALARIES PAYABLE"/>
    <s v="2-01-02-01-001SALARIES PAYABLE"/>
    <x v="0"/>
    <x v="3"/>
    <x v="5"/>
    <s v="Other Liabilities"/>
    <s v="GRC"/>
    <m/>
    <m/>
    <n v="6109243"/>
    <n v="6142739"/>
    <n v="6109243"/>
    <n v="6142739"/>
    <x v="138"/>
  </r>
  <r>
    <s v="2-01-02-01-004"/>
    <m/>
    <s v="WATER &amp; SEWERAGE BILL"/>
    <s v="2-01-02-01-004WATER &amp; SEWERAGE BILL"/>
    <x v="0"/>
    <x v="3"/>
    <x v="5"/>
    <s v="Other Liabilities"/>
    <s v="PILER"/>
    <n v="0"/>
    <n v="0"/>
    <n v="0"/>
    <n v="0"/>
    <n v="0"/>
    <n v="0"/>
    <x v="1"/>
  </r>
  <r>
    <s v="2-01-02-01-005"/>
    <m/>
    <s v="STAFF LUNCH CONTRIBUTION"/>
    <s v="2-01-02-01-005STAFF LUNCH CONTRIBUTION"/>
    <x v="0"/>
    <x v="3"/>
    <x v="5"/>
    <s v="Other Liabilities"/>
    <s v="PILER"/>
    <n v="55500"/>
    <n v="57900"/>
    <n v="0"/>
    <n v="0"/>
    <n v="55500"/>
    <n v="57900"/>
    <x v="139"/>
  </r>
  <r>
    <s v="2-01-02-01-009"/>
    <m/>
    <s v="ACCRUED LIABILITIES - 2010"/>
    <s v="2-01-02-01-009ACCRUED LIABILITIES - 2010"/>
    <x v="0"/>
    <x v="3"/>
    <x v="5"/>
    <s v="Other Liabilities"/>
    <s v="PILER"/>
    <n v="0"/>
    <n v="0"/>
    <n v="0"/>
    <n v="0"/>
    <n v="0"/>
    <n v="0"/>
    <x v="1"/>
  </r>
  <r>
    <s v="2-01-02-01-011"/>
    <m/>
    <s v="ACCURED EXPENSES"/>
    <s v="2-01-02-01-011ACCURED EXPENSES"/>
    <x v="0"/>
    <x v="3"/>
    <x v="5"/>
    <s v="Accrued Expenses"/>
    <s v="Trocaire"/>
    <n v="5519251"/>
    <n v="4760392.2966282675"/>
    <n v="0"/>
    <n v="0"/>
    <n v="5519251"/>
    <n v="4760392.2966282675"/>
    <x v="140"/>
  </r>
  <r>
    <s v="2-01-02-01-011"/>
    <m/>
    <s v="ACCURED EXPENSES"/>
    <s v="2-01-02-01-011ACCURED EXPENSES"/>
    <x v="0"/>
    <x v="3"/>
    <x v="5"/>
    <s v="Accrued Expenses"/>
    <s v="PILER"/>
    <m/>
    <m/>
    <n v="0"/>
    <n v="0"/>
    <n v="0"/>
    <n v="0"/>
    <x v="1"/>
  </r>
  <r>
    <s v="2-01-02-01-011"/>
    <m/>
    <s v="ACCURED EXPENSES"/>
    <s v="2-01-02-01-011ACCURED EXPENSES"/>
    <x v="0"/>
    <x v="3"/>
    <x v="5"/>
    <s v="Accrued Expenses"/>
    <s v="Karachi"/>
    <m/>
    <m/>
    <n v="0"/>
    <n v="0"/>
    <n v="0"/>
    <n v="0"/>
    <x v="1"/>
  </r>
  <r>
    <s v="2-01-02-01-011"/>
    <m/>
    <s v="ACCURED EXPENSES"/>
    <s v="2-01-02-01-011ACCURED EXPENSES"/>
    <x v="0"/>
    <x v="3"/>
    <x v="5"/>
    <s v="Accrued Expenses"/>
    <s v="SHORT"/>
    <m/>
    <m/>
    <n v="0"/>
    <n v="0"/>
    <n v="0"/>
    <n v="0"/>
    <x v="1"/>
  </r>
  <r>
    <s v="2-01-02-01-011"/>
    <m/>
    <s v="ACCURED EXPENSES"/>
    <s v="2-01-02-01-011ACCURED EXPENSES"/>
    <x v="0"/>
    <x v="3"/>
    <x v="5"/>
    <s v="Accrued Expenses"/>
    <s v="UNICEF-2"/>
    <m/>
    <m/>
    <n v="0"/>
    <n v="0"/>
    <n v="0"/>
    <n v="0"/>
    <x v="1"/>
  </r>
  <r>
    <s v="2-01-02-01-011"/>
    <m/>
    <s v="ACCURED EXPENSES"/>
    <s v="2-01-02-01-011ACCURED EXPENSES"/>
    <x v="0"/>
    <x v="3"/>
    <x v="5"/>
    <s v="Accrued Expenses"/>
    <s v="Open Socie"/>
    <m/>
    <m/>
    <n v="0"/>
    <n v="0"/>
    <n v="0"/>
    <n v="0"/>
    <x v="1"/>
  </r>
  <r>
    <s v="2-01-02-01-011"/>
    <m/>
    <s v="ACCURED EXPENSES"/>
    <s v="2-01-02-01-011ACCURED EXPENSES"/>
    <x v="0"/>
    <x v="3"/>
    <x v="5"/>
    <s v="Accrued Expenses"/>
    <s v="ETI"/>
    <m/>
    <m/>
    <n v="0"/>
    <n v="0"/>
    <n v="0"/>
    <n v="0"/>
    <x v="1"/>
  </r>
  <r>
    <s v="2-01-02-01-011"/>
    <m/>
    <s v="ACCURED EXPENSES"/>
    <s v="2-01-02-01-011ACCURED EXPENSES"/>
    <x v="0"/>
    <x v="3"/>
    <x v="5"/>
    <s v="Accrued Expenses"/>
    <s v="GRC"/>
    <n v="5519251"/>
    <n v="4760392.2966282675"/>
    <n v="0"/>
    <n v="0"/>
    <n v="5519251"/>
    <n v="4760392.2966282675"/>
    <x v="140"/>
  </r>
  <r>
    <s v="2-01-02-01-015"/>
    <m/>
    <s v="EOBI PAYABLE"/>
    <s v="2-01-02-01-015EOBI PAYABLE"/>
    <x v="0"/>
    <x v="3"/>
    <x v="5"/>
    <s v="Other Liabilities"/>
    <s v="PILER"/>
    <n v="668415"/>
    <n v="657570"/>
    <n v="266400"/>
    <n v="266700"/>
    <n v="934815"/>
    <n v="924270"/>
    <x v="141"/>
  </r>
  <r>
    <s v="2-01-02-01-015"/>
    <m/>
    <s v="EOBI PAYABLE"/>
    <s v="2-01-02-01-015EOBI PAYABLE"/>
    <x v="0"/>
    <x v="3"/>
    <x v="5"/>
    <s v="Other Liabilities"/>
    <s v="SHORT"/>
    <m/>
    <m/>
    <n v="0"/>
    <n v="0"/>
    <n v="0"/>
    <n v="0"/>
    <x v="1"/>
  </r>
  <r>
    <s v="2-01-02-01-016"/>
    <m/>
    <s v="SESSI PAYABLE"/>
    <s v="2-01-02-01-016SESSI PAYABLE"/>
    <x v="0"/>
    <x v="3"/>
    <x v="5"/>
    <s v="Other Liabilities"/>
    <s v="PILER"/>
    <n v="23896"/>
    <n v="14100"/>
    <n v="0"/>
    <n v="0"/>
    <n v="23896"/>
    <n v="14100"/>
    <x v="142"/>
  </r>
  <r>
    <s v="2-01-02-02-001"/>
    <m/>
    <s v="SUPPLIER INCOME TAX WITHHOLD"/>
    <s v="2-01-02-02-001SUPPLIER INCOME TAX WITHHOLD"/>
    <x v="0"/>
    <x v="3"/>
    <x v="5"/>
    <s v="Other Liabilities"/>
    <s v="PILER"/>
    <n v="1689810"/>
    <n v="1859747"/>
    <n v="431192"/>
    <n v="431192"/>
    <n v="2121002"/>
    <n v="2290939"/>
    <x v="143"/>
  </r>
  <r>
    <s v="2-01-02-02-001"/>
    <m/>
    <s v="SUPPLIER INCOME TAX WITHHOLD"/>
    <s v="2-01-02-02-001SUPPLIER INCOME TAX WITHHOLD"/>
    <x v="0"/>
    <x v="3"/>
    <x v="5"/>
    <s v="Other Liabilities"/>
    <s v="GRC"/>
    <m/>
    <m/>
    <n v="0"/>
    <n v="0"/>
    <n v="0"/>
    <n v="0"/>
    <x v="1"/>
  </r>
  <r>
    <s v="2-01-02-02-001"/>
    <m/>
    <s v="SUPPLIER INCOME TAX WITHHOLD"/>
    <s v="2-01-02-02-001SUPPLIER INCOME TAX WITHHOLD"/>
    <x v="0"/>
    <x v="3"/>
    <x v="5"/>
    <s v="Other Liabilities"/>
    <s v="GRC Own"/>
    <m/>
    <m/>
    <n v="0"/>
    <n v="0"/>
    <n v="0"/>
    <n v="0"/>
    <x v="1"/>
  </r>
  <r>
    <s v="2-01-02-02-002"/>
    <m/>
    <s v="STAFF INCOME TAX WITHHOLD"/>
    <s v="2-01-02-02-002STAFF INCOME TAX WITHHOLD"/>
    <x v="0"/>
    <x v="3"/>
    <x v="5"/>
    <s v="Other Liabilities"/>
    <s v="PILER"/>
    <n v="838478"/>
    <n v="888958"/>
    <n v="287064"/>
    <n v="279800"/>
    <n v="1125542"/>
    <n v="1168758"/>
    <x v="144"/>
  </r>
  <r>
    <s v="2-01-02-02-002"/>
    <m/>
    <s v="STAFF INCOME TAX WITHHOLD"/>
    <s v="2-01-02-02-002STAFF INCOME TAX WITHHOLD"/>
    <x v="0"/>
    <x v="3"/>
    <x v="5"/>
    <s v="Other Liabilities"/>
    <s v="GRC Own"/>
    <m/>
    <m/>
    <n v="0"/>
    <n v="7263"/>
    <n v="0"/>
    <n v="7263"/>
    <x v="145"/>
  </r>
  <r>
    <s v="2-01-02-02-003"/>
    <m/>
    <s v="PROVISION FOR INCOME TAX"/>
    <s v="2-01-02-02-003PROVISION FOR INCOME TAX"/>
    <x v="0"/>
    <x v="3"/>
    <x v="5"/>
    <s v="Other Liabilities"/>
    <s v="PILER"/>
    <n v="0"/>
    <n v="0"/>
    <n v="0"/>
    <n v="0"/>
    <n v="0"/>
    <n v="0"/>
    <x v="1"/>
  </r>
  <r>
    <s v="2-01-02-02-004"/>
    <m/>
    <s v="SALES TAX WITHHOLD"/>
    <s v="2-01-02-02-004SALES TAX WITHHOLD"/>
    <x v="0"/>
    <x v="3"/>
    <x v="5"/>
    <s v="Other Liabilities"/>
    <s v="PILER"/>
    <n v="0"/>
    <n v="3106"/>
    <n v="0"/>
    <n v="0"/>
    <n v="0"/>
    <n v="3106"/>
    <x v="146"/>
  </r>
  <r>
    <s v="2-01-03-01-002"/>
    <m/>
    <s v="Other Liabilities"/>
    <s v="2-01-03-01-002Other Liabilities"/>
    <x v="0"/>
    <x v="3"/>
    <x v="5"/>
    <s v="Other Liabilities"/>
    <s v="PILER"/>
    <n v="194400"/>
    <n v="383288"/>
    <n v="0"/>
    <n v="0"/>
    <n v="194400"/>
    <n v="383288"/>
    <x v="147"/>
  </r>
  <r>
    <s v="2-01-03-01-002"/>
    <m/>
    <s v="Other Liabilities"/>
    <s v="2-01-03-01-002Other Liabilities"/>
    <x v="0"/>
    <x v="3"/>
    <x v="5"/>
    <s v="Other Liabilities"/>
    <s v="TAF"/>
    <m/>
    <m/>
    <n v="0"/>
    <n v="0"/>
    <n v="0"/>
    <n v="0"/>
    <x v="1"/>
  </r>
  <r>
    <s v="2-01-03-01-002"/>
    <m/>
    <s v="Other Liabilities"/>
    <s v="2-01-03-01-002Other Liabilities"/>
    <x v="0"/>
    <x v="3"/>
    <x v="5"/>
    <s v="Other Liabilities"/>
    <s v="Open Socie"/>
    <m/>
    <m/>
    <n v="0"/>
    <n v="0"/>
    <n v="0"/>
    <n v="0"/>
    <x v="1"/>
  </r>
  <r>
    <s v="2-02-01-01-001"/>
    <m/>
    <s v="STAFF GRATUITY PAYABLE ACCOUNT"/>
    <s v="2-02-01-01-001STAFF GRATUITY PAYABLE ACCOUNT"/>
    <x v="0"/>
    <x v="3"/>
    <x v="5"/>
    <s v="Other Liabilities"/>
    <s v="PILER"/>
    <n v="0"/>
    <n v="1940564"/>
    <n v="0"/>
    <n v="0"/>
    <n v="0"/>
    <n v="1940564"/>
    <x v="148"/>
  </r>
  <r>
    <s v="2-02-01-01-02"/>
    <m/>
    <s v="Payable to Indus Solar Intl"/>
    <s v="2-02-01-01-02Payable to Indus Solar Intl"/>
    <x v="0"/>
    <x v="4"/>
    <x v="7"/>
    <s v="Lease Payable"/>
    <s v="PILER"/>
    <n v="105750"/>
    <n v="615750"/>
    <n v="0"/>
    <n v="0"/>
    <n v="105750"/>
    <n v="615750"/>
    <x v="149"/>
  </r>
  <r>
    <s v="3-01-01-01-001"/>
    <m/>
    <s v="FUND BALANCE"/>
    <s v="3-01-01-01-001FUND BALANCE"/>
    <x v="0"/>
    <x v="5"/>
    <x v="8"/>
    <s v="Fund Balance"/>
    <s v="PILER"/>
    <n v="39574329.299999997"/>
    <n v="0"/>
    <n v="0"/>
    <n v="0"/>
    <n v="39574329.299999997"/>
    <n v="0"/>
    <x v="150"/>
  </r>
  <r>
    <s v="3-01-01-01-009"/>
    <m/>
    <s v="DEZAIRE FUND BALANCE"/>
    <s v="3-01-01-01-009DEZAIRE FUND BALANCE"/>
    <x v="0"/>
    <x v="5"/>
    <x v="8"/>
    <s v="Fund Balance"/>
    <s v="Deezire"/>
    <n v="0"/>
    <n v="1641568"/>
    <n v="0"/>
    <n v="0"/>
    <n v="0"/>
    <n v="1641568"/>
    <x v="151"/>
  </r>
  <r>
    <s v="3-01-01-01-013"/>
    <m/>
    <s v="RCCHR FUND BALANCE"/>
    <s v="3-01-01-01-013RCCHR FUND BALANCE"/>
    <x v="0"/>
    <x v="5"/>
    <x v="8"/>
    <s v="Fund Balance"/>
    <s v="Karachi"/>
    <n v="0"/>
    <n v="0"/>
    <n v="0"/>
    <n v="0"/>
    <n v="0"/>
    <n v="0"/>
    <x v="1"/>
  </r>
  <r>
    <s v="4-02-01-01-001"/>
    <m/>
    <s v="HOSTEL RENT INCOME WITH FOODS"/>
    <s v="4-02-01-01-001HOSTEL RENT INCOME WITH FOODS"/>
    <x v="2"/>
    <x v="6"/>
    <x v="9"/>
    <s v="Hostel And Hall Income"/>
    <s v="PILER"/>
    <m/>
    <m/>
    <n v="0"/>
    <n v="103190.28"/>
    <n v="0"/>
    <n v="103190.28"/>
    <x v="152"/>
  </r>
  <r>
    <s v="4-02-02-01-001"/>
    <m/>
    <s v="HALL RENTAL INCOME"/>
    <s v="4-02-02-01-001HALL RENTAL INCOME"/>
    <x v="2"/>
    <x v="6"/>
    <x v="9"/>
    <s v="Hostel And Hall Income"/>
    <s v="PILER"/>
    <m/>
    <m/>
    <n v="0"/>
    <n v="30000"/>
    <n v="0"/>
    <n v="30000"/>
    <x v="153"/>
  </r>
  <r>
    <s v="4-03-01-01-001"/>
    <m/>
    <s v="DONATION FROM LOCAL SOURCE"/>
    <s v="4-03-01-01-001DONATION FROM LOCAL SOURCE"/>
    <x v="2"/>
    <x v="7"/>
    <x v="10"/>
    <s v="Income From Donations"/>
    <s v="PILER"/>
    <m/>
    <m/>
    <n v="0"/>
    <n v="10940035"/>
    <n v="0"/>
    <n v="10940035"/>
    <x v="154"/>
  </r>
  <r>
    <s v="4-03-01-02-045"/>
    <m/>
    <s v="Donation from Global Rights Compliance"/>
    <s v="4-03-01-02-045Donation from Global Rights Compliance"/>
    <x v="2"/>
    <x v="7"/>
    <x v="10"/>
    <s v="Income From Donations"/>
    <s v="GRC"/>
    <m/>
    <m/>
    <n v="0"/>
    <n v="10470408.869999999"/>
    <n v="0"/>
    <n v="10470408.869999999"/>
    <x v="155"/>
  </r>
  <r>
    <s v="4-03-01-09-001"/>
    <m/>
    <s v="Donation from The Social Change Nest"/>
    <s v="4-03-01-09-001Donation from The Social Change Nest"/>
    <x v="2"/>
    <x v="7"/>
    <x v="10"/>
    <s v="Income From Donations"/>
    <s v="PILER"/>
    <m/>
    <m/>
    <n v="0"/>
    <n v="3694211.23"/>
    <n v="0"/>
    <n v="3694211.23"/>
    <x v="156"/>
  </r>
  <r>
    <s v="4-04-01-01-007"/>
    <m/>
    <s v="OFFICE RENTAL INCOME"/>
    <s v="4-04-01-01-007OFFICE RENTAL INCOME"/>
    <x v="2"/>
    <x v="6"/>
    <x v="9"/>
    <s v="Hostel And Hall Income"/>
    <s v="PILER"/>
    <m/>
    <m/>
    <n v="15950"/>
    <n v="948049"/>
    <n v="15950"/>
    <n v="948049"/>
    <x v="157"/>
  </r>
  <r>
    <s v="5-01-01-01-001"/>
    <m/>
    <s v="STAFF SALARIES EXPENSE"/>
    <s v="5-01-01-01-001STAFF SALARIES EXPENSE"/>
    <x v="2"/>
    <x v="8"/>
    <x v="11"/>
    <s v="Salary, Wages And Benefits"/>
    <s v="PILER"/>
    <m/>
    <m/>
    <n v="3602809"/>
    <n v="573216"/>
    <n v="3602809"/>
    <n v="573216"/>
    <x v="158"/>
  </r>
  <r>
    <s v="5-01-01-02-001"/>
    <m/>
    <s v="ELECTRICITY EXPENSE"/>
    <s v="5-01-01-02-001ELECTRICITY EXPENSE"/>
    <x v="2"/>
    <x v="8"/>
    <x v="12"/>
    <s v="Electricity, Gas And Water"/>
    <s v="PILER"/>
    <m/>
    <m/>
    <n v="899585"/>
    <n v="361153"/>
    <n v="899585"/>
    <n v="361153"/>
    <x v="159"/>
  </r>
  <r>
    <s v="5-01-01-02-002"/>
    <m/>
    <s v="GAS CHARGES SSGC"/>
    <s v="5-01-01-02-002GAS CHARGES SSGC"/>
    <x v="2"/>
    <x v="8"/>
    <x v="12"/>
    <s v="Electricity, Gas And Water"/>
    <s v="PILER"/>
    <m/>
    <m/>
    <n v="53000"/>
    <n v="0"/>
    <n v="53000"/>
    <n v="0"/>
    <x v="160"/>
  </r>
  <r>
    <s v="5-01-01-02-003"/>
    <m/>
    <s v="TELEPHONE, MOBILE &amp; INTERNET"/>
    <s v="5-01-01-02-003TELEPHONE, MOBILE &amp; INTERNET"/>
    <x v="2"/>
    <x v="8"/>
    <x v="13"/>
    <s v="Telephone"/>
    <s v="PILER"/>
    <m/>
    <m/>
    <n v="245940"/>
    <n v="0"/>
    <n v="245940"/>
    <n v="0"/>
    <x v="161"/>
  </r>
  <r>
    <s v="5-01-01-02-004"/>
    <m/>
    <s v="WATER &amp; SEWARAGE CHARGES"/>
    <s v="5-01-01-02-004WATER &amp; SEWARAGE CHARGES"/>
    <x v="2"/>
    <x v="8"/>
    <x v="12"/>
    <s v="Electricity, Gas And Water"/>
    <s v="PILER"/>
    <m/>
    <m/>
    <n v="127780"/>
    <n v="93000"/>
    <n v="127780"/>
    <n v="93000"/>
    <x v="162"/>
  </r>
  <r>
    <s v="5-01-01-03-001"/>
    <m/>
    <s v="VEHICLE FUEL EXPENSE"/>
    <s v="5-01-01-03-001VEHICLE FUEL EXPENSE"/>
    <x v="2"/>
    <x v="8"/>
    <x v="14"/>
    <s v="Travelling, Vehicle And Generator Fuel"/>
    <s v="PILER"/>
    <m/>
    <m/>
    <n v="469498"/>
    <n v="283118"/>
    <n v="469498"/>
    <n v="283118"/>
    <x v="163"/>
  </r>
  <r>
    <s v="5-01-01-04-001"/>
    <m/>
    <s v="VEHICLE REPAIR &amp; MAINTENANCE"/>
    <s v="5-01-01-04-001VEHICLE REPAIR &amp; MAINTENANCE"/>
    <x v="2"/>
    <x v="8"/>
    <x v="15"/>
    <s v="Vehicle Maintenance"/>
    <s v="PILER"/>
    <m/>
    <m/>
    <n v="213040"/>
    <n v="0"/>
    <n v="213040"/>
    <n v="0"/>
    <x v="164"/>
  </r>
  <r>
    <s v="5-01-01-04-003"/>
    <m/>
    <s v="BUILDING REPAIR &amp; MAINTENANCE"/>
    <s v="5-01-01-04-003BUILDING REPAIR &amp; MAINTENANCE"/>
    <x v="2"/>
    <x v="8"/>
    <x v="16"/>
    <s v="Equipment Repair Maintenance"/>
    <s v="PILER"/>
    <m/>
    <m/>
    <n v="615490"/>
    <n v="377220"/>
    <n v="615490"/>
    <n v="377220"/>
    <x v="165"/>
  </r>
  <r>
    <s v="5-01-01-04-004"/>
    <m/>
    <s v="EQUIPMENTS REPAIR &amp; MAINTENANC"/>
    <s v="5-01-01-04-004EQUIPMENTS REPAIR &amp; MAINTENANC"/>
    <x v="2"/>
    <x v="8"/>
    <x v="16"/>
    <s v="Equipment Repair Maintenance"/>
    <s v="PILER"/>
    <m/>
    <m/>
    <n v="85490"/>
    <n v="0"/>
    <n v="85490"/>
    <n v="0"/>
    <x v="166"/>
  </r>
  <r>
    <s v="5-01-01-04-005"/>
    <m/>
    <s v="GENERATOR REPAIR &amp; MAINTENANCE"/>
    <s v="5-01-01-04-005GENERATOR REPAIR &amp; MAINTENANCE"/>
    <x v="2"/>
    <x v="8"/>
    <x v="14"/>
    <s v="Travelling, Vehicle And Generator Fuel"/>
    <s v="PILER"/>
    <m/>
    <m/>
    <n v="3110"/>
    <n v="0"/>
    <n v="3110"/>
    <n v="0"/>
    <x v="167"/>
  </r>
  <r>
    <s v="5-01-01-04-006"/>
    <m/>
    <s v="COMPUTER REPAIR &amp; MAINTENANCE"/>
    <s v="5-01-01-04-006COMPUTER REPAIR &amp; MAINTENANCE"/>
    <x v="2"/>
    <x v="8"/>
    <x v="16"/>
    <s v="Equipment Repair Maintenance"/>
    <s v="PILER"/>
    <m/>
    <m/>
    <n v="78650"/>
    <n v="0"/>
    <n v="78650"/>
    <n v="0"/>
    <x v="168"/>
  </r>
  <r>
    <s v="5-01-01-06-001"/>
    <m/>
    <s v="POSTAGE &amp; COURIER"/>
    <s v="5-01-01-06-001POSTAGE &amp; COURIER"/>
    <x v="2"/>
    <x v="8"/>
    <x v="17"/>
    <s v="Postage And Internet"/>
    <s v="PILER"/>
    <m/>
    <m/>
    <n v="17540"/>
    <n v="0"/>
    <n v="17540"/>
    <n v="0"/>
    <x v="169"/>
  </r>
  <r>
    <s v="5-01-01-06-002"/>
    <m/>
    <s v="PRINTING &amp; STATIONERIES"/>
    <s v="5-01-01-06-002PRINTING &amp; STATIONERIES"/>
    <x v="2"/>
    <x v="8"/>
    <x v="18"/>
    <s v="Stationery, Photocopies And Materials"/>
    <s v="PILER"/>
    <m/>
    <m/>
    <n v="85585"/>
    <n v="35000"/>
    <n v="85585"/>
    <n v="35000"/>
    <x v="170"/>
  </r>
  <r>
    <s v="5-01-01-06-003"/>
    <m/>
    <s v="PHOTOCOPY &amp; COMPUT ACCESSARIES"/>
    <s v="5-01-01-06-003PHOTOCOPY &amp; COMPUT ACCESSARIES"/>
    <x v="2"/>
    <x v="8"/>
    <x v="18"/>
    <s v="Stationery, Photocopies And Materials"/>
    <s v="PILER"/>
    <m/>
    <m/>
    <n v="8926"/>
    <n v="0"/>
    <n v="8926"/>
    <n v="0"/>
    <x v="171"/>
  </r>
  <r>
    <s v="5-01-01-06-004"/>
    <m/>
    <s v="MISC. EXPENSES"/>
    <s v="5-01-01-06-004MISC. EXPENSES"/>
    <x v="2"/>
    <x v="8"/>
    <x v="19"/>
    <s v="Miscellaneous"/>
    <s v="PILER"/>
    <m/>
    <m/>
    <n v="502551"/>
    <n v="485000"/>
    <n v="502551"/>
    <n v="485000"/>
    <x v="172"/>
  </r>
  <r>
    <s v="5-01-01-06-005"/>
    <m/>
    <s v="VEHICLE TOLL TAX"/>
    <s v="5-01-01-06-005VEHICLE TOLL TAX"/>
    <x v="2"/>
    <x v="8"/>
    <x v="14"/>
    <s v="Travelling, Vehicle And Generator Fuel"/>
    <s v="PILER"/>
    <m/>
    <m/>
    <n v="33740"/>
    <n v="0"/>
    <n v="33740"/>
    <n v="0"/>
    <x v="173"/>
  </r>
  <r>
    <s v="5-01-01-06-006"/>
    <m/>
    <s v="TRANSPORTATION EXPENSE"/>
    <s v="5-01-01-06-006TRANSPORTATION EXPENSE"/>
    <x v="2"/>
    <x v="8"/>
    <x v="14"/>
    <s v="Travelling, Vehicle And Generator Fuel"/>
    <s v="PILER"/>
    <m/>
    <m/>
    <n v="39458"/>
    <n v="0"/>
    <n v="39458"/>
    <n v="0"/>
    <x v="174"/>
  </r>
  <r>
    <s v="5-01-01-06-007"/>
    <m/>
    <s v="TRAVELLING EXPENSES"/>
    <s v="5-01-01-06-007TRAVELLING EXPENSES"/>
    <x v="2"/>
    <x v="8"/>
    <x v="14"/>
    <s v="Travelling, Vehicle And Generator Fuel"/>
    <s v="PILER"/>
    <m/>
    <m/>
    <n v="203423"/>
    <n v="15000"/>
    <n v="203423"/>
    <n v="15000"/>
    <x v="175"/>
  </r>
  <r>
    <s v="5-01-01-06-012"/>
    <m/>
    <s v="LIBRARY BOOKS &amp; PERIODICALS"/>
    <s v="5-01-01-06-012LIBRARY BOOKS &amp; PERIODICALS"/>
    <x v="2"/>
    <x v="8"/>
    <x v="18"/>
    <s v="Stationery, Photocopies And Materials"/>
    <s v="PILER"/>
    <m/>
    <m/>
    <n v="32460"/>
    <n v="0"/>
    <n v="32460"/>
    <n v="0"/>
    <x v="176"/>
  </r>
  <r>
    <s v="5-01-01-07-001"/>
    <m/>
    <s v="LEGAL &amp; PROFESSIONAL FEE"/>
    <s v="5-01-01-07-001LEGAL &amp; PROFESSIONAL FEE"/>
    <x v="2"/>
    <x v="8"/>
    <x v="20"/>
    <s v="Legal And Professional Charges"/>
    <s v="PILER"/>
    <m/>
    <m/>
    <n v="303956"/>
    <n v="0"/>
    <n v="303956"/>
    <n v="0"/>
    <x v="177"/>
  </r>
  <r>
    <s v="5-01-01-07-002"/>
    <m/>
    <s v="AUDITOR REMUNERATIONS"/>
    <s v="5-01-01-07-002AUDITOR REMUNERATIONS"/>
    <x v="2"/>
    <x v="8"/>
    <x v="21"/>
    <s v="Auditor Remunerations"/>
    <s v="PILER"/>
    <m/>
    <m/>
    <n v="21600"/>
    <n v="0"/>
    <n v="21600"/>
    <n v="0"/>
    <x v="178"/>
  </r>
  <r>
    <s v="5-01-01-07-003"/>
    <m/>
    <s v="CONSULTANCY CHARGES"/>
    <s v="5-01-01-07-003CONSULTANCY CHARGES"/>
    <x v="2"/>
    <x v="8"/>
    <x v="20"/>
    <s v="Legal And Professional Charges"/>
    <s v="PILER"/>
    <m/>
    <m/>
    <n v="10000"/>
    <n v="0"/>
    <n v="10000"/>
    <n v="0"/>
    <x v="31"/>
  </r>
  <r>
    <s v="5-01-01-08-003"/>
    <m/>
    <s v="EOBI CONTRIBUTIONS"/>
    <s v="5-01-01-08-003EOBI CONTRIBUTIONS"/>
    <x v="2"/>
    <x v="9"/>
    <x v="22"/>
    <s v="Salary, Wages And Benefits: Staff Welfare"/>
    <s v="PILER"/>
    <m/>
    <m/>
    <n v="222000"/>
    <n v="49704"/>
    <n v="222000"/>
    <n v="49704"/>
    <x v="179"/>
  </r>
  <r>
    <s v="5-01-01-08-003"/>
    <m/>
    <s v="EOBI CONTRIBUTIONS"/>
    <s v="5-01-01-08-003EOBI CONTRIBUTIONS"/>
    <x v="2"/>
    <x v="9"/>
    <x v="22"/>
    <s v="Salary, Wages And Benefits: Staff Welfare"/>
    <s v="GRC"/>
    <m/>
    <m/>
    <n v="0"/>
    <n v="4527"/>
    <n v="0"/>
    <n v="4527"/>
    <x v="180"/>
  </r>
  <r>
    <s v="5-01-01-08-004"/>
    <m/>
    <s v="SESSI CONTRIBUTIONS"/>
    <s v="5-01-01-08-004SESSI CONTRIBUTIONS"/>
    <x v="2"/>
    <x v="9"/>
    <x v="22"/>
    <s v="Salary, Wages And Benefits: Staff Welfare"/>
    <s v="PILER"/>
    <m/>
    <m/>
    <n v="239700"/>
    <n v="0"/>
    <n v="239700"/>
    <n v="0"/>
    <x v="181"/>
  </r>
  <r>
    <s v="5-01-01-08-006"/>
    <m/>
    <s v="STAFF WELFARE EXPENSE"/>
    <s v="5-01-01-08-006STAFF WELFARE EXPENSE"/>
    <x v="2"/>
    <x v="8"/>
    <x v="22"/>
    <s v="Salary, Wages And Benefits: Staff Welfare"/>
    <s v="PILER"/>
    <m/>
    <m/>
    <n v="18374"/>
    <n v="0"/>
    <n v="18374"/>
    <n v="0"/>
    <x v="182"/>
  </r>
  <r>
    <s v="5-01-01-09-001"/>
    <m/>
    <s v="BANK CHARGES"/>
    <s v="5-01-01-09-001BANK CHARGES"/>
    <x v="2"/>
    <x v="10"/>
    <x v="23"/>
    <s v="Bank Charges"/>
    <s v="PILER"/>
    <m/>
    <m/>
    <n v="12368.25"/>
    <n v="1"/>
    <n v="12368.25"/>
    <n v="1"/>
    <x v="183"/>
  </r>
  <r>
    <s v="5-01-01-09-001"/>
    <m/>
    <s v="BANK CHARGES"/>
    <s v="5-01-01-09-001BANK CHARGES"/>
    <x v="2"/>
    <x v="10"/>
    <x v="23"/>
    <s v="Bank Charges"/>
    <s v="GRC"/>
    <m/>
    <m/>
    <n v="9913.24"/>
    <n v="0"/>
    <n v="9913.24"/>
    <n v="0"/>
    <x v="184"/>
  </r>
  <r>
    <s v="5-01-01-10-001"/>
    <m/>
    <s v="DEPRECIATION EXPENSES-BUILDING"/>
    <s v="5-01-01-10-001DEPRECIATION EXPENSES-BUILDING"/>
    <x v="2"/>
    <x v="8"/>
    <x v="24"/>
    <s v="Depreciaton Exp"/>
    <s v="PILER"/>
    <m/>
    <m/>
    <n v="455276"/>
    <n v="0"/>
    <n v="455276"/>
    <n v="0"/>
    <x v="185"/>
  </r>
  <r>
    <s v="5-01-01-10-002"/>
    <m/>
    <s v="DEPRECIATION EX-GENERATOR"/>
    <s v="5-01-01-10-002DEPRECIATION EX-GENERATOR"/>
    <x v="2"/>
    <x v="8"/>
    <x v="24"/>
    <s v="Depreciaton Exp"/>
    <s v="PILER"/>
    <m/>
    <m/>
    <n v="42323"/>
    <n v="0"/>
    <n v="42323"/>
    <n v="0"/>
    <x v="186"/>
  </r>
  <r>
    <s v="5-01-01-10-003"/>
    <m/>
    <s v="DEPRECIATION EX-ELEC INSTALLA"/>
    <s v="5-01-01-10-003DEPRECIATION EX-ELEC INSTALLA"/>
    <x v="2"/>
    <x v="8"/>
    <x v="24"/>
    <s v="Depreciaton Exp"/>
    <s v="PILER"/>
    <m/>
    <m/>
    <n v="358157"/>
    <n v="0"/>
    <n v="358157"/>
    <n v="0"/>
    <x v="187"/>
  </r>
  <r>
    <s v="5-01-01-10-004"/>
    <m/>
    <s v="DEPRECIATION EX- OFFICE EQUIP"/>
    <s v="5-01-01-10-004DEPRECIATION EX- OFFICE EQUIP"/>
    <x v="2"/>
    <x v="8"/>
    <x v="24"/>
    <s v="Depreciaton Exp"/>
    <s v="PILER"/>
    <m/>
    <m/>
    <n v="892"/>
    <n v="0"/>
    <n v="892"/>
    <n v="0"/>
    <x v="188"/>
  </r>
  <r>
    <s v="5-01-01-10-005"/>
    <m/>
    <s v="DEPRECIATION EXP-FUR &amp; FIX"/>
    <s v="5-01-01-10-005DEPRECIATION EXP-FUR &amp; FIX"/>
    <x v="2"/>
    <x v="8"/>
    <x v="24"/>
    <s v="Depreciaton Exp"/>
    <s v="PILER"/>
    <m/>
    <m/>
    <n v="1093"/>
    <n v="0"/>
    <n v="1093"/>
    <n v="0"/>
    <x v="189"/>
  </r>
  <r>
    <s v="5-01-01-10-009"/>
    <m/>
    <s v="SOFTWARE AMORTIZATION"/>
    <s v="5-01-01-10-009SOFTWARE AMORTIZATION"/>
    <x v="2"/>
    <x v="8"/>
    <x v="25"/>
    <s v="Amortisation Expenses"/>
    <s v="PILER"/>
    <m/>
    <m/>
    <n v="76888"/>
    <n v="0"/>
    <n v="76888"/>
    <n v="0"/>
    <x v="190"/>
  </r>
  <r>
    <s v="5-01-01-11-001"/>
    <m/>
    <s v="INCOME TAX EXPENSES"/>
    <s v="5-01-01-11-001INCOME TAX EXPENSES"/>
    <x v="2"/>
    <x v="11"/>
    <x v="26"/>
    <s v="Income Tax Expenses"/>
    <s v="GRC"/>
    <m/>
    <m/>
    <n v="73015.149999999994"/>
    <n v="0"/>
    <n v="73015.149999999994"/>
    <n v="0"/>
    <x v="191"/>
  </r>
  <r>
    <s v="5-01-01-11-001"/>
    <m/>
    <s v="INCOME TAX EXPENSES"/>
    <s v="5-01-01-11-001INCOME TAX EXPENSES"/>
    <x v="2"/>
    <x v="11"/>
    <x v="26"/>
    <s v="Income Tax Expenses"/>
    <s v="GRC Own"/>
    <m/>
    <m/>
    <n v="105135.79"/>
    <n v="62900"/>
    <n v="105135.79"/>
    <n v="62900"/>
    <x v="192"/>
  </r>
  <r>
    <s v="5-01-01-12-001"/>
    <m/>
    <s v="CLEANING &amp; LAUNDRY"/>
    <s v="5-01-01-12-001CLEANING &amp; LAUNDRY"/>
    <x v="2"/>
    <x v="8"/>
    <x v="19"/>
    <s v="Miscellaneous"/>
    <s v="PILER"/>
    <m/>
    <m/>
    <n v="80045"/>
    <n v="0"/>
    <n v="80045"/>
    <n v="0"/>
    <x v="193"/>
  </r>
  <r>
    <s v="5-01-01-12-002"/>
    <m/>
    <s v="GARDEN &amp; GROUND UPKEEP"/>
    <s v="5-01-01-12-002GARDEN &amp; GROUND UPKEEP"/>
    <x v="2"/>
    <x v="8"/>
    <x v="19"/>
    <s v="Garden &amp; Ground Upkeep"/>
    <s v="PILER"/>
    <m/>
    <m/>
    <n v="19400"/>
    <n v="0"/>
    <n v="19400"/>
    <n v="0"/>
    <x v="194"/>
  </r>
  <r>
    <s v="5-01-02-06-044"/>
    <m/>
    <s v="BASIC UTENSILS &amp; COOKING STOVE"/>
    <s v="5-01-02-06-044BASIC UTENSILS &amp; COOKING STOVE"/>
    <x v="2"/>
    <x v="8"/>
    <x v="18"/>
    <s v="Stationery, Photocopies And Materials"/>
    <s v="PILER"/>
    <m/>
    <m/>
    <n v="81480"/>
    <n v="0"/>
    <n v="81480"/>
    <n v="0"/>
    <x v="195"/>
  </r>
  <r>
    <s v="5-01-02-07-014"/>
    <m/>
    <s v="PAYMENT OF LOCAL DONATIONS"/>
    <s v="5-01-02-07-014PAYMENT OF LOCAL DONATIONS"/>
    <x v="2"/>
    <x v="8"/>
    <x v="27"/>
    <s v="Local Donation"/>
    <s v="PILER"/>
    <m/>
    <m/>
    <n v="35000"/>
    <n v="0"/>
    <n v="35000"/>
    <n v="0"/>
    <x v="196"/>
  </r>
  <r>
    <s v="5-01-02-07-023"/>
    <m/>
    <s v="PILER STAFF TRAINING &amp; EDUCAT."/>
    <s v="5-01-02-07-023PILER STAFF TRAINING &amp; EDUCAT."/>
    <x v="2"/>
    <x v="9"/>
    <x v="28"/>
    <s v="Piler Program Activities : Peace / Labor Related Seminars &amp; Conferences Activities"/>
    <s v="PILER"/>
    <m/>
    <m/>
    <n v="41990"/>
    <n v="0"/>
    <n v="41990"/>
    <n v="0"/>
    <x v="197"/>
  </r>
  <r>
    <s v="5-01-02-07-036"/>
    <m/>
    <s v="WORKSHOP &amp; TRAINING"/>
    <s v="5-01-02-07-036WORKSHOP &amp; TRAINING"/>
    <x v="2"/>
    <x v="9"/>
    <x v="28"/>
    <s v="Piler Program Activities : Peace / Labor Related Seminars &amp; Conferences Activities"/>
    <s v="PILER"/>
    <m/>
    <m/>
    <n v="56900"/>
    <n v="0"/>
    <n v="56900"/>
    <n v="0"/>
    <x v="198"/>
  </r>
  <r>
    <s v="5-01-02-10-020"/>
    <m/>
    <s v="Shirkat Gah#2.5-Awareness Session with Trade Unions Members &amp; Workers Groups"/>
    <s v="5-01-02-10-020Shirkat Gah#2.5-Awareness Session with Trade Unions Members &amp; Workers Groups"/>
    <x v="2"/>
    <x v="9"/>
    <x v="29"/>
    <s v="Shirkat Gah#2.5-Awareness Session with Trade Unions Members &amp; Workers Groups"/>
    <s v="PILER"/>
    <m/>
    <m/>
    <n v="3764557"/>
    <n v="0"/>
    <n v="3764557"/>
    <n v="0"/>
    <x v="199"/>
  </r>
  <r>
    <s v="5-01-02-69-042"/>
    <m/>
    <s v="GLJ-ILRF : OBS-A.49-Field Coordinator "/>
    <s v="5-01-02-69-042GLJ-ILRF : OBS-A.49-Field Coordinator "/>
    <x v="2"/>
    <x v="9"/>
    <x v="30"/>
    <s v="GLJ-ILRF : OBS-A.49-Field Coordinator "/>
    <s v="PILER"/>
    <m/>
    <m/>
    <n v="781000"/>
    <n v="0"/>
    <n v="781000"/>
    <n v="0"/>
    <x v="200"/>
  </r>
  <r>
    <s v="5-01-02-69-049"/>
    <m/>
    <s v="GLJ-ILRF : OBS-B.1.11.a-Translation of the materials ( 2 languages transaltion) "/>
    <s v="5-01-02-69-049GLJ-ILRF : OBS-B.1.11.a-Translation of the materials ( 2 languages transaltion) "/>
    <x v="2"/>
    <x v="9"/>
    <x v="31"/>
    <s v="GLJ-ILRF : OBS-B.1.11.a-Translation of the materials ( 2 languages transaltion) "/>
    <s v="PILER"/>
    <m/>
    <m/>
    <n v="5000"/>
    <n v="0"/>
    <n v="5000"/>
    <n v="0"/>
    <x v="201"/>
  </r>
  <r>
    <s v="5-01-02-69-053"/>
    <m/>
    <s v="GLJ-ILRF : OBS-B.2.1.2.c-Report Translation"/>
    <s v="5-01-02-69-053GLJ-ILRF : OBS-B.2.1.2.c-Report Translation"/>
    <x v="2"/>
    <x v="9"/>
    <x v="32"/>
    <s v="GLJ-ILRF : OBS-B.2.1.2.c-Report Translation"/>
    <s v="PILER"/>
    <m/>
    <m/>
    <n v="30000"/>
    <n v="0"/>
    <n v="30000"/>
    <n v="0"/>
    <x v="83"/>
  </r>
  <r>
    <s v="5-01-02-69-055"/>
    <m/>
    <s v="GLJ-ILRF : OBS-B.2.2.2-Wage Group Meeting "/>
    <s v="5-01-02-69-055GLJ-ILRF : OBS-B.2.2.2-Wage Group Meeting "/>
    <x v="2"/>
    <x v="9"/>
    <x v="33"/>
    <s v="GLJ-ILRF : OBS-B.2.2.2-Wage Group Meeting "/>
    <s v="PILER"/>
    <m/>
    <m/>
    <n v="115000"/>
    <n v="0"/>
    <n v="115000"/>
    <n v="0"/>
    <x v="202"/>
  </r>
  <r>
    <s v="5-01-02-69-056"/>
    <m/>
    <s v="GLJ-ILRF : OBS-B.2.2.5-Public discussion/seminar-Round Table consultation"/>
    <s v="5-01-02-69-056GLJ-ILRF : OBS-B.2.2.5-Public discussion/seminar-Round Table consultation"/>
    <x v="2"/>
    <x v="9"/>
    <x v="34"/>
    <s v="GLJ-ILRF : OBS-B.2.2.5-Public discussion/seminar-Round Table consultation"/>
    <s v="PILER"/>
    <m/>
    <m/>
    <n v="480810"/>
    <n v="0"/>
    <n v="480810"/>
    <n v="0"/>
    <x v="203"/>
  </r>
  <r>
    <s v="5-01-02-69-080"/>
    <m/>
    <s v="GLJ-ILRF : OBS-B.5.10-National Meeting"/>
    <s v="5-01-02-69-080GLJ-ILRF : OBS-B.5.10-National Meeting"/>
    <x v="2"/>
    <x v="9"/>
    <x v="35"/>
    <s v="GLJ-ILRF : OBS-B.5.10-National Meeting"/>
    <s v="PILER"/>
    <m/>
    <m/>
    <n v="217055"/>
    <n v="0"/>
    <n v="217055"/>
    <n v="0"/>
    <x v="204"/>
  </r>
  <r>
    <s v="5-01-02-69-083"/>
    <m/>
    <s v="GLJ-ILRF:INKOTA-Gender Justice Coordinator"/>
    <s v="5-01-02-69-083GLJ-ILRF:INKOTA-Gender Justice Coordinator"/>
    <x v="2"/>
    <x v="9"/>
    <x v="36"/>
    <s v="GLJ-ILRF:INKOTA-Gender Justice Coordinator"/>
    <s v="PILER"/>
    <m/>
    <m/>
    <n v="452000"/>
    <n v="0"/>
    <n v="452000"/>
    <n v="0"/>
    <x v="205"/>
  </r>
  <r>
    <s v="5-01-02-69-084"/>
    <m/>
    <s v="GLJ-ILRF:INKOTA-Field Coordinator"/>
    <s v="5-01-02-69-084GLJ-ILRF:INKOTA-Field Coordinator"/>
    <x v="2"/>
    <x v="9"/>
    <x v="37"/>
    <s v="GLJ-ILRF:INKOTA-Field Coordinator"/>
    <s v="PILER"/>
    <m/>
    <m/>
    <n v="605000"/>
    <n v="0"/>
    <n v="605000"/>
    <n v="0"/>
    <x v="206"/>
  </r>
  <r>
    <s v="5-01-02-69-085"/>
    <m/>
    <s v="GLJ-ILRF:INKOTA-2.1.a#Organizing strategy-Geographic focus including field strategy &amp; designated tea"/>
    <s v="5-01-02-69-085GLJ-ILRF:INKOTA-2.1.a#Organizing strategy-Geographic focus including field strategy &amp; designated tea"/>
    <x v="2"/>
    <x v="9"/>
    <x v="38"/>
    <s v="GLJ-ILRF:INKOTA-2.1.a#Organizing strategy-Geographic focus including field strategy &amp; designated tea"/>
    <s v="PILER"/>
    <m/>
    <m/>
    <n v="1100"/>
    <n v="0"/>
    <n v="1100"/>
    <n v="0"/>
    <x v="207"/>
  </r>
  <r>
    <s v="5-01-02-69-086"/>
    <m/>
    <s v="GLJ-ILRF:INKOTA-3.1.a#Organizing training &amp; Capacity development for partner union"/>
    <s v="5-01-02-69-086GLJ-ILRF:INKOTA-3.1.a#Organizing training &amp; Capacity development for partner union"/>
    <x v="2"/>
    <x v="9"/>
    <x v="39"/>
    <s v="GLJ-ILRF:INKOTA-3.1.a#Organizing training &amp; Capacity development for partner union"/>
    <s v="PILER"/>
    <m/>
    <m/>
    <n v="1100"/>
    <n v="0"/>
    <n v="1100"/>
    <n v="0"/>
    <x v="207"/>
  </r>
  <r>
    <s v="5-01-02-69-088"/>
    <m/>
    <s v="GLJ-ILRF:INKOTA-4.1.b#Consumption survey resulting in LW figure to support nation wage bargaining &amp; "/>
    <s v="5-01-02-69-088GLJ-ILRF:INKOTA-4.1.b#Consumption survey resulting in LW figure to support nation wage bargaining &amp; "/>
    <x v="2"/>
    <x v="9"/>
    <x v="40"/>
    <s v="GLJ-ILRF:INKOTA-4.1.b#Consumption survey resulting in LW figure to support nation wage bargaining &amp; "/>
    <s v="PILER"/>
    <m/>
    <m/>
    <n v="163397"/>
    <n v="0"/>
    <n v="163397"/>
    <n v="0"/>
    <x v="208"/>
  </r>
  <r>
    <s v="5-01-02-69-091"/>
    <m/>
    <s v="GLJ-ILRF:INKOTA-5.3.c#coordinated day of Action WLC"/>
    <s v="5-01-02-69-091GLJ-ILRF:INKOTA-5.3.c#coordinated day of Action WLC"/>
    <x v="2"/>
    <x v="9"/>
    <x v="41"/>
    <s v="GLJ-ILRF:INKOTA-5.3.c#coordinated day of Action WLC"/>
    <s v="PILER"/>
    <m/>
    <m/>
    <n v="154000"/>
    <n v="0"/>
    <n v="154000"/>
    <n v="0"/>
    <x v="88"/>
  </r>
  <r>
    <s v="5-01-02-69-093"/>
    <m/>
    <s v="GLJ-ILRF:INKOTA-6.1..a#Convening of National Committee to Strengthening the alliance through regular"/>
    <s v="5-01-02-69-093GLJ-ILRF:INKOTA-6.1..a#Convening of National Committee to Strengthening the alliance through regular"/>
    <x v="2"/>
    <x v="9"/>
    <x v="42"/>
    <s v="GLJ-ILRF:INKOTA-6.1..a#Convening of National Committee to Strengthening the alliance through regular"/>
    <s v="PILER"/>
    <m/>
    <m/>
    <n v="22000"/>
    <n v="0"/>
    <n v="22000"/>
    <n v="0"/>
    <x v="57"/>
  </r>
  <r>
    <s v="5-01-02-69-094"/>
    <m/>
    <s v="GLJ-ILRF:INKOTA-6.2.a#Public dicussion on wage(MW &amp; LW)"/>
    <s v="5-01-02-69-094GLJ-ILRF:INKOTA-6.2.a#Public dicussion on wage(MW &amp; LW)"/>
    <x v="2"/>
    <x v="9"/>
    <x v="43"/>
    <s v="GLJ-ILRF:INKOTA-6.2.a#Public dicussion on wage(MW &amp; LW)"/>
    <s v="PILER"/>
    <m/>
    <m/>
    <n v="521188"/>
    <n v="0"/>
    <n v="521188"/>
    <n v="0"/>
    <x v="209"/>
  </r>
  <r>
    <s v="5-01-02-69-097"/>
    <m/>
    <s v="GLJ-ILRF:INKOTA-6.9.a#Interpreter-Regional event"/>
    <s v="5-01-02-69-097GLJ-ILRF:INKOTA-6.9.a#Interpreter-Regional event"/>
    <x v="2"/>
    <x v="9"/>
    <x v="44"/>
    <s v="GLJ-ILRF:INKOTA-6.9.a#Interpreter-Regional event"/>
    <s v="PILER"/>
    <m/>
    <m/>
    <n v="160000"/>
    <n v="0"/>
    <n v="160000"/>
    <n v="0"/>
    <x v="210"/>
  </r>
  <r>
    <s v="5-01-02-74-004"/>
    <m/>
    <s v="GRC-6.3# Office Rent"/>
    <s v="5-01-02-74-004GRC-6.3# Office Rent"/>
    <x v="2"/>
    <x v="9"/>
    <x v="45"/>
    <s v="GRC-6.3# Office Rent"/>
    <s v="GRC"/>
    <m/>
    <m/>
    <n v="0"/>
    <n v="84000"/>
    <n v="0"/>
    <n v="84000"/>
    <x v="211"/>
  </r>
  <r>
    <s v="5-01-02-74-004"/>
    <m/>
    <s v="GRC-6.3# Office Rent"/>
    <s v="5-01-02-74-004GRC-6.3# Office Rent"/>
    <x v="2"/>
    <x v="9"/>
    <x v="45"/>
    <s v="GRC-6.3# Office Rent"/>
    <s v="GRC Own"/>
    <m/>
    <m/>
    <n v="862600"/>
    <n v="768200"/>
    <n v="862600"/>
    <n v="768200"/>
    <x v="212"/>
  </r>
  <r>
    <s v="5-01-02-74-005"/>
    <m/>
    <s v="GRC-8.1.1# Baseline Assessment (development, implementation, analysis and reporting, recruitment and"/>
    <s v="5-01-02-74-005GRC-8.1.1# Baseline Assessment (development, implementation, analysis and reporting, recruitment and"/>
    <x v="2"/>
    <x v="9"/>
    <x v="46"/>
    <s v="GRC-8.1.1# Baseline Assessment (development, implementation, analysis and reporting, recruitment and"/>
    <s v="GRC"/>
    <m/>
    <m/>
    <n v="114520"/>
    <n v="0"/>
    <n v="114520"/>
    <n v="0"/>
    <x v="213"/>
  </r>
  <r>
    <s v="5-01-02-74-012"/>
    <m/>
    <s v="GRC-8.2.5 # Stationary &amp; material"/>
    <s v="5-01-02-74-012GRC-8.2.5 # Stationary &amp; material"/>
    <x v="2"/>
    <x v="9"/>
    <x v="47"/>
    <s v="GRC-8.2.5 # Stationary &amp; material"/>
    <s v="GRC"/>
    <m/>
    <m/>
    <n v="4990"/>
    <n v="0"/>
    <n v="4990"/>
    <n v="0"/>
    <x v="214"/>
  </r>
  <r>
    <s v="5-01-02-74-013"/>
    <m/>
    <s v="GRC-Indirect Costs"/>
    <s v="5-01-02-74-013GRC-Indirect Costs"/>
    <x v="2"/>
    <x v="9"/>
    <x v="48"/>
    <s v="GRC-Indirect Costs"/>
    <s v="GRC"/>
    <m/>
    <m/>
    <n v="679879"/>
    <n v="0"/>
    <n v="679879"/>
    <n v="0"/>
    <x v="215"/>
  </r>
  <r>
    <s v="5-01-02-74-015"/>
    <m/>
    <s v="GRC-6.1.2#Paralegal trainer/facilitator"/>
    <s v="5-01-02-74-015GRC-6.1.2#Paralegal trainer/facilitator"/>
    <x v="2"/>
    <x v="9"/>
    <x v="49"/>
    <s v="GRC-6.1.2#Paralegal trainer/facilitator"/>
    <s v="GRC"/>
    <m/>
    <m/>
    <n v="0"/>
    <n v="691990"/>
    <n v="0"/>
    <n v="691990"/>
    <x v="216"/>
  </r>
  <r>
    <s v="5-01-02-74-015"/>
    <m/>
    <s v="GRC-6.1.2#Paralegal trainer/facilitator"/>
    <s v="5-01-02-74-015GRC-6.1.2#Paralegal trainer/facilitator"/>
    <x v="2"/>
    <x v="9"/>
    <x v="49"/>
    <s v="GRC-6.1.2#Paralegal trainer/facilitator"/>
    <s v="GRC Own"/>
    <m/>
    <m/>
    <n v="10863930"/>
    <n v="9751775.3200000003"/>
    <n v="10863930"/>
    <n v="9751775.3200000003"/>
    <x v="217"/>
  </r>
  <r>
    <s v="5-01-02-86-001"/>
    <m/>
    <s v="GRC-A.1.1#Project Manager"/>
    <s v="5-01-02-86-001GRC-A.1.1#Project Manager"/>
    <x v="2"/>
    <x v="9"/>
    <x v="50"/>
    <s v="GRC-A.1.1#Project Manager"/>
    <s v="GRC"/>
    <m/>
    <m/>
    <n v="2468400"/>
    <n v="0"/>
    <n v="2468400"/>
    <n v="0"/>
    <x v="218"/>
  </r>
  <r>
    <s v="5-01-02-86-002"/>
    <m/>
    <s v="GRC-A.1.2#Finance Coordinator"/>
    <s v="5-01-02-86-002GRC-A.1.2#Finance Coordinator"/>
    <x v="2"/>
    <x v="9"/>
    <x v="51"/>
    <s v="GRC-A.1.2#Finance Coordinator"/>
    <s v="GRC"/>
    <m/>
    <m/>
    <n v="1604727"/>
    <n v="0"/>
    <n v="1604727"/>
    <n v="0"/>
    <x v="219"/>
  </r>
  <r>
    <s v="5-01-02-86-003"/>
    <m/>
    <s v="GRC-A.1.3#Project Coordinator"/>
    <s v="5-01-02-86-003GRC-A.1.3#Project Coordinator"/>
    <x v="2"/>
    <x v="9"/>
    <x v="52"/>
    <s v="GRC-A.1.3#Project Coordinator"/>
    <s v="GRC"/>
    <m/>
    <m/>
    <n v="1205282"/>
    <n v="0"/>
    <n v="1205282"/>
    <n v="0"/>
    <x v="220"/>
  </r>
  <r>
    <s v="5-01-02-86-004"/>
    <m/>
    <s v="GRC-A.1.#Admn Officer"/>
    <s v="5-01-02-86-004GRC-A.1.#Admn Officer"/>
    <x v="2"/>
    <x v="9"/>
    <x v="53"/>
    <s v="GRC-A.1.#Admn Officer"/>
    <s v="PILER"/>
    <m/>
    <m/>
    <n v="88799"/>
    <n v="0"/>
    <n v="88799"/>
    <n v="0"/>
    <x v="221"/>
  </r>
  <r>
    <s v="5-01-02-86-004"/>
    <m/>
    <s v="GRC-A.1.#Admn Officer"/>
    <s v="5-01-02-86-004GRC-A.1.#Admn Officer"/>
    <x v="2"/>
    <x v="9"/>
    <x v="53"/>
    <s v="GRC-A.1.#Admn Officer"/>
    <s v="GRC"/>
    <m/>
    <m/>
    <n v="916237"/>
    <n v="0"/>
    <n v="916237"/>
    <n v="0"/>
    <x v="222"/>
  </r>
  <r>
    <s v="5-01-02-86-005"/>
    <m/>
    <s v="GRC-B.1.1#EOBI Contribution"/>
    <s v="5-01-02-86-005GRC-B.1.1#EOBI Contribution"/>
    <x v="2"/>
    <x v="9"/>
    <x v="54"/>
    <s v="GRC-B.1.1#EOBI Contribution"/>
    <s v="GRC"/>
    <m/>
    <m/>
    <n v="54231"/>
    <n v="0"/>
    <n v="54231"/>
    <n v="0"/>
    <x v="223"/>
  </r>
  <r>
    <s v="5-01-02-86-013"/>
    <m/>
    <s v="GRC-D.1#Laptop for office use"/>
    <s v="5-01-02-86-013GRC-D.1#Laptop for office use"/>
    <x v="2"/>
    <x v="9"/>
    <x v="55"/>
    <s v="GRC-D.1#Laptop for office use"/>
    <s v="GRC"/>
    <m/>
    <m/>
    <n v="148000"/>
    <n v="0"/>
    <n v="148000"/>
    <n v="0"/>
    <x v="224"/>
  </r>
  <r>
    <s v="5-01-02-86-014"/>
    <m/>
    <s v="GRC-F.2#Office Rent"/>
    <s v="5-01-02-86-014GRC-F.2#Office Rent"/>
    <x v="2"/>
    <x v="9"/>
    <x v="56"/>
    <s v="GRC-F.2#Office Rent"/>
    <s v="GRC"/>
    <m/>
    <m/>
    <n v="932099"/>
    <n v="0"/>
    <n v="932099"/>
    <n v="0"/>
    <x v="225"/>
  </r>
  <r>
    <s v="5-01-02-86-017"/>
    <m/>
    <s v="GRC-H.1.4#Venue, including food and drinks"/>
    <s v="5-01-02-86-017GRC-H.1.4#Venue, including food and drinks"/>
    <x v="2"/>
    <x v="9"/>
    <x v="57"/>
    <s v="GRC-H.1.4#Venue, including food and drinks"/>
    <s v="GRC"/>
    <m/>
    <m/>
    <n v="2000369"/>
    <n v="0"/>
    <n v="2000369"/>
    <n v="0"/>
    <x v="226"/>
  </r>
  <r>
    <s v="5-01-02-86-018"/>
    <m/>
    <s v="GRC-H.1.5#Travel for participants"/>
    <s v="5-01-02-86-018GRC-H.1.5#Travel for participants"/>
    <x v="2"/>
    <x v="9"/>
    <x v="58"/>
    <s v="GRC-H.1.5#Travel for participants"/>
    <s v="GRC"/>
    <m/>
    <m/>
    <n v="785528"/>
    <n v="0"/>
    <n v="785528"/>
    <n v="0"/>
    <x v="227"/>
  </r>
  <r>
    <s v="5-01-02-86-019"/>
    <m/>
    <s v="GRC-H.1.7#Facilitators fee"/>
    <s v="5-01-02-86-019GRC-H.1.7#Facilitators fee"/>
    <x v="2"/>
    <x v="9"/>
    <x v="59"/>
    <s v="GRC-H.1.7#Facilitators fee"/>
    <s v="GRC"/>
    <m/>
    <m/>
    <n v="333058"/>
    <n v="0"/>
    <n v="333058"/>
    <n v="0"/>
    <x v="228"/>
  </r>
  <r>
    <s v="5-01-02-86-020"/>
    <m/>
    <s v="GRC-H.1.8#Stationary &amp; material"/>
    <s v="5-01-02-86-020GRC-H.1.8#Stationary &amp; material"/>
    <x v="2"/>
    <x v="9"/>
    <x v="60"/>
    <s v="GRC-H.1.8#Stationary &amp; material"/>
    <s v="GRC"/>
    <m/>
    <m/>
    <n v="206350"/>
    <n v="0"/>
    <n v="206350"/>
    <n v="0"/>
    <x v="229"/>
  </r>
  <r>
    <s v="5-01-02-88-005"/>
    <m/>
    <s v="SAPPK-5#Cultural Events engaging all Stakeholders(one in each district)"/>
    <s v="5-01-02-88-005SAPPK-5#Cultural Events engaging all Stakeholders(one in each district)"/>
    <x v="2"/>
    <x v="9"/>
    <x v="61"/>
    <s v="SAPPK-5#Cultural Events engaging all Stakeholders(one in each district)"/>
    <s v="PILER"/>
    <m/>
    <m/>
    <n v="112360"/>
    <n v="0"/>
    <n v="112360"/>
    <n v="0"/>
    <x v="230"/>
  </r>
  <r>
    <s v="5-01-05--002"/>
    <m/>
    <s v="GCE#2-Community Engagement"/>
    <s v="5-01-05--002GCE#2-Community Engagement"/>
    <x v="2"/>
    <x v="9"/>
    <x v="62"/>
    <s v="GCE#2-Community Engagement"/>
    <s v="PILER"/>
    <m/>
    <m/>
    <n v="139315"/>
    <n v="0"/>
    <n v="139315"/>
    <n v="0"/>
    <x v="231"/>
  </r>
  <r>
    <s v="5-01-05--004"/>
    <m/>
    <s v="GCE#4-Multistake holder Consultation"/>
    <s v="5-01-05--004GCE#4-Multistake holder Consultation"/>
    <x v="2"/>
    <x v="9"/>
    <x v="63"/>
    <s v="GCE#4-Multistake holder Consultation"/>
    <s v="PILER"/>
    <m/>
    <m/>
    <n v="1553283"/>
    <n v="0"/>
    <n v="1553283"/>
    <n v="0"/>
    <x v="232"/>
  </r>
  <r>
    <s v="5-01-05-0-001"/>
    <m/>
    <s v="GCE#6-Report Writer"/>
    <s v="5-01-05-0-001GCE#6-Report Writer"/>
    <x v="2"/>
    <x v="9"/>
    <x v="64"/>
    <s v="GCE#6-Report Writer"/>
    <s v="PILER"/>
    <m/>
    <m/>
    <n v="235294"/>
    <n v="0"/>
    <n v="235294"/>
    <n v="0"/>
    <x v="2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D210" firstHeaderRow="0" firstDataRow="1" firstDataCol="1"/>
  <pivotFields count="19">
    <pivotField showAll="0"/>
    <pivotField showAll="0"/>
    <pivotField showAll="0"/>
    <pivotField axis="axisRow" showAll="0">
      <items count="4">
        <item x="2"/>
        <item x="0"/>
        <item x="1"/>
        <item t="default"/>
      </items>
    </pivotField>
    <pivotField axis="axisRow" showAll="0">
      <items count="13">
        <item x="7"/>
        <item sd="0" x="0"/>
        <item x="1"/>
        <item x="9"/>
        <item sd="0" x="4"/>
        <item x="6"/>
        <item x="11"/>
        <item x="2"/>
        <item x="3"/>
        <item x="8"/>
        <item x="5"/>
        <item x="10"/>
        <item t="default"/>
      </items>
    </pivotField>
    <pivotField axis="axisRow" showAll="0">
      <items count="114">
        <item x="5"/>
        <item x="23"/>
        <item x="30"/>
        <item x="25"/>
        <item m="1" x="101"/>
        <item x="28"/>
        <item sd="0" x="0"/>
        <item m="1" x="91"/>
        <item m="1" x="90"/>
        <item m="1" x="96"/>
        <item m="1" x="107"/>
        <item m="1" x="106"/>
        <item m="1" x="104"/>
        <item m="1" x="105"/>
        <item m="1" x="108"/>
        <item m="1" x="109"/>
        <item m="1" x="111"/>
        <item m="1" x="110"/>
        <item m="1" x="112"/>
        <item x="29"/>
        <item x="13"/>
        <item x="18"/>
        <item m="1" x="100"/>
        <item m="1" x="98"/>
        <item m="1" x="97"/>
        <item x="7"/>
        <item m="1" x="99"/>
        <item x="17"/>
        <item m="1" x="103"/>
        <item x="41"/>
        <item x="40"/>
        <item x="38"/>
        <item x="8"/>
        <item m="1" x="94"/>
        <item m="1" x="102"/>
        <item x="9"/>
        <item x="31"/>
        <item x="4"/>
        <item x="86"/>
        <item x="24"/>
        <item x="6"/>
        <item sd="0" x="1"/>
        <item x="34"/>
        <item m="1" x="88"/>
        <item x="35"/>
        <item x="21"/>
        <item x="36"/>
        <item x="37"/>
        <item x="10"/>
        <item x="32"/>
        <item x="22"/>
        <item x="19"/>
        <item m="1" x="95"/>
        <item m="1" x="93"/>
        <item m="1" x="92"/>
        <item x="11"/>
        <item x="55"/>
        <item x="27"/>
        <item sd="0" x="2"/>
        <item x="12"/>
        <item x="20"/>
        <item x="3"/>
        <item x="14"/>
        <item x="15"/>
        <item m="1" x="87"/>
        <item x="26"/>
        <item x="16"/>
        <item m="1" x="89"/>
        <item x="39"/>
        <item x="42"/>
        <item x="43"/>
        <item x="56"/>
        <item x="57"/>
        <item x="33"/>
        <item x="44"/>
        <item x="45"/>
        <item x="46"/>
        <item x="47"/>
        <item x="48"/>
        <item x="58"/>
        <item x="59"/>
        <item x="61"/>
        <item x="64"/>
        <item x="65"/>
        <item x="49"/>
        <item x="50"/>
        <item x="51"/>
        <item x="52"/>
        <item x="53"/>
        <item x="54"/>
        <item x="60"/>
        <item x="62"/>
        <item x="63"/>
        <item x="67"/>
        <item x="68"/>
        <item x="69"/>
        <item x="70"/>
        <item x="71"/>
        <item x="72"/>
        <item x="73"/>
        <item x="74"/>
        <item x="75"/>
        <item x="76"/>
        <item x="77"/>
        <item x="78"/>
        <item x="79"/>
        <item x="80"/>
        <item x="81"/>
        <item x="82"/>
        <item x="83"/>
        <item x="84"/>
        <item x="85"/>
        <item x="66"/>
        <item t="default"/>
      </items>
    </pivotField>
    <pivotField axis="axisRow" showAll="0">
      <items count="141">
        <item x="27"/>
        <item x="11"/>
        <item x="21"/>
        <item x="15"/>
        <item x="19"/>
        <item x="13"/>
        <item x="17"/>
        <item x="25"/>
        <item x="28"/>
        <item x="23"/>
        <item x="5"/>
        <item x="6"/>
        <item x="48"/>
        <item m="1" x="125"/>
        <item x="55"/>
        <item x="50"/>
        <item m="1" x="128"/>
        <item x="53"/>
        <item x="26"/>
        <item x="10"/>
        <item x="0"/>
        <item m="1" x="118"/>
        <item x="20"/>
        <item x="22"/>
        <item m="1" x="117"/>
        <item m="1" x="122"/>
        <item m="1" x="134"/>
        <item m="1" x="133"/>
        <item m="1" x="131"/>
        <item m="1" x="132"/>
        <item m="1" x="135"/>
        <item m="1" x="136"/>
        <item m="1" x="138"/>
        <item m="1" x="137"/>
        <item m="1" x="139"/>
        <item x="54"/>
        <item x="14"/>
        <item x="38"/>
        <item x="43"/>
        <item m="1" x="127"/>
        <item m="1" x="124"/>
        <item m="1" x="123"/>
        <item x="32"/>
        <item x="18"/>
        <item m="1" x="126"/>
        <item x="57"/>
        <item x="42"/>
        <item x="12"/>
        <item x="65"/>
        <item m="1" x="130"/>
        <item x="69"/>
        <item x="68"/>
        <item x="66"/>
        <item x="33"/>
        <item m="1" x="120"/>
        <item m="1" x="121"/>
        <item m="1" x="129"/>
        <item x="34"/>
        <item x="56"/>
        <item x="113"/>
        <item x="31"/>
        <item x="9"/>
        <item x="49"/>
        <item x="60"/>
        <item m="1" x="115"/>
        <item x="61"/>
        <item x="46"/>
        <item x="62"/>
        <item m="1" x="119"/>
        <item x="16"/>
        <item x="35"/>
        <item x="29"/>
        <item x="1"/>
        <item x="4"/>
        <item x="63"/>
        <item x="2"/>
        <item x="58"/>
        <item x="47"/>
        <item x="44"/>
        <item x="8"/>
        <item x="36"/>
        <item x="64"/>
        <item x="52"/>
        <item x="3"/>
        <item x="7"/>
        <item x="37"/>
        <item x="45"/>
        <item x="39"/>
        <item x="40"/>
        <item m="1" x="114"/>
        <item x="51"/>
        <item x="41"/>
        <item x="24"/>
        <item m="1" x="116"/>
        <item x="67"/>
        <item x="70"/>
        <item x="71"/>
        <item x="83"/>
        <item x="84"/>
        <item x="30"/>
        <item x="59"/>
        <item x="72"/>
        <item x="73"/>
        <item x="74"/>
        <item x="75"/>
        <item x="76"/>
        <item x="85"/>
        <item x="86"/>
        <item x="88"/>
        <item x="91"/>
        <item x="92"/>
        <item x="77"/>
        <item x="78"/>
        <item x="79"/>
        <item x="80"/>
        <item x="81"/>
        <item x="82"/>
        <item x="87"/>
        <item x="89"/>
        <item x="90"/>
        <item x="94"/>
        <item x="95"/>
        <item x="96"/>
        <item x="97"/>
        <item x="98"/>
        <item x="99"/>
        <item x="100"/>
        <item x="101"/>
        <item x="102"/>
        <item x="103"/>
        <item x="104"/>
        <item x="105"/>
        <item x="106"/>
        <item x="107"/>
        <item x="108"/>
        <item x="109"/>
        <item x="110"/>
        <item x="111"/>
        <item x="112"/>
        <item x="93"/>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4">
    <field x="3"/>
    <field x="4"/>
    <field x="5"/>
    <field x="6"/>
  </rowFields>
  <rowItems count="207">
    <i>
      <x/>
    </i>
    <i r="1">
      <x v="6"/>
    </i>
    <i r="2">
      <x v="38"/>
    </i>
    <i r="3">
      <x v="59"/>
    </i>
    <i>
      <x v="1"/>
    </i>
    <i r="1">
      <x v="1"/>
    </i>
    <i r="1">
      <x v="2"/>
    </i>
    <i r="2">
      <x/>
    </i>
    <i r="3">
      <x v="8"/>
    </i>
    <i r="3">
      <x v="71"/>
    </i>
    <i r="3">
      <x v="99"/>
    </i>
    <i r="2">
      <x v="58"/>
    </i>
    <i r="1">
      <x v="4"/>
    </i>
    <i r="1">
      <x v="7"/>
    </i>
    <i r="2">
      <x v="37"/>
    </i>
    <i r="3">
      <x v="9"/>
    </i>
    <i r="3">
      <x v="23"/>
    </i>
    <i r="2">
      <x v="61"/>
    </i>
    <i r="3">
      <x/>
    </i>
    <i r="3">
      <x v="1"/>
    </i>
    <i r="3">
      <x v="2"/>
    </i>
    <i r="3">
      <x v="3"/>
    </i>
    <i r="3">
      <x v="4"/>
    </i>
    <i r="3">
      <x v="5"/>
    </i>
    <i r="3">
      <x v="6"/>
    </i>
    <i r="3">
      <x v="7"/>
    </i>
    <i r="3">
      <x v="18"/>
    </i>
    <i r="3">
      <x v="19"/>
    </i>
    <i r="3">
      <x v="22"/>
    </i>
    <i r="3">
      <x v="36"/>
    </i>
    <i r="3">
      <x v="43"/>
    </i>
    <i r="3">
      <x v="47"/>
    </i>
    <i r="3">
      <x v="61"/>
    </i>
    <i r="3">
      <x v="69"/>
    </i>
    <i r="3">
      <x v="92"/>
    </i>
    <i r="1">
      <x v="8"/>
    </i>
    <i r="2">
      <x v="40"/>
    </i>
    <i r="3">
      <x v="60"/>
    </i>
    <i>
      <x v="2"/>
    </i>
    <i r="1">
      <x/>
    </i>
    <i r="2">
      <x v="1"/>
    </i>
    <i r="3">
      <x v="12"/>
    </i>
    <i r="2">
      <x v="2"/>
    </i>
    <i r="3">
      <x v="14"/>
    </i>
    <i r="2">
      <x v="3"/>
    </i>
    <i r="3">
      <x v="15"/>
    </i>
    <i r="2">
      <x v="19"/>
    </i>
    <i r="3">
      <x v="35"/>
    </i>
    <i r="2">
      <x v="20"/>
    </i>
    <i r="3">
      <x v="37"/>
    </i>
    <i r="2">
      <x v="21"/>
    </i>
    <i r="3">
      <x v="38"/>
    </i>
    <i r="2">
      <x v="27"/>
    </i>
    <i r="3">
      <x v="46"/>
    </i>
    <i r="2">
      <x v="39"/>
    </i>
    <i r="3">
      <x v="62"/>
    </i>
    <i r="2">
      <x v="42"/>
    </i>
    <i r="3">
      <x v="63"/>
    </i>
    <i r="2">
      <x v="45"/>
    </i>
    <i r="3">
      <x v="45"/>
    </i>
    <i r="3">
      <x v="66"/>
    </i>
    <i r="2">
      <x v="47"/>
    </i>
    <i r="3">
      <x v="74"/>
    </i>
    <i r="2">
      <x v="51"/>
    </i>
    <i r="3">
      <x v="78"/>
    </i>
    <i r="2">
      <x v="55"/>
    </i>
    <i r="3">
      <x v="80"/>
    </i>
    <i r="2">
      <x v="60"/>
    </i>
    <i r="3">
      <x v="86"/>
    </i>
    <i r="2">
      <x v="62"/>
    </i>
    <i r="3">
      <x v="87"/>
    </i>
    <i r="2">
      <x v="63"/>
    </i>
    <i r="3">
      <x v="88"/>
    </i>
    <i r="2">
      <x v="65"/>
    </i>
    <i r="3">
      <x v="90"/>
    </i>
    <i r="2">
      <x v="66"/>
    </i>
    <i r="3">
      <x v="91"/>
    </i>
    <i r="2">
      <x v="73"/>
    </i>
    <i r="3">
      <x v="100"/>
    </i>
    <i r="1">
      <x v="3"/>
    </i>
    <i r="2">
      <x v="5"/>
    </i>
    <i r="3">
      <x v="17"/>
    </i>
    <i r="1">
      <x v="5"/>
    </i>
    <i r="2">
      <x v="35"/>
    </i>
    <i r="3">
      <x v="57"/>
    </i>
    <i r="1">
      <x v="9"/>
    </i>
    <i r="2">
      <x v="29"/>
    </i>
    <i r="3">
      <x v="50"/>
    </i>
    <i r="2">
      <x v="30"/>
    </i>
    <i r="3">
      <x v="51"/>
    </i>
    <i r="2">
      <x v="31"/>
    </i>
    <i r="3">
      <x v="52"/>
    </i>
    <i r="2">
      <x v="44"/>
    </i>
    <i r="3">
      <x v="65"/>
    </i>
    <i r="2">
      <x v="46"/>
    </i>
    <i r="3">
      <x v="67"/>
    </i>
    <i r="2">
      <x v="47"/>
    </i>
    <i r="3">
      <x v="48"/>
    </i>
    <i r="2">
      <x v="49"/>
    </i>
    <i r="3">
      <x v="76"/>
    </i>
    <i r="2">
      <x v="50"/>
    </i>
    <i r="3">
      <x v="77"/>
    </i>
    <i r="2">
      <x v="55"/>
    </i>
    <i r="3">
      <x v="81"/>
    </i>
    <i r="2">
      <x v="56"/>
    </i>
    <i r="3">
      <x v="81"/>
    </i>
    <i r="2">
      <x v="57"/>
    </i>
    <i r="3">
      <x v="82"/>
    </i>
    <i r="2">
      <x v="59"/>
    </i>
    <i r="3">
      <x v="85"/>
    </i>
    <i r="2">
      <x v="68"/>
    </i>
    <i r="3">
      <x v="94"/>
    </i>
    <i r="2">
      <x v="69"/>
    </i>
    <i r="3">
      <x v="95"/>
    </i>
    <i r="2">
      <x v="70"/>
    </i>
    <i r="3">
      <x v="96"/>
    </i>
    <i r="2">
      <x v="71"/>
    </i>
    <i r="3">
      <x v="97"/>
    </i>
    <i r="2">
      <x v="72"/>
    </i>
    <i r="3">
      <x v="98"/>
    </i>
    <i r="2">
      <x v="74"/>
    </i>
    <i r="3">
      <x v="101"/>
    </i>
    <i r="2">
      <x v="75"/>
    </i>
    <i r="3">
      <x v="102"/>
    </i>
    <i r="2">
      <x v="76"/>
    </i>
    <i r="3">
      <x v="103"/>
    </i>
    <i r="2">
      <x v="77"/>
    </i>
    <i r="3">
      <x v="104"/>
    </i>
    <i r="2">
      <x v="78"/>
    </i>
    <i r="3">
      <x v="105"/>
    </i>
    <i r="2">
      <x v="79"/>
    </i>
    <i r="3">
      <x v="106"/>
    </i>
    <i r="2">
      <x v="80"/>
    </i>
    <i r="3">
      <x v="107"/>
    </i>
    <i r="2">
      <x v="81"/>
    </i>
    <i r="3">
      <x v="108"/>
    </i>
    <i r="2">
      <x v="82"/>
    </i>
    <i r="3">
      <x v="109"/>
    </i>
    <i r="2">
      <x v="83"/>
    </i>
    <i r="3">
      <x v="110"/>
    </i>
    <i r="2">
      <x v="84"/>
    </i>
    <i r="3">
      <x v="111"/>
    </i>
    <i r="2">
      <x v="85"/>
    </i>
    <i r="3">
      <x v="112"/>
    </i>
    <i r="2">
      <x v="86"/>
    </i>
    <i r="3">
      <x v="113"/>
    </i>
    <i r="2">
      <x v="87"/>
    </i>
    <i r="3">
      <x v="114"/>
    </i>
    <i r="2">
      <x v="88"/>
    </i>
    <i r="3">
      <x v="115"/>
    </i>
    <i r="2">
      <x v="89"/>
    </i>
    <i r="3">
      <x v="116"/>
    </i>
    <i r="2">
      <x v="90"/>
    </i>
    <i r="3">
      <x v="117"/>
    </i>
    <i r="2">
      <x v="91"/>
    </i>
    <i r="3">
      <x v="118"/>
    </i>
    <i r="2">
      <x v="92"/>
    </i>
    <i r="3">
      <x v="119"/>
    </i>
    <i r="2">
      <x v="93"/>
    </i>
    <i r="3">
      <x v="120"/>
    </i>
    <i r="2">
      <x v="94"/>
    </i>
    <i r="3">
      <x v="121"/>
    </i>
    <i r="2">
      <x v="95"/>
    </i>
    <i r="3">
      <x v="122"/>
    </i>
    <i r="2">
      <x v="96"/>
    </i>
    <i r="3">
      <x v="123"/>
    </i>
    <i r="2">
      <x v="97"/>
    </i>
    <i r="3">
      <x v="124"/>
    </i>
    <i r="2">
      <x v="98"/>
    </i>
    <i r="3">
      <x v="125"/>
    </i>
    <i r="2">
      <x v="99"/>
    </i>
    <i r="3">
      <x v="126"/>
    </i>
    <i r="2">
      <x v="100"/>
    </i>
    <i r="3">
      <x v="127"/>
    </i>
    <i r="2">
      <x v="101"/>
    </i>
    <i r="3">
      <x v="128"/>
    </i>
    <i r="2">
      <x v="102"/>
    </i>
    <i r="3">
      <x v="129"/>
    </i>
    <i r="2">
      <x v="103"/>
    </i>
    <i r="3">
      <x v="130"/>
    </i>
    <i r="2">
      <x v="104"/>
    </i>
    <i r="3">
      <x v="131"/>
    </i>
    <i r="2">
      <x v="105"/>
    </i>
    <i r="3">
      <x v="132"/>
    </i>
    <i r="2">
      <x v="106"/>
    </i>
    <i r="3">
      <x v="133"/>
    </i>
    <i r="2">
      <x v="107"/>
    </i>
    <i r="3">
      <x v="134"/>
    </i>
    <i r="2">
      <x v="108"/>
    </i>
    <i r="3">
      <x v="135"/>
    </i>
    <i r="2">
      <x v="109"/>
    </i>
    <i r="3">
      <x v="136"/>
    </i>
    <i r="2">
      <x v="110"/>
    </i>
    <i r="3">
      <x v="137"/>
    </i>
    <i r="2">
      <x v="111"/>
    </i>
    <i r="3">
      <x v="138"/>
    </i>
    <i r="2">
      <x v="112"/>
    </i>
    <i r="3">
      <x v="139"/>
    </i>
    <i r="1">
      <x v="10"/>
    </i>
    <i r="2">
      <x v="32"/>
    </i>
    <i r="3">
      <x v="53"/>
    </i>
    <i r="2">
      <x v="48"/>
    </i>
    <i r="3">
      <x v="70"/>
    </i>
    <i r="1">
      <x v="11"/>
    </i>
    <i r="2">
      <x v="36"/>
    </i>
    <i r="3">
      <x v="58"/>
    </i>
    <i t="grand">
      <x/>
    </i>
  </rowItems>
  <colFields count="1">
    <field x="-2"/>
  </colFields>
  <colItems count="3">
    <i>
      <x/>
    </i>
    <i i="1">
      <x v="1"/>
    </i>
    <i i="2">
      <x v="2"/>
    </i>
  </colItems>
  <dataFields count="3">
    <dataField name="Sum of Debit5" fld="16" baseField="0" baseItem="0"/>
    <dataField name="Sum of Credit5" fld="17" baseField="0" baseItem="0"/>
    <dataField name="Sum of Amount" fld="18" baseField="0" baseItem="0"/>
  </dataFields>
  <formats count="348">
    <format dxfId="367">
      <pivotArea collapsedLevelsAreSubtotals="1" fieldPosition="0">
        <references count="1">
          <reference field="3" count="1">
            <x v="0"/>
          </reference>
        </references>
      </pivotArea>
    </format>
    <format dxfId="366">
      <pivotArea collapsedLevelsAreSubtotals="1" fieldPosition="0">
        <references count="2">
          <reference field="3" count="1" selected="0">
            <x v="0"/>
          </reference>
          <reference field="4" count="1">
            <x v="6"/>
          </reference>
        </references>
      </pivotArea>
    </format>
    <format dxfId="365">
      <pivotArea collapsedLevelsAreSubtotals="1" fieldPosition="0">
        <references count="3">
          <reference field="3" count="1" selected="0">
            <x v="0"/>
          </reference>
          <reference field="4" count="1" selected="0">
            <x v="6"/>
          </reference>
          <reference field="5" count="1">
            <x v="38"/>
          </reference>
        </references>
      </pivotArea>
    </format>
    <format dxfId="364">
      <pivotArea collapsedLevelsAreSubtotals="1" fieldPosition="0">
        <references count="4">
          <reference field="3" count="1" selected="0">
            <x v="0"/>
          </reference>
          <reference field="4" count="1" selected="0">
            <x v="6"/>
          </reference>
          <reference field="5" count="1" selected="0">
            <x v="38"/>
          </reference>
          <reference field="6" count="1">
            <x v="59"/>
          </reference>
        </references>
      </pivotArea>
    </format>
    <format dxfId="363">
      <pivotArea collapsedLevelsAreSubtotals="1" fieldPosition="0">
        <references count="1">
          <reference field="3" count="1">
            <x v="1"/>
          </reference>
        </references>
      </pivotArea>
    </format>
    <format dxfId="362">
      <pivotArea collapsedLevelsAreSubtotals="1" fieldPosition="0">
        <references count="2">
          <reference field="3" count="1" selected="0">
            <x v="1"/>
          </reference>
          <reference field="4" count="1">
            <x v="1"/>
          </reference>
        </references>
      </pivotArea>
    </format>
    <format dxfId="361">
      <pivotArea collapsedLevelsAreSubtotals="1" fieldPosition="0">
        <references count="3">
          <reference field="3" count="1" selected="0">
            <x v="1"/>
          </reference>
          <reference field="4" count="1" selected="0">
            <x v="1"/>
          </reference>
          <reference field="5" count="1">
            <x v="6"/>
          </reference>
        </references>
      </pivotArea>
    </format>
    <format dxfId="360">
      <pivotArea collapsedLevelsAreSubtotals="1" fieldPosition="0">
        <references count="4">
          <reference field="3" count="1" selected="0">
            <x v="1"/>
          </reference>
          <reference field="4" count="1" selected="0">
            <x v="1"/>
          </reference>
          <reference field="5" count="1" selected="0">
            <x v="6"/>
          </reference>
          <reference field="6" count="1">
            <x v="20"/>
          </reference>
        </references>
      </pivotArea>
    </format>
    <format dxfId="359">
      <pivotArea collapsedLevelsAreSubtotals="1" fieldPosition="0">
        <references count="3">
          <reference field="3" count="1" selected="0">
            <x v="1"/>
          </reference>
          <reference field="4" count="1" selected="0">
            <x v="1"/>
          </reference>
          <reference field="5" count="1">
            <x v="41"/>
          </reference>
        </references>
      </pivotArea>
    </format>
    <format dxfId="358">
      <pivotArea collapsedLevelsAreSubtotals="1" fieldPosition="0">
        <references count="4">
          <reference field="3" count="1" selected="0">
            <x v="1"/>
          </reference>
          <reference field="4" count="1" selected="0">
            <x v="1"/>
          </reference>
          <reference field="5" count="1" selected="0">
            <x v="41"/>
          </reference>
          <reference field="6" count="7">
            <x v="10"/>
            <x v="11"/>
            <x v="72"/>
            <x v="73"/>
            <x v="79"/>
            <x v="83"/>
            <x v="84"/>
          </reference>
        </references>
      </pivotArea>
    </format>
    <format dxfId="357">
      <pivotArea collapsedLevelsAreSubtotals="1" fieldPosition="0">
        <references count="2">
          <reference field="3" count="1" selected="0">
            <x v="1"/>
          </reference>
          <reference field="4" count="1">
            <x v="2"/>
          </reference>
        </references>
      </pivotArea>
    </format>
    <format dxfId="356">
      <pivotArea collapsedLevelsAreSubtotals="1" fieldPosition="0">
        <references count="3">
          <reference field="3" count="1" selected="0">
            <x v="1"/>
          </reference>
          <reference field="4" count="1" selected="0">
            <x v="2"/>
          </reference>
          <reference field="5" count="1">
            <x v="0"/>
          </reference>
        </references>
      </pivotArea>
    </format>
    <format dxfId="355">
      <pivotArea collapsedLevelsAreSubtotals="1" fieldPosition="0">
        <references count="4">
          <reference field="3" count="1" selected="0">
            <x v="1"/>
          </reference>
          <reference field="4" count="1" selected="0">
            <x v="2"/>
          </reference>
          <reference field="5" count="1" selected="0">
            <x v="0"/>
          </reference>
          <reference field="6" count="2">
            <x v="8"/>
            <x v="71"/>
          </reference>
        </references>
      </pivotArea>
    </format>
    <format dxfId="354">
      <pivotArea collapsedLevelsAreSubtotals="1" fieldPosition="0">
        <references count="3">
          <reference field="3" count="1" selected="0">
            <x v="1"/>
          </reference>
          <reference field="4" count="1" selected="0">
            <x v="2"/>
          </reference>
          <reference field="5" count="1">
            <x v="58"/>
          </reference>
        </references>
      </pivotArea>
    </format>
    <format dxfId="353">
      <pivotArea collapsedLevelsAreSubtotals="1" fieldPosition="0">
        <references count="4">
          <reference field="3" count="1" selected="0">
            <x v="1"/>
          </reference>
          <reference field="4" count="1" selected="0">
            <x v="2"/>
          </reference>
          <reference field="5" count="1" selected="0">
            <x v="58"/>
          </reference>
          <reference field="6" count="1">
            <x v="75"/>
          </reference>
        </references>
      </pivotArea>
    </format>
    <format dxfId="352">
      <pivotArea collapsedLevelsAreSubtotals="1" fieldPosition="0">
        <references count="2">
          <reference field="3" count="1" selected="0">
            <x v="1"/>
          </reference>
          <reference field="4" count="1">
            <x v="4"/>
          </reference>
        </references>
      </pivotArea>
    </format>
    <format dxfId="351">
      <pivotArea collapsedLevelsAreSubtotals="1" fieldPosition="0">
        <references count="3">
          <reference field="3" count="1" selected="0">
            <x v="1"/>
          </reference>
          <reference field="4" count="1" selected="0">
            <x v="4"/>
          </reference>
          <reference field="5" count="1">
            <x v="25"/>
          </reference>
        </references>
      </pivotArea>
    </format>
    <format dxfId="350">
      <pivotArea collapsedLevelsAreSubtotals="1" fieldPosition="0">
        <references count="4">
          <reference field="3" count="1" selected="0">
            <x v="1"/>
          </reference>
          <reference field="4" count="1" selected="0">
            <x v="4"/>
          </reference>
          <reference field="5" count="1" selected="0">
            <x v="25"/>
          </reference>
          <reference field="6" count="1">
            <x v="42"/>
          </reference>
        </references>
      </pivotArea>
    </format>
    <format dxfId="349">
      <pivotArea collapsedLevelsAreSubtotals="1" fieldPosition="0">
        <references count="2">
          <reference field="3" count="1" selected="0">
            <x v="1"/>
          </reference>
          <reference field="4" count="1">
            <x v="7"/>
          </reference>
        </references>
      </pivotArea>
    </format>
    <format dxfId="348">
      <pivotArea collapsedLevelsAreSubtotals="1" fieldPosition="0">
        <references count="3">
          <reference field="3" count="1" selected="0">
            <x v="1"/>
          </reference>
          <reference field="4" count="1" selected="0">
            <x v="7"/>
          </reference>
          <reference field="5" count="1">
            <x v="37"/>
          </reference>
        </references>
      </pivotArea>
    </format>
    <format dxfId="347">
      <pivotArea collapsedLevelsAreSubtotals="1" fieldPosition="0">
        <references count="4">
          <reference field="3" count="1" selected="0">
            <x v="1"/>
          </reference>
          <reference field="4" count="1" selected="0">
            <x v="7"/>
          </reference>
          <reference field="5" count="1" selected="0">
            <x v="37"/>
          </reference>
          <reference field="6" count="3">
            <x v="9"/>
            <x v="13"/>
            <x v="23"/>
          </reference>
        </references>
      </pivotArea>
    </format>
    <format dxfId="346">
      <pivotArea collapsedLevelsAreSubtotals="1" fieldPosition="0">
        <references count="3">
          <reference field="3" count="1" selected="0">
            <x v="1"/>
          </reference>
          <reference field="4" count="1" selected="0">
            <x v="7"/>
          </reference>
          <reference field="5" count="1">
            <x v="61"/>
          </reference>
        </references>
      </pivotArea>
    </format>
    <format dxfId="345">
      <pivotArea collapsedLevelsAreSubtotals="1" fieldPosition="0">
        <references count="4">
          <reference field="3" count="1" selected="0">
            <x v="1"/>
          </reference>
          <reference field="4" count="1" selected="0">
            <x v="7"/>
          </reference>
          <reference field="5" count="1" selected="0">
            <x v="61"/>
          </reference>
          <reference field="6" count="17">
            <x v="0"/>
            <x v="1"/>
            <x v="2"/>
            <x v="3"/>
            <x v="4"/>
            <x v="5"/>
            <x v="6"/>
            <x v="7"/>
            <x v="18"/>
            <x v="19"/>
            <x v="22"/>
            <x v="36"/>
            <x v="43"/>
            <x v="47"/>
            <x v="61"/>
            <x v="69"/>
            <x v="92"/>
          </reference>
        </references>
      </pivotArea>
    </format>
    <format dxfId="344">
      <pivotArea collapsedLevelsAreSubtotals="1" fieldPosition="0">
        <references count="2">
          <reference field="3" count="1" selected="0">
            <x v="1"/>
          </reference>
          <reference field="4" count="1">
            <x v="8"/>
          </reference>
        </references>
      </pivotArea>
    </format>
    <format dxfId="343">
      <pivotArea collapsedLevelsAreSubtotals="1" fieldPosition="0">
        <references count="3">
          <reference field="3" count="1" selected="0">
            <x v="1"/>
          </reference>
          <reference field="4" count="1" selected="0">
            <x v="8"/>
          </reference>
          <reference field="5" count="1">
            <x v="40"/>
          </reference>
        </references>
      </pivotArea>
    </format>
    <format dxfId="342">
      <pivotArea collapsedLevelsAreSubtotals="1" fieldPosition="0">
        <references count="4">
          <reference field="3" count="1" selected="0">
            <x v="1"/>
          </reference>
          <reference field="4" count="1" selected="0">
            <x v="8"/>
          </reference>
          <reference field="5" count="1" selected="0">
            <x v="40"/>
          </reference>
          <reference field="6" count="1">
            <x v="60"/>
          </reference>
        </references>
      </pivotArea>
    </format>
    <format dxfId="341">
      <pivotArea collapsedLevelsAreSubtotals="1" fieldPosition="0">
        <references count="1">
          <reference field="3" count="1">
            <x v="2"/>
          </reference>
        </references>
      </pivotArea>
    </format>
    <format dxfId="340">
      <pivotArea collapsedLevelsAreSubtotals="1" fieldPosition="0">
        <references count="2">
          <reference field="3" count="1" selected="0">
            <x v="2"/>
          </reference>
          <reference field="4" count="1">
            <x v="0"/>
          </reference>
        </references>
      </pivotArea>
    </format>
    <format dxfId="339">
      <pivotArea collapsedLevelsAreSubtotals="1" fieldPosition="0">
        <references count="3">
          <reference field="3" count="1" selected="0">
            <x v="2"/>
          </reference>
          <reference field="4" count="1" selected="0">
            <x v="0"/>
          </reference>
          <reference field="5" count="1">
            <x v="1"/>
          </reference>
        </references>
      </pivotArea>
    </format>
    <format dxfId="338">
      <pivotArea collapsedLevelsAreSubtotals="1" fieldPosition="0">
        <references count="4">
          <reference field="3" count="1" selected="0">
            <x v="2"/>
          </reference>
          <reference field="4" count="1" selected="0">
            <x v="0"/>
          </reference>
          <reference field="5" count="1" selected="0">
            <x v="1"/>
          </reference>
          <reference field="6" count="1">
            <x v="12"/>
          </reference>
        </references>
      </pivotArea>
    </format>
    <format dxfId="337">
      <pivotArea collapsedLevelsAreSubtotals="1" fieldPosition="0">
        <references count="3">
          <reference field="3" count="1" selected="0">
            <x v="2"/>
          </reference>
          <reference field="4" count="1" selected="0">
            <x v="0"/>
          </reference>
          <reference field="5" count="1">
            <x v="2"/>
          </reference>
        </references>
      </pivotArea>
    </format>
    <format dxfId="336">
      <pivotArea collapsedLevelsAreSubtotals="1" fieldPosition="0">
        <references count="4">
          <reference field="3" count="1" selected="0">
            <x v="2"/>
          </reference>
          <reference field="4" count="1" selected="0">
            <x v="0"/>
          </reference>
          <reference field="5" count="1" selected="0">
            <x v="2"/>
          </reference>
          <reference field="6" count="1">
            <x v="14"/>
          </reference>
        </references>
      </pivotArea>
    </format>
    <format dxfId="335">
      <pivotArea collapsedLevelsAreSubtotals="1" fieldPosition="0">
        <references count="3">
          <reference field="3" count="1" selected="0">
            <x v="2"/>
          </reference>
          <reference field="4" count="1" selected="0">
            <x v="0"/>
          </reference>
          <reference field="5" count="1">
            <x v="3"/>
          </reference>
        </references>
      </pivotArea>
    </format>
    <format dxfId="334">
      <pivotArea collapsedLevelsAreSubtotals="1" fieldPosition="0">
        <references count="4">
          <reference field="3" count="1" selected="0">
            <x v="2"/>
          </reference>
          <reference field="4" count="1" selected="0">
            <x v="0"/>
          </reference>
          <reference field="5" count="1" selected="0">
            <x v="3"/>
          </reference>
          <reference field="6" count="1">
            <x v="15"/>
          </reference>
        </references>
      </pivotArea>
    </format>
    <format dxfId="333">
      <pivotArea collapsedLevelsAreSubtotals="1" fieldPosition="0">
        <references count="3">
          <reference field="3" count="1" selected="0">
            <x v="2"/>
          </reference>
          <reference field="4" count="1" selected="0">
            <x v="0"/>
          </reference>
          <reference field="5" count="1">
            <x v="19"/>
          </reference>
        </references>
      </pivotArea>
    </format>
    <format dxfId="332">
      <pivotArea collapsedLevelsAreSubtotals="1" fieldPosition="0">
        <references count="4">
          <reference field="3" count="1" selected="0">
            <x v="2"/>
          </reference>
          <reference field="4" count="1" selected="0">
            <x v="0"/>
          </reference>
          <reference field="5" count="1" selected="0">
            <x v="19"/>
          </reference>
          <reference field="6" count="1">
            <x v="35"/>
          </reference>
        </references>
      </pivotArea>
    </format>
    <format dxfId="331">
      <pivotArea collapsedLevelsAreSubtotals="1" fieldPosition="0">
        <references count="3">
          <reference field="3" count="1" selected="0">
            <x v="2"/>
          </reference>
          <reference field="4" count="1" selected="0">
            <x v="0"/>
          </reference>
          <reference field="5" count="1">
            <x v="20"/>
          </reference>
        </references>
      </pivotArea>
    </format>
    <format dxfId="330">
      <pivotArea collapsedLevelsAreSubtotals="1" fieldPosition="0">
        <references count="4">
          <reference field="3" count="1" selected="0">
            <x v="2"/>
          </reference>
          <reference field="4" count="1" selected="0">
            <x v="0"/>
          </reference>
          <reference field="5" count="1" selected="0">
            <x v="20"/>
          </reference>
          <reference field="6" count="1">
            <x v="37"/>
          </reference>
        </references>
      </pivotArea>
    </format>
    <format dxfId="329">
      <pivotArea collapsedLevelsAreSubtotals="1" fieldPosition="0">
        <references count="3">
          <reference field="3" count="1" selected="0">
            <x v="2"/>
          </reference>
          <reference field="4" count="1" selected="0">
            <x v="0"/>
          </reference>
          <reference field="5" count="1">
            <x v="21"/>
          </reference>
        </references>
      </pivotArea>
    </format>
    <format dxfId="328">
      <pivotArea collapsedLevelsAreSubtotals="1" fieldPosition="0">
        <references count="4">
          <reference field="3" count="1" selected="0">
            <x v="2"/>
          </reference>
          <reference field="4" count="1" selected="0">
            <x v="0"/>
          </reference>
          <reference field="5" count="1" selected="0">
            <x v="21"/>
          </reference>
          <reference field="6" count="1">
            <x v="38"/>
          </reference>
        </references>
      </pivotArea>
    </format>
    <format dxfId="327">
      <pivotArea collapsedLevelsAreSubtotals="1" fieldPosition="0">
        <references count="3">
          <reference field="3" count="1" selected="0">
            <x v="2"/>
          </reference>
          <reference field="4" count="1" selected="0">
            <x v="0"/>
          </reference>
          <reference field="5" count="1">
            <x v="27"/>
          </reference>
        </references>
      </pivotArea>
    </format>
    <format dxfId="326">
      <pivotArea collapsedLevelsAreSubtotals="1" fieldPosition="0">
        <references count="4">
          <reference field="3" count="1" selected="0">
            <x v="2"/>
          </reference>
          <reference field="4" count="1" selected="0">
            <x v="0"/>
          </reference>
          <reference field="5" count="1" selected="0">
            <x v="27"/>
          </reference>
          <reference field="6" count="1">
            <x v="46"/>
          </reference>
        </references>
      </pivotArea>
    </format>
    <format dxfId="325">
      <pivotArea collapsedLevelsAreSubtotals="1" fieldPosition="0">
        <references count="3">
          <reference field="3" count="1" selected="0">
            <x v="2"/>
          </reference>
          <reference field="4" count="1" selected="0">
            <x v="0"/>
          </reference>
          <reference field="5" count="1">
            <x v="39"/>
          </reference>
        </references>
      </pivotArea>
    </format>
    <format dxfId="324">
      <pivotArea collapsedLevelsAreSubtotals="1" fieldPosition="0">
        <references count="4">
          <reference field="3" count="1" selected="0">
            <x v="2"/>
          </reference>
          <reference field="4" count="1" selected="0">
            <x v="0"/>
          </reference>
          <reference field="5" count="1" selected="0">
            <x v="39"/>
          </reference>
          <reference field="6" count="1">
            <x v="62"/>
          </reference>
        </references>
      </pivotArea>
    </format>
    <format dxfId="323">
      <pivotArea collapsedLevelsAreSubtotals="1" fieldPosition="0">
        <references count="3">
          <reference field="3" count="1" selected="0">
            <x v="2"/>
          </reference>
          <reference field="4" count="1" selected="0">
            <x v="0"/>
          </reference>
          <reference field="5" count="1">
            <x v="42"/>
          </reference>
        </references>
      </pivotArea>
    </format>
    <format dxfId="322">
      <pivotArea collapsedLevelsAreSubtotals="1" fieldPosition="0">
        <references count="4">
          <reference field="3" count="1" selected="0">
            <x v="2"/>
          </reference>
          <reference field="4" count="1" selected="0">
            <x v="0"/>
          </reference>
          <reference field="5" count="1" selected="0">
            <x v="42"/>
          </reference>
          <reference field="6" count="1">
            <x v="63"/>
          </reference>
        </references>
      </pivotArea>
    </format>
    <format dxfId="321">
      <pivotArea collapsedLevelsAreSubtotals="1" fieldPosition="0">
        <references count="3">
          <reference field="3" count="1" selected="0">
            <x v="2"/>
          </reference>
          <reference field="4" count="1" selected="0">
            <x v="0"/>
          </reference>
          <reference field="5" count="1">
            <x v="43"/>
          </reference>
        </references>
      </pivotArea>
    </format>
    <format dxfId="320">
      <pivotArea collapsedLevelsAreSubtotals="1" fieldPosition="0">
        <references count="4">
          <reference field="3" count="1" selected="0">
            <x v="2"/>
          </reference>
          <reference field="4" count="1" selected="0">
            <x v="0"/>
          </reference>
          <reference field="5" count="1" selected="0">
            <x v="43"/>
          </reference>
          <reference field="6" count="1">
            <x v="64"/>
          </reference>
        </references>
      </pivotArea>
    </format>
    <format dxfId="319">
      <pivotArea collapsedLevelsAreSubtotals="1" fieldPosition="0">
        <references count="3">
          <reference field="3" count="1" selected="0">
            <x v="2"/>
          </reference>
          <reference field="4" count="1" selected="0">
            <x v="0"/>
          </reference>
          <reference field="5" count="1">
            <x v="45"/>
          </reference>
        </references>
      </pivotArea>
    </format>
    <format dxfId="318">
      <pivotArea collapsedLevelsAreSubtotals="1" fieldPosition="0">
        <references count="4">
          <reference field="3" count="1" selected="0">
            <x v="2"/>
          </reference>
          <reference field="4" count="1" selected="0">
            <x v="0"/>
          </reference>
          <reference field="5" count="1" selected="0">
            <x v="45"/>
          </reference>
          <reference field="6" count="2">
            <x v="45"/>
            <x v="66"/>
          </reference>
        </references>
      </pivotArea>
    </format>
    <format dxfId="317">
      <pivotArea collapsedLevelsAreSubtotals="1" fieldPosition="0">
        <references count="3">
          <reference field="3" count="1" selected="0">
            <x v="2"/>
          </reference>
          <reference field="4" count="1" selected="0">
            <x v="0"/>
          </reference>
          <reference field="5" count="1">
            <x v="51"/>
          </reference>
        </references>
      </pivotArea>
    </format>
    <format dxfId="316">
      <pivotArea collapsedLevelsAreSubtotals="1" fieldPosition="0">
        <references count="4">
          <reference field="3" count="1" selected="0">
            <x v="2"/>
          </reference>
          <reference field="4" count="1" selected="0">
            <x v="0"/>
          </reference>
          <reference field="5" count="1" selected="0">
            <x v="51"/>
          </reference>
          <reference field="6" count="1">
            <x v="78"/>
          </reference>
        </references>
      </pivotArea>
    </format>
    <format dxfId="315">
      <pivotArea collapsedLevelsAreSubtotals="1" fieldPosition="0">
        <references count="3">
          <reference field="3" count="1" selected="0">
            <x v="2"/>
          </reference>
          <reference field="4" count="1" selected="0">
            <x v="0"/>
          </reference>
          <reference field="5" count="1">
            <x v="55"/>
          </reference>
        </references>
      </pivotArea>
    </format>
    <format dxfId="314">
      <pivotArea collapsedLevelsAreSubtotals="1" fieldPosition="0">
        <references count="4">
          <reference field="3" count="1" selected="0">
            <x v="2"/>
          </reference>
          <reference field="4" count="1" selected="0">
            <x v="0"/>
          </reference>
          <reference field="5" count="1" selected="0">
            <x v="55"/>
          </reference>
          <reference field="6" count="1">
            <x v="80"/>
          </reference>
        </references>
      </pivotArea>
    </format>
    <format dxfId="313">
      <pivotArea collapsedLevelsAreSubtotals="1" fieldPosition="0">
        <references count="3">
          <reference field="3" count="1" selected="0">
            <x v="2"/>
          </reference>
          <reference field="4" count="1" selected="0">
            <x v="0"/>
          </reference>
          <reference field="5" count="1">
            <x v="60"/>
          </reference>
        </references>
      </pivotArea>
    </format>
    <format dxfId="312">
      <pivotArea collapsedLevelsAreSubtotals="1" fieldPosition="0">
        <references count="4">
          <reference field="3" count="1" selected="0">
            <x v="2"/>
          </reference>
          <reference field="4" count="1" selected="0">
            <x v="0"/>
          </reference>
          <reference field="5" count="1" selected="0">
            <x v="60"/>
          </reference>
          <reference field="6" count="1">
            <x v="86"/>
          </reference>
        </references>
      </pivotArea>
    </format>
    <format dxfId="311">
      <pivotArea collapsedLevelsAreSubtotals="1" fieldPosition="0">
        <references count="3">
          <reference field="3" count="1" selected="0">
            <x v="2"/>
          </reference>
          <reference field="4" count="1" selected="0">
            <x v="0"/>
          </reference>
          <reference field="5" count="1">
            <x v="62"/>
          </reference>
        </references>
      </pivotArea>
    </format>
    <format dxfId="310">
      <pivotArea collapsedLevelsAreSubtotals="1" fieldPosition="0">
        <references count="4">
          <reference field="3" count="1" selected="0">
            <x v="2"/>
          </reference>
          <reference field="4" count="1" selected="0">
            <x v="0"/>
          </reference>
          <reference field="5" count="1" selected="0">
            <x v="62"/>
          </reference>
          <reference field="6" count="1">
            <x v="87"/>
          </reference>
        </references>
      </pivotArea>
    </format>
    <format dxfId="309">
      <pivotArea collapsedLevelsAreSubtotals="1" fieldPosition="0">
        <references count="3">
          <reference field="3" count="1" selected="0">
            <x v="2"/>
          </reference>
          <reference field="4" count="1" selected="0">
            <x v="0"/>
          </reference>
          <reference field="5" count="1">
            <x v="63"/>
          </reference>
        </references>
      </pivotArea>
    </format>
    <format dxfId="308">
      <pivotArea collapsedLevelsAreSubtotals="1" fieldPosition="0">
        <references count="4">
          <reference field="3" count="1" selected="0">
            <x v="2"/>
          </reference>
          <reference field="4" count="1" selected="0">
            <x v="0"/>
          </reference>
          <reference field="5" count="1" selected="0">
            <x v="63"/>
          </reference>
          <reference field="6" count="1">
            <x v="88"/>
          </reference>
        </references>
      </pivotArea>
    </format>
    <format dxfId="307">
      <pivotArea collapsedLevelsAreSubtotals="1" fieldPosition="0">
        <references count="3">
          <reference field="3" count="1" selected="0">
            <x v="2"/>
          </reference>
          <reference field="4" count="1" selected="0">
            <x v="0"/>
          </reference>
          <reference field="5" count="1">
            <x v="65"/>
          </reference>
        </references>
      </pivotArea>
    </format>
    <format dxfId="306">
      <pivotArea collapsedLevelsAreSubtotals="1" fieldPosition="0">
        <references count="4">
          <reference field="3" count="1" selected="0">
            <x v="2"/>
          </reference>
          <reference field="4" count="1" selected="0">
            <x v="0"/>
          </reference>
          <reference field="5" count="1" selected="0">
            <x v="65"/>
          </reference>
          <reference field="6" count="1">
            <x v="90"/>
          </reference>
        </references>
      </pivotArea>
    </format>
    <format dxfId="305">
      <pivotArea collapsedLevelsAreSubtotals="1" fieldPosition="0">
        <references count="3">
          <reference field="3" count="1" selected="0">
            <x v="2"/>
          </reference>
          <reference field="4" count="1" selected="0">
            <x v="0"/>
          </reference>
          <reference field="5" count="1">
            <x v="66"/>
          </reference>
        </references>
      </pivotArea>
    </format>
    <format dxfId="304">
      <pivotArea collapsedLevelsAreSubtotals="1" fieldPosition="0">
        <references count="4">
          <reference field="3" count="1" selected="0">
            <x v="2"/>
          </reference>
          <reference field="4" count="1" selected="0">
            <x v="0"/>
          </reference>
          <reference field="5" count="1" selected="0">
            <x v="66"/>
          </reference>
          <reference field="6" count="1">
            <x v="91"/>
          </reference>
        </references>
      </pivotArea>
    </format>
    <format dxfId="303">
      <pivotArea collapsedLevelsAreSubtotals="1" fieldPosition="0">
        <references count="2">
          <reference field="3" count="1" selected="0">
            <x v="2"/>
          </reference>
          <reference field="4" count="1">
            <x v="3"/>
          </reference>
        </references>
      </pivotArea>
    </format>
    <format dxfId="302">
      <pivotArea collapsedLevelsAreSubtotals="1" fieldPosition="0">
        <references count="3">
          <reference field="3" count="1" selected="0">
            <x v="2"/>
          </reference>
          <reference field="4" count="1" selected="0">
            <x v="3"/>
          </reference>
          <reference field="5" count="1">
            <x v="5"/>
          </reference>
        </references>
      </pivotArea>
    </format>
    <format dxfId="301">
      <pivotArea collapsedLevelsAreSubtotals="1" fieldPosition="0">
        <references count="4">
          <reference field="3" count="1" selected="0">
            <x v="2"/>
          </reference>
          <reference field="4" count="1" selected="0">
            <x v="3"/>
          </reference>
          <reference field="5" count="1" selected="0">
            <x v="5"/>
          </reference>
          <reference field="6" count="1">
            <x v="17"/>
          </reference>
        </references>
      </pivotArea>
    </format>
    <format dxfId="300">
      <pivotArea collapsedLevelsAreSubtotals="1" fieldPosition="0">
        <references count="2">
          <reference field="3" count="1" selected="0">
            <x v="2"/>
          </reference>
          <reference field="4" count="1">
            <x v="5"/>
          </reference>
        </references>
      </pivotArea>
    </format>
    <format dxfId="299">
      <pivotArea collapsedLevelsAreSubtotals="1" fieldPosition="0">
        <references count="3">
          <reference field="3" count="1" selected="0">
            <x v="2"/>
          </reference>
          <reference field="4" count="1" selected="0">
            <x v="5"/>
          </reference>
          <reference field="5" count="1">
            <x v="35"/>
          </reference>
        </references>
      </pivotArea>
    </format>
    <format dxfId="298">
      <pivotArea collapsedLevelsAreSubtotals="1" fieldPosition="0">
        <references count="4">
          <reference field="3" count="1" selected="0">
            <x v="2"/>
          </reference>
          <reference field="4" count="1" selected="0">
            <x v="5"/>
          </reference>
          <reference field="5" count="1" selected="0">
            <x v="35"/>
          </reference>
          <reference field="6" count="1">
            <x v="57"/>
          </reference>
        </references>
      </pivotArea>
    </format>
    <format dxfId="297">
      <pivotArea collapsedLevelsAreSubtotals="1" fieldPosition="0">
        <references count="2">
          <reference field="3" count="1" selected="0">
            <x v="2"/>
          </reference>
          <reference field="4" count="1">
            <x v="9"/>
          </reference>
        </references>
      </pivotArea>
    </format>
    <format dxfId="296">
      <pivotArea collapsedLevelsAreSubtotals="1" fieldPosition="0">
        <references count="3">
          <reference field="3" count="1" selected="0">
            <x v="2"/>
          </reference>
          <reference field="4" count="1" selected="0">
            <x v="9"/>
          </reference>
          <reference field="5" count="1">
            <x v="4"/>
          </reference>
        </references>
      </pivotArea>
    </format>
    <format dxfId="295">
      <pivotArea collapsedLevelsAreSubtotals="1" fieldPosition="0">
        <references count="4">
          <reference field="3" count="1" selected="0">
            <x v="2"/>
          </reference>
          <reference field="4" count="1" selected="0">
            <x v="9"/>
          </reference>
          <reference field="5" count="1" selected="0">
            <x v="4"/>
          </reference>
          <reference field="6" count="1">
            <x v="16"/>
          </reference>
        </references>
      </pivotArea>
    </format>
    <format dxfId="294">
      <pivotArea collapsedLevelsAreSubtotals="1" fieldPosition="0">
        <references count="3">
          <reference field="3" count="1" selected="0">
            <x v="2"/>
          </reference>
          <reference field="4" count="1" selected="0">
            <x v="9"/>
          </reference>
          <reference field="5" count="1">
            <x v="7"/>
          </reference>
        </references>
      </pivotArea>
    </format>
    <format dxfId="293">
      <pivotArea collapsedLevelsAreSubtotals="1" fieldPosition="0">
        <references count="4">
          <reference field="3" count="1" selected="0">
            <x v="2"/>
          </reference>
          <reference field="4" count="1" selected="0">
            <x v="9"/>
          </reference>
          <reference field="5" count="1" selected="0">
            <x v="7"/>
          </reference>
          <reference field="6" count="1">
            <x v="21"/>
          </reference>
        </references>
      </pivotArea>
    </format>
    <format dxfId="292">
      <pivotArea collapsedLevelsAreSubtotals="1" fieldPosition="0">
        <references count="3">
          <reference field="3" count="1" selected="0">
            <x v="2"/>
          </reference>
          <reference field="4" count="1" selected="0">
            <x v="9"/>
          </reference>
          <reference field="5" count="1">
            <x v="8"/>
          </reference>
        </references>
      </pivotArea>
    </format>
    <format dxfId="291">
      <pivotArea collapsedLevelsAreSubtotals="1" fieldPosition="0">
        <references count="4">
          <reference field="3" count="1" selected="0">
            <x v="2"/>
          </reference>
          <reference field="4" count="1" selected="0">
            <x v="9"/>
          </reference>
          <reference field="5" count="1" selected="0">
            <x v="8"/>
          </reference>
          <reference field="6" count="1">
            <x v="24"/>
          </reference>
        </references>
      </pivotArea>
    </format>
    <format dxfId="290">
      <pivotArea collapsedLevelsAreSubtotals="1" fieldPosition="0">
        <references count="3">
          <reference field="3" count="1" selected="0">
            <x v="2"/>
          </reference>
          <reference field="4" count="1" selected="0">
            <x v="9"/>
          </reference>
          <reference field="5" count="1">
            <x v="9"/>
          </reference>
        </references>
      </pivotArea>
    </format>
    <format dxfId="289">
      <pivotArea collapsedLevelsAreSubtotals="1" fieldPosition="0">
        <references count="4">
          <reference field="3" count="1" selected="0">
            <x v="2"/>
          </reference>
          <reference field="4" count="1" selected="0">
            <x v="9"/>
          </reference>
          <reference field="5" count="1" selected="0">
            <x v="9"/>
          </reference>
          <reference field="6" count="1">
            <x v="25"/>
          </reference>
        </references>
      </pivotArea>
    </format>
    <format dxfId="288">
      <pivotArea collapsedLevelsAreSubtotals="1" fieldPosition="0">
        <references count="3">
          <reference field="3" count="1" selected="0">
            <x v="2"/>
          </reference>
          <reference field="4" count="1" selected="0">
            <x v="9"/>
          </reference>
          <reference field="5" count="1">
            <x v="10"/>
          </reference>
        </references>
      </pivotArea>
    </format>
    <format dxfId="287">
      <pivotArea collapsedLevelsAreSubtotals="1" fieldPosition="0">
        <references count="4">
          <reference field="3" count="1" selected="0">
            <x v="2"/>
          </reference>
          <reference field="4" count="1" selected="0">
            <x v="9"/>
          </reference>
          <reference field="5" count="1" selected="0">
            <x v="10"/>
          </reference>
          <reference field="6" count="1">
            <x v="26"/>
          </reference>
        </references>
      </pivotArea>
    </format>
    <format dxfId="286">
      <pivotArea collapsedLevelsAreSubtotals="1" fieldPosition="0">
        <references count="3">
          <reference field="3" count="1" selected="0">
            <x v="2"/>
          </reference>
          <reference field="4" count="1" selected="0">
            <x v="9"/>
          </reference>
          <reference field="5" count="1">
            <x v="11"/>
          </reference>
        </references>
      </pivotArea>
    </format>
    <format dxfId="285">
      <pivotArea collapsedLevelsAreSubtotals="1" fieldPosition="0">
        <references count="4">
          <reference field="3" count="1" selected="0">
            <x v="2"/>
          </reference>
          <reference field="4" count="1" selected="0">
            <x v="9"/>
          </reference>
          <reference field="5" count="1" selected="0">
            <x v="11"/>
          </reference>
          <reference field="6" count="1">
            <x v="27"/>
          </reference>
        </references>
      </pivotArea>
    </format>
    <format dxfId="284">
      <pivotArea collapsedLevelsAreSubtotals="1" fieldPosition="0">
        <references count="3">
          <reference field="3" count="1" selected="0">
            <x v="2"/>
          </reference>
          <reference field="4" count="1" selected="0">
            <x v="9"/>
          </reference>
          <reference field="5" count="1">
            <x v="12"/>
          </reference>
        </references>
      </pivotArea>
    </format>
    <format dxfId="283">
      <pivotArea collapsedLevelsAreSubtotals="1" fieldPosition="0">
        <references count="4">
          <reference field="3" count="1" selected="0">
            <x v="2"/>
          </reference>
          <reference field="4" count="1" selected="0">
            <x v="9"/>
          </reference>
          <reference field="5" count="1" selected="0">
            <x v="12"/>
          </reference>
          <reference field="6" count="1">
            <x v="28"/>
          </reference>
        </references>
      </pivotArea>
    </format>
    <format dxfId="282">
      <pivotArea collapsedLevelsAreSubtotals="1" fieldPosition="0">
        <references count="3">
          <reference field="3" count="1" selected="0">
            <x v="2"/>
          </reference>
          <reference field="4" count="1" selected="0">
            <x v="9"/>
          </reference>
          <reference field="5" count="1">
            <x v="13"/>
          </reference>
        </references>
      </pivotArea>
    </format>
    <format dxfId="281">
      <pivotArea collapsedLevelsAreSubtotals="1" fieldPosition="0">
        <references count="4">
          <reference field="3" count="1" selected="0">
            <x v="2"/>
          </reference>
          <reference field="4" count="1" selected="0">
            <x v="9"/>
          </reference>
          <reference field="5" count="1" selected="0">
            <x v="13"/>
          </reference>
          <reference field="6" count="1">
            <x v="29"/>
          </reference>
        </references>
      </pivotArea>
    </format>
    <format dxfId="280">
      <pivotArea collapsedLevelsAreSubtotals="1" fieldPosition="0">
        <references count="3">
          <reference field="3" count="1" selected="0">
            <x v="2"/>
          </reference>
          <reference field="4" count="1" selected="0">
            <x v="9"/>
          </reference>
          <reference field="5" count="1">
            <x v="14"/>
          </reference>
        </references>
      </pivotArea>
    </format>
    <format dxfId="279">
      <pivotArea collapsedLevelsAreSubtotals="1" fieldPosition="0">
        <references count="4">
          <reference field="3" count="1" selected="0">
            <x v="2"/>
          </reference>
          <reference field="4" count="1" selected="0">
            <x v="9"/>
          </reference>
          <reference field="5" count="1" selected="0">
            <x v="14"/>
          </reference>
          <reference field="6" count="1">
            <x v="30"/>
          </reference>
        </references>
      </pivotArea>
    </format>
    <format dxfId="278">
      <pivotArea collapsedLevelsAreSubtotals="1" fieldPosition="0">
        <references count="3">
          <reference field="3" count="1" selected="0">
            <x v="2"/>
          </reference>
          <reference field="4" count="1" selected="0">
            <x v="9"/>
          </reference>
          <reference field="5" count="1">
            <x v="15"/>
          </reference>
        </references>
      </pivotArea>
    </format>
    <format dxfId="277">
      <pivotArea collapsedLevelsAreSubtotals="1" fieldPosition="0">
        <references count="4">
          <reference field="3" count="1" selected="0">
            <x v="2"/>
          </reference>
          <reference field="4" count="1" selected="0">
            <x v="9"/>
          </reference>
          <reference field="5" count="1" selected="0">
            <x v="15"/>
          </reference>
          <reference field="6" count="1">
            <x v="31"/>
          </reference>
        </references>
      </pivotArea>
    </format>
    <format dxfId="276">
      <pivotArea collapsedLevelsAreSubtotals="1" fieldPosition="0">
        <references count="3">
          <reference field="3" count="1" selected="0">
            <x v="2"/>
          </reference>
          <reference field="4" count="1" selected="0">
            <x v="9"/>
          </reference>
          <reference field="5" count="1">
            <x v="16"/>
          </reference>
        </references>
      </pivotArea>
    </format>
    <format dxfId="275">
      <pivotArea collapsedLevelsAreSubtotals="1" fieldPosition="0">
        <references count="4">
          <reference field="3" count="1" selected="0">
            <x v="2"/>
          </reference>
          <reference field="4" count="1" selected="0">
            <x v="9"/>
          </reference>
          <reference field="5" count="1" selected="0">
            <x v="16"/>
          </reference>
          <reference field="6" count="1">
            <x v="32"/>
          </reference>
        </references>
      </pivotArea>
    </format>
    <format dxfId="274">
      <pivotArea collapsedLevelsAreSubtotals="1" fieldPosition="0">
        <references count="3">
          <reference field="3" count="1" selected="0">
            <x v="2"/>
          </reference>
          <reference field="4" count="1" selected="0">
            <x v="9"/>
          </reference>
          <reference field="5" count="1">
            <x v="17"/>
          </reference>
        </references>
      </pivotArea>
    </format>
    <format dxfId="273">
      <pivotArea collapsedLevelsAreSubtotals="1" fieldPosition="0">
        <references count="4">
          <reference field="3" count="1" selected="0">
            <x v="2"/>
          </reference>
          <reference field="4" count="1" selected="0">
            <x v="9"/>
          </reference>
          <reference field="5" count="1" selected="0">
            <x v="17"/>
          </reference>
          <reference field="6" count="1">
            <x v="33"/>
          </reference>
        </references>
      </pivotArea>
    </format>
    <format dxfId="272">
      <pivotArea collapsedLevelsAreSubtotals="1" fieldPosition="0">
        <references count="3">
          <reference field="3" count="1" selected="0">
            <x v="2"/>
          </reference>
          <reference field="4" count="1" selected="0">
            <x v="9"/>
          </reference>
          <reference field="5" count="1">
            <x v="18"/>
          </reference>
        </references>
      </pivotArea>
    </format>
    <format dxfId="271">
      <pivotArea collapsedLevelsAreSubtotals="1" fieldPosition="0">
        <references count="4">
          <reference field="3" count="1" selected="0">
            <x v="2"/>
          </reference>
          <reference field="4" count="1" selected="0">
            <x v="9"/>
          </reference>
          <reference field="5" count="1" selected="0">
            <x v="18"/>
          </reference>
          <reference field="6" count="1">
            <x v="34"/>
          </reference>
        </references>
      </pivotArea>
    </format>
    <format dxfId="270">
      <pivotArea collapsedLevelsAreSubtotals="1" fieldPosition="0">
        <references count="3">
          <reference field="3" count="1" selected="0">
            <x v="2"/>
          </reference>
          <reference field="4" count="1" selected="0">
            <x v="9"/>
          </reference>
          <reference field="5" count="1">
            <x v="22"/>
          </reference>
        </references>
      </pivotArea>
    </format>
    <format dxfId="269">
      <pivotArea collapsedLevelsAreSubtotals="1" fieldPosition="0">
        <references count="4">
          <reference field="3" count="1" selected="0">
            <x v="2"/>
          </reference>
          <reference field="4" count="1" selected="0">
            <x v="9"/>
          </reference>
          <reference field="5" count="1" selected="0">
            <x v="22"/>
          </reference>
          <reference field="6" count="1">
            <x v="39"/>
          </reference>
        </references>
      </pivotArea>
    </format>
    <format dxfId="268">
      <pivotArea collapsedLevelsAreSubtotals="1" fieldPosition="0">
        <references count="3">
          <reference field="3" count="1" selected="0">
            <x v="2"/>
          </reference>
          <reference field="4" count="1" selected="0">
            <x v="9"/>
          </reference>
          <reference field="5" count="1">
            <x v="23"/>
          </reference>
        </references>
      </pivotArea>
    </format>
    <format dxfId="267">
      <pivotArea collapsedLevelsAreSubtotals="1" fieldPosition="0">
        <references count="4">
          <reference field="3" count="1" selected="0">
            <x v="2"/>
          </reference>
          <reference field="4" count="1" selected="0">
            <x v="9"/>
          </reference>
          <reference field="5" count="1" selected="0">
            <x v="23"/>
          </reference>
          <reference field="6" count="1">
            <x v="40"/>
          </reference>
        </references>
      </pivotArea>
    </format>
    <format dxfId="266">
      <pivotArea collapsedLevelsAreSubtotals="1" fieldPosition="0">
        <references count="3">
          <reference field="3" count="1" selected="0">
            <x v="2"/>
          </reference>
          <reference field="4" count="1" selected="0">
            <x v="9"/>
          </reference>
          <reference field="5" count="1">
            <x v="24"/>
          </reference>
        </references>
      </pivotArea>
    </format>
    <format dxfId="265">
      <pivotArea collapsedLevelsAreSubtotals="1" fieldPosition="0">
        <references count="4">
          <reference field="3" count="1" selected="0">
            <x v="2"/>
          </reference>
          <reference field="4" count="1" selected="0">
            <x v="9"/>
          </reference>
          <reference field="5" count="1" selected="0">
            <x v="24"/>
          </reference>
          <reference field="6" count="1">
            <x v="41"/>
          </reference>
        </references>
      </pivotArea>
    </format>
    <format dxfId="264">
      <pivotArea collapsedLevelsAreSubtotals="1" fieldPosition="0">
        <references count="3">
          <reference field="3" count="1" selected="0">
            <x v="2"/>
          </reference>
          <reference field="4" count="1" selected="0">
            <x v="9"/>
          </reference>
          <reference field="5" count="1">
            <x v="28"/>
          </reference>
        </references>
      </pivotArea>
    </format>
    <format dxfId="263">
      <pivotArea collapsedLevelsAreSubtotals="1" fieldPosition="0">
        <references count="4">
          <reference field="3" count="1" selected="0">
            <x v="2"/>
          </reference>
          <reference field="4" count="1" selected="0">
            <x v="9"/>
          </reference>
          <reference field="5" count="1" selected="0">
            <x v="28"/>
          </reference>
          <reference field="6" count="1">
            <x v="49"/>
          </reference>
        </references>
      </pivotArea>
    </format>
    <format dxfId="262">
      <pivotArea collapsedLevelsAreSubtotals="1" fieldPosition="0">
        <references count="3">
          <reference field="3" count="1" selected="0">
            <x v="2"/>
          </reference>
          <reference field="4" count="1" selected="0">
            <x v="9"/>
          </reference>
          <reference field="5" count="1">
            <x v="29"/>
          </reference>
        </references>
      </pivotArea>
    </format>
    <format dxfId="261">
      <pivotArea collapsedLevelsAreSubtotals="1" fieldPosition="0">
        <references count="4">
          <reference field="3" count="1" selected="0">
            <x v="2"/>
          </reference>
          <reference field="4" count="1" selected="0">
            <x v="9"/>
          </reference>
          <reference field="5" count="1" selected="0">
            <x v="29"/>
          </reference>
          <reference field="6" count="1">
            <x v="50"/>
          </reference>
        </references>
      </pivotArea>
    </format>
    <format dxfId="260">
      <pivotArea collapsedLevelsAreSubtotals="1" fieldPosition="0">
        <references count="3">
          <reference field="3" count="1" selected="0">
            <x v="2"/>
          </reference>
          <reference field="4" count="1" selected="0">
            <x v="9"/>
          </reference>
          <reference field="5" count="1">
            <x v="30"/>
          </reference>
        </references>
      </pivotArea>
    </format>
    <format dxfId="259">
      <pivotArea collapsedLevelsAreSubtotals="1" fieldPosition="0">
        <references count="4">
          <reference field="3" count="1" selected="0">
            <x v="2"/>
          </reference>
          <reference field="4" count="1" selected="0">
            <x v="9"/>
          </reference>
          <reference field="5" count="1" selected="0">
            <x v="30"/>
          </reference>
          <reference field="6" count="1">
            <x v="51"/>
          </reference>
        </references>
      </pivotArea>
    </format>
    <format dxfId="258">
      <pivotArea collapsedLevelsAreSubtotals="1" fieldPosition="0">
        <references count="3">
          <reference field="3" count="1" selected="0">
            <x v="2"/>
          </reference>
          <reference field="4" count="1" selected="0">
            <x v="9"/>
          </reference>
          <reference field="5" count="1">
            <x v="31"/>
          </reference>
        </references>
      </pivotArea>
    </format>
    <format dxfId="257">
      <pivotArea collapsedLevelsAreSubtotals="1" fieldPosition="0">
        <references count="4">
          <reference field="3" count="1" selected="0">
            <x v="2"/>
          </reference>
          <reference field="4" count="1" selected="0">
            <x v="9"/>
          </reference>
          <reference field="5" count="1" selected="0">
            <x v="31"/>
          </reference>
          <reference field="6" count="1">
            <x v="52"/>
          </reference>
        </references>
      </pivotArea>
    </format>
    <format dxfId="256">
      <pivotArea collapsedLevelsAreSubtotals="1" fieldPosition="0">
        <references count="3">
          <reference field="3" count="1" selected="0">
            <x v="2"/>
          </reference>
          <reference field="4" count="1" selected="0">
            <x v="9"/>
          </reference>
          <reference field="5" count="1">
            <x v="33"/>
          </reference>
        </references>
      </pivotArea>
    </format>
    <format dxfId="255">
      <pivotArea collapsedLevelsAreSubtotals="1" fieldPosition="0">
        <references count="4">
          <reference field="3" count="1" selected="0">
            <x v="2"/>
          </reference>
          <reference field="4" count="1" selected="0">
            <x v="9"/>
          </reference>
          <reference field="5" count="1" selected="0">
            <x v="33"/>
          </reference>
          <reference field="6" count="1">
            <x v="55"/>
          </reference>
        </references>
      </pivotArea>
    </format>
    <format dxfId="254">
      <pivotArea collapsedLevelsAreSubtotals="1" fieldPosition="0">
        <references count="3">
          <reference field="3" count="1" selected="0">
            <x v="2"/>
          </reference>
          <reference field="4" count="1" selected="0">
            <x v="9"/>
          </reference>
          <reference field="5" count="1">
            <x v="34"/>
          </reference>
        </references>
      </pivotArea>
    </format>
    <format dxfId="253">
      <pivotArea collapsedLevelsAreSubtotals="1" fieldPosition="0">
        <references count="4">
          <reference field="3" count="1" selected="0">
            <x v="2"/>
          </reference>
          <reference field="4" count="1" selected="0">
            <x v="9"/>
          </reference>
          <reference field="5" count="1" selected="0">
            <x v="34"/>
          </reference>
          <reference field="6" count="1">
            <x v="56"/>
          </reference>
        </references>
      </pivotArea>
    </format>
    <format dxfId="252">
      <pivotArea collapsedLevelsAreSubtotals="1" fieldPosition="0">
        <references count="3">
          <reference field="3" count="1" selected="0">
            <x v="2"/>
          </reference>
          <reference field="4" count="1" selected="0">
            <x v="9"/>
          </reference>
          <reference field="5" count="1">
            <x v="44"/>
          </reference>
        </references>
      </pivotArea>
    </format>
    <format dxfId="251">
      <pivotArea collapsedLevelsAreSubtotals="1" fieldPosition="0">
        <references count="4">
          <reference field="3" count="1" selected="0">
            <x v="2"/>
          </reference>
          <reference field="4" count="1" selected="0">
            <x v="9"/>
          </reference>
          <reference field="5" count="1" selected="0">
            <x v="44"/>
          </reference>
          <reference field="6" count="1">
            <x v="65"/>
          </reference>
        </references>
      </pivotArea>
    </format>
    <format dxfId="250">
      <pivotArea collapsedLevelsAreSubtotals="1" fieldPosition="0">
        <references count="3">
          <reference field="3" count="1" selected="0">
            <x v="2"/>
          </reference>
          <reference field="4" count="1" selected="0">
            <x v="9"/>
          </reference>
          <reference field="5" count="1">
            <x v="46"/>
          </reference>
        </references>
      </pivotArea>
    </format>
    <format dxfId="249">
      <pivotArea collapsedLevelsAreSubtotals="1" fieldPosition="0">
        <references count="4">
          <reference field="3" count="1" selected="0">
            <x v="2"/>
          </reference>
          <reference field="4" count="1" selected="0">
            <x v="9"/>
          </reference>
          <reference field="5" count="1" selected="0">
            <x v="46"/>
          </reference>
          <reference field="6" count="1">
            <x v="67"/>
          </reference>
        </references>
      </pivotArea>
    </format>
    <format dxfId="248">
      <pivotArea collapsedLevelsAreSubtotals="1" fieldPosition="0">
        <references count="3">
          <reference field="3" count="1" selected="0">
            <x v="2"/>
          </reference>
          <reference field="4" count="1" selected="0">
            <x v="9"/>
          </reference>
          <reference field="5" count="1">
            <x v="47"/>
          </reference>
        </references>
      </pivotArea>
    </format>
    <format dxfId="247">
      <pivotArea collapsedLevelsAreSubtotals="1" fieldPosition="0">
        <references count="4">
          <reference field="3" count="1" selected="0">
            <x v="2"/>
          </reference>
          <reference field="4" count="1" selected="0">
            <x v="9"/>
          </reference>
          <reference field="5" count="1" selected="0">
            <x v="47"/>
          </reference>
          <reference field="6" count="4">
            <x v="48"/>
            <x v="55"/>
            <x v="74"/>
            <x v="81"/>
          </reference>
        </references>
      </pivotArea>
    </format>
    <format dxfId="246">
      <pivotArea collapsedLevelsAreSubtotals="1" fieldPosition="0">
        <references count="3">
          <reference field="3" count="1" selected="0">
            <x v="2"/>
          </reference>
          <reference field="4" count="1" selected="0">
            <x v="9"/>
          </reference>
          <reference field="5" count="1">
            <x v="49"/>
          </reference>
        </references>
      </pivotArea>
    </format>
    <format dxfId="245">
      <pivotArea collapsedLevelsAreSubtotals="1" fieldPosition="0">
        <references count="4">
          <reference field="3" count="1" selected="0">
            <x v="2"/>
          </reference>
          <reference field="4" count="1" selected="0">
            <x v="9"/>
          </reference>
          <reference field="5" count="1" selected="0">
            <x v="49"/>
          </reference>
          <reference field="6" count="1">
            <x v="76"/>
          </reference>
        </references>
      </pivotArea>
    </format>
    <format dxfId="244">
      <pivotArea collapsedLevelsAreSubtotals="1" fieldPosition="0">
        <references count="3">
          <reference field="3" count="1" selected="0">
            <x v="2"/>
          </reference>
          <reference field="4" count="1" selected="0">
            <x v="9"/>
          </reference>
          <reference field="5" count="1">
            <x v="50"/>
          </reference>
        </references>
      </pivotArea>
    </format>
    <format dxfId="243">
      <pivotArea collapsedLevelsAreSubtotals="1" fieldPosition="0">
        <references count="4">
          <reference field="3" count="1" selected="0">
            <x v="2"/>
          </reference>
          <reference field="4" count="1" selected="0">
            <x v="9"/>
          </reference>
          <reference field="5" count="1" selected="0">
            <x v="50"/>
          </reference>
          <reference field="6" count="1">
            <x v="77"/>
          </reference>
        </references>
      </pivotArea>
    </format>
    <format dxfId="242">
      <pivotArea collapsedLevelsAreSubtotals="1" fieldPosition="0">
        <references count="3">
          <reference field="3" count="1" selected="0">
            <x v="2"/>
          </reference>
          <reference field="4" count="1" selected="0">
            <x v="9"/>
          </reference>
          <reference field="5" count="1">
            <x v="52"/>
          </reference>
        </references>
      </pivotArea>
    </format>
    <format dxfId="241">
      <pivotArea collapsedLevelsAreSubtotals="1" fieldPosition="0">
        <references count="4">
          <reference field="3" count="1" selected="0">
            <x v="2"/>
          </reference>
          <reference field="4" count="1" selected="0">
            <x v="9"/>
          </reference>
          <reference field="5" count="1" selected="0">
            <x v="52"/>
          </reference>
          <reference field="6" count="1">
            <x v="48"/>
          </reference>
        </references>
      </pivotArea>
    </format>
    <format dxfId="240">
      <pivotArea collapsedLevelsAreSubtotals="1" fieldPosition="0">
        <references count="3">
          <reference field="3" count="1" selected="0">
            <x v="2"/>
          </reference>
          <reference field="4" count="1" selected="0">
            <x v="9"/>
          </reference>
          <reference field="5" count="1">
            <x v="53"/>
          </reference>
        </references>
      </pivotArea>
    </format>
    <format dxfId="239">
      <pivotArea collapsedLevelsAreSubtotals="1" fieldPosition="0">
        <references count="4">
          <reference field="3" count="1" selected="0">
            <x v="2"/>
          </reference>
          <reference field="4" count="1" selected="0">
            <x v="9"/>
          </reference>
          <reference field="5" count="1" selected="0">
            <x v="53"/>
          </reference>
          <reference field="6" count="1">
            <x v="54"/>
          </reference>
        </references>
      </pivotArea>
    </format>
    <format dxfId="238">
      <pivotArea collapsedLevelsAreSubtotals="1" fieldPosition="0">
        <references count="3">
          <reference field="3" count="1" selected="0">
            <x v="2"/>
          </reference>
          <reference field="4" count="1" selected="0">
            <x v="9"/>
          </reference>
          <reference field="5" count="1">
            <x v="54"/>
          </reference>
        </references>
      </pivotArea>
    </format>
    <format dxfId="237">
      <pivotArea collapsedLevelsAreSubtotals="1" fieldPosition="0">
        <references count="4">
          <reference field="3" count="1" selected="0">
            <x v="2"/>
          </reference>
          <reference field="4" count="1" selected="0">
            <x v="9"/>
          </reference>
          <reference field="5" count="1" selected="0">
            <x v="54"/>
          </reference>
          <reference field="6" count="1">
            <x v="68"/>
          </reference>
        </references>
      </pivotArea>
    </format>
    <format dxfId="236">
      <pivotArea collapsedLevelsAreSubtotals="1" fieldPosition="0">
        <references count="3">
          <reference field="3" count="1" selected="0">
            <x v="2"/>
          </reference>
          <reference field="4" count="1" selected="0">
            <x v="9"/>
          </reference>
          <reference field="5" count="1">
            <x v="55"/>
          </reference>
        </references>
      </pivotArea>
    </format>
    <format dxfId="235">
      <pivotArea collapsedLevelsAreSubtotals="1" fieldPosition="0">
        <references count="4">
          <reference field="3" count="1" selected="0">
            <x v="2"/>
          </reference>
          <reference field="4" count="1" selected="0">
            <x v="9"/>
          </reference>
          <reference field="5" count="1" selected="0">
            <x v="55"/>
          </reference>
          <reference field="6" count="2">
            <x v="80"/>
            <x v="81"/>
          </reference>
        </references>
      </pivotArea>
    </format>
    <format dxfId="234">
      <pivotArea collapsedLevelsAreSubtotals="1" fieldPosition="0">
        <references count="3">
          <reference field="3" count="1" selected="0">
            <x v="2"/>
          </reference>
          <reference field="4" count="1" selected="0">
            <x v="9"/>
          </reference>
          <reference field="5" count="1">
            <x v="56"/>
          </reference>
        </references>
      </pivotArea>
    </format>
    <format dxfId="233">
      <pivotArea collapsedLevelsAreSubtotals="1" fieldPosition="0">
        <references count="4">
          <reference field="3" count="1" selected="0">
            <x v="2"/>
          </reference>
          <reference field="4" count="1" selected="0">
            <x v="9"/>
          </reference>
          <reference field="5" count="1" selected="0">
            <x v="56"/>
          </reference>
          <reference field="6" count="1">
            <x v="81"/>
          </reference>
        </references>
      </pivotArea>
    </format>
    <format dxfId="232">
      <pivotArea collapsedLevelsAreSubtotals="1" fieldPosition="0">
        <references count="3">
          <reference field="3" count="1" selected="0">
            <x v="2"/>
          </reference>
          <reference field="4" count="1" selected="0">
            <x v="9"/>
          </reference>
          <reference field="5" count="1">
            <x v="57"/>
          </reference>
        </references>
      </pivotArea>
    </format>
    <format dxfId="231">
      <pivotArea collapsedLevelsAreSubtotals="1" fieldPosition="0">
        <references count="4">
          <reference field="3" count="1" selected="0">
            <x v="2"/>
          </reference>
          <reference field="4" count="1" selected="0">
            <x v="9"/>
          </reference>
          <reference field="5" count="1" selected="0">
            <x v="57"/>
          </reference>
          <reference field="6" count="1">
            <x v="82"/>
          </reference>
        </references>
      </pivotArea>
    </format>
    <format dxfId="230">
      <pivotArea collapsedLevelsAreSubtotals="1" fieldPosition="0">
        <references count="3">
          <reference field="3" count="1" selected="0">
            <x v="2"/>
          </reference>
          <reference field="4" count="1" selected="0">
            <x v="9"/>
          </reference>
          <reference field="5" count="1">
            <x v="59"/>
          </reference>
        </references>
      </pivotArea>
    </format>
    <format dxfId="229">
      <pivotArea collapsedLevelsAreSubtotals="1" fieldPosition="0">
        <references count="4">
          <reference field="3" count="1" selected="0">
            <x v="2"/>
          </reference>
          <reference field="4" count="1" selected="0">
            <x v="9"/>
          </reference>
          <reference field="5" count="1" selected="0">
            <x v="59"/>
          </reference>
          <reference field="6" count="1">
            <x v="85"/>
          </reference>
        </references>
      </pivotArea>
    </format>
    <format dxfId="228">
      <pivotArea collapsedLevelsAreSubtotals="1" fieldPosition="0">
        <references count="2">
          <reference field="3" count="1" selected="0">
            <x v="2"/>
          </reference>
          <reference field="4" count="1">
            <x v="10"/>
          </reference>
        </references>
      </pivotArea>
    </format>
    <format dxfId="227">
      <pivotArea collapsedLevelsAreSubtotals="1" fieldPosition="0">
        <references count="3">
          <reference field="3" count="1" selected="0">
            <x v="2"/>
          </reference>
          <reference field="4" count="1" selected="0">
            <x v="10"/>
          </reference>
          <reference field="5" count="1">
            <x v="26"/>
          </reference>
        </references>
      </pivotArea>
    </format>
    <format dxfId="226">
      <pivotArea collapsedLevelsAreSubtotals="1" fieldPosition="0">
        <references count="4">
          <reference field="3" count="1" selected="0">
            <x v="2"/>
          </reference>
          <reference field="4" count="1" selected="0">
            <x v="10"/>
          </reference>
          <reference field="5" count="1" selected="0">
            <x v="26"/>
          </reference>
          <reference field="6" count="1">
            <x v="44"/>
          </reference>
        </references>
      </pivotArea>
    </format>
    <format dxfId="225">
      <pivotArea collapsedLevelsAreSubtotals="1" fieldPosition="0">
        <references count="3">
          <reference field="3" count="1" selected="0">
            <x v="2"/>
          </reference>
          <reference field="4" count="1" selected="0">
            <x v="10"/>
          </reference>
          <reference field="5" count="1">
            <x v="32"/>
          </reference>
        </references>
      </pivotArea>
    </format>
    <format dxfId="224">
      <pivotArea collapsedLevelsAreSubtotals="1" fieldPosition="0">
        <references count="4">
          <reference field="3" count="1" selected="0">
            <x v="2"/>
          </reference>
          <reference field="4" count="1" selected="0">
            <x v="10"/>
          </reference>
          <reference field="5" count="1" selected="0">
            <x v="32"/>
          </reference>
          <reference field="6" count="1">
            <x v="53"/>
          </reference>
        </references>
      </pivotArea>
    </format>
    <format dxfId="223">
      <pivotArea collapsedLevelsAreSubtotals="1" fieldPosition="0">
        <references count="3">
          <reference field="3" count="1" selected="0">
            <x v="2"/>
          </reference>
          <reference field="4" count="1" selected="0">
            <x v="10"/>
          </reference>
          <reference field="5" count="1">
            <x v="48"/>
          </reference>
        </references>
      </pivotArea>
    </format>
    <format dxfId="222">
      <pivotArea collapsedLevelsAreSubtotals="1" fieldPosition="0">
        <references count="4">
          <reference field="3" count="1" selected="0">
            <x v="2"/>
          </reference>
          <reference field="4" count="1" selected="0">
            <x v="10"/>
          </reference>
          <reference field="5" count="1" selected="0">
            <x v="48"/>
          </reference>
          <reference field="6" count="1">
            <x v="70"/>
          </reference>
        </references>
      </pivotArea>
    </format>
    <format dxfId="221">
      <pivotArea collapsedLevelsAreSubtotals="1" fieldPosition="0">
        <references count="3">
          <reference field="3" count="1" selected="0">
            <x v="2"/>
          </reference>
          <reference field="4" count="1" selected="0">
            <x v="10"/>
          </reference>
          <reference field="5" count="1">
            <x v="64"/>
          </reference>
        </references>
      </pivotArea>
    </format>
    <format dxfId="220">
      <pivotArea collapsedLevelsAreSubtotals="1" fieldPosition="0">
        <references count="4">
          <reference field="3" count="1" selected="0">
            <x v="2"/>
          </reference>
          <reference field="4" count="1" selected="0">
            <x v="10"/>
          </reference>
          <reference field="5" count="1" selected="0">
            <x v="64"/>
          </reference>
          <reference field="6" count="1">
            <x v="89"/>
          </reference>
        </references>
      </pivotArea>
    </format>
    <format dxfId="219">
      <pivotArea collapsedLevelsAreSubtotals="1" fieldPosition="0">
        <references count="2">
          <reference field="3" count="1" selected="0">
            <x v="2"/>
          </reference>
          <reference field="4" count="1">
            <x v="11"/>
          </reference>
        </references>
      </pivotArea>
    </format>
    <format dxfId="218">
      <pivotArea collapsedLevelsAreSubtotals="1" fieldPosition="0">
        <references count="3">
          <reference field="3" count="1" selected="0">
            <x v="2"/>
          </reference>
          <reference field="4" count="1" selected="0">
            <x v="11"/>
          </reference>
          <reference field="5" count="1">
            <x v="36"/>
          </reference>
        </references>
      </pivotArea>
    </format>
    <format dxfId="217">
      <pivotArea collapsedLevelsAreSubtotals="1" fieldPosition="0">
        <references count="4">
          <reference field="3" count="1" selected="0">
            <x v="2"/>
          </reference>
          <reference field="4" count="1" selected="0">
            <x v="11"/>
          </reference>
          <reference field="5" count="1" selected="0">
            <x v="36"/>
          </reference>
          <reference field="6" count="1">
            <x v="58"/>
          </reference>
        </references>
      </pivotArea>
    </format>
    <format dxfId="216">
      <pivotArea grandRow="1" outline="0" collapsedLevelsAreSubtotals="1" fieldPosition="0"/>
    </format>
    <format dxfId="215">
      <pivotArea collapsedLevelsAreSubtotals="1" fieldPosition="0">
        <references count="3">
          <reference field="3" count="1" selected="0">
            <x v="2"/>
          </reference>
          <reference field="4" count="1" selected="0">
            <x v="0"/>
          </reference>
          <reference field="5" count="1">
            <x v="47"/>
          </reference>
        </references>
      </pivotArea>
    </format>
    <format dxfId="214">
      <pivotArea collapsedLevelsAreSubtotals="1" fieldPosition="0">
        <references count="4">
          <reference field="3" count="1" selected="0">
            <x v="2"/>
          </reference>
          <reference field="4" count="1" selected="0">
            <x v="0"/>
          </reference>
          <reference field="5" count="1" selected="0">
            <x v="47"/>
          </reference>
          <reference field="6" count="1">
            <x v="74"/>
          </reference>
        </references>
      </pivotArea>
    </format>
    <format dxfId="213">
      <pivotArea dataOnly="0" labelOnly="1" fieldPosition="0">
        <references count="4">
          <reference field="3" count="1" selected="0">
            <x v="2"/>
          </reference>
          <reference field="4" count="1" selected="0">
            <x v="9"/>
          </reference>
          <reference field="5" count="1" selected="0">
            <x v="23"/>
          </reference>
          <reference field="6" count="2">
            <x v="40"/>
            <x v="41"/>
          </reference>
        </references>
      </pivotArea>
    </format>
    <format dxfId="212">
      <pivotArea collapsedLevelsAreSubtotals="1" fieldPosition="0">
        <references count="3">
          <reference field="3" count="1" selected="0">
            <x v="2"/>
          </reference>
          <reference field="4" count="1" selected="0">
            <x v="9"/>
          </reference>
          <reference field="5" count="1">
            <x v="55"/>
          </reference>
        </references>
      </pivotArea>
    </format>
    <format dxfId="211">
      <pivotArea collapsedLevelsAreSubtotals="1" fieldPosition="0">
        <references count="4">
          <reference field="3" count="1" selected="0">
            <x v="2"/>
          </reference>
          <reference field="4" count="1" selected="0">
            <x v="9"/>
          </reference>
          <reference field="5" count="1" selected="0">
            <x v="55"/>
          </reference>
          <reference field="6" count="2">
            <x v="80"/>
            <x v="81"/>
          </reference>
        </references>
      </pivotArea>
    </format>
    <format dxfId="210">
      <pivotArea collapsedLevelsAreSubtotals="1" fieldPosition="0">
        <references count="3">
          <reference field="3" count="1" selected="0">
            <x v="2"/>
          </reference>
          <reference field="4" count="1" selected="0">
            <x v="9"/>
          </reference>
          <reference field="5" count="1">
            <x v="56"/>
          </reference>
        </references>
      </pivotArea>
    </format>
    <format dxfId="209">
      <pivotArea collapsedLevelsAreSubtotals="1" fieldPosition="0">
        <references count="4">
          <reference field="3" count="1" selected="0">
            <x v="2"/>
          </reference>
          <reference field="4" count="1" selected="0">
            <x v="9"/>
          </reference>
          <reference field="5" count="1" selected="0">
            <x v="56"/>
          </reference>
          <reference field="6" count="1">
            <x v="81"/>
          </reference>
        </references>
      </pivotArea>
    </format>
    <format dxfId="208">
      <pivotArea collapsedLevelsAreSubtotals="1" fieldPosition="0">
        <references count="3">
          <reference field="3" count="1" selected="0">
            <x v="2"/>
          </reference>
          <reference field="4" count="1" selected="0">
            <x v="9"/>
          </reference>
          <reference field="5" count="1">
            <x v="57"/>
          </reference>
        </references>
      </pivotArea>
    </format>
    <format dxfId="207">
      <pivotArea collapsedLevelsAreSubtotals="1" fieldPosition="0">
        <references count="4">
          <reference field="3" count="1" selected="0">
            <x v="2"/>
          </reference>
          <reference field="4" count="1" selected="0">
            <x v="9"/>
          </reference>
          <reference field="5" count="1" selected="0">
            <x v="57"/>
          </reference>
          <reference field="6" count="1">
            <x v="82"/>
          </reference>
        </references>
      </pivotArea>
    </format>
    <format dxfId="206">
      <pivotArea collapsedLevelsAreSubtotals="1" fieldPosition="0">
        <references count="3">
          <reference field="3" count="1" selected="0">
            <x v="2"/>
          </reference>
          <reference field="4" count="1" selected="0">
            <x v="9"/>
          </reference>
          <reference field="5" count="1">
            <x v="59"/>
          </reference>
        </references>
      </pivotArea>
    </format>
    <format dxfId="205">
      <pivotArea collapsedLevelsAreSubtotals="1" fieldPosition="0">
        <references count="4">
          <reference field="3" count="1" selected="0">
            <x v="2"/>
          </reference>
          <reference field="4" count="1" selected="0">
            <x v="9"/>
          </reference>
          <reference field="5" count="1" selected="0">
            <x v="59"/>
          </reference>
          <reference field="6" count="1">
            <x v="85"/>
          </reference>
        </references>
      </pivotArea>
    </format>
    <format dxfId="204">
      <pivotArea dataOnly="0" labelOnly="1" fieldPosition="0">
        <references count="4">
          <reference field="3" count="1" selected="0">
            <x v="2"/>
          </reference>
          <reference field="4" count="1" selected="0">
            <x v="9"/>
          </reference>
          <reference field="5" count="1" selected="0">
            <x v="55"/>
          </reference>
          <reference field="6" count="4">
            <x v="80"/>
            <x v="81"/>
            <x v="82"/>
            <x v="85"/>
          </reference>
        </references>
      </pivotArea>
    </format>
    <format dxfId="203">
      <pivotArea collapsedLevelsAreSubtotals="1" fieldPosition="0">
        <references count="3">
          <reference field="3" count="1" selected="0">
            <x v="2"/>
          </reference>
          <reference field="4" count="1" selected="0">
            <x v="9"/>
          </reference>
          <reference field="5" count="1">
            <x v="4"/>
          </reference>
        </references>
      </pivotArea>
    </format>
    <format dxfId="202">
      <pivotArea collapsedLevelsAreSubtotals="1" fieldPosition="0">
        <references count="4">
          <reference field="3" count="1" selected="0">
            <x v="2"/>
          </reference>
          <reference field="4" count="1" selected="0">
            <x v="9"/>
          </reference>
          <reference field="5" count="1" selected="0">
            <x v="4"/>
          </reference>
          <reference field="6" count="1">
            <x v="16"/>
          </reference>
        </references>
      </pivotArea>
    </format>
    <format dxfId="201">
      <pivotArea collapsedLevelsAreSubtotals="1" fieldPosition="0">
        <references count="3">
          <reference field="3" count="1" selected="0">
            <x v="2"/>
          </reference>
          <reference field="4" count="1" selected="0">
            <x v="9"/>
          </reference>
          <reference field="5" count="1">
            <x v="7"/>
          </reference>
        </references>
      </pivotArea>
    </format>
    <format dxfId="200">
      <pivotArea collapsedLevelsAreSubtotals="1" fieldPosition="0">
        <references count="4">
          <reference field="3" count="1" selected="0">
            <x v="2"/>
          </reference>
          <reference field="4" count="1" selected="0">
            <x v="9"/>
          </reference>
          <reference field="5" count="1" selected="0">
            <x v="7"/>
          </reference>
          <reference field="6" count="1">
            <x v="21"/>
          </reference>
        </references>
      </pivotArea>
    </format>
    <format dxfId="199">
      <pivotArea collapsedLevelsAreSubtotals="1" fieldPosition="0">
        <references count="3">
          <reference field="3" count="1" selected="0">
            <x v="2"/>
          </reference>
          <reference field="4" count="1" selected="0">
            <x v="9"/>
          </reference>
          <reference field="5" count="1">
            <x v="8"/>
          </reference>
        </references>
      </pivotArea>
    </format>
    <format dxfId="198">
      <pivotArea collapsedLevelsAreSubtotals="1" fieldPosition="0">
        <references count="4">
          <reference field="3" count="1" selected="0">
            <x v="2"/>
          </reference>
          <reference field="4" count="1" selected="0">
            <x v="9"/>
          </reference>
          <reference field="5" count="1" selected="0">
            <x v="8"/>
          </reference>
          <reference field="6" count="1">
            <x v="24"/>
          </reference>
        </references>
      </pivotArea>
    </format>
    <format dxfId="197">
      <pivotArea collapsedLevelsAreSubtotals="1" fieldPosition="0">
        <references count="3">
          <reference field="3" count="1" selected="0">
            <x v="2"/>
          </reference>
          <reference field="4" count="1" selected="0">
            <x v="9"/>
          </reference>
          <reference field="5" count="1">
            <x v="23"/>
          </reference>
        </references>
      </pivotArea>
    </format>
    <format dxfId="196">
      <pivotArea collapsedLevelsAreSubtotals="1" fieldPosition="0">
        <references count="4">
          <reference field="3" count="1" selected="0">
            <x v="2"/>
          </reference>
          <reference field="4" count="1" selected="0">
            <x v="9"/>
          </reference>
          <reference field="5" count="1" selected="0">
            <x v="23"/>
          </reference>
          <reference field="6" count="1">
            <x v="40"/>
          </reference>
        </references>
      </pivotArea>
    </format>
    <format dxfId="195">
      <pivotArea collapsedLevelsAreSubtotals="1" fieldPosition="0">
        <references count="3">
          <reference field="3" count="1" selected="0">
            <x v="2"/>
          </reference>
          <reference field="4" count="1" selected="0">
            <x v="9"/>
          </reference>
          <reference field="5" count="1">
            <x v="24"/>
          </reference>
        </references>
      </pivotArea>
    </format>
    <format dxfId="194">
      <pivotArea collapsedLevelsAreSubtotals="1" fieldPosition="0">
        <references count="4">
          <reference field="3" count="1" selected="0">
            <x v="2"/>
          </reference>
          <reference field="4" count="1" selected="0">
            <x v="9"/>
          </reference>
          <reference field="5" count="1" selected="0">
            <x v="24"/>
          </reference>
          <reference field="6" count="1">
            <x v="41"/>
          </reference>
        </references>
      </pivotArea>
    </format>
    <format dxfId="193">
      <pivotArea collapsedLevelsAreSubtotals="1" fieldPosition="0">
        <references count="3">
          <reference field="3" count="1" selected="0">
            <x v="2"/>
          </reference>
          <reference field="4" count="1" selected="0">
            <x v="9"/>
          </reference>
          <reference field="5" count="1">
            <x v="28"/>
          </reference>
        </references>
      </pivotArea>
    </format>
    <format dxfId="192">
      <pivotArea collapsedLevelsAreSubtotals="1" fieldPosition="0">
        <references count="4">
          <reference field="3" count="1" selected="0">
            <x v="2"/>
          </reference>
          <reference field="4" count="1" selected="0">
            <x v="9"/>
          </reference>
          <reference field="5" count="1" selected="0">
            <x v="28"/>
          </reference>
          <reference field="6" count="1">
            <x v="49"/>
          </reference>
        </references>
      </pivotArea>
    </format>
    <format dxfId="191">
      <pivotArea collapsedLevelsAreSubtotals="1" fieldPosition="0">
        <references count="3">
          <reference field="3" count="1" selected="0">
            <x v="2"/>
          </reference>
          <reference field="4" count="1" selected="0">
            <x v="9"/>
          </reference>
          <reference field="5" count="1">
            <x v="29"/>
          </reference>
        </references>
      </pivotArea>
    </format>
    <format dxfId="190">
      <pivotArea collapsedLevelsAreSubtotals="1" fieldPosition="0">
        <references count="4">
          <reference field="3" count="1" selected="0">
            <x v="2"/>
          </reference>
          <reference field="4" count="1" selected="0">
            <x v="9"/>
          </reference>
          <reference field="5" count="1" selected="0">
            <x v="29"/>
          </reference>
          <reference field="6" count="1">
            <x v="50"/>
          </reference>
        </references>
      </pivotArea>
    </format>
    <format dxfId="189">
      <pivotArea collapsedLevelsAreSubtotals="1" fieldPosition="0">
        <references count="3">
          <reference field="3" count="1" selected="0">
            <x v="2"/>
          </reference>
          <reference field="4" count="1" selected="0">
            <x v="9"/>
          </reference>
          <reference field="5" count="1">
            <x v="30"/>
          </reference>
        </references>
      </pivotArea>
    </format>
    <format dxfId="188">
      <pivotArea collapsedLevelsAreSubtotals="1" fieldPosition="0">
        <references count="4">
          <reference field="3" count="1" selected="0">
            <x v="2"/>
          </reference>
          <reference field="4" count="1" selected="0">
            <x v="9"/>
          </reference>
          <reference field="5" count="1" selected="0">
            <x v="30"/>
          </reference>
          <reference field="6" count="1">
            <x v="51"/>
          </reference>
        </references>
      </pivotArea>
    </format>
    <format dxfId="187">
      <pivotArea collapsedLevelsAreSubtotals="1" fieldPosition="0">
        <references count="3">
          <reference field="3" count="1" selected="0">
            <x v="2"/>
          </reference>
          <reference field="4" count="1" selected="0">
            <x v="9"/>
          </reference>
          <reference field="5" count="1">
            <x v="31"/>
          </reference>
        </references>
      </pivotArea>
    </format>
    <format dxfId="186">
      <pivotArea collapsedLevelsAreSubtotals="1" fieldPosition="0">
        <references count="4">
          <reference field="3" count="1" selected="0">
            <x v="2"/>
          </reference>
          <reference field="4" count="1" selected="0">
            <x v="9"/>
          </reference>
          <reference field="5" count="1" selected="0">
            <x v="31"/>
          </reference>
          <reference field="6" count="1">
            <x v="52"/>
          </reference>
        </references>
      </pivotArea>
    </format>
    <format dxfId="185">
      <pivotArea collapsedLevelsAreSubtotals="1" fieldPosition="0">
        <references count="3">
          <reference field="3" count="1" selected="0">
            <x v="2"/>
          </reference>
          <reference field="4" count="1" selected="0">
            <x v="9"/>
          </reference>
          <reference field="5" count="1">
            <x v="33"/>
          </reference>
        </references>
      </pivotArea>
    </format>
    <format dxfId="184">
      <pivotArea collapsedLevelsAreSubtotals="1" fieldPosition="0">
        <references count="4">
          <reference field="3" count="1" selected="0">
            <x v="2"/>
          </reference>
          <reference field="4" count="1" selected="0">
            <x v="9"/>
          </reference>
          <reference field="5" count="1" selected="0">
            <x v="33"/>
          </reference>
          <reference field="6" count="1">
            <x v="55"/>
          </reference>
        </references>
      </pivotArea>
    </format>
    <format dxfId="183">
      <pivotArea collapsedLevelsAreSubtotals="1" fieldPosition="0">
        <references count="3">
          <reference field="3" count="1" selected="0">
            <x v="2"/>
          </reference>
          <reference field="4" count="1" selected="0">
            <x v="9"/>
          </reference>
          <reference field="5" count="1">
            <x v="34"/>
          </reference>
        </references>
      </pivotArea>
    </format>
    <format dxfId="182">
      <pivotArea collapsedLevelsAreSubtotals="1" fieldPosition="0">
        <references count="4">
          <reference field="3" count="1" selected="0">
            <x v="2"/>
          </reference>
          <reference field="4" count="1" selected="0">
            <x v="9"/>
          </reference>
          <reference field="5" count="1" selected="0">
            <x v="34"/>
          </reference>
          <reference field="6" count="1">
            <x v="56"/>
          </reference>
        </references>
      </pivotArea>
    </format>
    <format dxfId="181">
      <pivotArea collapsedLevelsAreSubtotals="1" fieldPosition="0">
        <references count="3">
          <reference field="3" count="1" selected="0">
            <x v="2"/>
          </reference>
          <reference field="4" count="1" selected="0">
            <x v="9"/>
          </reference>
          <reference field="5" count="1">
            <x v="44"/>
          </reference>
        </references>
      </pivotArea>
    </format>
    <format dxfId="180">
      <pivotArea collapsedLevelsAreSubtotals="1" fieldPosition="0">
        <references count="4">
          <reference field="3" count="1" selected="0">
            <x v="2"/>
          </reference>
          <reference field="4" count="1" selected="0">
            <x v="9"/>
          </reference>
          <reference field="5" count="1" selected="0">
            <x v="44"/>
          </reference>
          <reference field="6" count="1">
            <x v="65"/>
          </reference>
        </references>
      </pivotArea>
    </format>
    <format dxfId="179">
      <pivotArea collapsedLevelsAreSubtotals="1" fieldPosition="0">
        <references count="3">
          <reference field="3" count="1" selected="0">
            <x v="2"/>
          </reference>
          <reference field="4" count="1" selected="0">
            <x v="9"/>
          </reference>
          <reference field="5" count="1">
            <x v="46"/>
          </reference>
        </references>
      </pivotArea>
    </format>
    <format dxfId="178">
      <pivotArea collapsedLevelsAreSubtotals="1" fieldPosition="0">
        <references count="4">
          <reference field="3" count="1" selected="0">
            <x v="2"/>
          </reference>
          <reference field="4" count="1" selected="0">
            <x v="9"/>
          </reference>
          <reference field="5" count="1" selected="0">
            <x v="46"/>
          </reference>
          <reference field="6" count="1">
            <x v="67"/>
          </reference>
        </references>
      </pivotArea>
    </format>
    <format dxfId="177">
      <pivotArea collapsedLevelsAreSubtotals="1" fieldPosition="0">
        <references count="3">
          <reference field="3" count="1" selected="0">
            <x v="2"/>
          </reference>
          <reference field="4" count="1" selected="0">
            <x v="9"/>
          </reference>
          <reference field="5" count="1">
            <x v="47"/>
          </reference>
        </references>
      </pivotArea>
    </format>
    <format dxfId="176">
      <pivotArea collapsedLevelsAreSubtotals="1" fieldPosition="0">
        <references count="4">
          <reference field="3" count="1" selected="0">
            <x v="2"/>
          </reference>
          <reference field="4" count="1" selected="0">
            <x v="9"/>
          </reference>
          <reference field="5" count="1" selected="0">
            <x v="47"/>
          </reference>
          <reference field="6" count="2">
            <x v="48"/>
            <x v="55"/>
          </reference>
        </references>
      </pivotArea>
    </format>
    <format dxfId="175">
      <pivotArea collapsedLevelsAreSubtotals="1" fieldPosition="0">
        <references count="3">
          <reference field="3" count="1" selected="0">
            <x v="2"/>
          </reference>
          <reference field="4" count="1" selected="0">
            <x v="9"/>
          </reference>
          <reference field="5" count="1">
            <x v="49"/>
          </reference>
        </references>
      </pivotArea>
    </format>
    <format dxfId="174">
      <pivotArea collapsedLevelsAreSubtotals="1" fieldPosition="0">
        <references count="4">
          <reference field="3" count="1" selected="0">
            <x v="2"/>
          </reference>
          <reference field="4" count="1" selected="0">
            <x v="9"/>
          </reference>
          <reference field="5" count="1" selected="0">
            <x v="49"/>
          </reference>
          <reference field="6" count="1">
            <x v="76"/>
          </reference>
        </references>
      </pivotArea>
    </format>
    <format dxfId="173">
      <pivotArea collapsedLevelsAreSubtotals="1" fieldPosition="0">
        <references count="3">
          <reference field="3" count="1" selected="0">
            <x v="2"/>
          </reference>
          <reference field="4" count="1" selected="0">
            <x v="9"/>
          </reference>
          <reference field="5" count="1">
            <x v="52"/>
          </reference>
        </references>
      </pivotArea>
    </format>
    <format dxfId="172">
      <pivotArea collapsedLevelsAreSubtotals="1" fieldPosition="0">
        <references count="4">
          <reference field="3" count="1" selected="0">
            <x v="2"/>
          </reference>
          <reference field="4" count="1" selected="0">
            <x v="9"/>
          </reference>
          <reference field="5" count="1" selected="0">
            <x v="52"/>
          </reference>
          <reference field="6" count="1">
            <x v="48"/>
          </reference>
        </references>
      </pivotArea>
    </format>
    <format dxfId="171">
      <pivotArea dataOnly="0" labelOnly="1" fieldPosition="0">
        <references count="4">
          <reference field="3" count="1" selected="0">
            <x v="2"/>
          </reference>
          <reference field="4" count="1" selected="0">
            <x v="9"/>
          </reference>
          <reference field="5" count="1" selected="0">
            <x v="4"/>
          </reference>
          <reference field="6" count="29">
            <x v="16"/>
            <x v="21"/>
            <x v="24"/>
            <x v="25"/>
            <x v="26"/>
            <x v="27"/>
            <x v="28"/>
            <x v="29"/>
            <x v="30"/>
            <x v="31"/>
            <x v="32"/>
            <x v="33"/>
            <x v="34"/>
            <x v="39"/>
            <x v="40"/>
            <x v="41"/>
            <x v="48"/>
            <x v="49"/>
            <x v="50"/>
            <x v="51"/>
            <x v="52"/>
            <x v="54"/>
            <x v="55"/>
            <x v="56"/>
            <x v="65"/>
            <x v="67"/>
            <x v="68"/>
            <x v="76"/>
            <x v="77"/>
          </reference>
        </references>
      </pivotArea>
    </format>
    <format dxfId="170">
      <pivotArea collapsedLevelsAreSubtotals="1" fieldPosition="0">
        <references count="3">
          <reference field="3" count="1" selected="0">
            <x v="2"/>
          </reference>
          <reference field="4" count="1" selected="0">
            <x v="9"/>
          </reference>
          <reference field="5" count="1">
            <x v="9"/>
          </reference>
        </references>
      </pivotArea>
    </format>
    <format dxfId="169">
      <pivotArea collapsedLevelsAreSubtotals="1" fieldPosition="0">
        <references count="4">
          <reference field="3" count="1" selected="0">
            <x v="2"/>
          </reference>
          <reference field="4" count="1" selected="0">
            <x v="9"/>
          </reference>
          <reference field="5" count="1" selected="0">
            <x v="9"/>
          </reference>
          <reference field="6" count="1">
            <x v="25"/>
          </reference>
        </references>
      </pivotArea>
    </format>
    <format dxfId="168">
      <pivotArea collapsedLevelsAreSubtotals="1" fieldPosition="0">
        <references count="3">
          <reference field="3" count="1" selected="0">
            <x v="2"/>
          </reference>
          <reference field="4" count="1" selected="0">
            <x v="9"/>
          </reference>
          <reference field="5" count="1">
            <x v="10"/>
          </reference>
        </references>
      </pivotArea>
    </format>
    <format dxfId="167">
      <pivotArea collapsedLevelsAreSubtotals="1" fieldPosition="0">
        <references count="4">
          <reference field="3" count="1" selected="0">
            <x v="2"/>
          </reference>
          <reference field="4" count="1" selected="0">
            <x v="9"/>
          </reference>
          <reference field="5" count="1" selected="0">
            <x v="10"/>
          </reference>
          <reference field="6" count="1">
            <x v="26"/>
          </reference>
        </references>
      </pivotArea>
    </format>
    <format dxfId="166">
      <pivotArea collapsedLevelsAreSubtotals="1" fieldPosition="0">
        <references count="3">
          <reference field="3" count="1" selected="0">
            <x v="2"/>
          </reference>
          <reference field="4" count="1" selected="0">
            <x v="9"/>
          </reference>
          <reference field="5" count="1">
            <x v="11"/>
          </reference>
        </references>
      </pivotArea>
    </format>
    <format dxfId="165">
      <pivotArea collapsedLevelsAreSubtotals="1" fieldPosition="0">
        <references count="4">
          <reference field="3" count="1" selected="0">
            <x v="2"/>
          </reference>
          <reference field="4" count="1" selected="0">
            <x v="9"/>
          </reference>
          <reference field="5" count="1" selected="0">
            <x v="11"/>
          </reference>
          <reference field="6" count="1">
            <x v="27"/>
          </reference>
        </references>
      </pivotArea>
    </format>
    <format dxfId="164">
      <pivotArea collapsedLevelsAreSubtotals="1" fieldPosition="0">
        <references count="3">
          <reference field="3" count="1" selected="0">
            <x v="2"/>
          </reference>
          <reference field="4" count="1" selected="0">
            <x v="9"/>
          </reference>
          <reference field="5" count="1">
            <x v="12"/>
          </reference>
        </references>
      </pivotArea>
    </format>
    <format dxfId="163">
      <pivotArea collapsedLevelsAreSubtotals="1" fieldPosition="0">
        <references count="4">
          <reference field="3" count="1" selected="0">
            <x v="2"/>
          </reference>
          <reference field="4" count="1" selected="0">
            <x v="9"/>
          </reference>
          <reference field="5" count="1" selected="0">
            <x v="12"/>
          </reference>
          <reference field="6" count="1">
            <x v="28"/>
          </reference>
        </references>
      </pivotArea>
    </format>
    <format dxfId="162">
      <pivotArea collapsedLevelsAreSubtotals="1" fieldPosition="0">
        <references count="3">
          <reference field="3" count="1" selected="0">
            <x v="2"/>
          </reference>
          <reference field="4" count="1" selected="0">
            <x v="9"/>
          </reference>
          <reference field="5" count="1">
            <x v="13"/>
          </reference>
        </references>
      </pivotArea>
    </format>
    <format dxfId="161">
      <pivotArea collapsedLevelsAreSubtotals="1" fieldPosition="0">
        <references count="4">
          <reference field="3" count="1" selected="0">
            <x v="2"/>
          </reference>
          <reference field="4" count="1" selected="0">
            <x v="9"/>
          </reference>
          <reference field="5" count="1" selected="0">
            <x v="13"/>
          </reference>
          <reference field="6" count="1">
            <x v="29"/>
          </reference>
        </references>
      </pivotArea>
    </format>
    <format dxfId="160">
      <pivotArea collapsedLevelsAreSubtotals="1" fieldPosition="0">
        <references count="3">
          <reference field="3" count="1" selected="0">
            <x v="2"/>
          </reference>
          <reference field="4" count="1" selected="0">
            <x v="9"/>
          </reference>
          <reference field="5" count="1">
            <x v="14"/>
          </reference>
        </references>
      </pivotArea>
    </format>
    <format dxfId="159">
      <pivotArea collapsedLevelsAreSubtotals="1" fieldPosition="0">
        <references count="4">
          <reference field="3" count="1" selected="0">
            <x v="2"/>
          </reference>
          <reference field="4" count="1" selected="0">
            <x v="9"/>
          </reference>
          <reference field="5" count="1" selected="0">
            <x v="14"/>
          </reference>
          <reference field="6" count="1">
            <x v="30"/>
          </reference>
        </references>
      </pivotArea>
    </format>
    <format dxfId="158">
      <pivotArea collapsedLevelsAreSubtotals="1" fieldPosition="0">
        <references count="3">
          <reference field="3" count="1" selected="0">
            <x v="2"/>
          </reference>
          <reference field="4" count="1" selected="0">
            <x v="9"/>
          </reference>
          <reference field="5" count="1">
            <x v="15"/>
          </reference>
        </references>
      </pivotArea>
    </format>
    <format dxfId="157">
      <pivotArea collapsedLevelsAreSubtotals="1" fieldPosition="0">
        <references count="4">
          <reference field="3" count="1" selected="0">
            <x v="2"/>
          </reference>
          <reference field="4" count="1" selected="0">
            <x v="9"/>
          </reference>
          <reference field="5" count="1" selected="0">
            <x v="15"/>
          </reference>
          <reference field="6" count="1">
            <x v="31"/>
          </reference>
        </references>
      </pivotArea>
    </format>
    <format dxfId="156">
      <pivotArea collapsedLevelsAreSubtotals="1" fieldPosition="0">
        <references count="3">
          <reference field="3" count="1" selected="0">
            <x v="2"/>
          </reference>
          <reference field="4" count="1" selected="0">
            <x v="9"/>
          </reference>
          <reference field="5" count="1">
            <x v="16"/>
          </reference>
        </references>
      </pivotArea>
    </format>
    <format dxfId="155">
      <pivotArea collapsedLevelsAreSubtotals="1" fieldPosition="0">
        <references count="4">
          <reference field="3" count="1" selected="0">
            <x v="2"/>
          </reference>
          <reference field="4" count="1" selected="0">
            <x v="9"/>
          </reference>
          <reference field="5" count="1" selected="0">
            <x v="16"/>
          </reference>
          <reference field="6" count="1">
            <x v="32"/>
          </reference>
        </references>
      </pivotArea>
    </format>
    <format dxfId="154">
      <pivotArea collapsedLevelsAreSubtotals="1" fieldPosition="0">
        <references count="3">
          <reference field="3" count="1" selected="0">
            <x v="2"/>
          </reference>
          <reference field="4" count="1" selected="0">
            <x v="9"/>
          </reference>
          <reference field="5" count="1">
            <x v="17"/>
          </reference>
        </references>
      </pivotArea>
    </format>
    <format dxfId="153">
      <pivotArea collapsedLevelsAreSubtotals="1" fieldPosition="0">
        <references count="4">
          <reference field="3" count="1" selected="0">
            <x v="2"/>
          </reference>
          <reference field="4" count="1" selected="0">
            <x v="9"/>
          </reference>
          <reference field="5" count="1" selected="0">
            <x v="17"/>
          </reference>
          <reference field="6" count="1">
            <x v="33"/>
          </reference>
        </references>
      </pivotArea>
    </format>
    <format dxfId="152">
      <pivotArea collapsedLevelsAreSubtotals="1" fieldPosition="0">
        <references count="3">
          <reference field="3" count="1" selected="0">
            <x v="2"/>
          </reference>
          <reference field="4" count="1" selected="0">
            <x v="9"/>
          </reference>
          <reference field="5" count="1">
            <x v="18"/>
          </reference>
        </references>
      </pivotArea>
    </format>
    <format dxfId="151">
      <pivotArea collapsedLevelsAreSubtotals="1" fieldPosition="0">
        <references count="4">
          <reference field="3" count="1" selected="0">
            <x v="2"/>
          </reference>
          <reference field="4" count="1" selected="0">
            <x v="9"/>
          </reference>
          <reference field="5" count="1" selected="0">
            <x v="18"/>
          </reference>
          <reference field="6" count="1">
            <x v="34"/>
          </reference>
        </references>
      </pivotArea>
    </format>
    <format dxfId="150">
      <pivotArea dataOnly="0" labelOnly="1" fieldPosition="0">
        <references count="4">
          <reference field="3" count="1" selected="0">
            <x v="2"/>
          </reference>
          <reference field="4" count="1" selected="0">
            <x v="9"/>
          </reference>
          <reference field="5" count="1" selected="0">
            <x v="9"/>
          </reference>
          <reference field="6" count="10">
            <x v="25"/>
            <x v="26"/>
            <x v="27"/>
            <x v="28"/>
            <x v="29"/>
            <x v="30"/>
            <x v="31"/>
            <x v="32"/>
            <x v="33"/>
            <x v="34"/>
          </reference>
        </references>
      </pivotArea>
    </format>
    <format dxfId="149">
      <pivotArea collapsedLevelsAreSubtotals="1" fieldPosition="0">
        <references count="3">
          <reference field="3" count="1" selected="0">
            <x v="2"/>
          </reference>
          <reference field="4" count="1" selected="0">
            <x v="9"/>
          </reference>
          <reference field="5" count="1">
            <x v="22"/>
          </reference>
        </references>
      </pivotArea>
    </format>
    <format dxfId="148">
      <pivotArea collapsedLevelsAreSubtotals="1" fieldPosition="0">
        <references count="4">
          <reference field="3" count="1" selected="0">
            <x v="2"/>
          </reference>
          <reference field="4" count="1" selected="0">
            <x v="9"/>
          </reference>
          <reference field="5" count="1" selected="0">
            <x v="22"/>
          </reference>
          <reference field="6" count="1">
            <x v="39"/>
          </reference>
        </references>
      </pivotArea>
    </format>
    <format dxfId="147">
      <pivotArea collapsedLevelsAreSubtotals="1" fieldPosition="0">
        <references count="3">
          <reference field="3" count="1" selected="0">
            <x v="2"/>
          </reference>
          <reference field="4" count="1" selected="0">
            <x v="9"/>
          </reference>
          <reference field="5" count="1">
            <x v="53"/>
          </reference>
        </references>
      </pivotArea>
    </format>
    <format dxfId="146">
      <pivotArea collapsedLevelsAreSubtotals="1" fieldPosition="0">
        <references count="4">
          <reference field="3" count="1" selected="0">
            <x v="2"/>
          </reference>
          <reference field="4" count="1" selected="0">
            <x v="9"/>
          </reference>
          <reference field="5" count="1" selected="0">
            <x v="53"/>
          </reference>
          <reference field="6" count="1">
            <x v="54"/>
          </reference>
        </references>
      </pivotArea>
    </format>
    <format dxfId="145">
      <pivotArea collapsedLevelsAreSubtotals="1" fieldPosition="0">
        <references count="3">
          <reference field="3" count="1" selected="0">
            <x v="2"/>
          </reference>
          <reference field="4" count="1" selected="0">
            <x v="9"/>
          </reference>
          <reference field="5" count="1">
            <x v="50"/>
          </reference>
        </references>
      </pivotArea>
    </format>
    <format dxfId="144">
      <pivotArea collapsedLevelsAreSubtotals="1" fieldPosition="0">
        <references count="4">
          <reference field="3" count="1" selected="0">
            <x v="2"/>
          </reference>
          <reference field="4" count="1" selected="0">
            <x v="9"/>
          </reference>
          <reference field="5" count="1" selected="0">
            <x v="50"/>
          </reference>
          <reference field="6" count="1">
            <x v="77"/>
          </reference>
        </references>
      </pivotArea>
    </format>
    <format dxfId="143">
      <pivotArea collapsedLevelsAreSubtotals="1" fieldPosition="0">
        <references count="3">
          <reference field="3" count="1" selected="0">
            <x v="2"/>
          </reference>
          <reference field="4" count="1" selected="0">
            <x v="9"/>
          </reference>
          <reference field="5" count="1">
            <x v="54"/>
          </reference>
        </references>
      </pivotArea>
    </format>
    <format dxfId="142">
      <pivotArea collapsedLevelsAreSubtotals="1" fieldPosition="0">
        <references count="4">
          <reference field="3" count="1" selected="0">
            <x v="2"/>
          </reference>
          <reference field="4" count="1" selected="0">
            <x v="9"/>
          </reference>
          <reference field="5" count="1" selected="0">
            <x v="54"/>
          </reference>
          <reference field="6" count="1">
            <x v="68"/>
          </reference>
        </references>
      </pivotArea>
    </format>
    <format dxfId="141">
      <pivotArea collapsedLevelsAreSubtotals="1" fieldPosition="0">
        <references count="4">
          <reference field="3" count="1" selected="0">
            <x v="2"/>
          </reference>
          <reference field="4" count="1" selected="0">
            <x v="0"/>
          </reference>
          <reference field="5" count="1" selected="0">
            <x v="47"/>
          </reference>
          <reference field="6" count="1">
            <x v="25"/>
          </reference>
        </references>
      </pivotArea>
    </format>
    <format dxfId="140">
      <pivotArea collapsedLevelsAreSubtotals="1" fieldPosition="0">
        <references count="3">
          <reference field="3" count="1" selected="0">
            <x v="2"/>
          </reference>
          <reference field="4" count="1" selected="0">
            <x v="3"/>
          </reference>
          <reference field="5" count="1">
            <x v="67"/>
          </reference>
        </references>
      </pivotArea>
    </format>
    <format dxfId="139">
      <pivotArea collapsedLevelsAreSubtotals="1" fieldPosition="0">
        <references count="4">
          <reference field="3" count="1" selected="0">
            <x v="2"/>
          </reference>
          <reference field="4" count="1" selected="0">
            <x v="3"/>
          </reference>
          <reference field="5" count="1" selected="0">
            <x v="67"/>
          </reference>
          <reference field="6" count="1">
            <x v="93"/>
          </reference>
        </references>
      </pivotArea>
    </format>
    <format dxfId="138">
      <pivotArea collapsedLevelsAreSubtotals="1" fieldPosition="0">
        <references count="3">
          <reference field="3" count="1" selected="0">
            <x v="2"/>
          </reference>
          <reference field="4" count="1" selected="0">
            <x v="9"/>
          </reference>
          <reference field="5" count="1">
            <x v="68"/>
          </reference>
        </references>
      </pivotArea>
    </format>
    <format dxfId="137">
      <pivotArea collapsedLevelsAreSubtotals="1" fieldPosition="0">
        <references count="4">
          <reference field="3" count="1" selected="0">
            <x v="2"/>
          </reference>
          <reference field="4" count="1" selected="0">
            <x v="9"/>
          </reference>
          <reference field="5" count="1" selected="0">
            <x v="68"/>
          </reference>
          <reference field="6" count="1">
            <x v="94"/>
          </reference>
        </references>
      </pivotArea>
    </format>
    <format dxfId="136">
      <pivotArea collapsedLevelsAreSubtotals="1" fieldPosition="0">
        <references count="3">
          <reference field="3" count="1" selected="0">
            <x v="2"/>
          </reference>
          <reference field="4" count="1" selected="0">
            <x v="9"/>
          </reference>
          <reference field="5" count="1">
            <x v="69"/>
          </reference>
        </references>
      </pivotArea>
    </format>
    <format dxfId="135">
      <pivotArea collapsedLevelsAreSubtotals="1" fieldPosition="0">
        <references count="4">
          <reference field="3" count="1" selected="0">
            <x v="2"/>
          </reference>
          <reference field="4" count="1" selected="0">
            <x v="9"/>
          </reference>
          <reference field="5" count="1" selected="0">
            <x v="69"/>
          </reference>
          <reference field="6" count="1">
            <x v="95"/>
          </reference>
        </references>
      </pivotArea>
    </format>
    <format dxfId="134">
      <pivotArea collapsedLevelsAreSubtotals="1" fieldPosition="0">
        <references count="3">
          <reference field="3" count="1" selected="0">
            <x v="2"/>
          </reference>
          <reference field="4" count="1" selected="0">
            <x v="9"/>
          </reference>
          <reference field="5" count="1">
            <x v="70"/>
          </reference>
        </references>
      </pivotArea>
    </format>
    <format dxfId="133">
      <pivotArea collapsedLevelsAreSubtotals="1" fieldPosition="0">
        <references count="4">
          <reference field="3" count="1" selected="0">
            <x v="2"/>
          </reference>
          <reference field="4" count="1" selected="0">
            <x v="9"/>
          </reference>
          <reference field="5" count="1" selected="0">
            <x v="70"/>
          </reference>
          <reference field="6" count="1">
            <x v="96"/>
          </reference>
        </references>
      </pivotArea>
    </format>
    <format dxfId="132">
      <pivotArea collapsedLevelsAreSubtotals="1" fieldPosition="0">
        <references count="3">
          <reference field="3" count="1" selected="0">
            <x v="2"/>
          </reference>
          <reference field="4" count="1" selected="0">
            <x v="9"/>
          </reference>
          <reference field="5" count="1">
            <x v="71"/>
          </reference>
        </references>
      </pivotArea>
    </format>
    <format dxfId="131">
      <pivotArea collapsedLevelsAreSubtotals="1" fieldPosition="0">
        <references count="4">
          <reference field="3" count="1" selected="0">
            <x v="2"/>
          </reference>
          <reference field="4" count="1" selected="0">
            <x v="9"/>
          </reference>
          <reference field="5" count="1" selected="0">
            <x v="71"/>
          </reference>
          <reference field="6" count="1">
            <x v="97"/>
          </reference>
        </references>
      </pivotArea>
    </format>
    <format dxfId="130">
      <pivotArea collapsedLevelsAreSubtotals="1" fieldPosition="0">
        <references count="3">
          <reference field="3" count="1" selected="0">
            <x v="2"/>
          </reference>
          <reference field="4" count="1" selected="0">
            <x v="9"/>
          </reference>
          <reference field="5" count="1">
            <x v="72"/>
          </reference>
        </references>
      </pivotArea>
    </format>
    <format dxfId="129">
      <pivotArea collapsedLevelsAreSubtotals="1" fieldPosition="0">
        <references count="4">
          <reference field="3" count="1" selected="0">
            <x v="2"/>
          </reference>
          <reference field="4" count="1" selected="0">
            <x v="9"/>
          </reference>
          <reference field="5" count="1" selected="0">
            <x v="72"/>
          </reference>
          <reference field="6" count="1">
            <x v="98"/>
          </reference>
        </references>
      </pivotArea>
    </format>
    <format dxfId="128">
      <pivotArea collapsedLevelsAreSubtotals="1" fieldPosition="0">
        <references count="2">
          <reference field="4294967294" count="1" selected="0">
            <x v="2"/>
          </reference>
          <reference field="3" count="1">
            <x v="0"/>
          </reference>
        </references>
      </pivotArea>
    </format>
    <format dxfId="127">
      <pivotArea collapsedLevelsAreSubtotals="1" fieldPosition="0">
        <references count="4">
          <reference field="3" count="1" selected="0">
            <x v="1"/>
          </reference>
          <reference field="4" count="1" selected="0">
            <x v="2"/>
          </reference>
          <reference field="5" count="1" selected="0">
            <x v="0"/>
          </reference>
          <reference field="6" count="1">
            <x v="99"/>
          </reference>
        </references>
      </pivotArea>
    </format>
    <format dxfId="126">
      <pivotArea type="all" dataOnly="0" outline="0" fieldPosition="0"/>
    </format>
    <format dxfId="125">
      <pivotArea outline="0" collapsedLevelsAreSubtotals="1" fieldPosition="0"/>
    </format>
    <format dxfId="124">
      <pivotArea field="3" type="button" dataOnly="0" labelOnly="1" outline="0" axis="axisRow" fieldPosition="0"/>
    </format>
    <format dxfId="123">
      <pivotArea dataOnly="0" labelOnly="1" fieldPosition="0">
        <references count="1">
          <reference field="3" count="0"/>
        </references>
      </pivotArea>
    </format>
    <format dxfId="122">
      <pivotArea dataOnly="0" labelOnly="1" grandRow="1" outline="0" fieldPosition="0"/>
    </format>
    <format dxfId="121">
      <pivotArea dataOnly="0" labelOnly="1" fieldPosition="0">
        <references count="2">
          <reference field="3" count="1" selected="0">
            <x v="0"/>
          </reference>
          <reference field="4" count="1">
            <x v="6"/>
          </reference>
        </references>
      </pivotArea>
    </format>
    <format dxfId="120">
      <pivotArea dataOnly="0" labelOnly="1" fieldPosition="0">
        <references count="2">
          <reference field="3" count="1" selected="0">
            <x v="1"/>
          </reference>
          <reference field="4" count="5">
            <x v="1"/>
            <x v="2"/>
            <x v="4"/>
            <x v="7"/>
            <x v="8"/>
          </reference>
        </references>
      </pivotArea>
    </format>
    <format dxfId="119">
      <pivotArea dataOnly="0" labelOnly="1" fieldPosition="0">
        <references count="2">
          <reference field="3" count="1" selected="0">
            <x v="2"/>
          </reference>
          <reference field="4" count="6">
            <x v="0"/>
            <x v="3"/>
            <x v="5"/>
            <x v="9"/>
            <x v="10"/>
            <x v="11"/>
          </reference>
        </references>
      </pivotArea>
    </format>
    <format dxfId="118">
      <pivotArea dataOnly="0" labelOnly="1" fieldPosition="0">
        <references count="3">
          <reference field="3" count="1" selected="0">
            <x v="0"/>
          </reference>
          <reference field="4" count="1" selected="0">
            <x v="6"/>
          </reference>
          <reference field="5" count="1">
            <x v="38"/>
          </reference>
        </references>
      </pivotArea>
    </format>
    <format dxfId="117">
      <pivotArea dataOnly="0" labelOnly="1" fieldPosition="0">
        <references count="3">
          <reference field="3" count="1" selected="0">
            <x v="1"/>
          </reference>
          <reference field="4" count="1" selected="0">
            <x v="1"/>
          </reference>
          <reference field="5" count="2">
            <x v="6"/>
            <x v="41"/>
          </reference>
        </references>
      </pivotArea>
    </format>
    <format dxfId="116">
      <pivotArea dataOnly="0" labelOnly="1" fieldPosition="0">
        <references count="3">
          <reference field="3" count="1" selected="0">
            <x v="1"/>
          </reference>
          <reference field="4" count="1" selected="0">
            <x v="2"/>
          </reference>
          <reference field="5" count="2">
            <x v="0"/>
            <x v="58"/>
          </reference>
        </references>
      </pivotArea>
    </format>
    <format dxfId="115">
      <pivotArea dataOnly="0" labelOnly="1" fieldPosition="0">
        <references count="3">
          <reference field="3" count="1" selected="0">
            <x v="1"/>
          </reference>
          <reference field="4" count="1" selected="0">
            <x v="4"/>
          </reference>
          <reference field="5" count="1">
            <x v="25"/>
          </reference>
        </references>
      </pivotArea>
    </format>
    <format dxfId="114">
      <pivotArea dataOnly="0" labelOnly="1" fieldPosition="0">
        <references count="3">
          <reference field="3" count="1" selected="0">
            <x v="1"/>
          </reference>
          <reference field="4" count="1" selected="0">
            <x v="7"/>
          </reference>
          <reference field="5" count="2">
            <x v="37"/>
            <x v="61"/>
          </reference>
        </references>
      </pivotArea>
    </format>
    <format dxfId="113">
      <pivotArea dataOnly="0" labelOnly="1" fieldPosition="0">
        <references count="3">
          <reference field="3" count="1" selected="0">
            <x v="1"/>
          </reference>
          <reference field="4" count="1" selected="0">
            <x v="8"/>
          </reference>
          <reference field="5" count="1">
            <x v="40"/>
          </reference>
        </references>
      </pivotArea>
    </format>
    <format dxfId="112">
      <pivotArea dataOnly="0" labelOnly="1" fieldPosition="0">
        <references count="3">
          <reference field="3" count="1" selected="0">
            <x v="2"/>
          </reference>
          <reference field="4" count="1" selected="0">
            <x v="0"/>
          </reference>
          <reference field="5" count="20">
            <x v="1"/>
            <x v="2"/>
            <x v="3"/>
            <x v="19"/>
            <x v="20"/>
            <x v="21"/>
            <x v="27"/>
            <x v="39"/>
            <x v="42"/>
            <x v="43"/>
            <x v="45"/>
            <x v="47"/>
            <x v="51"/>
            <x v="55"/>
            <x v="60"/>
            <x v="62"/>
            <x v="63"/>
            <x v="65"/>
            <x v="66"/>
            <x v="73"/>
          </reference>
        </references>
      </pivotArea>
    </format>
    <format dxfId="111">
      <pivotArea dataOnly="0" labelOnly="1" fieldPosition="0">
        <references count="3">
          <reference field="3" count="1" selected="0">
            <x v="2"/>
          </reference>
          <reference field="4" count="1" selected="0">
            <x v="3"/>
          </reference>
          <reference field="5" count="2">
            <x v="5"/>
            <x v="67"/>
          </reference>
        </references>
      </pivotArea>
    </format>
    <format dxfId="110">
      <pivotArea dataOnly="0" labelOnly="1" fieldPosition="0">
        <references count="3">
          <reference field="3" count="1" selected="0">
            <x v="2"/>
          </reference>
          <reference field="4" count="1" selected="0">
            <x v="5"/>
          </reference>
          <reference field="5" count="1">
            <x v="35"/>
          </reference>
        </references>
      </pivotArea>
    </format>
    <format dxfId="109">
      <pivotArea dataOnly="0" labelOnly="1" fieldPosition="0">
        <references count="3">
          <reference field="3" count="1" selected="0">
            <x v="2"/>
          </reference>
          <reference field="4" count="1" selected="0">
            <x v="9"/>
          </reference>
          <reference field="5" count="49">
            <x v="4"/>
            <x v="7"/>
            <x v="8"/>
            <x v="9"/>
            <x v="10"/>
            <x v="11"/>
            <x v="12"/>
            <x v="13"/>
            <x v="14"/>
            <x v="15"/>
            <x v="16"/>
            <x v="17"/>
            <x v="18"/>
            <x v="22"/>
            <x v="23"/>
            <x v="24"/>
            <x v="28"/>
            <x v="29"/>
            <x v="30"/>
            <x v="31"/>
            <x v="33"/>
            <x v="34"/>
            <x v="44"/>
            <x v="46"/>
            <x v="47"/>
            <x v="49"/>
            <x v="50"/>
            <x v="52"/>
            <x v="53"/>
            <x v="54"/>
            <x v="55"/>
            <x v="56"/>
            <x v="57"/>
            <x v="59"/>
            <x v="68"/>
            <x v="69"/>
            <x v="70"/>
            <x v="71"/>
            <x v="72"/>
            <x v="74"/>
            <x v="75"/>
            <x v="76"/>
            <x v="77"/>
            <x v="78"/>
            <x v="79"/>
            <x v="80"/>
            <x v="81"/>
            <x v="82"/>
            <x v="83"/>
          </reference>
        </references>
      </pivotArea>
    </format>
    <format dxfId="108">
      <pivotArea dataOnly="0" labelOnly="1" fieldPosition="0">
        <references count="3">
          <reference field="3" count="1" selected="0">
            <x v="2"/>
          </reference>
          <reference field="4" count="1" selected="0">
            <x v="10"/>
          </reference>
          <reference field="5" count="4">
            <x v="26"/>
            <x v="32"/>
            <x v="48"/>
            <x v="64"/>
          </reference>
        </references>
      </pivotArea>
    </format>
    <format dxfId="107">
      <pivotArea dataOnly="0" labelOnly="1" fieldPosition="0">
        <references count="3">
          <reference field="3" count="1" selected="0">
            <x v="2"/>
          </reference>
          <reference field="4" count="1" selected="0">
            <x v="11"/>
          </reference>
          <reference field="5" count="1">
            <x v="36"/>
          </reference>
        </references>
      </pivotArea>
    </format>
    <format dxfId="106">
      <pivotArea dataOnly="0" labelOnly="1" fieldPosition="0">
        <references count="4">
          <reference field="3" count="1" selected="0">
            <x v="0"/>
          </reference>
          <reference field="4" count="1" selected="0">
            <x v="6"/>
          </reference>
          <reference field="5" count="1" selected="0">
            <x v="38"/>
          </reference>
          <reference field="6" count="1">
            <x v="59"/>
          </reference>
        </references>
      </pivotArea>
    </format>
    <format dxfId="105">
      <pivotArea dataOnly="0" labelOnly="1" fieldPosition="0">
        <references count="4">
          <reference field="3" count="1" selected="0">
            <x v="1"/>
          </reference>
          <reference field="4" count="1" selected="0">
            <x v="1"/>
          </reference>
          <reference field="5" count="1" selected="0">
            <x v="6"/>
          </reference>
          <reference field="6" count="1">
            <x v="20"/>
          </reference>
        </references>
      </pivotArea>
    </format>
    <format dxfId="104">
      <pivotArea dataOnly="0" labelOnly="1" fieldPosition="0">
        <references count="4">
          <reference field="3" count="1" selected="0">
            <x v="1"/>
          </reference>
          <reference field="4" count="1" selected="0">
            <x v="1"/>
          </reference>
          <reference field="5" count="1" selected="0">
            <x v="41"/>
          </reference>
          <reference field="6" count="7">
            <x v="10"/>
            <x v="11"/>
            <x v="72"/>
            <x v="73"/>
            <x v="79"/>
            <x v="83"/>
            <x v="84"/>
          </reference>
        </references>
      </pivotArea>
    </format>
    <format dxfId="103">
      <pivotArea dataOnly="0" labelOnly="1" fieldPosition="0">
        <references count="4">
          <reference field="3" count="1" selected="0">
            <x v="1"/>
          </reference>
          <reference field="4" count="1" selected="0">
            <x v="2"/>
          </reference>
          <reference field="5" count="1" selected="0">
            <x v="0"/>
          </reference>
          <reference field="6" count="3">
            <x v="8"/>
            <x v="71"/>
            <x v="99"/>
          </reference>
        </references>
      </pivotArea>
    </format>
    <format dxfId="102">
      <pivotArea dataOnly="0" labelOnly="1" fieldPosition="0">
        <references count="4">
          <reference field="3" count="1" selected="0">
            <x v="1"/>
          </reference>
          <reference field="4" count="1" selected="0">
            <x v="2"/>
          </reference>
          <reference field="5" count="1" selected="0">
            <x v="58"/>
          </reference>
          <reference field="6" count="1">
            <x v="75"/>
          </reference>
        </references>
      </pivotArea>
    </format>
    <format dxfId="101">
      <pivotArea dataOnly="0" labelOnly="1" fieldPosition="0">
        <references count="4">
          <reference field="3" count="1" selected="0">
            <x v="1"/>
          </reference>
          <reference field="4" count="1" selected="0">
            <x v="4"/>
          </reference>
          <reference field="5" count="1" selected="0">
            <x v="25"/>
          </reference>
          <reference field="6" count="1">
            <x v="42"/>
          </reference>
        </references>
      </pivotArea>
    </format>
    <format dxfId="100">
      <pivotArea dataOnly="0" labelOnly="1" fieldPosition="0">
        <references count="4">
          <reference field="3" count="1" selected="0">
            <x v="1"/>
          </reference>
          <reference field="4" count="1" selected="0">
            <x v="7"/>
          </reference>
          <reference field="5" count="1" selected="0">
            <x v="37"/>
          </reference>
          <reference field="6" count="3">
            <x v="9"/>
            <x v="13"/>
            <x v="23"/>
          </reference>
        </references>
      </pivotArea>
    </format>
    <format dxfId="99">
      <pivotArea dataOnly="0" labelOnly="1" fieldPosition="0">
        <references count="4">
          <reference field="3" count="1" selected="0">
            <x v="1"/>
          </reference>
          <reference field="4" count="1" selected="0">
            <x v="7"/>
          </reference>
          <reference field="5" count="1" selected="0">
            <x v="61"/>
          </reference>
          <reference field="6" count="17">
            <x v="0"/>
            <x v="1"/>
            <x v="2"/>
            <x v="3"/>
            <x v="4"/>
            <x v="5"/>
            <x v="6"/>
            <x v="7"/>
            <x v="18"/>
            <x v="19"/>
            <x v="22"/>
            <x v="36"/>
            <x v="43"/>
            <x v="47"/>
            <x v="61"/>
            <x v="69"/>
            <x v="92"/>
          </reference>
        </references>
      </pivotArea>
    </format>
    <format dxfId="98">
      <pivotArea dataOnly="0" labelOnly="1" fieldPosition="0">
        <references count="4">
          <reference field="3" count="1" selected="0">
            <x v="1"/>
          </reference>
          <reference field="4" count="1" selected="0">
            <x v="8"/>
          </reference>
          <reference field="5" count="1" selected="0">
            <x v="40"/>
          </reference>
          <reference field="6" count="1">
            <x v="60"/>
          </reference>
        </references>
      </pivotArea>
    </format>
    <format dxfId="97">
      <pivotArea dataOnly="0" labelOnly="1" fieldPosition="0">
        <references count="4">
          <reference field="3" count="1" selected="0">
            <x v="2"/>
          </reference>
          <reference field="4" count="1" selected="0">
            <x v="0"/>
          </reference>
          <reference field="5" count="1" selected="0">
            <x v="1"/>
          </reference>
          <reference field="6" count="1">
            <x v="12"/>
          </reference>
        </references>
      </pivotArea>
    </format>
    <format dxfId="96">
      <pivotArea dataOnly="0" labelOnly="1" fieldPosition="0">
        <references count="4">
          <reference field="3" count="1" selected="0">
            <x v="2"/>
          </reference>
          <reference field="4" count="1" selected="0">
            <x v="0"/>
          </reference>
          <reference field="5" count="1" selected="0">
            <x v="2"/>
          </reference>
          <reference field="6" count="1">
            <x v="14"/>
          </reference>
        </references>
      </pivotArea>
    </format>
    <format dxfId="95">
      <pivotArea dataOnly="0" labelOnly="1" fieldPosition="0">
        <references count="4">
          <reference field="3" count="1" selected="0">
            <x v="2"/>
          </reference>
          <reference field="4" count="1" selected="0">
            <x v="0"/>
          </reference>
          <reference field="5" count="1" selected="0">
            <x v="3"/>
          </reference>
          <reference field="6" count="1">
            <x v="15"/>
          </reference>
        </references>
      </pivotArea>
    </format>
    <format dxfId="94">
      <pivotArea dataOnly="0" labelOnly="1" fieldPosition="0">
        <references count="4">
          <reference field="3" count="1" selected="0">
            <x v="2"/>
          </reference>
          <reference field="4" count="1" selected="0">
            <x v="0"/>
          </reference>
          <reference field="5" count="1" selected="0">
            <x v="19"/>
          </reference>
          <reference field="6" count="1">
            <x v="35"/>
          </reference>
        </references>
      </pivotArea>
    </format>
    <format dxfId="93">
      <pivotArea dataOnly="0" labelOnly="1" fieldPosition="0">
        <references count="4">
          <reference field="3" count="1" selected="0">
            <x v="2"/>
          </reference>
          <reference field="4" count="1" selected="0">
            <x v="0"/>
          </reference>
          <reference field="5" count="1" selected="0">
            <x v="20"/>
          </reference>
          <reference field="6" count="1">
            <x v="37"/>
          </reference>
        </references>
      </pivotArea>
    </format>
    <format dxfId="92">
      <pivotArea dataOnly="0" labelOnly="1" fieldPosition="0">
        <references count="4">
          <reference field="3" count="1" selected="0">
            <x v="2"/>
          </reference>
          <reference field="4" count="1" selected="0">
            <x v="0"/>
          </reference>
          <reference field="5" count="1" selected="0">
            <x v="21"/>
          </reference>
          <reference field="6" count="1">
            <x v="38"/>
          </reference>
        </references>
      </pivotArea>
    </format>
    <format dxfId="91">
      <pivotArea dataOnly="0" labelOnly="1" fieldPosition="0">
        <references count="4">
          <reference field="3" count="1" selected="0">
            <x v="2"/>
          </reference>
          <reference field="4" count="1" selected="0">
            <x v="0"/>
          </reference>
          <reference field="5" count="1" selected="0">
            <x v="27"/>
          </reference>
          <reference field="6" count="1">
            <x v="46"/>
          </reference>
        </references>
      </pivotArea>
    </format>
    <format dxfId="90">
      <pivotArea dataOnly="0" labelOnly="1" fieldPosition="0">
        <references count="4">
          <reference field="3" count="1" selected="0">
            <x v="2"/>
          </reference>
          <reference field="4" count="1" selected="0">
            <x v="0"/>
          </reference>
          <reference field="5" count="1" selected="0">
            <x v="39"/>
          </reference>
          <reference field="6" count="1">
            <x v="62"/>
          </reference>
        </references>
      </pivotArea>
    </format>
    <format dxfId="89">
      <pivotArea dataOnly="0" labelOnly="1" fieldPosition="0">
        <references count="4">
          <reference field="3" count="1" selected="0">
            <x v="2"/>
          </reference>
          <reference field="4" count="1" selected="0">
            <x v="0"/>
          </reference>
          <reference field="5" count="1" selected="0">
            <x v="42"/>
          </reference>
          <reference field="6" count="1">
            <x v="63"/>
          </reference>
        </references>
      </pivotArea>
    </format>
    <format dxfId="88">
      <pivotArea dataOnly="0" labelOnly="1" fieldPosition="0">
        <references count="4">
          <reference field="3" count="1" selected="0">
            <x v="2"/>
          </reference>
          <reference field="4" count="1" selected="0">
            <x v="0"/>
          </reference>
          <reference field="5" count="1" selected="0">
            <x v="43"/>
          </reference>
          <reference field="6" count="1">
            <x v="64"/>
          </reference>
        </references>
      </pivotArea>
    </format>
    <format dxfId="87">
      <pivotArea dataOnly="0" labelOnly="1" fieldPosition="0">
        <references count="4">
          <reference field="3" count="1" selected="0">
            <x v="2"/>
          </reference>
          <reference field="4" count="1" selected="0">
            <x v="0"/>
          </reference>
          <reference field="5" count="1" selected="0">
            <x v="45"/>
          </reference>
          <reference field="6" count="2">
            <x v="45"/>
            <x v="66"/>
          </reference>
        </references>
      </pivotArea>
    </format>
    <format dxfId="86">
      <pivotArea dataOnly="0" labelOnly="1" fieldPosition="0">
        <references count="4">
          <reference field="3" count="1" selected="0">
            <x v="2"/>
          </reference>
          <reference field="4" count="1" selected="0">
            <x v="0"/>
          </reference>
          <reference field="5" count="1" selected="0">
            <x v="47"/>
          </reference>
          <reference field="6" count="2">
            <x v="25"/>
            <x v="74"/>
          </reference>
        </references>
      </pivotArea>
    </format>
    <format dxfId="85">
      <pivotArea dataOnly="0" labelOnly="1" fieldPosition="0">
        <references count="4">
          <reference field="3" count="1" selected="0">
            <x v="2"/>
          </reference>
          <reference field="4" count="1" selected="0">
            <x v="0"/>
          </reference>
          <reference field="5" count="1" selected="0">
            <x v="51"/>
          </reference>
          <reference field="6" count="1">
            <x v="78"/>
          </reference>
        </references>
      </pivotArea>
    </format>
    <format dxfId="84">
      <pivotArea dataOnly="0" labelOnly="1" fieldPosition="0">
        <references count="4">
          <reference field="3" count="1" selected="0">
            <x v="2"/>
          </reference>
          <reference field="4" count="1" selected="0">
            <x v="0"/>
          </reference>
          <reference field="5" count="1" selected="0">
            <x v="55"/>
          </reference>
          <reference field="6" count="1">
            <x v="80"/>
          </reference>
        </references>
      </pivotArea>
    </format>
    <format dxfId="83">
      <pivotArea dataOnly="0" labelOnly="1" fieldPosition="0">
        <references count="4">
          <reference field="3" count="1" selected="0">
            <x v="2"/>
          </reference>
          <reference field="4" count="1" selected="0">
            <x v="0"/>
          </reference>
          <reference field="5" count="1" selected="0">
            <x v="60"/>
          </reference>
          <reference field="6" count="1">
            <x v="86"/>
          </reference>
        </references>
      </pivotArea>
    </format>
    <format dxfId="82">
      <pivotArea dataOnly="0" labelOnly="1" fieldPosition="0">
        <references count="4">
          <reference field="3" count="1" selected="0">
            <x v="2"/>
          </reference>
          <reference field="4" count="1" selected="0">
            <x v="0"/>
          </reference>
          <reference field="5" count="1" selected="0">
            <x v="62"/>
          </reference>
          <reference field="6" count="1">
            <x v="87"/>
          </reference>
        </references>
      </pivotArea>
    </format>
    <format dxfId="81">
      <pivotArea dataOnly="0" labelOnly="1" fieldPosition="0">
        <references count="4">
          <reference field="3" count="1" selected="0">
            <x v="2"/>
          </reference>
          <reference field="4" count="1" selected="0">
            <x v="0"/>
          </reference>
          <reference field="5" count="1" selected="0">
            <x v="63"/>
          </reference>
          <reference field="6" count="1">
            <x v="88"/>
          </reference>
        </references>
      </pivotArea>
    </format>
    <format dxfId="80">
      <pivotArea dataOnly="0" labelOnly="1" fieldPosition="0">
        <references count="4">
          <reference field="3" count="1" selected="0">
            <x v="2"/>
          </reference>
          <reference field="4" count="1" selected="0">
            <x v="0"/>
          </reference>
          <reference field="5" count="1" selected="0">
            <x v="65"/>
          </reference>
          <reference field="6" count="1">
            <x v="90"/>
          </reference>
        </references>
      </pivotArea>
    </format>
    <format dxfId="79">
      <pivotArea dataOnly="0" labelOnly="1" fieldPosition="0">
        <references count="4">
          <reference field="3" count="1" selected="0">
            <x v="2"/>
          </reference>
          <reference field="4" count="1" selected="0">
            <x v="0"/>
          </reference>
          <reference field="5" count="1" selected="0">
            <x v="66"/>
          </reference>
          <reference field="6" count="1">
            <x v="91"/>
          </reference>
        </references>
      </pivotArea>
    </format>
    <format dxfId="78">
      <pivotArea dataOnly="0" labelOnly="1" fieldPosition="0">
        <references count="4">
          <reference field="3" count="1" selected="0">
            <x v="2"/>
          </reference>
          <reference field="4" count="1" selected="0">
            <x v="0"/>
          </reference>
          <reference field="5" count="1" selected="0">
            <x v="73"/>
          </reference>
          <reference field="6" count="1">
            <x v="100"/>
          </reference>
        </references>
      </pivotArea>
    </format>
    <format dxfId="77">
      <pivotArea dataOnly="0" labelOnly="1" fieldPosition="0">
        <references count="4">
          <reference field="3" count="1" selected="0">
            <x v="2"/>
          </reference>
          <reference field="4" count="1" selected="0">
            <x v="3"/>
          </reference>
          <reference field="5" count="1" selected="0">
            <x v="5"/>
          </reference>
          <reference field="6" count="1">
            <x v="17"/>
          </reference>
        </references>
      </pivotArea>
    </format>
    <format dxfId="76">
      <pivotArea dataOnly="0" labelOnly="1" fieldPosition="0">
        <references count="4">
          <reference field="3" count="1" selected="0">
            <x v="2"/>
          </reference>
          <reference field="4" count="1" selected="0">
            <x v="3"/>
          </reference>
          <reference field="5" count="1" selected="0">
            <x v="67"/>
          </reference>
          <reference field="6" count="1">
            <x v="93"/>
          </reference>
        </references>
      </pivotArea>
    </format>
    <format dxfId="75">
      <pivotArea dataOnly="0" labelOnly="1" fieldPosition="0">
        <references count="4">
          <reference field="3" count="1" selected="0">
            <x v="2"/>
          </reference>
          <reference field="4" count="1" selected="0">
            <x v="5"/>
          </reference>
          <reference field="5" count="1" selected="0">
            <x v="35"/>
          </reference>
          <reference field="6" count="1">
            <x v="57"/>
          </reference>
        </references>
      </pivotArea>
    </format>
    <format dxfId="74">
      <pivotArea dataOnly="0" labelOnly="1" fieldPosition="0">
        <references count="4">
          <reference field="3" count="1" selected="0">
            <x v="2"/>
          </reference>
          <reference field="4" count="1" selected="0">
            <x v="9"/>
          </reference>
          <reference field="5" count="1" selected="0">
            <x v="4"/>
          </reference>
          <reference field="6" count="1">
            <x v="16"/>
          </reference>
        </references>
      </pivotArea>
    </format>
    <format dxfId="73">
      <pivotArea dataOnly="0" labelOnly="1" fieldPosition="0">
        <references count="4">
          <reference field="3" count="1" selected="0">
            <x v="2"/>
          </reference>
          <reference field="4" count="1" selected="0">
            <x v="9"/>
          </reference>
          <reference field="5" count="1" selected="0">
            <x v="7"/>
          </reference>
          <reference field="6" count="1">
            <x v="21"/>
          </reference>
        </references>
      </pivotArea>
    </format>
    <format dxfId="72">
      <pivotArea dataOnly="0" labelOnly="1" fieldPosition="0">
        <references count="4">
          <reference field="3" count="1" selected="0">
            <x v="2"/>
          </reference>
          <reference field="4" count="1" selected="0">
            <x v="9"/>
          </reference>
          <reference field="5" count="1" selected="0">
            <x v="8"/>
          </reference>
          <reference field="6" count="1">
            <x v="24"/>
          </reference>
        </references>
      </pivotArea>
    </format>
    <format dxfId="71">
      <pivotArea dataOnly="0" labelOnly="1" fieldPosition="0">
        <references count="4">
          <reference field="3" count="1" selected="0">
            <x v="2"/>
          </reference>
          <reference field="4" count="1" selected="0">
            <x v="9"/>
          </reference>
          <reference field="5" count="1" selected="0">
            <x v="9"/>
          </reference>
          <reference field="6" count="1">
            <x v="25"/>
          </reference>
        </references>
      </pivotArea>
    </format>
    <format dxfId="70">
      <pivotArea dataOnly="0" labelOnly="1" fieldPosition="0">
        <references count="4">
          <reference field="3" count="1" selected="0">
            <x v="2"/>
          </reference>
          <reference field="4" count="1" selected="0">
            <x v="9"/>
          </reference>
          <reference field="5" count="1" selected="0">
            <x v="10"/>
          </reference>
          <reference field="6" count="1">
            <x v="26"/>
          </reference>
        </references>
      </pivotArea>
    </format>
    <format dxfId="69">
      <pivotArea dataOnly="0" labelOnly="1" fieldPosition="0">
        <references count="4">
          <reference field="3" count="1" selected="0">
            <x v="2"/>
          </reference>
          <reference field="4" count="1" selected="0">
            <x v="9"/>
          </reference>
          <reference field="5" count="1" selected="0">
            <x v="11"/>
          </reference>
          <reference field="6" count="1">
            <x v="27"/>
          </reference>
        </references>
      </pivotArea>
    </format>
    <format dxfId="68">
      <pivotArea dataOnly="0" labelOnly="1" fieldPosition="0">
        <references count="4">
          <reference field="3" count="1" selected="0">
            <x v="2"/>
          </reference>
          <reference field="4" count="1" selected="0">
            <x v="9"/>
          </reference>
          <reference field="5" count="1" selected="0">
            <x v="12"/>
          </reference>
          <reference field="6" count="1">
            <x v="28"/>
          </reference>
        </references>
      </pivotArea>
    </format>
    <format dxfId="67">
      <pivotArea dataOnly="0" labelOnly="1" fieldPosition="0">
        <references count="4">
          <reference field="3" count="1" selected="0">
            <x v="2"/>
          </reference>
          <reference field="4" count="1" selected="0">
            <x v="9"/>
          </reference>
          <reference field="5" count="1" selected="0">
            <x v="13"/>
          </reference>
          <reference field="6" count="1">
            <x v="29"/>
          </reference>
        </references>
      </pivotArea>
    </format>
    <format dxfId="66">
      <pivotArea dataOnly="0" labelOnly="1" fieldPosition="0">
        <references count="4">
          <reference field="3" count="1" selected="0">
            <x v="2"/>
          </reference>
          <reference field="4" count="1" selected="0">
            <x v="9"/>
          </reference>
          <reference field="5" count="1" selected="0">
            <x v="14"/>
          </reference>
          <reference field="6" count="1">
            <x v="30"/>
          </reference>
        </references>
      </pivotArea>
    </format>
    <format dxfId="65">
      <pivotArea dataOnly="0" labelOnly="1" fieldPosition="0">
        <references count="4">
          <reference field="3" count="1" selected="0">
            <x v="2"/>
          </reference>
          <reference field="4" count="1" selected="0">
            <x v="9"/>
          </reference>
          <reference field="5" count="1" selected="0">
            <x v="15"/>
          </reference>
          <reference field="6" count="1">
            <x v="31"/>
          </reference>
        </references>
      </pivotArea>
    </format>
    <format dxfId="64">
      <pivotArea dataOnly="0" labelOnly="1" fieldPosition="0">
        <references count="4">
          <reference field="3" count="1" selected="0">
            <x v="2"/>
          </reference>
          <reference field="4" count="1" selected="0">
            <x v="9"/>
          </reference>
          <reference field="5" count="1" selected="0">
            <x v="16"/>
          </reference>
          <reference field="6" count="1">
            <x v="32"/>
          </reference>
        </references>
      </pivotArea>
    </format>
    <format dxfId="63">
      <pivotArea dataOnly="0" labelOnly="1" fieldPosition="0">
        <references count="4">
          <reference field="3" count="1" selected="0">
            <x v="2"/>
          </reference>
          <reference field="4" count="1" selected="0">
            <x v="9"/>
          </reference>
          <reference field="5" count="1" selected="0">
            <x v="17"/>
          </reference>
          <reference field="6" count="1">
            <x v="33"/>
          </reference>
        </references>
      </pivotArea>
    </format>
    <format dxfId="62">
      <pivotArea dataOnly="0" labelOnly="1" fieldPosition="0">
        <references count="4">
          <reference field="3" count="1" selected="0">
            <x v="2"/>
          </reference>
          <reference field="4" count="1" selected="0">
            <x v="9"/>
          </reference>
          <reference field="5" count="1" selected="0">
            <x v="18"/>
          </reference>
          <reference field="6" count="1">
            <x v="34"/>
          </reference>
        </references>
      </pivotArea>
    </format>
    <format dxfId="61">
      <pivotArea dataOnly="0" labelOnly="1" fieldPosition="0">
        <references count="4">
          <reference field="3" count="1" selected="0">
            <x v="2"/>
          </reference>
          <reference field="4" count="1" selected="0">
            <x v="9"/>
          </reference>
          <reference field="5" count="1" selected="0">
            <x v="22"/>
          </reference>
          <reference field="6" count="1">
            <x v="39"/>
          </reference>
        </references>
      </pivotArea>
    </format>
    <format dxfId="60">
      <pivotArea dataOnly="0" labelOnly="1" fieldPosition="0">
        <references count="4">
          <reference field="3" count="1" selected="0">
            <x v="2"/>
          </reference>
          <reference field="4" count="1" selected="0">
            <x v="9"/>
          </reference>
          <reference field="5" count="1" selected="0">
            <x v="23"/>
          </reference>
          <reference field="6" count="1">
            <x v="40"/>
          </reference>
        </references>
      </pivotArea>
    </format>
    <format dxfId="59">
      <pivotArea dataOnly="0" labelOnly="1" fieldPosition="0">
        <references count="4">
          <reference field="3" count="1" selected="0">
            <x v="2"/>
          </reference>
          <reference field="4" count="1" selected="0">
            <x v="9"/>
          </reference>
          <reference field="5" count="1" selected="0">
            <x v="24"/>
          </reference>
          <reference field="6" count="1">
            <x v="41"/>
          </reference>
        </references>
      </pivotArea>
    </format>
    <format dxfId="58">
      <pivotArea dataOnly="0" labelOnly="1" fieldPosition="0">
        <references count="4">
          <reference field="3" count="1" selected="0">
            <x v="2"/>
          </reference>
          <reference field="4" count="1" selected="0">
            <x v="9"/>
          </reference>
          <reference field="5" count="1" selected="0">
            <x v="28"/>
          </reference>
          <reference field="6" count="1">
            <x v="49"/>
          </reference>
        </references>
      </pivotArea>
    </format>
    <format dxfId="57">
      <pivotArea dataOnly="0" labelOnly="1" fieldPosition="0">
        <references count="4">
          <reference field="3" count="1" selected="0">
            <x v="2"/>
          </reference>
          <reference field="4" count="1" selected="0">
            <x v="9"/>
          </reference>
          <reference field="5" count="1" selected="0">
            <x v="29"/>
          </reference>
          <reference field="6" count="1">
            <x v="50"/>
          </reference>
        </references>
      </pivotArea>
    </format>
    <format dxfId="56">
      <pivotArea dataOnly="0" labelOnly="1" fieldPosition="0">
        <references count="4">
          <reference field="3" count="1" selected="0">
            <x v="2"/>
          </reference>
          <reference field="4" count="1" selected="0">
            <x v="9"/>
          </reference>
          <reference field="5" count="1" selected="0">
            <x v="30"/>
          </reference>
          <reference field="6" count="1">
            <x v="51"/>
          </reference>
        </references>
      </pivotArea>
    </format>
    <format dxfId="55">
      <pivotArea dataOnly="0" labelOnly="1" fieldPosition="0">
        <references count="4">
          <reference field="3" count="1" selected="0">
            <x v="2"/>
          </reference>
          <reference field="4" count="1" selected="0">
            <x v="9"/>
          </reference>
          <reference field="5" count="1" selected="0">
            <x v="31"/>
          </reference>
          <reference field="6" count="1">
            <x v="52"/>
          </reference>
        </references>
      </pivotArea>
    </format>
    <format dxfId="54">
      <pivotArea dataOnly="0" labelOnly="1" fieldPosition="0">
        <references count="4">
          <reference field="3" count="1" selected="0">
            <x v="2"/>
          </reference>
          <reference field="4" count="1" selected="0">
            <x v="9"/>
          </reference>
          <reference field="5" count="1" selected="0">
            <x v="33"/>
          </reference>
          <reference field="6" count="1">
            <x v="55"/>
          </reference>
        </references>
      </pivotArea>
    </format>
    <format dxfId="53">
      <pivotArea dataOnly="0" labelOnly="1" fieldPosition="0">
        <references count="4">
          <reference field="3" count="1" selected="0">
            <x v="2"/>
          </reference>
          <reference field="4" count="1" selected="0">
            <x v="9"/>
          </reference>
          <reference field="5" count="1" selected="0">
            <x v="34"/>
          </reference>
          <reference field="6" count="1">
            <x v="56"/>
          </reference>
        </references>
      </pivotArea>
    </format>
    <format dxfId="52">
      <pivotArea dataOnly="0" labelOnly="1" fieldPosition="0">
        <references count="4">
          <reference field="3" count="1" selected="0">
            <x v="2"/>
          </reference>
          <reference field="4" count="1" selected="0">
            <x v="9"/>
          </reference>
          <reference field="5" count="1" selected="0">
            <x v="44"/>
          </reference>
          <reference field="6" count="1">
            <x v="65"/>
          </reference>
        </references>
      </pivotArea>
    </format>
    <format dxfId="51">
      <pivotArea dataOnly="0" labelOnly="1" fieldPosition="0">
        <references count="4">
          <reference field="3" count="1" selected="0">
            <x v="2"/>
          </reference>
          <reference field="4" count="1" selected="0">
            <x v="9"/>
          </reference>
          <reference field="5" count="1" selected="0">
            <x v="46"/>
          </reference>
          <reference field="6" count="1">
            <x v="67"/>
          </reference>
        </references>
      </pivotArea>
    </format>
    <format dxfId="50">
      <pivotArea dataOnly="0" labelOnly="1" fieldPosition="0">
        <references count="4">
          <reference field="3" count="1" selected="0">
            <x v="2"/>
          </reference>
          <reference field="4" count="1" selected="0">
            <x v="9"/>
          </reference>
          <reference field="5" count="1" selected="0">
            <x v="47"/>
          </reference>
          <reference field="6" count="2">
            <x v="48"/>
            <x v="55"/>
          </reference>
        </references>
      </pivotArea>
    </format>
    <format dxfId="49">
      <pivotArea dataOnly="0" labelOnly="1" fieldPosition="0">
        <references count="4">
          <reference field="3" count="1" selected="0">
            <x v="2"/>
          </reference>
          <reference field="4" count="1" selected="0">
            <x v="9"/>
          </reference>
          <reference field="5" count="1" selected="0">
            <x v="49"/>
          </reference>
          <reference field="6" count="1">
            <x v="76"/>
          </reference>
        </references>
      </pivotArea>
    </format>
    <format dxfId="48">
      <pivotArea dataOnly="0" labelOnly="1" fieldPosition="0">
        <references count="4">
          <reference field="3" count="1" selected="0">
            <x v="2"/>
          </reference>
          <reference field="4" count="1" selected="0">
            <x v="9"/>
          </reference>
          <reference field="5" count="1" selected="0">
            <x v="50"/>
          </reference>
          <reference field="6" count="1">
            <x v="77"/>
          </reference>
        </references>
      </pivotArea>
    </format>
    <format dxfId="47">
      <pivotArea dataOnly="0" labelOnly="1" fieldPosition="0">
        <references count="4">
          <reference field="3" count="1" selected="0">
            <x v="2"/>
          </reference>
          <reference field="4" count="1" selected="0">
            <x v="9"/>
          </reference>
          <reference field="5" count="1" selected="0">
            <x v="52"/>
          </reference>
          <reference field="6" count="1">
            <x v="48"/>
          </reference>
        </references>
      </pivotArea>
    </format>
    <format dxfId="46">
      <pivotArea dataOnly="0" labelOnly="1" fieldPosition="0">
        <references count="4">
          <reference field="3" count="1" selected="0">
            <x v="2"/>
          </reference>
          <reference field="4" count="1" selected="0">
            <x v="9"/>
          </reference>
          <reference field="5" count="1" selected="0">
            <x v="53"/>
          </reference>
          <reference field="6" count="1">
            <x v="54"/>
          </reference>
        </references>
      </pivotArea>
    </format>
    <format dxfId="45">
      <pivotArea dataOnly="0" labelOnly="1" fieldPosition="0">
        <references count="4">
          <reference field="3" count="1" selected="0">
            <x v="2"/>
          </reference>
          <reference field="4" count="1" selected="0">
            <x v="9"/>
          </reference>
          <reference field="5" count="1" selected="0">
            <x v="54"/>
          </reference>
          <reference field="6" count="1">
            <x v="68"/>
          </reference>
        </references>
      </pivotArea>
    </format>
    <format dxfId="44">
      <pivotArea dataOnly="0" labelOnly="1" fieldPosition="0">
        <references count="4">
          <reference field="3" count="1" selected="0">
            <x v="2"/>
          </reference>
          <reference field="4" count="1" selected="0">
            <x v="9"/>
          </reference>
          <reference field="5" count="1" selected="0">
            <x v="55"/>
          </reference>
          <reference field="6" count="2">
            <x v="80"/>
            <x v="81"/>
          </reference>
        </references>
      </pivotArea>
    </format>
    <format dxfId="43">
      <pivotArea dataOnly="0" labelOnly="1" fieldPosition="0">
        <references count="4">
          <reference field="3" count="1" selected="0">
            <x v="2"/>
          </reference>
          <reference field="4" count="1" selected="0">
            <x v="9"/>
          </reference>
          <reference field="5" count="1" selected="0">
            <x v="56"/>
          </reference>
          <reference field="6" count="1">
            <x v="81"/>
          </reference>
        </references>
      </pivotArea>
    </format>
    <format dxfId="42">
      <pivotArea dataOnly="0" labelOnly="1" fieldPosition="0">
        <references count="4">
          <reference field="3" count="1" selected="0">
            <x v="2"/>
          </reference>
          <reference field="4" count="1" selected="0">
            <x v="9"/>
          </reference>
          <reference field="5" count="1" selected="0">
            <x v="57"/>
          </reference>
          <reference field="6" count="1">
            <x v="82"/>
          </reference>
        </references>
      </pivotArea>
    </format>
    <format dxfId="41">
      <pivotArea dataOnly="0" labelOnly="1" fieldPosition="0">
        <references count="4">
          <reference field="3" count="1" selected="0">
            <x v="2"/>
          </reference>
          <reference field="4" count="1" selected="0">
            <x v="9"/>
          </reference>
          <reference field="5" count="1" selected="0">
            <x v="59"/>
          </reference>
          <reference field="6" count="1">
            <x v="85"/>
          </reference>
        </references>
      </pivotArea>
    </format>
    <format dxfId="40">
      <pivotArea dataOnly="0" labelOnly="1" fieldPosition="0">
        <references count="4">
          <reference field="3" count="1" selected="0">
            <x v="2"/>
          </reference>
          <reference field="4" count="1" selected="0">
            <x v="9"/>
          </reference>
          <reference field="5" count="1" selected="0">
            <x v="68"/>
          </reference>
          <reference field="6" count="1">
            <x v="94"/>
          </reference>
        </references>
      </pivotArea>
    </format>
    <format dxfId="39">
      <pivotArea dataOnly="0" labelOnly="1" fieldPosition="0">
        <references count="4">
          <reference field="3" count="1" selected="0">
            <x v="2"/>
          </reference>
          <reference field="4" count="1" selected="0">
            <x v="9"/>
          </reference>
          <reference field="5" count="1" selected="0">
            <x v="69"/>
          </reference>
          <reference field="6" count="1">
            <x v="95"/>
          </reference>
        </references>
      </pivotArea>
    </format>
    <format dxfId="38">
      <pivotArea dataOnly="0" labelOnly="1" fieldPosition="0">
        <references count="4">
          <reference field="3" count="1" selected="0">
            <x v="2"/>
          </reference>
          <reference field="4" count="1" selected="0">
            <x v="9"/>
          </reference>
          <reference field="5" count="1" selected="0">
            <x v="70"/>
          </reference>
          <reference field="6" count="1">
            <x v="96"/>
          </reference>
        </references>
      </pivotArea>
    </format>
    <format dxfId="37">
      <pivotArea dataOnly="0" labelOnly="1" fieldPosition="0">
        <references count="4">
          <reference field="3" count="1" selected="0">
            <x v="2"/>
          </reference>
          <reference field="4" count="1" selected="0">
            <x v="9"/>
          </reference>
          <reference field="5" count="1" selected="0">
            <x v="71"/>
          </reference>
          <reference field="6" count="1">
            <x v="97"/>
          </reference>
        </references>
      </pivotArea>
    </format>
    <format dxfId="36">
      <pivotArea dataOnly="0" labelOnly="1" fieldPosition="0">
        <references count="4">
          <reference field="3" count="1" selected="0">
            <x v="2"/>
          </reference>
          <reference field="4" count="1" selected="0">
            <x v="9"/>
          </reference>
          <reference field="5" count="1" selected="0">
            <x v="72"/>
          </reference>
          <reference field="6" count="1">
            <x v="98"/>
          </reference>
        </references>
      </pivotArea>
    </format>
    <format dxfId="35">
      <pivotArea dataOnly="0" labelOnly="1" fieldPosition="0">
        <references count="4">
          <reference field="3" count="1" selected="0">
            <x v="2"/>
          </reference>
          <reference field="4" count="1" selected="0">
            <x v="9"/>
          </reference>
          <reference field="5" count="1" selected="0">
            <x v="74"/>
          </reference>
          <reference field="6" count="1">
            <x v="101"/>
          </reference>
        </references>
      </pivotArea>
    </format>
    <format dxfId="34">
      <pivotArea dataOnly="0" labelOnly="1" fieldPosition="0">
        <references count="4">
          <reference field="3" count="1" selected="0">
            <x v="2"/>
          </reference>
          <reference field="4" count="1" selected="0">
            <x v="9"/>
          </reference>
          <reference field="5" count="1" selected="0">
            <x v="75"/>
          </reference>
          <reference field="6" count="1">
            <x v="102"/>
          </reference>
        </references>
      </pivotArea>
    </format>
    <format dxfId="33">
      <pivotArea dataOnly="0" labelOnly="1" fieldPosition="0">
        <references count="4">
          <reference field="3" count="1" selected="0">
            <x v="2"/>
          </reference>
          <reference field="4" count="1" selected="0">
            <x v="9"/>
          </reference>
          <reference field="5" count="1" selected="0">
            <x v="76"/>
          </reference>
          <reference field="6" count="1">
            <x v="103"/>
          </reference>
        </references>
      </pivotArea>
    </format>
    <format dxfId="32">
      <pivotArea dataOnly="0" labelOnly="1" fieldPosition="0">
        <references count="4">
          <reference field="3" count="1" selected="0">
            <x v="2"/>
          </reference>
          <reference field="4" count="1" selected="0">
            <x v="9"/>
          </reference>
          <reference field="5" count="1" selected="0">
            <x v="77"/>
          </reference>
          <reference field="6" count="1">
            <x v="104"/>
          </reference>
        </references>
      </pivotArea>
    </format>
    <format dxfId="31">
      <pivotArea dataOnly="0" labelOnly="1" fieldPosition="0">
        <references count="4">
          <reference field="3" count="1" selected="0">
            <x v="2"/>
          </reference>
          <reference field="4" count="1" selected="0">
            <x v="9"/>
          </reference>
          <reference field="5" count="1" selected="0">
            <x v="78"/>
          </reference>
          <reference field="6" count="1">
            <x v="105"/>
          </reference>
        </references>
      </pivotArea>
    </format>
    <format dxfId="30">
      <pivotArea dataOnly="0" labelOnly="1" fieldPosition="0">
        <references count="4">
          <reference field="3" count="1" selected="0">
            <x v="2"/>
          </reference>
          <reference field="4" count="1" selected="0">
            <x v="9"/>
          </reference>
          <reference field="5" count="1" selected="0">
            <x v="79"/>
          </reference>
          <reference field="6" count="1">
            <x v="106"/>
          </reference>
        </references>
      </pivotArea>
    </format>
    <format dxfId="29">
      <pivotArea dataOnly="0" labelOnly="1" fieldPosition="0">
        <references count="4">
          <reference field="3" count="1" selected="0">
            <x v="2"/>
          </reference>
          <reference field="4" count="1" selected="0">
            <x v="9"/>
          </reference>
          <reference field="5" count="1" selected="0">
            <x v="80"/>
          </reference>
          <reference field="6" count="1">
            <x v="107"/>
          </reference>
        </references>
      </pivotArea>
    </format>
    <format dxfId="28">
      <pivotArea dataOnly="0" labelOnly="1" fieldPosition="0">
        <references count="4">
          <reference field="3" count="1" selected="0">
            <x v="2"/>
          </reference>
          <reference field="4" count="1" selected="0">
            <x v="9"/>
          </reference>
          <reference field="5" count="1" selected="0">
            <x v="81"/>
          </reference>
          <reference field="6" count="1">
            <x v="108"/>
          </reference>
        </references>
      </pivotArea>
    </format>
    <format dxfId="27">
      <pivotArea dataOnly="0" labelOnly="1" fieldPosition="0">
        <references count="4">
          <reference field="3" count="1" selected="0">
            <x v="2"/>
          </reference>
          <reference field="4" count="1" selected="0">
            <x v="9"/>
          </reference>
          <reference field="5" count="1" selected="0">
            <x v="82"/>
          </reference>
          <reference field="6" count="1">
            <x v="109"/>
          </reference>
        </references>
      </pivotArea>
    </format>
    <format dxfId="26">
      <pivotArea dataOnly="0" labelOnly="1" fieldPosition="0">
        <references count="4">
          <reference field="3" count="1" selected="0">
            <x v="2"/>
          </reference>
          <reference field="4" count="1" selected="0">
            <x v="9"/>
          </reference>
          <reference field="5" count="1" selected="0">
            <x v="83"/>
          </reference>
          <reference field="6" count="1">
            <x v="110"/>
          </reference>
        </references>
      </pivotArea>
    </format>
    <format dxfId="25">
      <pivotArea dataOnly="0" labelOnly="1" fieldPosition="0">
        <references count="4">
          <reference field="3" count="1" selected="0">
            <x v="2"/>
          </reference>
          <reference field="4" count="1" selected="0">
            <x v="10"/>
          </reference>
          <reference field="5" count="1" selected="0">
            <x v="26"/>
          </reference>
          <reference field="6" count="1">
            <x v="44"/>
          </reference>
        </references>
      </pivotArea>
    </format>
    <format dxfId="24">
      <pivotArea dataOnly="0" labelOnly="1" fieldPosition="0">
        <references count="4">
          <reference field="3" count="1" selected="0">
            <x v="2"/>
          </reference>
          <reference field="4" count="1" selected="0">
            <x v="10"/>
          </reference>
          <reference field="5" count="1" selected="0">
            <x v="32"/>
          </reference>
          <reference field="6" count="1">
            <x v="53"/>
          </reference>
        </references>
      </pivotArea>
    </format>
    <format dxfId="23">
      <pivotArea dataOnly="0" labelOnly="1" fieldPosition="0">
        <references count="4">
          <reference field="3" count="1" selected="0">
            <x v="2"/>
          </reference>
          <reference field="4" count="1" selected="0">
            <x v="10"/>
          </reference>
          <reference field="5" count="1" selected="0">
            <x v="48"/>
          </reference>
          <reference field="6" count="1">
            <x v="70"/>
          </reference>
        </references>
      </pivotArea>
    </format>
    <format dxfId="22">
      <pivotArea dataOnly="0" labelOnly="1" fieldPosition="0">
        <references count="4">
          <reference field="3" count="1" selected="0">
            <x v="2"/>
          </reference>
          <reference field="4" count="1" selected="0">
            <x v="10"/>
          </reference>
          <reference field="5" count="1" selected="0">
            <x v="64"/>
          </reference>
          <reference field="6" count="1">
            <x v="89"/>
          </reference>
        </references>
      </pivotArea>
    </format>
    <format dxfId="21">
      <pivotArea dataOnly="0" labelOnly="1" fieldPosition="0">
        <references count="4">
          <reference field="3" count="1" selected="0">
            <x v="2"/>
          </reference>
          <reference field="4" count="1" selected="0">
            <x v="11"/>
          </reference>
          <reference field="5" count="1" selected="0">
            <x v="36"/>
          </reference>
          <reference field="6" count="1">
            <x v="58"/>
          </reference>
        </references>
      </pivotArea>
    </format>
    <format dxfId="2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C00-000001000000}" name="PivotTable5" cacheId="1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B81" firstHeaderRow="1" firstDataRow="1" firstDataCol="1"/>
  <pivotFields count="16">
    <pivotField showAll="0"/>
    <pivotField showAll="0"/>
    <pivotField showAll="0"/>
    <pivotField showAll="0"/>
    <pivotField axis="axisRow" showAll="0">
      <items count="4">
        <item x="0"/>
        <item x="1"/>
        <item x="2"/>
        <item t="default"/>
      </items>
    </pivotField>
    <pivotField name="FSL4" axis="axisRow" showAll="0">
      <items count="13">
        <item x="8"/>
        <item sd="0" x="0"/>
        <item sd="0" x="3"/>
        <item x="10"/>
        <item x="5"/>
        <item x="7"/>
        <item x="1"/>
        <item x="2"/>
        <item x="4"/>
        <item x="9"/>
        <item x="6"/>
        <item x="11"/>
        <item t="default"/>
      </items>
    </pivotField>
    <pivotField axis="axisRow" showAll="0">
      <items count="66">
        <item x="5"/>
        <item x="25"/>
        <item x="21"/>
        <item x="23"/>
        <item x="0"/>
        <item x="24"/>
        <item x="12"/>
        <item x="16"/>
        <item x="8"/>
        <item x="62"/>
        <item x="63"/>
        <item x="64"/>
        <item x="30"/>
        <item x="31"/>
        <item x="32"/>
        <item x="33"/>
        <item x="34"/>
        <item x="35"/>
        <item x="38"/>
        <item x="39"/>
        <item x="40"/>
        <item x="41"/>
        <item x="42"/>
        <item x="43"/>
        <item x="44"/>
        <item x="37"/>
        <item x="36"/>
        <item x="49"/>
        <item x="45"/>
        <item x="46"/>
        <item x="47"/>
        <item x="53"/>
        <item x="50"/>
        <item x="51"/>
        <item x="52"/>
        <item x="54"/>
        <item x="55"/>
        <item x="56"/>
        <item x="57"/>
        <item x="58"/>
        <item x="59"/>
        <item x="60"/>
        <item x="48"/>
        <item x="9"/>
        <item x="10"/>
        <item x="26"/>
        <item x="4"/>
        <item x="2"/>
        <item x="20"/>
        <item x="7"/>
        <item x="1"/>
        <item x="27"/>
        <item x="19"/>
        <item x="28"/>
        <item x="17"/>
        <item x="11"/>
        <item x="22"/>
        <item x="61"/>
        <item x="29"/>
        <item x="6"/>
        <item x="18"/>
        <item x="3"/>
        <item x="13"/>
        <item x="14"/>
        <item x="15"/>
        <item t="default"/>
      </items>
    </pivotField>
    <pivotField showAll="0" defaultSubtotal="0"/>
    <pivotField showAll="0"/>
    <pivotField showAll="0"/>
    <pivotField showAll="0"/>
    <pivotField numFmtId="180" showAll="0"/>
    <pivotField dataField="1" numFmtId="180" showAll="0"/>
    <pivotField numFmtId="180" showAll="0"/>
    <pivotField numFmtId="180" showAll="0"/>
    <pivotField showAll="0"/>
  </pivotFields>
  <rowFields count="3">
    <field x="4"/>
    <field x="5"/>
    <field x="6"/>
  </rowFields>
  <rowItems count="78">
    <i>
      <x/>
    </i>
    <i r="1">
      <x v="1"/>
    </i>
    <i r="1">
      <x v="2"/>
    </i>
    <i r="1">
      <x v="4"/>
    </i>
    <i r="2">
      <x v="8"/>
    </i>
    <i r="1">
      <x v="7"/>
    </i>
    <i r="2">
      <x v="46"/>
    </i>
    <i r="2">
      <x v="61"/>
    </i>
    <i r="1">
      <x v="8"/>
    </i>
    <i r="2">
      <x v="49"/>
    </i>
    <i>
      <x v="1"/>
    </i>
    <i r="1">
      <x v="6"/>
    </i>
    <i r="2">
      <x v="47"/>
    </i>
    <i>
      <x v="2"/>
    </i>
    <i r="1">
      <x/>
    </i>
    <i r="2">
      <x v="1"/>
    </i>
    <i r="2">
      <x v="2"/>
    </i>
    <i r="2">
      <x v="5"/>
    </i>
    <i r="2">
      <x v="6"/>
    </i>
    <i r="2">
      <x v="7"/>
    </i>
    <i r="2">
      <x v="48"/>
    </i>
    <i r="2">
      <x v="51"/>
    </i>
    <i r="2">
      <x v="52"/>
    </i>
    <i r="2">
      <x v="54"/>
    </i>
    <i r="2">
      <x v="55"/>
    </i>
    <i r="2">
      <x v="56"/>
    </i>
    <i r="2">
      <x v="60"/>
    </i>
    <i r="2">
      <x v="62"/>
    </i>
    <i r="2">
      <x v="63"/>
    </i>
    <i r="2">
      <x v="64"/>
    </i>
    <i r="1">
      <x v="3"/>
    </i>
    <i r="2">
      <x v="3"/>
    </i>
    <i r="1">
      <x v="5"/>
    </i>
    <i r="2">
      <x v="44"/>
    </i>
    <i r="1">
      <x v="9"/>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53"/>
    </i>
    <i r="2">
      <x v="56"/>
    </i>
    <i r="2">
      <x v="57"/>
    </i>
    <i r="2">
      <x v="58"/>
    </i>
    <i r="1">
      <x v="10"/>
    </i>
    <i r="2">
      <x v="43"/>
    </i>
    <i r="1">
      <x v="11"/>
    </i>
    <i r="2">
      <x v="45"/>
    </i>
    <i t="grand">
      <x/>
    </i>
  </rowItems>
  <colItems count="1">
    <i/>
  </colItems>
  <dataFields count="1">
    <dataField name="Sum of Credit3"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D7265B-32D6-439F-A72A-7E42BD9A477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15">
    <pivotField axis="axisRow"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6"/>
        <item x="234"/>
        <item x="235"/>
        <item t="default"/>
      </items>
    </pivotField>
    <pivotField showAll="0"/>
    <pivotField showAll="0"/>
    <pivotField axis="axisRow" showAll="0">
      <items count="4">
        <item sd="0" x="0"/>
        <item sd="0" x="1"/>
        <item sd="0" x="2"/>
        <item t="default"/>
      </items>
    </pivotField>
    <pivotField axis="axisRow" showAll="0">
      <items count="13">
        <item sd="0" x="8"/>
        <item sd="0" x="0"/>
        <item sd="0" x="3"/>
        <item sd="0" x="10"/>
        <item sd="0" x="5"/>
        <item sd="0" x="7"/>
        <item sd="0" x="1"/>
        <item sd="0" x="2"/>
        <item sd="0" x="4"/>
        <item sd="0" x="9"/>
        <item sd="0" x="6"/>
        <item sd="0" x="11"/>
        <item t="default" sd="0"/>
      </items>
    </pivotField>
    <pivotField showAll="0"/>
    <pivotField showAll="0"/>
    <pivotField showAll="0"/>
    <pivotField showAll="0"/>
    <pivotField showAll="0"/>
    <pivotField numFmtId="180" showAll="0"/>
    <pivotField numFmtId="180" showAll="0"/>
    <pivotField dataField="1" numFmtId="180" showAll="0"/>
    <pivotField dataField="1" numFmtId="180" showAll="0"/>
    <pivotField dataField="1" showAll="0"/>
  </pivotFields>
  <rowFields count="3">
    <field x="3"/>
    <field x="4"/>
    <field x="0"/>
  </rowFields>
  <rowItems count="4">
    <i>
      <x/>
    </i>
    <i>
      <x v="1"/>
    </i>
    <i>
      <x v="2"/>
    </i>
    <i t="grand">
      <x/>
    </i>
  </rowItems>
  <colFields count="1">
    <field x="-2"/>
  </colFields>
  <colItems count="3">
    <i>
      <x/>
    </i>
    <i i="1">
      <x v="1"/>
    </i>
    <i i="2">
      <x v="2"/>
    </i>
  </colItems>
  <dataFields count="3">
    <dataField name="DR" fld="12" baseField="0" baseItem="0" numFmtId="180"/>
    <dataField name="CR" fld="13" baseField="0" baseItem="0" numFmtId="180"/>
    <dataField name="Net" fld="14" baseField="0" baseItem="0"/>
  </dataFields>
  <formats count="3">
    <format dxfId="370">
      <pivotArea outline="0" collapsedLevelsAreSubtotals="1" fieldPosition="0"/>
    </format>
    <format dxfId="369">
      <pivotArea dataOnly="0" labelOnly="1" outline="0" fieldPosition="0">
        <references count="1">
          <reference field="4294967294" count="3">
            <x v="0"/>
            <x v="1"/>
            <x v="2"/>
          </reference>
        </references>
      </pivotArea>
    </format>
    <format dxfId="36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000-000002000000}" name="PivotTable8"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D130" firstHeaderRow="0" firstDataRow="1" firstDataCol="1"/>
  <pivotFields count="18">
    <pivotField showAll="0"/>
    <pivotField showAll="0"/>
    <pivotField axis="axisRow" showAll="0">
      <items count="12">
        <item x="8"/>
        <item x="0"/>
        <item x="2"/>
        <item x="10"/>
        <item x="5"/>
        <item x="7"/>
        <item x="1"/>
        <item x="3"/>
        <item x="4"/>
        <item x="9"/>
        <item x="6"/>
        <item t="default"/>
      </items>
    </pivotField>
    <pivotField axis="axisRow" showAll="0">
      <items count="45">
        <item x="6"/>
        <item x="28"/>
        <item x="0"/>
        <item x="25"/>
        <item x="7"/>
        <item x="29"/>
        <item x="14"/>
        <item x="19"/>
        <item x="9"/>
        <item x="18"/>
        <item x="10"/>
        <item x="11"/>
        <item x="5"/>
        <item x="1"/>
        <item x="24"/>
        <item x="8"/>
        <item x="2"/>
        <item x="31"/>
        <item x="30"/>
        <item x="22"/>
        <item x="41"/>
        <item x="12"/>
        <item x="23"/>
        <item x="32"/>
        <item x="20"/>
        <item x="40"/>
        <item x="43"/>
        <item x="39"/>
        <item x="37"/>
        <item x="38"/>
        <item x="42"/>
        <item x="36"/>
        <item x="35"/>
        <item x="33"/>
        <item x="13"/>
        <item x="34"/>
        <item x="27"/>
        <item x="3"/>
        <item x="21"/>
        <item x="4"/>
        <item x="15"/>
        <item x="16"/>
        <item x="26"/>
        <item x="17"/>
        <item t="default"/>
      </items>
    </pivotField>
    <pivotField axis="axisRow" showAll="0">
      <items count="68">
        <item x="27"/>
        <item x="11"/>
        <item x="21"/>
        <item x="15"/>
        <item x="19"/>
        <item x="13"/>
        <item x="17"/>
        <item x="25"/>
        <item x="28"/>
        <item x="23"/>
        <item x="5"/>
        <item x="6"/>
        <item x="51"/>
        <item x="26"/>
        <item x="10"/>
        <item x="0"/>
        <item x="20"/>
        <item x="48"/>
        <item x="22"/>
        <item x="30"/>
        <item x="52"/>
        <item x="14"/>
        <item x="37"/>
        <item x="42"/>
        <item x="65"/>
        <item x="32"/>
        <item x="18"/>
        <item x="41"/>
        <item x="12"/>
        <item x="33"/>
        <item x="34"/>
        <item x="1"/>
        <item x="61"/>
        <item x="31"/>
        <item x="9"/>
        <item x="47"/>
        <item x="54"/>
        <item x="56"/>
        <item x="53"/>
        <item x="45"/>
        <item x="64"/>
        <item x="16"/>
        <item x="29"/>
        <item x="2"/>
        <item x="35"/>
        <item x="3"/>
        <item x="46"/>
        <item x="55"/>
        <item x="43"/>
        <item x="8"/>
        <item x="60"/>
        <item x="63"/>
        <item x="58"/>
        <item x="66"/>
        <item x="62"/>
        <item x="59"/>
        <item x="57"/>
        <item x="36"/>
        <item x="50"/>
        <item x="4"/>
        <item x="7"/>
        <item x="44"/>
        <item x="38"/>
        <item x="39"/>
        <item x="49"/>
        <item x="40"/>
        <item x="24"/>
        <item t="default"/>
      </items>
    </pivotField>
    <pivotField showAll="0" defaultSubtotal="0"/>
    <pivotField showAll="0"/>
    <pivotField showAll="0"/>
    <pivotField numFmtId="166" showAll="0"/>
    <pivotField showAll="0"/>
    <pivotField numFmtId="166" showAll="0"/>
    <pivotField showAll="0"/>
    <pivotField showAll="0"/>
    <pivotField showAll="0"/>
    <pivotField showAll="0"/>
    <pivotField dataField="1" numFmtId="167" showAll="0"/>
    <pivotField dataField="1" numFmtId="167" showAll="0"/>
    <pivotField dataField="1" numFmtId="167" showAll="0"/>
  </pivotFields>
  <rowFields count="3">
    <field x="2"/>
    <field x="3"/>
    <field x="4"/>
  </rowFields>
  <rowItems count="127">
    <i>
      <x/>
    </i>
    <i r="1">
      <x v="3"/>
    </i>
    <i r="2">
      <x v="17"/>
    </i>
    <i r="1">
      <x v="5"/>
    </i>
    <i r="2">
      <x v="20"/>
    </i>
    <i r="1">
      <x v="6"/>
    </i>
    <i r="2">
      <x v="22"/>
    </i>
    <i r="1">
      <x v="7"/>
    </i>
    <i r="2">
      <x v="23"/>
    </i>
    <i r="1">
      <x v="9"/>
    </i>
    <i r="2">
      <x v="27"/>
    </i>
    <i r="1">
      <x v="14"/>
    </i>
    <i r="2">
      <x v="35"/>
    </i>
    <i r="1">
      <x v="17"/>
    </i>
    <i r="2">
      <x v="36"/>
    </i>
    <i r="1">
      <x v="18"/>
    </i>
    <i r="2">
      <x v="38"/>
    </i>
    <i r="1">
      <x v="19"/>
    </i>
    <i r="2">
      <x v="39"/>
    </i>
    <i r="1">
      <x v="20"/>
    </i>
    <i r="2">
      <x v="40"/>
    </i>
    <i r="1">
      <x v="24"/>
    </i>
    <i r="2">
      <x v="48"/>
    </i>
    <i r="1">
      <x v="34"/>
    </i>
    <i r="2">
      <x v="57"/>
    </i>
    <i r="1">
      <x v="38"/>
    </i>
    <i r="2">
      <x v="61"/>
    </i>
    <i r="1">
      <x v="40"/>
    </i>
    <i r="2">
      <x v="62"/>
    </i>
    <i r="1">
      <x v="41"/>
    </i>
    <i r="2">
      <x v="63"/>
    </i>
    <i r="1">
      <x v="42"/>
    </i>
    <i r="2">
      <x v="64"/>
    </i>
    <i r="1">
      <x v="43"/>
    </i>
    <i r="2">
      <x v="65"/>
    </i>
    <i>
      <x v="1"/>
    </i>
    <i r="1">
      <x v="2"/>
    </i>
    <i r="2">
      <x v="15"/>
    </i>
    <i r="1">
      <x v="16"/>
    </i>
    <i r="2">
      <x v="10"/>
    </i>
    <i r="2">
      <x v="11"/>
    </i>
    <i r="2">
      <x v="43"/>
    </i>
    <i r="2">
      <x v="49"/>
    </i>
    <i r="2">
      <x v="59"/>
    </i>
    <i r="2">
      <x v="60"/>
    </i>
    <i>
      <x v="2"/>
    </i>
    <i r="1">
      <x/>
    </i>
    <i r="2">
      <x v="8"/>
    </i>
    <i r="2">
      <x v="42"/>
    </i>
    <i r="1">
      <x v="37"/>
    </i>
    <i r="2">
      <x v="45"/>
    </i>
    <i>
      <x v="3"/>
    </i>
    <i r="1">
      <x v="1"/>
    </i>
    <i r="2">
      <x v="12"/>
    </i>
    <i>
      <x v="4"/>
    </i>
    <i r="1">
      <x v="8"/>
    </i>
    <i r="2">
      <x v="25"/>
    </i>
    <i>
      <x v="5"/>
    </i>
    <i r="1">
      <x v="11"/>
    </i>
    <i r="2">
      <x v="30"/>
    </i>
    <i>
      <x v="6"/>
    </i>
    <i r="1">
      <x v="13"/>
    </i>
    <i r="2">
      <x v="31"/>
    </i>
    <i>
      <x v="7"/>
    </i>
    <i r="1">
      <x v="12"/>
    </i>
    <i r="2">
      <x v="9"/>
    </i>
    <i r="2">
      <x v="18"/>
    </i>
    <i r="1">
      <x v="39"/>
    </i>
    <i r="2">
      <x/>
    </i>
    <i r="2">
      <x v="1"/>
    </i>
    <i r="2">
      <x v="2"/>
    </i>
    <i r="2">
      <x v="3"/>
    </i>
    <i r="2">
      <x v="4"/>
    </i>
    <i r="2">
      <x v="5"/>
    </i>
    <i r="2">
      <x v="6"/>
    </i>
    <i r="2">
      <x v="7"/>
    </i>
    <i r="2">
      <x v="13"/>
    </i>
    <i r="2">
      <x v="14"/>
    </i>
    <i r="2">
      <x v="16"/>
    </i>
    <i r="2">
      <x v="21"/>
    </i>
    <i r="2">
      <x v="26"/>
    </i>
    <i r="2">
      <x v="28"/>
    </i>
    <i r="2">
      <x v="34"/>
    </i>
    <i r="2">
      <x v="41"/>
    </i>
    <i r="2">
      <x v="66"/>
    </i>
    <i>
      <x v="8"/>
    </i>
    <i r="1">
      <x v="4"/>
    </i>
    <i r="2">
      <x v="19"/>
    </i>
    <i r="1">
      <x v="15"/>
    </i>
    <i r="2">
      <x v="33"/>
    </i>
    <i>
      <x v="9"/>
    </i>
    <i r="1">
      <x v="22"/>
    </i>
    <i r="2">
      <x v="46"/>
    </i>
    <i r="1">
      <x v="23"/>
    </i>
    <i r="2">
      <x v="47"/>
    </i>
    <i r="1">
      <x v="25"/>
    </i>
    <i r="2">
      <x v="51"/>
    </i>
    <i r="1">
      <x v="26"/>
    </i>
    <i r="2">
      <x v="53"/>
    </i>
    <i r="1">
      <x v="27"/>
    </i>
    <i r="2">
      <x v="54"/>
    </i>
    <i r="1">
      <x v="28"/>
    </i>
    <i r="2">
      <x v="50"/>
    </i>
    <i r="1">
      <x v="29"/>
    </i>
    <i r="2">
      <x v="32"/>
    </i>
    <i r="1">
      <x v="30"/>
    </i>
    <i r="2">
      <x v="24"/>
    </i>
    <i r="2">
      <x v="57"/>
    </i>
    <i r="1">
      <x v="31"/>
    </i>
    <i r="2">
      <x v="55"/>
    </i>
    <i r="1">
      <x v="32"/>
    </i>
    <i r="2">
      <x v="52"/>
    </i>
    <i r="2">
      <x v="56"/>
    </i>
    <i r="1">
      <x v="33"/>
    </i>
    <i r="2">
      <x v="37"/>
    </i>
    <i r="1">
      <x v="34"/>
    </i>
    <i r="2">
      <x v="57"/>
    </i>
    <i r="1">
      <x v="35"/>
    </i>
    <i r="2">
      <x v="57"/>
    </i>
    <i r="1">
      <x v="36"/>
    </i>
    <i r="2">
      <x v="58"/>
    </i>
    <i>
      <x v="10"/>
    </i>
    <i r="1">
      <x v="10"/>
    </i>
    <i r="2">
      <x v="29"/>
    </i>
    <i r="1">
      <x v="21"/>
    </i>
    <i r="2">
      <x v="44"/>
    </i>
    <i t="grand">
      <x/>
    </i>
  </rowItems>
  <colFields count="1">
    <field x="-2"/>
  </colFields>
  <colItems count="3">
    <i>
      <x/>
    </i>
    <i i="1">
      <x v="1"/>
    </i>
    <i i="2">
      <x v="2"/>
    </i>
  </colItems>
  <dataFields count="3">
    <dataField name="Sum of Debit5" fld="15" baseField="0" baseItem="0"/>
    <dataField name="Sum of Credit5" fld="16" baseField="0" baseItem="0"/>
    <dataField name="Sum of Net Balance" fld="17"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231" totalsRowShown="0">
  <autoFilter ref="A1:S231" xr:uid="{00000000-0009-0000-0100-000001000000}"/>
  <tableColumns count="19">
    <tableColumn id="1" xr3:uid="{00000000-0010-0000-0000-000001000000}" name="Account Code"/>
    <tableColumn id="2" xr3:uid="{00000000-0010-0000-0000-000002000000}" name="Account Description"/>
    <tableColumn id="3" xr3:uid="{00000000-0010-0000-0000-000003000000}" name="Title"/>
    <tableColumn id="4" xr3:uid="{00000000-0010-0000-0000-000004000000}" name="FSL1"/>
    <tableColumn id="5" xr3:uid="{00000000-0010-0000-0000-000005000000}" name="FSL2"/>
    <tableColumn id="6" xr3:uid="{00000000-0010-0000-0000-000006000000}" name="FSL3"/>
    <tableColumn id="7" xr3:uid="{00000000-0010-0000-0000-000007000000}" name="FSL 4"/>
    <tableColumn id="8" xr3:uid="{00000000-0010-0000-0000-000008000000}" name="Cost center"/>
    <tableColumn id="9" xr3:uid="{00000000-0010-0000-0000-000009000000}" name="Debit"/>
    <tableColumn id="10" xr3:uid="{00000000-0010-0000-0000-00000A000000}" name="Credit"/>
    <tableColumn id="11" xr3:uid="{00000000-0010-0000-0000-00000B000000}" name="Debit2"/>
    <tableColumn id="12" xr3:uid="{00000000-0010-0000-0000-00000C000000}" name="Credit2"/>
    <tableColumn id="13" xr3:uid="{00000000-0010-0000-0000-00000D000000}" name="Debit3"/>
    <tableColumn id="14" xr3:uid="{00000000-0010-0000-0000-00000E000000}" name="Credit3"/>
    <tableColumn id="15" xr3:uid="{00000000-0010-0000-0000-00000F000000}" name="Debit4"/>
    <tableColumn id="16" xr3:uid="{00000000-0010-0000-0000-000010000000}" name="Credit4"/>
    <tableColumn id="17" xr3:uid="{00000000-0010-0000-0000-000011000000}" name="Debit5"/>
    <tableColumn id="18" xr3:uid="{00000000-0010-0000-0000-000012000000}" name="Credit5"/>
    <tableColumn id="19" xr3:uid="{00000000-0010-0000-0000-000013000000}" name="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O21" totalsRowShown="0">
  <autoFilter ref="A1:O21" xr:uid="{00000000-0009-0000-0100-000003000000}"/>
  <tableColumns count="15">
    <tableColumn id="1" xr3:uid="{00000000-0010-0000-0100-000001000000}" name="Account Code"/>
    <tableColumn id="2" xr3:uid="{00000000-0010-0000-0100-000002000000}" name="Account Description"/>
    <tableColumn id="3" xr3:uid="{00000000-0010-0000-0100-000003000000}" name="Title"/>
    <tableColumn id="4" xr3:uid="{00000000-0010-0000-0100-000004000000}" name="FSL1"/>
    <tableColumn id="5" xr3:uid="{00000000-0010-0000-0100-000005000000}" name="FSL2"/>
    <tableColumn id="6" xr3:uid="{00000000-0010-0000-0100-000006000000}" name="FSL3"/>
    <tableColumn id="7" xr3:uid="{00000000-0010-0000-0100-000007000000}" name="FSL 4"/>
    <tableColumn id="8" xr3:uid="{00000000-0010-0000-0100-000008000000}" name="Cost center"/>
    <tableColumn id="9" xr3:uid="{00000000-0010-0000-0100-000009000000}" name="Debit"/>
    <tableColumn id="10" xr3:uid="{00000000-0010-0000-0100-00000A000000}" name="Credit"/>
    <tableColumn id="11" xr3:uid="{00000000-0010-0000-0100-00000B000000}" name="Debit2"/>
    <tableColumn id="12" xr3:uid="{00000000-0010-0000-0100-00000C000000}" name="Credit2"/>
    <tableColumn id="13" xr3:uid="{00000000-0010-0000-0100-00000D000000}" name="Debit3"/>
    <tableColumn id="14" xr3:uid="{00000000-0010-0000-0100-00000E000000}" name="Credit3"/>
    <tableColumn id="15" xr3:uid="{00000000-0010-0000-0100-00000F000000}" name="Am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E86428-C779-47C1-8AA3-775EA1AC2C0F}" name="Table4" displayName="Table4" ref="A3:O404" totalsRowShown="0">
  <autoFilter ref="A3:O404" xr:uid="{7AE86428-C779-47C1-8AA3-775EA1AC2C0F}"/>
  <tableColumns count="15">
    <tableColumn id="1" xr3:uid="{D86BC7A6-C61D-4DD9-B762-42A6BDCB61B3}" name="Account Code"/>
    <tableColumn id="2" xr3:uid="{96E709F2-398D-4541-A57C-F21C8747B992}" name="Account Description"/>
    <tableColumn id="3" xr3:uid="{C9C40F9B-704C-404D-90AD-C0FE62D3BA23}" name="Title"/>
    <tableColumn id="4" xr3:uid="{6E3A743C-2ABF-4725-885A-AFFBB61A7F1A}" name="FSL1"/>
    <tableColumn id="5" xr3:uid="{AEBA8B93-3B83-481F-A96F-90B1394CF2EA}" name="FSL2"/>
    <tableColumn id="6" xr3:uid="{70ED3689-702C-4E63-9ECE-B1ACFFBA7169}" name="FSL3"/>
    <tableColumn id="7" xr3:uid="{23CEF1D8-C52E-4899-B22E-136F319A8FD2}" name="FSL 4"/>
    <tableColumn id="8" xr3:uid="{31147A82-02DA-4855-81BE-0EC21300480E}" name="Cost center"/>
    <tableColumn id="9" xr3:uid="{F7F067E5-5BCC-4EC5-A9F0-39142E644807}" name="Debit"/>
    <tableColumn id="10" xr3:uid="{74372AE2-8C3B-4A1D-A8BB-64D757CBBC0D}" name="Credit"/>
    <tableColumn id="11" xr3:uid="{2EB56868-3BD7-4FA2-8813-C114B221CF03}" name="Debit2"/>
    <tableColumn id="12" xr3:uid="{9373BB64-7202-46D0-85C9-6D6B5D7D168B}" name="Credit3"/>
    <tableColumn id="13" xr3:uid="{02FB9CDF-0C18-4D23-BFA6-2984A9CF9807}" name="Debit4"/>
    <tableColumn id="14" xr3:uid="{18D8DC74-70C5-46B4-BEB3-391AF813DD6E}" name="Credit5"/>
    <tableColumn id="15" xr3:uid="{2CA61504-3F37-4B78-9385-14F954630A7F}" name="Am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66B2D5-D364-4B64-9835-AB0FAB397790}" name="Table2" displayName="Table2" ref="A6:P407" totalsRowShown="0" headerRowDxfId="19" dataDxfId="18" tableBorderDxfId="17">
  <autoFilter ref="A6:P407" xr:uid="{3866B2D5-D364-4B64-9835-AB0FAB397790}"/>
  <tableColumns count="16">
    <tableColumn id="1" xr3:uid="{6618E406-D54D-48DF-BD94-AE7B280E37C4}" name="Account Code" dataDxfId="16"/>
    <tableColumn id="16" xr3:uid="{BEB4D4A8-8022-4721-9CCC-27618F8717BD}" name="Category" dataDxfId="15"/>
    <tableColumn id="2" xr3:uid="{2C205A91-C5A9-4A7C-B882-FD92C67C027F}" name="Account Description" dataDxfId="14"/>
    <tableColumn id="3" xr3:uid="{FD925867-F34D-4ECC-BB62-F937DDE2CA7F}" name="Title" dataDxfId="13">
      <calculatedColumnFormula>CONCATENATE(A7,C7)</calculatedColumnFormula>
    </tableColumn>
    <tableColumn id="4" xr3:uid="{A69FE0D5-16E6-4CAB-BFC6-3476BA1CDF45}" name="FSL1" dataDxfId="12" dataCellStyle="Normal - Style1"/>
    <tableColumn id="5" xr3:uid="{08853E6A-70D5-4367-994F-CA34EF8F8AA0}" name="FSL2" dataDxfId="11" dataCellStyle="Normal - Style1"/>
    <tableColumn id="6" xr3:uid="{D83450BC-B258-48A0-8BA0-C0EB579BC3E7}" name="FSL3" dataDxfId="10"/>
    <tableColumn id="7" xr3:uid="{32DDA561-3EDF-4EE4-AC7C-A26E3E871038}" name="FSL 4" dataDxfId="9"/>
    <tableColumn id="8" xr3:uid="{DA091EB1-D24E-45C6-8A2A-893B8709B2AA}" name="Cost center" dataDxfId="8"/>
    <tableColumn id="9" xr3:uid="{969B9870-110B-4170-9904-B2B9ED65DF7A}" name="Debit" dataDxfId="7"/>
    <tableColumn id="10" xr3:uid="{E9E40741-3758-4039-9DE3-AAC1F9072D78}" name="Credit" dataDxfId="6"/>
    <tableColumn id="11" xr3:uid="{01CE5BDD-71B4-4F3C-B8CF-71C946F3FC46}" name="Debit2" dataDxfId="5"/>
    <tableColumn id="12" xr3:uid="{65A2D0B6-D65A-4133-B910-EA6E82907D73}" name="Credit3" dataDxfId="4"/>
    <tableColumn id="13" xr3:uid="{12236B0E-A329-4A38-9C12-F18BE700C38A}" name="Debit4" dataDxfId="3">
      <calculatedColumnFormula>J7+L7</calculatedColumnFormula>
    </tableColumn>
    <tableColumn id="14" xr3:uid="{102B3C3E-29D1-42CA-B404-8F4A546C9829}" name="Credit5" dataDxfId="2">
      <calculatedColumnFormula>K7+M7</calculatedColumnFormula>
    </tableColumn>
    <tableColumn id="15" xr3:uid="{C479466C-7795-4FBB-83B6-4BEE443EDB26}" name="Amount"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4.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01"/>
  <sheetViews>
    <sheetView showGridLines="0" view="pageBreakPreview" topLeftCell="A33" zoomScaleNormal="100" zoomScaleSheetLayoutView="100" workbookViewId="0">
      <selection activeCell="I42" sqref="I42"/>
    </sheetView>
  </sheetViews>
  <sheetFormatPr defaultColWidth="9.1796875" defaultRowHeight="14.15" customHeight="1"/>
  <cols>
    <col min="1" max="1" width="6.26953125" style="4" customWidth="1"/>
    <col min="2" max="2" width="7" style="4" customWidth="1"/>
    <col min="3" max="3" width="6.26953125" style="4" customWidth="1"/>
    <col min="4" max="4" width="11.7265625" style="4" customWidth="1"/>
    <col min="5" max="5" width="10.453125" style="4" customWidth="1"/>
    <col min="6" max="6" width="5.7265625" style="4" customWidth="1"/>
    <col min="7" max="7" width="3.54296875" style="4" customWidth="1"/>
    <col min="8" max="8" width="4" style="4" customWidth="1"/>
    <col min="9" max="9" width="13.1796875" style="4" customWidth="1"/>
    <col min="10" max="10" width="2.1796875" style="4" customWidth="1"/>
    <col min="11" max="11" width="5.7265625" style="4" customWidth="1"/>
    <col min="12" max="12" width="11.7265625" style="4" customWidth="1"/>
    <col min="13" max="13" width="5.7265625" style="4" customWidth="1"/>
    <col min="14" max="14" width="11.7265625" style="4" customWidth="1"/>
    <col min="15" max="15" width="5.7265625" style="4" hidden="1" customWidth="1"/>
    <col min="16" max="16" width="1.1796875" style="4" hidden="1" customWidth="1"/>
    <col min="17" max="17" width="14.54296875" style="4" customWidth="1"/>
    <col min="18" max="18" width="10" style="4" customWidth="1"/>
    <col min="19" max="19" width="11" style="4" bestFit="1" customWidth="1"/>
    <col min="20" max="20" width="13" style="4" customWidth="1"/>
    <col min="21" max="21" width="10.453125" style="4" customWidth="1"/>
    <col min="22" max="24" width="9.1796875" style="4" customWidth="1"/>
    <col min="25" max="16384" width="9.1796875" style="4"/>
  </cols>
  <sheetData>
    <row r="1" spans="1:27" ht="14.15" customHeight="1">
      <c r="A1" s="3" t="s">
        <v>457</v>
      </c>
      <c r="B1" s="3"/>
      <c r="C1" s="3"/>
      <c r="D1" s="3"/>
      <c r="E1" s="3"/>
      <c r="F1" s="3"/>
      <c r="G1" s="3"/>
      <c r="H1" s="3"/>
      <c r="I1" s="3"/>
      <c r="J1" s="3"/>
      <c r="K1" s="3"/>
      <c r="L1" s="3"/>
      <c r="M1" s="3"/>
      <c r="N1" s="3"/>
      <c r="O1" s="3"/>
      <c r="P1" s="3"/>
    </row>
    <row r="2" spans="1:27" ht="14.15" customHeight="1">
      <c r="A2" s="3" t="s">
        <v>458</v>
      </c>
      <c r="B2" s="3"/>
      <c r="C2" s="3"/>
      <c r="D2" s="3"/>
      <c r="E2" s="3"/>
      <c r="F2" s="3"/>
      <c r="G2" s="3"/>
      <c r="H2" s="3"/>
      <c r="I2" s="3"/>
      <c r="J2" s="3"/>
      <c r="K2" s="3"/>
      <c r="L2" s="3"/>
      <c r="M2" s="3"/>
      <c r="N2" s="3"/>
      <c r="O2" s="3"/>
      <c r="P2" s="3"/>
    </row>
    <row r="3" spans="1:27" ht="14.15" customHeight="1">
      <c r="A3" s="3" t="s">
        <v>2180</v>
      </c>
      <c r="B3" s="3"/>
      <c r="C3" s="3"/>
      <c r="D3" s="3"/>
      <c r="E3" s="3"/>
      <c r="F3" s="3"/>
      <c r="G3" s="3"/>
      <c r="H3" s="3"/>
      <c r="I3" s="3"/>
      <c r="J3" s="3"/>
      <c r="K3" s="3"/>
      <c r="L3" s="3"/>
      <c r="M3" s="3"/>
      <c r="N3" s="3"/>
      <c r="O3" s="3"/>
      <c r="P3" s="3"/>
    </row>
    <row r="4" spans="1:27" ht="14.15" customHeight="1">
      <c r="A4" s="3"/>
      <c r="B4" s="3"/>
      <c r="C4" s="3"/>
      <c r="D4" s="3"/>
      <c r="E4" s="3"/>
      <c r="F4" s="3"/>
      <c r="G4" s="3"/>
      <c r="H4" s="3"/>
      <c r="I4" s="3"/>
      <c r="J4" s="3"/>
      <c r="K4" s="3"/>
      <c r="L4" s="3"/>
      <c r="M4" s="3"/>
      <c r="N4" s="3"/>
      <c r="O4" s="3"/>
      <c r="P4" s="3"/>
    </row>
    <row r="5" spans="1:27" ht="14.15" customHeight="1">
      <c r="A5" s="3"/>
      <c r="B5" s="3"/>
      <c r="C5" s="3"/>
      <c r="D5" s="3"/>
      <c r="E5" s="3"/>
      <c r="F5" s="3"/>
      <c r="G5" s="3"/>
      <c r="H5" s="3"/>
      <c r="I5" s="3"/>
      <c r="J5" s="3"/>
      <c r="K5" s="3"/>
      <c r="L5" s="3"/>
      <c r="M5" s="3"/>
      <c r="N5" s="3"/>
      <c r="O5" s="3"/>
      <c r="P5" s="3"/>
    </row>
    <row r="6" spans="1:27" ht="14.15" customHeight="1">
      <c r="I6" s="5">
        <v>2026</v>
      </c>
      <c r="L6" s="5">
        <v>2025</v>
      </c>
      <c r="N6" s="5">
        <v>2024</v>
      </c>
      <c r="O6" s="5"/>
      <c r="P6" s="5"/>
    </row>
    <row r="7" spans="1:27" ht="14.15" customHeight="1">
      <c r="G7" s="6" t="s">
        <v>459</v>
      </c>
      <c r="I7" s="7" t="s">
        <v>460</v>
      </c>
      <c r="K7" s="6" t="s">
        <v>459</v>
      </c>
      <c r="L7" s="7" t="s">
        <v>460</v>
      </c>
      <c r="N7" s="7" t="s">
        <v>460</v>
      </c>
      <c r="O7" s="7"/>
      <c r="P7" s="7"/>
    </row>
    <row r="8" spans="1:27" ht="14.15" customHeight="1">
      <c r="A8" s="3" t="s">
        <v>461</v>
      </c>
      <c r="K8" s="6"/>
      <c r="L8" s="6"/>
      <c r="N8" s="7"/>
      <c r="O8" s="7"/>
      <c r="P8" s="7"/>
    </row>
    <row r="9" spans="1:27" ht="14.15" customHeight="1">
      <c r="A9" s="8" t="s">
        <v>462</v>
      </c>
      <c r="K9" s="6"/>
      <c r="L9" s="6"/>
      <c r="N9" s="7"/>
      <c r="O9" s="7"/>
      <c r="P9" s="7"/>
    </row>
    <row r="10" spans="1:27" s="423" customFormat="1" ht="14.15" customHeight="1">
      <c r="A10" s="9" t="s">
        <v>463</v>
      </c>
      <c r="B10" s="9"/>
      <c r="C10" s="9"/>
      <c r="D10" s="9"/>
      <c r="E10" s="9"/>
      <c r="F10" s="9"/>
      <c r="G10" s="9">
        <f>'PPE-Note-4'!A1</f>
        <v>5</v>
      </c>
      <c r="H10" s="9"/>
      <c r="I10" s="734">
        <f>'PPE-Note-4'!O116</f>
        <v>14035031</v>
      </c>
      <c r="J10" s="9"/>
      <c r="K10" s="10">
        <f>+'PPE-Note-4'!A1</f>
        <v>5</v>
      </c>
      <c r="L10" s="479">
        <f>'PPE-Note-4'!O59</f>
        <v>15295085</v>
      </c>
      <c r="M10" s="9"/>
      <c r="N10" s="479">
        <f>'PPE-Note-4'!O42</f>
        <v>16140069</v>
      </c>
      <c r="O10" s="424"/>
      <c r="P10" s="424"/>
      <c r="Q10" s="9">
        <f>N10-L10</f>
        <v>844984</v>
      </c>
      <c r="Z10" s="423">
        <v>20916309</v>
      </c>
      <c r="AA10" s="423">
        <f>+Z10-N10</f>
        <v>4776240</v>
      </c>
    </row>
    <row r="11" spans="1:27" s="9" customFormat="1" ht="14.15" customHeight="1">
      <c r="A11" s="9" t="s">
        <v>464</v>
      </c>
      <c r="G11" s="9">
        <f>'Con 5-18'!A2</f>
        <v>6</v>
      </c>
      <c r="I11" s="735"/>
      <c r="K11" s="10">
        <f>+'Con 5-18'!A2</f>
        <v>6</v>
      </c>
      <c r="L11" s="13">
        <f>'Con 5-18'!M9</f>
        <v>5815</v>
      </c>
      <c r="N11" s="13">
        <f>'Con 5-18'!O15</f>
        <v>8722</v>
      </c>
      <c r="O11" s="11"/>
      <c r="P11" s="11"/>
      <c r="Q11" s="9">
        <f>N11-L11</f>
        <v>2907</v>
      </c>
    </row>
    <row r="12" spans="1:27" s="9" customFormat="1" ht="14.15" hidden="1" customHeight="1">
      <c r="A12" s="9" t="s">
        <v>465</v>
      </c>
      <c r="K12" s="10"/>
      <c r="L12" s="13">
        <v>0</v>
      </c>
      <c r="N12" s="13">
        <v>0</v>
      </c>
      <c r="O12" s="11"/>
      <c r="P12" s="11"/>
      <c r="Q12" s="9">
        <f>N12-L12</f>
        <v>0</v>
      </c>
    </row>
    <row r="13" spans="1:27" s="9" customFormat="1" ht="14.15" customHeight="1">
      <c r="I13" s="11">
        <f>SUM(I10:I12)</f>
        <v>14035031</v>
      </c>
      <c r="K13" s="10"/>
      <c r="L13" s="11">
        <f>SUM(L10:L12)</f>
        <v>15300900</v>
      </c>
      <c r="N13" s="11">
        <f>SUM(N10:N12)</f>
        <v>16148791</v>
      </c>
      <c r="O13" s="11"/>
      <c r="P13" s="11"/>
    </row>
    <row r="14" spans="1:27" s="9" customFormat="1" ht="14.15" customHeight="1">
      <c r="A14" s="8"/>
      <c r="K14" s="14"/>
      <c r="L14" s="14"/>
      <c r="N14" s="15"/>
      <c r="O14" s="15"/>
      <c r="P14" s="15"/>
    </row>
    <row r="15" spans="1:27" s="9" customFormat="1" ht="14.15" customHeight="1">
      <c r="A15" s="16" t="s">
        <v>466</v>
      </c>
      <c r="K15" s="14"/>
      <c r="L15" s="14"/>
      <c r="N15" s="15"/>
      <c r="O15" s="15"/>
      <c r="P15" s="15"/>
    </row>
    <row r="16" spans="1:27" s="9" customFormat="1" ht="14.15" customHeight="1">
      <c r="A16" s="9" t="s">
        <v>1285</v>
      </c>
      <c r="G16" s="9">
        <f>'Con 5-18'!A36</f>
        <v>7</v>
      </c>
      <c r="I16" s="734"/>
      <c r="K16" s="17">
        <f>+'Con 5-18'!A36</f>
        <v>7</v>
      </c>
      <c r="L16" s="438" t="e">
        <f>ROUND('Con 5-18'!M47, 0)</f>
        <v>#REF!</v>
      </c>
      <c r="N16" s="438">
        <f>'Con 5-18'!O47</f>
        <v>1710587</v>
      </c>
      <c r="O16" s="18"/>
      <c r="P16" s="18"/>
      <c r="Q16" s="9" t="e">
        <f>N16-L16</f>
        <v>#REF!</v>
      </c>
    </row>
    <row r="17" spans="1:26" s="9" customFormat="1" ht="14.15" customHeight="1">
      <c r="A17" s="9" t="s">
        <v>1286</v>
      </c>
      <c r="G17" s="9">
        <f>'Con 5-18'!A49</f>
        <v>8</v>
      </c>
      <c r="I17" s="735"/>
      <c r="K17" s="17">
        <f>+'Con 5-18'!A49</f>
        <v>8</v>
      </c>
      <c r="L17" s="19" t="e">
        <f>ROUND('Con 5-18'!M54, 0)</f>
        <v>#REF!</v>
      </c>
      <c r="N17" s="19">
        <f>'Con 5-18'!O54</f>
        <v>2725572.5485</v>
      </c>
      <c r="O17" s="18"/>
      <c r="P17" s="18"/>
      <c r="Q17" s="9" t="e">
        <f>N17-L17</f>
        <v>#REF!</v>
      </c>
    </row>
    <row r="18" spans="1:26" s="9" customFormat="1" ht="14.15" customHeight="1">
      <c r="I18" s="20">
        <f>SUM(I16:I17)</f>
        <v>0</v>
      </c>
      <c r="K18" s="14"/>
      <c r="L18" s="20" t="e">
        <f>SUM(L16:L17)</f>
        <v>#REF!</v>
      </c>
      <c r="N18" s="20">
        <f>SUM(N16:N17)</f>
        <v>4436159.5484999996</v>
      </c>
      <c r="O18" s="20"/>
      <c r="P18" s="20"/>
      <c r="Y18" s="9" t="e">
        <f>#REF!-N18</f>
        <v>#REF!</v>
      </c>
    </row>
    <row r="19" spans="1:26" s="9" customFormat="1" ht="14.15" customHeight="1">
      <c r="K19" s="14"/>
      <c r="L19" s="20"/>
      <c r="N19" s="20"/>
      <c r="O19" s="20"/>
      <c r="P19" s="20"/>
      <c r="Q19" s="405"/>
    </row>
    <row r="20" spans="1:26" s="16" customFormat="1" ht="14.15" customHeight="1" thickBot="1">
      <c r="A20" s="16" t="s">
        <v>468</v>
      </c>
      <c r="I20" s="21">
        <f>SUM(I13,I18)</f>
        <v>14035031</v>
      </c>
      <c r="K20" s="14"/>
      <c r="L20" s="21" t="e">
        <f>SUM(L13,L18)</f>
        <v>#REF!</v>
      </c>
      <c r="N20" s="21">
        <f>SUM(N13,N18)</f>
        <v>20584950.548500001</v>
      </c>
      <c r="O20" s="22"/>
      <c r="P20" s="22"/>
    </row>
    <row r="21" spans="1:26" s="9" customFormat="1" ht="14.15" customHeight="1" thickTop="1">
      <c r="K21" s="14"/>
      <c r="L21" s="14"/>
      <c r="N21" s="20"/>
      <c r="O21" s="20"/>
      <c r="P21" s="20"/>
    </row>
    <row r="22" spans="1:26" s="9" customFormat="1" ht="14.15" customHeight="1">
      <c r="A22" s="16" t="s">
        <v>469</v>
      </c>
      <c r="K22" s="14"/>
      <c r="L22" s="14"/>
      <c r="N22" s="20"/>
      <c r="O22" s="20"/>
      <c r="P22" s="20"/>
    </row>
    <row r="23" spans="1:26" s="9" customFormat="1" ht="14.15" customHeight="1">
      <c r="A23" s="9" t="s">
        <v>362</v>
      </c>
      <c r="K23" s="17"/>
      <c r="L23" s="23">
        <f>ROUND(SOCE!M32,0)</f>
        <v>-27233980</v>
      </c>
      <c r="N23" s="558">
        <f>+SOCE!M28</f>
        <v>-30425260.451499999</v>
      </c>
      <c r="O23" s="23"/>
      <c r="P23" s="23"/>
      <c r="Q23" s="9">
        <f>L23-N23</f>
        <v>3191280.4514999986</v>
      </c>
    </row>
    <row r="24" spans="1:26" s="9" customFormat="1" ht="14.15" customHeight="1">
      <c r="K24" s="14"/>
      <c r="L24" s="14"/>
      <c r="N24" s="395"/>
      <c r="O24" s="20"/>
      <c r="P24" s="20"/>
    </row>
    <row r="25" spans="1:26" s="9" customFormat="1" ht="14.15" hidden="1" customHeight="1">
      <c r="A25" s="16" t="s">
        <v>470</v>
      </c>
      <c r="K25" s="14"/>
      <c r="L25" s="14"/>
      <c r="N25" s="395"/>
      <c r="O25" s="20"/>
      <c r="P25" s="20"/>
    </row>
    <row r="26" spans="1:26" s="9" customFormat="1" ht="14.15" hidden="1" customHeight="1">
      <c r="A26" s="24" t="s">
        <v>1218</v>
      </c>
      <c r="B26" s="24"/>
      <c r="C26" s="24"/>
      <c r="K26" s="10"/>
      <c r="L26" s="396">
        <v>0</v>
      </c>
      <c r="N26" s="396">
        <v>0</v>
      </c>
      <c r="O26" s="11"/>
      <c r="P26" s="11"/>
      <c r="Q26" s="9">
        <f>L26-N26</f>
        <v>0</v>
      </c>
      <c r="Z26" s="9" t="e">
        <f>+N26-#REF!</f>
        <v>#REF!</v>
      </c>
    </row>
    <row r="27" spans="1:26" s="9" customFormat="1" ht="14.15" hidden="1" customHeight="1">
      <c r="A27" s="4"/>
      <c r="K27" s="14"/>
      <c r="L27" s="14"/>
      <c r="N27" s="395"/>
      <c r="O27" s="20"/>
      <c r="P27" s="20"/>
    </row>
    <row r="28" spans="1:26" s="9" customFormat="1" ht="14.15" customHeight="1">
      <c r="A28" s="3" t="s">
        <v>473</v>
      </c>
      <c r="K28" s="14"/>
      <c r="L28" s="14"/>
      <c r="N28" s="396"/>
      <c r="O28" s="15"/>
      <c r="P28" s="15"/>
    </row>
    <row r="29" spans="1:26" s="9" customFormat="1" ht="14.15" hidden="1" customHeight="1">
      <c r="A29" s="25" t="s">
        <v>1219</v>
      </c>
      <c r="K29" s="10"/>
      <c r="L29" s="483">
        <v>0</v>
      </c>
      <c r="N29" s="484">
        <v>0</v>
      </c>
      <c r="O29" s="20"/>
      <c r="P29" s="20"/>
      <c r="Q29" s="9">
        <f>L29-N29</f>
        <v>0</v>
      </c>
      <c r="Z29" s="9" t="e">
        <f>+N29-#REF!</f>
        <v>#REF!</v>
      </c>
    </row>
    <row r="30" spans="1:26" s="9" customFormat="1" ht="14.15" customHeight="1">
      <c r="A30" s="4" t="s">
        <v>1287</v>
      </c>
      <c r="B30" s="26"/>
      <c r="C30" s="26"/>
      <c r="G30" s="9">
        <f>'Con 5-18'!A70</f>
        <v>9</v>
      </c>
      <c r="I30" s="734"/>
      <c r="K30" s="10">
        <f>+'Con 5-18'!A70</f>
        <v>9</v>
      </c>
      <c r="L30" s="483">
        <f>ROUND('Con 5-18'!M76,0)</f>
        <v>9804523</v>
      </c>
      <c r="N30" s="484">
        <f>'Con 5-18'!O76</f>
        <v>10219196</v>
      </c>
      <c r="O30" s="20"/>
      <c r="P30" s="20"/>
      <c r="Q30" s="9">
        <f>L30-N30</f>
        <v>-414673</v>
      </c>
      <c r="Z30" s="9" t="e">
        <f>+N30-#REF!</f>
        <v>#REF!</v>
      </c>
    </row>
    <row r="31" spans="1:26" s="9" customFormat="1" ht="14.15" customHeight="1">
      <c r="A31" s="4" t="s">
        <v>2056</v>
      </c>
      <c r="B31" s="26"/>
      <c r="C31" s="26"/>
      <c r="I31" s="736"/>
      <c r="K31" s="10"/>
      <c r="L31" s="561">
        <f>-ROUND(GETPIVOTDATA("Sum of Amount",'Pivot 2025'!$A$3,"FSL1","Profit and Loss","FSL2","Taxation","FSL3","Income Tax Expenses","FSL 4","Income Tax Expenses"),0)+'Adjustments 2025'!F78</f>
        <v>186605</v>
      </c>
      <c r="N31" s="559">
        <v>0</v>
      </c>
      <c r="O31" s="20"/>
      <c r="P31" s="20"/>
    </row>
    <row r="32" spans="1:26" s="9" customFormat="1" ht="14.15" customHeight="1">
      <c r="A32" s="4" t="s">
        <v>475</v>
      </c>
      <c r="G32" s="9">
        <f>'Con 5-18'!A78</f>
        <v>10</v>
      </c>
      <c r="I32" s="735"/>
      <c r="K32" s="10">
        <f>+'Con 5-18'!A78</f>
        <v>10</v>
      </c>
      <c r="L32" s="562" t="e">
        <f>ROUND('Con 5-18'!M82,0)</f>
        <v>#REF!</v>
      </c>
      <c r="N32" s="560">
        <f>'Con 5-18'!O82</f>
        <v>40791015</v>
      </c>
      <c r="O32" s="20"/>
      <c r="P32" s="20"/>
      <c r="Q32" s="9" t="e">
        <f>L32-N32</f>
        <v>#REF!</v>
      </c>
      <c r="S32" s="9" t="e">
        <f>L32-39791015</f>
        <v>#REF!</v>
      </c>
      <c r="Z32" s="9" t="e">
        <f>+N32-#REF!</f>
        <v>#REF!</v>
      </c>
    </row>
    <row r="33" spans="1:18" s="9" customFormat="1" ht="14.15" customHeight="1">
      <c r="A33" s="4"/>
      <c r="F33" s="17"/>
      <c r="I33" s="18">
        <f>SUM(I29:I32)</f>
        <v>0</v>
      </c>
      <c r="L33" s="18" t="e">
        <f>SUM(L29:L32)</f>
        <v>#REF!</v>
      </c>
      <c r="N33" s="397">
        <f>N30+N32+N29</f>
        <v>51010211</v>
      </c>
      <c r="O33" s="18"/>
      <c r="P33" s="18"/>
    </row>
    <row r="34" spans="1:18" s="9" customFormat="1" ht="14.15" customHeight="1">
      <c r="F34" s="10"/>
      <c r="L34" s="10"/>
      <c r="N34" s="398"/>
      <c r="O34" s="11"/>
      <c r="P34" s="11"/>
    </row>
    <row r="35" spans="1:18" s="16" customFormat="1" ht="14.15" customHeight="1" thickBot="1">
      <c r="A35" s="27" t="s">
        <v>476</v>
      </c>
      <c r="F35" s="14"/>
      <c r="I35" s="28">
        <f>+I23+I26+I33</f>
        <v>0</v>
      </c>
      <c r="L35" s="28" t="e">
        <f>+L23+L26+L33</f>
        <v>#REF!</v>
      </c>
      <c r="N35" s="28">
        <f>+N23+N26+N33</f>
        <v>20584950.548500001</v>
      </c>
      <c r="O35" s="29"/>
      <c r="P35" s="29"/>
    </row>
    <row r="36" spans="1:18" s="9" customFormat="1" ht="14.15" customHeight="1" thickTop="1">
      <c r="A36" s="16"/>
      <c r="K36" s="14"/>
      <c r="L36" s="14"/>
      <c r="M36" s="14"/>
      <c r="P36" s="14"/>
    </row>
    <row r="37" spans="1:18" ht="14.15" customHeight="1">
      <c r="L37" s="4" t="e">
        <f>L35-L20</f>
        <v>#REF!</v>
      </c>
      <c r="Q37" s="512" t="e">
        <f>+L35-L20</f>
        <v>#REF!</v>
      </c>
      <c r="R37" s="498">
        <f>N35-N20</f>
        <v>0</v>
      </c>
    </row>
    <row r="38" spans="1:18" s="9" customFormat="1" ht="14.15" customHeight="1">
      <c r="A38" s="30" t="str">
        <f>"The annexed notes form an integral part of these financial statements."</f>
        <v>The annexed notes form an integral part of these financial statements.</v>
      </c>
      <c r="Q38" s="499"/>
      <c r="R38" s="499"/>
    </row>
    <row r="39" spans="1:18" s="9" customFormat="1" ht="14.15" customHeight="1">
      <c r="Q39" s="508">
        <f>+GETPIVOTDATA("Sum of Amount",'Pivot 2025'!$A$3,"FSL1","-","FSL2","Inter Project Balances")</f>
        <v>0.469999999855645</v>
      </c>
      <c r="R39" s="499" t="s">
        <v>1373</v>
      </c>
    </row>
    <row r="40" spans="1:18" s="9" customFormat="1" ht="14.15" customHeight="1">
      <c r="Q40" s="509">
        <f>-GETPIVOTDATA("Sum of Amount",'Pivot 2025'!$A$3)</f>
        <v>-0.85163715068483725</v>
      </c>
      <c r="R40" s="9" t="s">
        <v>1374</v>
      </c>
    </row>
    <row r="41" spans="1:18" s="9" customFormat="1" ht="14.15" customHeight="1">
      <c r="Q41" s="510">
        <f>+SOCE!AL25</f>
        <v>5815.0600249916315</v>
      </c>
      <c r="R41" s="9" t="s">
        <v>1375</v>
      </c>
    </row>
    <row r="42" spans="1:18" s="9" customFormat="1" ht="14.15" customHeight="1"/>
    <row r="43" spans="1:18" s="9" customFormat="1" ht="14.15" customHeight="1">
      <c r="Q43" s="511">
        <f>SUM(Q39:Q42)</f>
        <v>5814.6783878408023</v>
      </c>
    </row>
    <row r="44" spans="1:18" s="9" customFormat="1" ht="14.15" customHeight="1"/>
    <row r="45" spans="1:18" ht="14.15" customHeight="1">
      <c r="Q45" s="4" t="e">
        <f>+Q37-Q43</f>
        <v>#REF!</v>
      </c>
    </row>
    <row r="59" spans="1:16" s="31" customFormat="1" ht="14.15" customHeight="1"/>
    <row r="60" spans="1:16" s="31" customFormat="1" ht="14.15" customHeight="1" thickBot="1">
      <c r="A60" s="9"/>
      <c r="B60" s="9"/>
      <c r="C60" s="9"/>
      <c r="D60" s="9"/>
      <c r="E60" s="9"/>
      <c r="F60" s="9"/>
      <c r="G60" s="32"/>
      <c r="H60" s="32"/>
      <c r="I60" s="32"/>
      <c r="J60" s="32"/>
      <c r="K60" s="32"/>
      <c r="L60" s="32"/>
      <c r="M60" s="32"/>
      <c r="N60" s="9"/>
      <c r="O60" s="4"/>
      <c r="P60" s="4"/>
    </row>
    <row r="61" spans="1:16" s="31" customFormat="1" ht="14.15" customHeight="1">
      <c r="A61" s="4"/>
      <c r="B61" s="766" t="s">
        <v>477</v>
      </c>
      <c r="C61" s="766"/>
      <c r="D61" s="766"/>
      <c r="E61" s="58"/>
      <c r="F61" s="7"/>
      <c r="G61" s="767" t="s">
        <v>478</v>
      </c>
      <c r="H61" s="767"/>
      <c r="I61" s="767"/>
      <c r="J61" s="767"/>
      <c r="K61" s="767"/>
      <c r="L61" s="767"/>
      <c r="M61" s="767"/>
      <c r="N61" s="3"/>
      <c r="O61" s="3"/>
      <c r="P61" s="3"/>
    </row>
    <row r="62" spans="1:16" s="31" customFormat="1" ht="14.15" customHeight="1"/>
    <row r="63" spans="1:16" ht="14.15" customHeight="1">
      <c r="N63" s="14"/>
      <c r="O63" s="14"/>
    </row>
    <row r="350" spans="3:13" ht="14.15" customHeight="1">
      <c r="G350" s="4">
        <v>9788859</v>
      </c>
      <c r="K350" s="4">
        <v>9788859</v>
      </c>
      <c r="M350" s="4">
        <v>9788859</v>
      </c>
    </row>
    <row r="351" spans="3:13" ht="14.15" customHeight="1">
      <c r="C351" s="4" t="s">
        <v>1388</v>
      </c>
      <c r="G351" s="4">
        <v>39791015</v>
      </c>
      <c r="K351" s="4">
        <v>39791015</v>
      </c>
      <c r="M351" s="4">
        <v>39791015</v>
      </c>
    </row>
    <row r="401" spans="16:16" ht="14.15" customHeight="1">
      <c r="P401" s="4">
        <v>0</v>
      </c>
    </row>
  </sheetData>
  <mergeCells count="2">
    <mergeCell ref="B61:D61"/>
    <mergeCell ref="G61:M61"/>
  </mergeCells>
  <pageMargins left="0.9" right="0.4" top="0.75" bottom="0.25" header="0.25" footer="0.5"/>
  <pageSetup paperSize="9" scale="84"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01"/>
  <sheetViews>
    <sheetView showGridLines="0" view="pageBreakPreview" topLeftCell="A4" zoomScaleNormal="100" zoomScaleSheetLayoutView="100" workbookViewId="0">
      <selection activeCell="I7" sqref="I7"/>
    </sheetView>
  </sheetViews>
  <sheetFormatPr defaultColWidth="9.1796875" defaultRowHeight="14.15" customHeight="1"/>
  <cols>
    <col min="1" max="3" width="6.26953125" style="34" customWidth="1"/>
    <col min="4" max="4" width="11.7265625" style="34" customWidth="1"/>
    <col min="5" max="5" width="10.1796875" style="34" customWidth="1"/>
    <col min="6" max="6" width="11.7265625" style="34" customWidth="1"/>
    <col min="7" max="7" width="6.54296875" style="34" customWidth="1"/>
    <col min="8" max="8" width="5.453125" style="34" customWidth="1"/>
    <col min="9" max="9" width="9.7265625" style="34" customWidth="1"/>
    <col min="10" max="10" width="2.26953125" style="34" customWidth="1"/>
    <col min="11" max="11" width="11.7265625" style="34" customWidth="1"/>
    <col min="12" max="12" width="6.26953125" style="34" customWidth="1"/>
    <col min="13" max="13" width="11.7265625" style="34" customWidth="1"/>
    <col min="14" max="14" width="11.7265625" style="34" hidden="1" customWidth="1"/>
    <col min="15" max="15" width="5.7265625" style="34" hidden="1" customWidth="1"/>
    <col min="16" max="16" width="11.7265625" style="34" hidden="1" customWidth="1"/>
    <col min="17" max="17" width="12.7265625" style="34" hidden="1" customWidth="1"/>
    <col min="18" max="18" width="5.453125" style="34" hidden="1" customWidth="1"/>
    <col min="19" max="19" width="11.81640625" style="34" hidden="1" customWidth="1"/>
    <col min="20" max="25" width="0" style="34" hidden="1" customWidth="1"/>
    <col min="26" max="26" width="10.54296875" style="34" hidden="1" customWidth="1"/>
    <col min="27" max="27" width="11.54296875" style="34" bestFit="1" customWidth="1"/>
    <col min="28" max="16384" width="9.1796875" style="34"/>
  </cols>
  <sheetData>
    <row r="1" spans="1:22" ht="14.15" customHeight="1">
      <c r="A1" s="16" t="s">
        <v>457</v>
      </c>
      <c r="C1" s="16"/>
      <c r="D1" s="16"/>
      <c r="E1" s="16"/>
      <c r="F1" s="16"/>
      <c r="G1" s="16"/>
      <c r="H1" s="16"/>
      <c r="I1" s="16"/>
      <c r="J1" s="16"/>
      <c r="K1" s="16"/>
      <c r="L1" s="16"/>
      <c r="M1" s="16"/>
    </row>
    <row r="2" spans="1:22" ht="14.15" customHeight="1">
      <c r="A2" s="16" t="s">
        <v>1399</v>
      </c>
      <c r="C2" s="16"/>
      <c r="D2" s="16"/>
      <c r="E2" s="16"/>
      <c r="F2" s="16"/>
      <c r="G2" s="16"/>
      <c r="H2" s="16"/>
      <c r="I2" s="16"/>
      <c r="J2" s="16"/>
      <c r="K2" s="16"/>
      <c r="L2" s="16"/>
      <c r="M2" s="16"/>
    </row>
    <row r="3" spans="1:22" ht="14.15" customHeight="1">
      <c r="A3" s="16" t="s">
        <v>1432</v>
      </c>
      <c r="C3" s="16"/>
      <c r="D3" s="16"/>
      <c r="E3" s="16"/>
      <c r="F3" s="16"/>
      <c r="G3" s="16"/>
      <c r="H3" s="16"/>
      <c r="I3" s="16"/>
      <c r="J3" s="16"/>
      <c r="K3" s="16"/>
      <c r="L3" s="16"/>
      <c r="M3" s="16"/>
    </row>
    <row r="4" spans="1:22" ht="14.15" customHeight="1">
      <c r="A4" s="16"/>
      <c r="C4" s="16"/>
      <c r="D4" s="16"/>
      <c r="E4" s="16"/>
      <c r="F4" s="16"/>
      <c r="G4" s="16"/>
      <c r="H4" s="16"/>
      <c r="I4" s="16"/>
      <c r="J4" s="16"/>
      <c r="K4" s="16"/>
      <c r="L4" s="16"/>
      <c r="M4" s="16"/>
    </row>
    <row r="5" spans="1:22" ht="14.15" customHeight="1">
      <c r="B5" s="16"/>
      <c r="C5" s="16"/>
      <c r="D5" s="16"/>
      <c r="E5" s="16"/>
      <c r="M5" s="556"/>
      <c r="S5" s="7"/>
    </row>
    <row r="6" spans="1:22" ht="14.15" customHeight="1" thickBot="1">
      <c r="B6" s="16"/>
      <c r="C6" s="16"/>
      <c r="G6" s="16"/>
      <c r="H6" s="16"/>
      <c r="I6" s="5">
        <v>2026</v>
      </c>
      <c r="K6" s="5">
        <v>2025</v>
      </c>
      <c r="L6" s="4"/>
      <c r="M6" s="5">
        <v>2024</v>
      </c>
      <c r="N6" s="9"/>
      <c r="O6" s="9"/>
      <c r="P6" s="9"/>
      <c r="Q6" s="9"/>
      <c r="R6" s="9"/>
      <c r="S6" s="32"/>
      <c r="T6" s="32"/>
      <c r="U6" s="32"/>
      <c r="V6" s="9"/>
    </row>
    <row r="7" spans="1:22" ht="14.15" customHeight="1">
      <c r="B7" s="6"/>
      <c r="C7" s="6"/>
      <c r="G7" s="6" t="s">
        <v>459</v>
      </c>
      <c r="H7" s="6"/>
      <c r="I7" s="7" t="s">
        <v>460</v>
      </c>
      <c r="K7" s="7" t="s">
        <v>460</v>
      </c>
      <c r="L7" s="4"/>
      <c r="M7" s="7" t="s">
        <v>460</v>
      </c>
      <c r="N7" s="33" t="s">
        <v>477</v>
      </c>
      <c r="O7" s="33"/>
      <c r="P7" s="33"/>
      <c r="Q7" s="7"/>
      <c r="R7" s="4"/>
      <c r="S7" s="767" t="s">
        <v>478</v>
      </c>
      <c r="T7" s="767"/>
      <c r="U7" s="767"/>
      <c r="V7" s="3"/>
    </row>
    <row r="9" spans="1:22" ht="14.15" customHeight="1">
      <c r="A9" s="35" t="s">
        <v>364</v>
      </c>
      <c r="C9" s="36"/>
      <c r="G9" s="37"/>
      <c r="H9" s="37"/>
      <c r="I9" s="37"/>
      <c r="J9" s="37"/>
      <c r="K9" s="439">
        <f>+-ROUND(GETPIVOTDATA("Sum of Amount",'Pivot 2025'!$A$3,"FSL1","Profit and Loss","FSL2","Income From Donations","FSL3","Income From Donations"),0)</f>
        <v>36461449</v>
      </c>
      <c r="M9" s="38">
        <v>19036148</v>
      </c>
      <c r="N9" s="38">
        <v>46013528.689999998</v>
      </c>
      <c r="O9" s="38"/>
      <c r="P9" s="38" t="e">
        <v>#REF!</v>
      </c>
      <c r="R9" s="39"/>
      <c r="S9" s="38">
        <v>70923138.549999997</v>
      </c>
    </row>
    <row r="10" spans="1:22" ht="14.15" customHeight="1">
      <c r="A10" s="35"/>
      <c r="C10" s="36"/>
      <c r="G10" s="37"/>
      <c r="H10" s="37"/>
      <c r="I10" s="37"/>
      <c r="J10" s="37"/>
      <c r="K10" s="37"/>
      <c r="M10" s="38"/>
      <c r="N10" s="38"/>
      <c r="O10" s="38"/>
      <c r="P10" s="38"/>
      <c r="R10" s="39"/>
      <c r="S10" s="39"/>
    </row>
    <row r="11" spans="1:22" ht="14.15" customHeight="1">
      <c r="A11" s="35" t="s">
        <v>479</v>
      </c>
      <c r="C11" s="36"/>
      <c r="G11" s="37">
        <f>+'Con 5-18'!A107</f>
        <v>11</v>
      </c>
      <c r="H11" s="37"/>
      <c r="I11" s="743"/>
      <c r="J11" s="37"/>
      <c r="K11" s="40">
        <f>-GETPIVOTDATA("Sum of Amount",'Pivot 2025'!$A$3,"FSL1","Profit and Loss","FSL2","Operating Costs")</f>
        <v>-25789481</v>
      </c>
      <c r="M11" s="40">
        <f>-'Con 5-18'!O138</f>
        <v>-15852917</v>
      </c>
      <c r="N11" s="40" t="e">
        <f>+-'Con 5-18'!P138</f>
        <v>#REF!</v>
      </c>
      <c r="O11" s="38"/>
      <c r="P11" s="40" t="e">
        <f>+-'Con 5-18'!R138</f>
        <v>#REF!</v>
      </c>
      <c r="R11" s="12"/>
      <c r="S11" s="41" t="e">
        <f>+-'Con 5-18'!T138</f>
        <v>#REF!</v>
      </c>
    </row>
    <row r="12" spans="1:22" ht="14.15" customHeight="1">
      <c r="A12" s="34" t="s">
        <v>480</v>
      </c>
      <c r="G12" s="42">
        <f>+'Con 5-18'!A140</f>
        <v>12</v>
      </c>
      <c r="H12" s="42"/>
      <c r="I12" s="744"/>
      <c r="J12" s="42"/>
      <c r="K12" s="43">
        <f>-ROUND('Con 5-18'!M168,0)</f>
        <v>-7605812</v>
      </c>
      <c r="M12" s="43">
        <f>-'Con 5-18'!O168</f>
        <v>-4463948</v>
      </c>
      <c r="N12" s="43" t="e">
        <f>+-'Con 5-18'!P168</f>
        <v>#REF!</v>
      </c>
      <c r="O12" s="38"/>
      <c r="P12" s="43" t="e">
        <f>+-'Con 5-18'!R168</f>
        <v>#REF!</v>
      </c>
      <c r="R12" s="39"/>
      <c r="S12" s="44">
        <f>+-'Con 5-18'!T168</f>
        <v>-29875202.18</v>
      </c>
    </row>
    <row r="13" spans="1:22" ht="14.15" customHeight="1">
      <c r="A13" s="34" t="s">
        <v>481</v>
      </c>
      <c r="G13" s="42"/>
      <c r="H13" s="42"/>
      <c r="I13" s="42"/>
      <c r="J13" s="42"/>
      <c r="K13" s="38">
        <f>SUM(K11:K12)</f>
        <v>-33395293</v>
      </c>
      <c r="M13" s="38">
        <f>SUM(M11:M12)</f>
        <v>-20316865</v>
      </c>
      <c r="N13" s="38" t="e">
        <f>SUM(N11:N12)</f>
        <v>#REF!</v>
      </c>
      <c r="O13" s="38"/>
      <c r="P13" s="38" t="e">
        <f>SUM(P11:P12)</f>
        <v>#REF!</v>
      </c>
      <c r="R13" s="39"/>
      <c r="S13" s="39" t="e">
        <f>S11+S12</f>
        <v>#REF!</v>
      </c>
    </row>
    <row r="14" spans="1:22" ht="23.15" customHeight="1">
      <c r="G14" s="42"/>
      <c r="H14" s="42"/>
      <c r="I14" s="45"/>
      <c r="J14" s="42"/>
      <c r="K14" s="45"/>
      <c r="M14" s="46"/>
      <c r="N14" s="46"/>
      <c r="O14" s="38"/>
      <c r="P14" s="46"/>
      <c r="R14" s="39"/>
      <c r="S14" s="47"/>
    </row>
    <row r="15" spans="1:22" ht="14.15" customHeight="1">
      <c r="A15" s="48" t="s">
        <v>2004</v>
      </c>
      <c r="G15" s="49"/>
      <c r="H15" s="49"/>
      <c r="I15" s="49"/>
      <c r="J15" s="49"/>
      <c r="K15" s="50">
        <f>K9+K13</f>
        <v>3066156</v>
      </c>
      <c r="M15" s="50">
        <f>M9+M13</f>
        <v>-1280717</v>
      </c>
      <c r="N15" s="50" t="e">
        <f>N9+N13</f>
        <v>#REF!</v>
      </c>
      <c r="O15" s="50"/>
      <c r="P15" s="50" t="e">
        <f>P9+P13</f>
        <v>#REF!</v>
      </c>
      <c r="R15" s="51"/>
      <c r="S15" s="52" t="e">
        <f>S9+S13</f>
        <v>#REF!</v>
      </c>
    </row>
    <row r="16" spans="1:22" ht="14.15" customHeight="1">
      <c r="G16" s="49"/>
      <c r="H16" s="49"/>
      <c r="I16" s="49"/>
      <c r="J16" s="49"/>
      <c r="K16" s="49"/>
      <c r="M16" s="38"/>
      <c r="N16" s="38"/>
      <c r="O16" s="38"/>
      <c r="P16" s="38"/>
      <c r="R16" s="51"/>
      <c r="S16" s="39"/>
    </row>
    <row r="17" spans="1:27" ht="14.15" customHeight="1">
      <c r="A17" s="34" t="s">
        <v>482</v>
      </c>
      <c r="G17" s="42">
        <f>+'Con 5-18'!A188</f>
        <v>13</v>
      </c>
      <c r="H17" s="42"/>
      <c r="I17" s="42"/>
      <c r="J17" s="42"/>
      <c r="K17" s="38">
        <f>ROUND('Con 5-18'!M196,0)</f>
        <v>821846</v>
      </c>
      <c r="M17" s="38">
        <f>'Con 5-18'!O196</f>
        <v>1640088.5485</v>
      </c>
      <c r="N17" s="38">
        <f>+'Con 5-18'!P196</f>
        <v>786976.53</v>
      </c>
      <c r="O17" s="38"/>
      <c r="P17" s="38" t="e">
        <f>+'Con 5-18'!R196</f>
        <v>#REF!</v>
      </c>
      <c r="R17" s="39"/>
      <c r="S17" s="39">
        <f>+'Con 5-18'!T196</f>
        <v>1363912.1099999999</v>
      </c>
    </row>
    <row r="18" spans="1:27" ht="14.15" customHeight="1">
      <c r="A18" s="34" t="s">
        <v>483</v>
      </c>
      <c r="G18" s="42">
        <f>+'Con 5-18'!A204</f>
        <v>14</v>
      </c>
      <c r="H18" s="42"/>
      <c r="I18" s="42"/>
      <c r="J18" s="42"/>
      <c r="K18" s="38">
        <f>-ROUND('Con 5-18'!M209,0)</f>
        <v>-17863</v>
      </c>
      <c r="M18" s="38">
        <f>-'Con 5-18'!O209</f>
        <v>-365187</v>
      </c>
      <c r="N18" s="38" t="e">
        <f>-'Con 5-18'!P209</f>
        <v>#REF!</v>
      </c>
      <c r="O18" s="38"/>
      <c r="P18" s="38" t="e">
        <v>#REF!</v>
      </c>
      <c r="R18" s="39"/>
      <c r="S18" s="39">
        <v>0</v>
      </c>
    </row>
    <row r="19" spans="1:27" ht="14.15" customHeight="1">
      <c r="G19" s="53"/>
      <c r="H19" s="53"/>
      <c r="I19" s="54"/>
      <c r="J19" s="53"/>
      <c r="K19" s="54"/>
      <c r="M19" s="46"/>
      <c r="N19" s="46"/>
      <c r="O19" s="38"/>
      <c r="P19" s="46"/>
      <c r="R19" s="39"/>
      <c r="S19" s="47"/>
    </row>
    <row r="20" spans="1:27" ht="14.15" customHeight="1">
      <c r="A20" s="48" t="s">
        <v>2061</v>
      </c>
      <c r="K20" s="50">
        <f>K15+K17+K18</f>
        <v>3870139</v>
      </c>
      <c r="M20" s="50">
        <f>M15+M17+M18</f>
        <v>-5815.4514999999665</v>
      </c>
      <c r="N20" s="50" t="e">
        <f>N15+N17+N18</f>
        <v>#REF!</v>
      </c>
      <c r="O20" s="50"/>
      <c r="P20" s="50" t="e">
        <f>P15+P17+P18</f>
        <v>#REF!</v>
      </c>
      <c r="R20" s="39"/>
      <c r="S20" s="52" t="e">
        <f>S15+S17+S18</f>
        <v>#REF!</v>
      </c>
    </row>
    <row r="21" spans="1:27" ht="14.15" customHeight="1">
      <c r="A21" s="514"/>
      <c r="B21" s="514"/>
      <c r="C21" s="514"/>
      <c r="D21" s="514"/>
      <c r="K21" s="399"/>
      <c r="L21" s="399"/>
      <c r="M21" s="530"/>
      <c r="N21" s="50"/>
      <c r="O21" s="50"/>
      <c r="P21" s="50"/>
      <c r="R21" s="39"/>
      <c r="S21" s="52"/>
    </row>
    <row r="22" spans="1:27" ht="14.15" hidden="1" customHeight="1">
      <c r="A22" s="514" t="s">
        <v>1387</v>
      </c>
      <c r="B22" s="514"/>
      <c r="C22" s="514"/>
      <c r="D22" s="514"/>
      <c r="K22" s="399">
        <v>0</v>
      </c>
      <c r="L22" s="399"/>
      <c r="M22" s="530">
        <v>0</v>
      </c>
      <c r="N22" s="50"/>
      <c r="O22" s="50"/>
      <c r="P22" s="50"/>
      <c r="R22" s="39"/>
      <c r="S22" s="52"/>
    </row>
    <row r="23" spans="1:27" ht="14.15" hidden="1" customHeight="1">
      <c r="A23" s="514"/>
      <c r="B23" s="514"/>
      <c r="C23" s="514"/>
      <c r="D23" s="514"/>
      <c r="K23" s="531"/>
      <c r="L23" s="399"/>
      <c r="M23" s="532"/>
      <c r="N23" s="50"/>
      <c r="O23" s="50"/>
      <c r="P23" s="50"/>
      <c r="R23" s="39"/>
      <c r="S23" s="52"/>
    </row>
    <row r="24" spans="1:27" ht="14.15" hidden="1" customHeight="1">
      <c r="A24" s="515" t="s">
        <v>1420</v>
      </c>
      <c r="B24" s="514"/>
      <c r="C24" s="514"/>
      <c r="D24" s="514"/>
      <c r="K24" s="403">
        <f>SUM(K20:K23)</f>
        <v>3870139</v>
      </c>
      <c r="L24" s="403"/>
      <c r="M24" s="403">
        <f>SUM(M20:M23)</f>
        <v>-5815.4514999999665</v>
      </c>
      <c r="N24" s="50"/>
      <c r="O24" s="50"/>
      <c r="P24" s="50"/>
      <c r="R24" s="39"/>
      <c r="S24" s="52"/>
    </row>
    <row r="25" spans="1:27" ht="14.15" hidden="1" customHeight="1">
      <c r="A25" s="514"/>
      <c r="B25" s="514"/>
      <c r="C25" s="514"/>
      <c r="D25" s="514"/>
      <c r="K25" s="399"/>
      <c r="L25" s="399"/>
      <c r="M25" s="530"/>
      <c r="N25" s="50"/>
      <c r="O25" s="50"/>
      <c r="P25" s="50"/>
      <c r="R25" s="39"/>
      <c r="S25" s="52"/>
    </row>
    <row r="26" spans="1:27" ht="14.15" customHeight="1">
      <c r="A26" s="515" t="s">
        <v>484</v>
      </c>
      <c r="B26" s="514"/>
      <c r="C26" s="514"/>
      <c r="D26" s="514"/>
      <c r="K26" s="399"/>
      <c r="L26" s="399"/>
      <c r="M26" s="530"/>
      <c r="N26" s="50"/>
      <c r="O26" s="50"/>
      <c r="P26" s="50"/>
      <c r="R26" s="39"/>
      <c r="S26" s="52"/>
    </row>
    <row r="27" spans="1:27" ht="14.15" customHeight="1">
      <c r="A27" s="514" t="s">
        <v>508</v>
      </c>
      <c r="B27" s="514" t="s">
        <v>1380</v>
      </c>
      <c r="C27" s="514"/>
      <c r="D27" s="514"/>
      <c r="K27" s="665">
        <f>-'Adjustments 2025'!E77</f>
        <v>-678859</v>
      </c>
      <c r="L27" s="666"/>
      <c r="M27" s="533">
        <v>0</v>
      </c>
      <c r="N27" s="50"/>
      <c r="O27" s="50"/>
      <c r="P27" s="50"/>
      <c r="R27" s="39"/>
      <c r="S27" s="52"/>
    </row>
    <row r="28" spans="1:27" ht="14.15" customHeight="1">
      <c r="K28" s="399"/>
      <c r="L28" s="399"/>
      <c r="M28" s="533"/>
      <c r="N28" s="38"/>
      <c r="O28" s="38"/>
      <c r="P28" s="38"/>
      <c r="R28" s="39"/>
      <c r="S28" s="39"/>
    </row>
    <row r="29" spans="1:27" ht="14.15" customHeight="1" thickBot="1">
      <c r="A29" s="48" t="s">
        <v>1999</v>
      </c>
      <c r="I29" s="745"/>
      <c r="K29" s="534">
        <f>+K20+K27</f>
        <v>3191280</v>
      </c>
      <c r="L29" s="399"/>
      <c r="M29" s="534">
        <f>+M20+M27</f>
        <v>-5815.4514999999665</v>
      </c>
      <c r="N29" s="55" t="e">
        <f>+N20+#REF!</f>
        <v>#REF!</v>
      </c>
      <c r="O29" s="50"/>
      <c r="P29" s="55" t="e">
        <f>+P20+#REF!</f>
        <v>#REF!</v>
      </c>
      <c r="R29" s="39"/>
      <c r="S29" s="55" t="e">
        <f>+S20+#REF!</f>
        <v>#REF!</v>
      </c>
      <c r="Z29" s="56" t="e">
        <f>+N29+3049662</f>
        <v>#REF!</v>
      </c>
      <c r="AA29" s="56"/>
    </row>
    <row r="30" spans="1:27" ht="14.15" customHeight="1" thickTop="1">
      <c r="F30" s="57"/>
      <c r="G30" s="57"/>
      <c r="H30" s="57"/>
      <c r="I30" s="57"/>
      <c r="J30" s="57"/>
      <c r="K30" s="57"/>
      <c r="M30" s="57"/>
    </row>
    <row r="31" spans="1:27" ht="14.15" customHeight="1">
      <c r="F31" s="57"/>
      <c r="G31" s="57"/>
      <c r="H31" s="57"/>
      <c r="I31" s="57"/>
      <c r="J31" s="57"/>
      <c r="K31" s="57"/>
      <c r="M31" s="57"/>
    </row>
    <row r="32" spans="1:27" ht="14.15" customHeight="1">
      <c r="A32" s="30" t="str">
        <f>'Con BS'!A38</f>
        <v>The annexed notes form an integral part of these financial statements.</v>
      </c>
      <c r="F32" s="57"/>
      <c r="G32" s="57"/>
      <c r="H32" s="57"/>
      <c r="I32" s="57"/>
      <c r="J32" s="57"/>
      <c r="K32" s="57"/>
      <c r="L32" s="57"/>
      <c r="M32" s="39"/>
    </row>
    <row r="33" spans="1:22" ht="14.15" customHeight="1">
      <c r="F33" s="57"/>
      <c r="G33" s="57"/>
      <c r="H33" s="57"/>
      <c r="I33" s="57"/>
      <c r="J33" s="57"/>
      <c r="K33" s="57"/>
      <c r="L33" s="57"/>
      <c r="M33" s="39"/>
    </row>
    <row r="34" spans="1:22" ht="14.15" customHeight="1">
      <c r="A34" s="14"/>
      <c r="F34" s="57"/>
      <c r="G34" s="57"/>
      <c r="H34" s="57"/>
      <c r="I34" s="57"/>
      <c r="J34" s="57"/>
      <c r="K34" s="57"/>
      <c r="L34" s="57"/>
      <c r="M34" s="39"/>
    </row>
    <row r="35" spans="1:22" ht="14.15" customHeight="1">
      <c r="F35" s="57"/>
      <c r="G35" s="57"/>
      <c r="H35" s="57"/>
      <c r="I35" s="57"/>
      <c r="J35" s="57"/>
      <c r="K35" s="57"/>
      <c r="L35" s="57"/>
      <c r="M35" s="39"/>
    </row>
    <row r="36" spans="1:22" ht="14.15" customHeight="1">
      <c r="F36" s="57"/>
      <c r="G36" s="57"/>
      <c r="H36" s="57"/>
      <c r="I36" s="57"/>
      <c r="J36" s="57"/>
      <c r="K36" s="57"/>
      <c r="L36" s="57"/>
      <c r="M36" s="39"/>
    </row>
    <row r="37" spans="1:22" ht="14.15" customHeight="1">
      <c r="F37" s="57"/>
      <c r="G37" s="57"/>
      <c r="H37" s="57"/>
      <c r="I37" s="57"/>
      <c r="J37" s="57"/>
      <c r="K37" s="57"/>
      <c r="L37" s="57"/>
      <c r="M37" s="39"/>
    </row>
    <row r="38" spans="1:22" ht="14.15" customHeight="1">
      <c r="V38" s="34" t="s">
        <v>485</v>
      </c>
    </row>
    <row r="51" spans="1:19" s="31" customFormat="1" ht="14.15" customHeight="1"/>
    <row r="52" spans="1:19" s="31" customFormat="1" ht="14.15" customHeight="1"/>
    <row r="53" spans="1:19" s="31" customFormat="1" ht="14.15" customHeight="1"/>
    <row r="54" spans="1:19" s="31" customFormat="1" ht="14.15" customHeight="1"/>
    <row r="55" spans="1:19" s="31" customFormat="1" ht="14.15" customHeight="1"/>
    <row r="56" spans="1:19" s="31" customFormat="1" ht="14.15" customHeight="1"/>
    <row r="57" spans="1:19" s="31" customFormat="1" ht="14.15" customHeight="1"/>
    <row r="58" spans="1:19" s="31" customFormat="1" ht="14.15" customHeight="1"/>
    <row r="59" spans="1:19" s="31" customFormat="1" ht="14.15" customHeight="1" thickBot="1">
      <c r="A59" s="9"/>
      <c r="B59" s="9"/>
      <c r="C59" s="9"/>
      <c r="D59" s="9"/>
      <c r="E59" s="9"/>
      <c r="F59" s="9"/>
      <c r="G59" s="32"/>
      <c r="H59" s="32"/>
      <c r="I59" s="32"/>
      <c r="J59" s="32"/>
      <c r="K59" s="32"/>
      <c r="L59" s="32"/>
      <c r="M59" s="9"/>
      <c r="N59" s="4"/>
      <c r="O59" s="4"/>
    </row>
    <row r="60" spans="1:19" s="31" customFormat="1" ht="14.15" customHeight="1">
      <c r="A60" s="4"/>
      <c r="B60" s="33" t="s">
        <v>477</v>
      </c>
      <c r="C60" s="33"/>
      <c r="D60" s="33"/>
      <c r="E60" s="7"/>
      <c r="F60" s="4"/>
      <c r="G60" s="767" t="s">
        <v>478</v>
      </c>
      <c r="H60" s="767"/>
      <c r="I60" s="767"/>
      <c r="J60" s="767"/>
      <c r="K60" s="767"/>
      <c r="L60" s="767"/>
      <c r="M60" s="3"/>
      <c r="N60" s="3"/>
      <c r="O60" s="3"/>
      <c r="P60" s="3"/>
      <c r="Q60" s="58"/>
      <c r="R60" s="58"/>
      <c r="S60" s="3"/>
    </row>
    <row r="61" spans="1:19" s="31" customFormat="1" ht="14.15" customHeight="1"/>
    <row r="62" spans="1:19" ht="14.15" customHeight="1">
      <c r="B62" s="59"/>
      <c r="C62" s="59"/>
      <c r="D62" s="59"/>
      <c r="E62" s="59"/>
      <c r="F62" s="59"/>
      <c r="G62" s="59"/>
      <c r="H62" s="59"/>
      <c r="I62" s="59"/>
      <c r="J62" s="59"/>
      <c r="K62" s="59"/>
      <c r="L62" s="59"/>
      <c r="M62" s="59"/>
    </row>
    <row r="63" spans="1:19" ht="14.15" customHeight="1">
      <c r="B63" s="59"/>
      <c r="C63" s="59"/>
      <c r="D63" s="59"/>
      <c r="E63" s="59"/>
      <c r="F63" s="59"/>
      <c r="G63" s="59"/>
      <c r="H63" s="59"/>
      <c r="I63" s="59"/>
      <c r="J63" s="59"/>
      <c r="K63" s="59"/>
      <c r="L63" s="59"/>
      <c r="M63" s="59"/>
    </row>
    <row r="64" spans="1:19" ht="14.15" customHeight="1">
      <c r="B64" s="60"/>
      <c r="C64" s="9"/>
      <c r="D64" s="9"/>
      <c r="E64" s="9"/>
      <c r="F64" s="9"/>
      <c r="G64" s="9"/>
      <c r="H64" s="9"/>
      <c r="I64" s="9"/>
      <c r="J64" s="9"/>
      <c r="K64" s="9"/>
      <c r="L64" s="9"/>
      <c r="M64" s="9"/>
    </row>
    <row r="350" spans="3:12" ht="14.15" customHeight="1">
      <c r="F350" s="34">
        <v>9788859</v>
      </c>
      <c r="G350" s="34">
        <v>9788859</v>
      </c>
      <c r="L350" s="34">
        <v>9788859</v>
      </c>
    </row>
    <row r="351" spans="3:12" ht="14.15" customHeight="1">
      <c r="C351" s="34" t="s">
        <v>1388</v>
      </c>
      <c r="F351" s="34">
        <v>39791015</v>
      </c>
      <c r="G351" s="34">
        <v>39791015</v>
      </c>
      <c r="L351" s="34">
        <v>39791015</v>
      </c>
    </row>
    <row r="401" spans="15:15" ht="14.15" customHeight="1">
      <c r="O401" s="34">
        <v>0</v>
      </c>
    </row>
  </sheetData>
  <mergeCells count="2">
    <mergeCell ref="S7:U7"/>
    <mergeCell ref="G60:L60"/>
  </mergeCells>
  <pageMargins left="0.9" right="0.4" top="0.75" bottom="0.25" header="0.25" footer="0.5"/>
  <pageSetup paperSize="9" scale="83"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401"/>
  <sheetViews>
    <sheetView view="pageBreakPreview" zoomScaleNormal="100" zoomScaleSheetLayoutView="100" workbookViewId="0">
      <selection activeCell="L33" sqref="L33"/>
    </sheetView>
  </sheetViews>
  <sheetFormatPr defaultColWidth="9.1796875" defaultRowHeight="14.15" customHeight="1"/>
  <cols>
    <col min="1" max="3" width="6.26953125" style="34" customWidth="1"/>
    <col min="4" max="4" width="11.7265625" style="34" customWidth="1"/>
    <col min="5" max="5" width="10.26953125" style="34" customWidth="1"/>
    <col min="6" max="6" width="11.7265625" style="34" customWidth="1"/>
    <col min="7" max="7" width="6.26953125" style="34" customWidth="1"/>
    <col min="8" max="8" width="14.81640625" style="34" customWidth="1"/>
    <col min="9" max="9" width="6.26953125" style="34" customWidth="1"/>
    <col min="10" max="10" width="13.453125" style="34" customWidth="1"/>
    <col min="11" max="12" width="6.26953125" style="34" customWidth="1"/>
    <col min="13" max="13" width="11.7265625" style="34" customWidth="1"/>
    <col min="14" max="14" width="6.26953125" style="34" customWidth="1"/>
    <col min="15" max="15" width="11.7265625" style="34" customWidth="1"/>
    <col min="16" max="16" width="11.26953125" style="34" hidden="1" customWidth="1"/>
    <col min="17" max="17" width="9.26953125" style="34" hidden="1" customWidth="1"/>
    <col min="18" max="18" width="11.1796875" style="34" hidden="1" customWidth="1"/>
    <col min="19" max="19" width="11.453125" style="34" hidden="1" customWidth="1"/>
    <col min="20" max="21" width="0" style="34" hidden="1" customWidth="1"/>
    <col min="22" max="22" width="11.54296875" style="34" hidden="1" customWidth="1"/>
    <col min="23" max="24" width="9.26953125" style="34" hidden="1" customWidth="1"/>
    <col min="25" max="36" width="0" style="34" hidden="1" customWidth="1"/>
    <col min="37" max="37" width="14.54296875" style="34" bestFit="1" customWidth="1"/>
    <col min="38" max="38" width="11.54296875" style="34" bestFit="1" customWidth="1"/>
    <col min="39" max="39" width="9.1796875" style="34"/>
    <col min="40" max="40" width="10.54296875" style="34" bestFit="1" customWidth="1"/>
    <col min="41" max="16384" width="9.1796875" style="34"/>
  </cols>
  <sheetData>
    <row r="1" spans="1:38" ht="14.15" customHeight="1">
      <c r="A1" s="3" t="s">
        <v>457</v>
      </c>
    </row>
    <row r="2" spans="1:38" ht="14.15" customHeight="1">
      <c r="A2" s="16" t="s">
        <v>1400</v>
      </c>
    </row>
    <row r="3" spans="1:38" ht="14.15" customHeight="1">
      <c r="A3" s="16" t="str">
        <f>'Con I EX'!A3</f>
        <v>FOR THE YEAR ENDED JUNE 30, 2025</v>
      </c>
    </row>
    <row r="4" spans="1:38" ht="14.15" customHeight="1">
      <c r="A4" s="16"/>
    </row>
    <row r="5" spans="1:38" ht="14.15" customHeight="1" thickBot="1"/>
    <row r="6" spans="1:38" ht="14.15" customHeight="1">
      <c r="H6" s="768" t="s">
        <v>1998</v>
      </c>
      <c r="J6" s="768" t="s">
        <v>1288</v>
      </c>
      <c r="M6" s="768" t="s">
        <v>1998</v>
      </c>
      <c r="O6" s="768" t="s">
        <v>1288</v>
      </c>
    </row>
    <row r="7" spans="1:38" ht="14.15" customHeight="1">
      <c r="H7" s="769"/>
      <c r="J7" s="769"/>
      <c r="M7" s="769"/>
      <c r="O7" s="769"/>
    </row>
    <row r="8" spans="1:38" ht="14.15" customHeight="1">
      <c r="H8" s="769"/>
      <c r="J8" s="769"/>
      <c r="M8" s="769"/>
      <c r="O8" s="769"/>
      <c r="AL8" s="34" t="s">
        <v>1030</v>
      </c>
    </row>
    <row r="9" spans="1:38" ht="14.15" customHeight="1" thickBot="1">
      <c r="H9" s="770"/>
      <c r="J9" s="770"/>
      <c r="M9" s="770"/>
      <c r="O9" s="770"/>
    </row>
    <row r="10" spans="1:38" ht="14.15" customHeight="1" thickBot="1">
      <c r="H10" s="771" t="s">
        <v>486</v>
      </c>
      <c r="I10" s="772"/>
      <c r="J10" s="773"/>
      <c r="M10" s="771" t="s">
        <v>486</v>
      </c>
      <c r="N10" s="772"/>
      <c r="O10" s="773"/>
      <c r="P10" s="61"/>
      <c r="AL10" s="34" t="s">
        <v>1030</v>
      </c>
    </row>
    <row r="11" spans="1:38" ht="14.15" customHeight="1">
      <c r="P11" s="62"/>
    </row>
    <row r="12" spans="1:38" ht="14.15" hidden="1" customHeight="1">
      <c r="A12" s="48" t="s">
        <v>487</v>
      </c>
      <c r="H12" s="63"/>
      <c r="I12" s="64">
        <v>50097736.099999994</v>
      </c>
      <c r="M12" s="63"/>
      <c r="N12" s="64">
        <v>50097736.099999994</v>
      </c>
      <c r="P12" s="65">
        <f>N12</f>
        <v>50097736.099999994</v>
      </c>
    </row>
    <row r="13" spans="1:38" ht="14.15" hidden="1" customHeight="1">
      <c r="A13" s="48"/>
      <c r="H13" s="63"/>
      <c r="I13" s="64"/>
      <c r="M13" s="63"/>
      <c r="N13" s="64"/>
      <c r="P13" s="65"/>
    </row>
    <row r="14" spans="1:38" ht="23.15" hidden="1" customHeight="1">
      <c r="A14" s="34" t="s">
        <v>1418</v>
      </c>
      <c r="I14" s="66">
        <v>0</v>
      </c>
      <c r="N14" s="66">
        <v>0</v>
      </c>
      <c r="P14" s="67">
        <f>N14</f>
        <v>0</v>
      </c>
    </row>
    <row r="15" spans="1:38" ht="14.15" hidden="1" customHeight="1">
      <c r="I15" s="68"/>
      <c r="N15" s="68"/>
      <c r="P15" s="69"/>
      <c r="R15" s="34">
        <v>43840936.79999999</v>
      </c>
    </row>
    <row r="16" spans="1:38" ht="14.15" hidden="1" customHeight="1">
      <c r="A16" s="48" t="s">
        <v>648</v>
      </c>
      <c r="H16" s="70">
        <v>8021729.0999999968</v>
      </c>
      <c r="I16" s="48"/>
      <c r="J16" s="71">
        <f>H16</f>
        <v>8021729.0999999968</v>
      </c>
      <c r="M16" s="70">
        <v>8021729.0999999968</v>
      </c>
      <c r="N16" s="48"/>
      <c r="O16" s="71">
        <f>M16</f>
        <v>8021729.0999999968</v>
      </c>
    </row>
    <row r="17" spans="1:40" ht="14.15" hidden="1" customHeight="1">
      <c r="H17" s="66"/>
      <c r="J17" s="56"/>
      <c r="M17" s="66"/>
      <c r="O17" s="56"/>
    </row>
    <row r="18" spans="1:40" ht="14.15" hidden="1" customHeight="1">
      <c r="A18" s="36" t="s">
        <v>488</v>
      </c>
      <c r="H18" s="72">
        <v>-12489403.810000001</v>
      </c>
      <c r="J18" s="56">
        <f>H18</f>
        <v>-12489403.810000001</v>
      </c>
      <c r="M18" s="72">
        <v>-12489403.810000001</v>
      </c>
      <c r="O18" s="56">
        <f>M18</f>
        <v>-12489403.810000001</v>
      </c>
    </row>
    <row r="19" spans="1:40" ht="14.15" hidden="1" customHeight="1">
      <c r="A19" s="36"/>
      <c r="H19" s="68"/>
      <c r="J19" s="73"/>
      <c r="M19" s="68"/>
      <c r="O19" s="73"/>
    </row>
    <row r="20" spans="1:40" s="48" customFormat="1" ht="14.15" hidden="1" customHeight="1">
      <c r="A20" s="48" t="s">
        <v>1326</v>
      </c>
      <c r="H20" s="74">
        <v>-22020233.899999999</v>
      </c>
      <c r="J20" s="75">
        <f>+H20</f>
        <v>-22020233.899999999</v>
      </c>
      <c r="M20" s="74">
        <v>-22020233.899999999</v>
      </c>
      <c r="O20" s="75">
        <f>+M20</f>
        <v>-22020233.899999999</v>
      </c>
    </row>
    <row r="21" spans="1:40" s="48" customFormat="1" ht="14.15" hidden="1" customHeight="1">
      <c r="H21" s="74"/>
      <c r="J21" s="75"/>
      <c r="M21" s="74"/>
      <c r="O21" s="75"/>
      <c r="AK21" s="75"/>
    </row>
    <row r="22" spans="1:40" ht="14.15" hidden="1" customHeight="1">
      <c r="A22" s="36" t="s">
        <v>1421</v>
      </c>
      <c r="H22" s="72">
        <v>22288181</v>
      </c>
      <c r="J22" s="56">
        <f>H22</f>
        <v>22288181</v>
      </c>
      <c r="M22" s="72">
        <v>22288181</v>
      </c>
      <c r="O22" s="56">
        <f>M22</f>
        <v>22288181</v>
      </c>
      <c r="AK22" s="56"/>
    </row>
    <row r="23" spans="1:40" ht="14.15" hidden="1" customHeight="1">
      <c r="J23" s="56"/>
      <c r="O23" s="56"/>
    </row>
    <row r="24" spans="1:40" s="27" customFormat="1" ht="14.15" customHeight="1">
      <c r="A24" s="27" t="s">
        <v>1433</v>
      </c>
      <c r="H24" s="74">
        <v>-30419445</v>
      </c>
      <c r="J24" s="75">
        <f>+H24</f>
        <v>-30419445</v>
      </c>
      <c r="M24" s="74">
        <v>-30419445</v>
      </c>
      <c r="O24" s="75">
        <f>+M24</f>
        <v>-30419445</v>
      </c>
      <c r="AK24" s="289"/>
      <c r="AL24" s="74">
        <f>+GETPIVOTDATA("Sum of Amount",'Pivot 2025'!$A$3,"FSL1","Balance Sheet","FSL2","Fund Balance")</f>
        <v>30425260.060024992</v>
      </c>
      <c r="AN24" s="74"/>
    </row>
    <row r="25" spans="1:40" s="27" customFormat="1" ht="14.15" customHeight="1">
      <c r="A25" s="568"/>
      <c r="H25" s="74"/>
      <c r="J25" s="75"/>
      <c r="M25" s="74"/>
      <c r="O25" s="75"/>
      <c r="AK25" s="289"/>
      <c r="AL25" s="74">
        <f>+AL24+M24</f>
        <v>5815.0600249916315</v>
      </c>
      <c r="AN25" s="74"/>
    </row>
    <row r="26" spans="1:40" s="27" customFormat="1" ht="14.15" customHeight="1">
      <c r="A26" s="36" t="s">
        <v>1401</v>
      </c>
      <c r="H26" s="482">
        <f>+'Con I EX'!H29</f>
        <v>0</v>
      </c>
      <c r="J26" s="56">
        <f>+H26</f>
        <v>0</v>
      </c>
      <c r="M26" s="482">
        <f>+'Con I EX'!M29</f>
        <v>-5815.4514999999665</v>
      </c>
      <c r="O26" s="56">
        <f>+M26</f>
        <v>-5815.4514999999665</v>
      </c>
      <c r="AK26" s="289"/>
      <c r="AL26" s="74"/>
      <c r="AN26" s="74"/>
    </row>
    <row r="27" spans="1:40" s="27" customFormat="1" ht="14.15" customHeight="1">
      <c r="H27" s="566"/>
      <c r="J27" s="567"/>
      <c r="M27" s="566"/>
      <c r="O27" s="567"/>
      <c r="AK27" s="289"/>
      <c r="AL27" s="74"/>
      <c r="AN27" s="74"/>
    </row>
    <row r="28" spans="1:40" s="27" customFormat="1" ht="14.15" customHeight="1">
      <c r="A28" s="27" t="s">
        <v>1327</v>
      </c>
      <c r="H28" s="74">
        <f>+H24+H26</f>
        <v>-30419445</v>
      </c>
      <c r="J28" s="74">
        <f>+J24+J26</f>
        <v>-30419445</v>
      </c>
      <c r="M28" s="74">
        <f>+M24+M26</f>
        <v>-30425260.451499999</v>
      </c>
      <c r="O28" s="74">
        <f>+O24+O26</f>
        <v>-30425260.451499999</v>
      </c>
      <c r="AK28" s="289"/>
      <c r="AL28" s="74"/>
      <c r="AN28" s="74"/>
    </row>
    <row r="29" spans="1:40" s="27" customFormat="1" ht="14.15" customHeight="1">
      <c r="H29" s="74"/>
      <c r="J29" s="75"/>
      <c r="M29" s="74"/>
      <c r="O29" s="75"/>
      <c r="AK29" s="289"/>
      <c r="AL29" s="74"/>
      <c r="AN29" s="74"/>
    </row>
    <row r="30" spans="1:40" s="27" customFormat="1" ht="14.15" customHeight="1">
      <c r="A30" s="36" t="s">
        <v>2005</v>
      </c>
      <c r="H30" s="482">
        <f>'Con I EX'!F29</f>
        <v>0</v>
      </c>
      <c r="J30" s="56">
        <f>+H30</f>
        <v>0</v>
      </c>
      <c r="M30" s="482">
        <f>'Con I EX'!K29</f>
        <v>3191280</v>
      </c>
      <c r="O30" s="56">
        <f>+M30</f>
        <v>3191280</v>
      </c>
    </row>
    <row r="31" spans="1:40" s="27" customFormat="1" ht="14.15" customHeight="1">
      <c r="H31" s="74"/>
      <c r="J31" s="75"/>
      <c r="M31" s="74"/>
      <c r="O31" s="75"/>
    </row>
    <row r="32" spans="1:40" s="27" customFormat="1" ht="14.15" customHeight="1" thickBot="1">
      <c r="A32" s="27" t="s">
        <v>1434</v>
      </c>
      <c r="H32" s="367">
        <f>+H28+H30</f>
        <v>-30419445</v>
      </c>
      <c r="J32" s="367">
        <f>+J28+J30</f>
        <v>-30419445</v>
      </c>
      <c r="M32" s="367">
        <f>+M28+M30</f>
        <v>-27233980.451499999</v>
      </c>
      <c r="O32" s="367">
        <f>+O28+O30</f>
        <v>-27233980.451499999</v>
      </c>
    </row>
    <row r="33" spans="1:19" s="27" customFormat="1" ht="14.15" customHeight="1" thickTop="1">
      <c r="M33" s="74"/>
      <c r="O33" s="75"/>
    </row>
    <row r="34" spans="1:19" s="27" customFormat="1" ht="14.15" customHeight="1">
      <c r="M34" s="74"/>
      <c r="O34" s="75"/>
    </row>
    <row r="35" spans="1:19" ht="14.15" customHeight="1">
      <c r="A35" s="30" t="str">
        <f>'Con BS'!A38</f>
        <v>The annexed notes form an integral part of these financial statements.</v>
      </c>
    </row>
    <row r="36" spans="1:19" ht="14.15" customHeight="1">
      <c r="S36" s="56" t="e">
        <f>#REF!-#REF!</f>
        <v>#REF!</v>
      </c>
    </row>
    <row r="38" spans="1:19" ht="14.15" customHeight="1">
      <c r="A38" s="14"/>
    </row>
    <row r="39" spans="1:19" ht="14.15" customHeight="1">
      <c r="A39" s="14"/>
    </row>
    <row r="40" spans="1:19" ht="14.15" customHeight="1">
      <c r="A40" s="14"/>
    </row>
    <row r="41" spans="1:19" ht="14.15" customHeight="1">
      <c r="A41" s="14"/>
    </row>
    <row r="52" s="31" customFormat="1" ht="14.15" customHeight="1"/>
    <row r="53" s="31" customFormat="1" ht="14.15" customHeight="1"/>
    <row r="54" s="31" customFormat="1" ht="14.15" customHeight="1"/>
    <row r="55" s="31" customFormat="1" ht="14.15" customHeight="1"/>
    <row r="56" s="31" customFormat="1" ht="14.15" customHeight="1"/>
    <row r="57" s="31" customFormat="1" ht="14.15" customHeight="1"/>
    <row r="58" s="31" customFormat="1" ht="14.15" customHeight="1"/>
    <row r="59" s="31" customFormat="1" ht="14.15" customHeight="1"/>
    <row r="60" s="31" customFormat="1" ht="14.15" customHeight="1"/>
    <row r="61" s="31" customFormat="1" ht="14.15" customHeight="1"/>
    <row r="62" s="31" customFormat="1" ht="14.15" customHeight="1"/>
    <row r="63" s="31" customFormat="1" ht="14.15" customHeight="1"/>
    <row r="64" s="31" customFormat="1" ht="14.15" customHeight="1"/>
    <row r="65" spans="1:16" s="31" customFormat="1" ht="14.15" customHeight="1"/>
    <row r="66" spans="1:16" s="31" customFormat="1" ht="14.15" customHeight="1"/>
    <row r="67" spans="1:16" s="31" customFormat="1" ht="14.15" customHeight="1" thickBot="1">
      <c r="A67" s="9"/>
      <c r="B67" s="9"/>
      <c r="C67" s="9"/>
      <c r="D67" s="9"/>
      <c r="E67" s="9"/>
      <c r="F67" s="9"/>
      <c r="G67" s="32"/>
      <c r="H67" s="32"/>
      <c r="I67" s="32"/>
      <c r="J67" s="32"/>
      <c r="K67" s="32"/>
      <c r="L67" s="32"/>
      <c r="M67" s="32"/>
      <c r="N67" s="32"/>
      <c r="O67" s="9"/>
    </row>
    <row r="68" spans="1:16" s="31" customFormat="1" ht="14.15" customHeight="1">
      <c r="A68" s="4"/>
      <c r="B68" s="33" t="s">
        <v>477</v>
      </c>
      <c r="C68" s="33"/>
      <c r="D68" s="33"/>
      <c r="E68" s="7"/>
      <c r="F68" s="4"/>
      <c r="G68" s="767" t="s">
        <v>478</v>
      </c>
      <c r="H68" s="767"/>
      <c r="I68" s="767"/>
      <c r="J68" s="767"/>
      <c r="K68" s="767"/>
      <c r="L68" s="767"/>
      <c r="M68" s="767"/>
      <c r="N68" s="767"/>
      <c r="O68" s="3"/>
      <c r="P68" s="3"/>
    </row>
    <row r="69" spans="1:16" s="31" customFormat="1" ht="14.15" customHeight="1"/>
    <row r="350" spans="3:14" ht="14.15" customHeight="1">
      <c r="F350" s="34">
        <v>9788859</v>
      </c>
      <c r="G350" s="34">
        <v>9788859</v>
      </c>
      <c r="N350" s="34">
        <v>9788859</v>
      </c>
    </row>
    <row r="351" spans="3:14" ht="14.15" customHeight="1">
      <c r="C351" s="34" t="s">
        <v>1388</v>
      </c>
      <c r="F351" s="34">
        <v>39791015</v>
      </c>
      <c r="G351" s="34">
        <v>39791015</v>
      </c>
      <c r="N351" s="34">
        <v>39791015</v>
      </c>
    </row>
    <row r="401" spans="17:17" ht="14.15" customHeight="1">
      <c r="Q401" s="34">
        <v>0</v>
      </c>
    </row>
  </sheetData>
  <mergeCells count="7">
    <mergeCell ref="M6:M9"/>
    <mergeCell ref="O6:O9"/>
    <mergeCell ref="M10:O10"/>
    <mergeCell ref="G68:N68"/>
    <mergeCell ref="H6:H9"/>
    <mergeCell ref="J6:J9"/>
    <mergeCell ref="H10:J10"/>
  </mergeCells>
  <pageMargins left="0.9" right="0.4" top="0.75" bottom="0.25" header="0.25" footer="0.5"/>
  <pageSetup paperSize="9" scale="6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397"/>
  <sheetViews>
    <sheetView view="pageBreakPreview" topLeftCell="A41" zoomScaleNormal="100" zoomScaleSheetLayoutView="100" workbookViewId="0">
      <selection activeCell="I67" sqref="I67"/>
    </sheetView>
  </sheetViews>
  <sheetFormatPr defaultColWidth="9.1796875" defaultRowHeight="14.15" customHeight="1"/>
  <cols>
    <col min="1" max="3" width="6.26953125" style="80" customWidth="1"/>
    <col min="4" max="5" width="11.7265625" style="80" customWidth="1"/>
    <col min="6" max="6" width="9.54296875" style="80" customWidth="1"/>
    <col min="7" max="7" width="6.26953125" style="80" customWidth="1"/>
    <col min="8" max="8" width="11.7265625" style="80" customWidth="1"/>
    <col min="9" max="9" width="6.26953125" style="80" customWidth="1"/>
    <col min="10" max="10" width="11.7265625" style="80" customWidth="1"/>
    <col min="11" max="11" width="5.7265625" style="34" hidden="1" customWidth="1"/>
    <col min="12" max="12" width="11.26953125" style="34" hidden="1" customWidth="1"/>
    <col min="13" max="13" width="11.453125" style="34" hidden="1" customWidth="1"/>
    <col min="14" max="14" width="12.81640625" style="34" hidden="1" customWidth="1"/>
    <col min="15" max="15" width="11.54296875" style="34" hidden="1" customWidth="1"/>
    <col min="16" max="16" width="13.7265625" style="34" hidden="1" customWidth="1"/>
    <col min="17" max="17" width="9.54296875" style="34" hidden="1" customWidth="1"/>
    <col min="18" max="18" width="9.1796875" style="34" hidden="1" customWidth="1"/>
    <col min="19" max="19" width="11.54296875" style="34" customWidth="1"/>
    <col min="20" max="20" width="12.1796875" style="34" customWidth="1"/>
    <col min="21" max="21" width="9.1796875" style="34" customWidth="1"/>
    <col min="22" max="22" width="10" style="34" customWidth="1"/>
    <col min="23" max="29" width="9.1796875" style="34" customWidth="1"/>
    <col min="30" max="31" width="9.1796875" style="34"/>
    <col min="32" max="32" width="10.54296875" style="34" customWidth="1"/>
    <col min="33" max="16384" width="9.1796875" style="34"/>
  </cols>
  <sheetData>
    <row r="1" spans="1:21" ht="14.15" customHeight="1">
      <c r="A1" s="3" t="s">
        <v>457</v>
      </c>
    </row>
    <row r="2" spans="1:21" ht="14.15" customHeight="1">
      <c r="A2" s="3" t="s">
        <v>1376</v>
      </c>
    </row>
    <row r="3" spans="1:21" ht="14.15" customHeight="1">
      <c r="A3" s="3" t="str">
        <f>+SOCE!A3</f>
        <v>FOR THE YEAR ENDED JUNE 30, 2025</v>
      </c>
    </row>
    <row r="4" spans="1:21" ht="14.15" customHeight="1">
      <c r="A4" s="3"/>
    </row>
    <row r="5" spans="1:21" ht="14.15" customHeight="1">
      <c r="J5" s="557"/>
      <c r="L5" s="77"/>
    </row>
    <row r="6" spans="1:21" ht="14.15" customHeight="1">
      <c r="H6" s="5">
        <v>2025</v>
      </c>
      <c r="I6" s="5"/>
      <c r="J6" s="5">
        <v>2024</v>
      </c>
      <c r="L6" s="78">
        <v>2016</v>
      </c>
    </row>
    <row r="7" spans="1:21" ht="14.15" customHeight="1">
      <c r="G7" s="535" t="s">
        <v>459</v>
      </c>
      <c r="H7" s="7" t="s">
        <v>460</v>
      </c>
      <c r="I7" s="7"/>
      <c r="J7" s="7" t="s">
        <v>460</v>
      </c>
      <c r="L7" s="6" t="s">
        <v>460</v>
      </c>
    </row>
    <row r="8" spans="1:21" ht="14.15" customHeight="1">
      <c r="A8" s="79" t="s">
        <v>489</v>
      </c>
    </row>
    <row r="9" spans="1:21" ht="14.15" customHeight="1">
      <c r="A9" s="80" t="str">
        <f>+'Con I EX'!A20</f>
        <v xml:space="preserve">Surplus / (deficit) before income tax </v>
      </c>
      <c r="H9" s="536">
        <f>'Con I EX'!K20</f>
        <v>3870139</v>
      </c>
      <c r="I9" s="537"/>
      <c r="J9" s="536">
        <v>-5815</v>
      </c>
      <c r="L9" s="81" t="e">
        <f>+'Con I EX'!P20</f>
        <v>#REF!</v>
      </c>
      <c r="O9" s="56">
        <f>ROUND(J9,0)</f>
        <v>-5815</v>
      </c>
    </row>
    <row r="10" spans="1:21" ht="14.15" customHeight="1">
      <c r="A10" s="79" t="s">
        <v>490</v>
      </c>
      <c r="H10" s="536"/>
      <c r="I10" s="537"/>
      <c r="J10" s="536"/>
      <c r="L10" s="81"/>
      <c r="O10" s="56">
        <f t="shared" ref="O10:O45" si="0">ROUND(J10,0)</f>
        <v>0</v>
      </c>
    </row>
    <row r="11" spans="1:21" ht="14.15" customHeight="1">
      <c r="A11" s="82" t="s">
        <v>491</v>
      </c>
      <c r="G11" s="538"/>
      <c r="H11" s="537">
        <f>-'PPE-Note-4'!O51</f>
        <v>869984</v>
      </c>
      <c r="I11" s="537"/>
      <c r="J11" s="537">
        <v>935314</v>
      </c>
      <c r="K11" s="12"/>
      <c r="L11" s="38" t="e">
        <f>+#REF!</f>
        <v>#REF!</v>
      </c>
      <c r="O11" s="56">
        <f t="shared" si="0"/>
        <v>935314</v>
      </c>
    </row>
    <row r="12" spans="1:21" ht="14.15" customHeight="1">
      <c r="A12" s="82" t="s">
        <v>492</v>
      </c>
      <c r="G12" s="539"/>
      <c r="H12" s="537">
        <f>-'Con 5-18'!M7</f>
        <v>2907</v>
      </c>
      <c r="I12" s="537"/>
      <c r="J12" s="537">
        <v>4361</v>
      </c>
      <c r="K12" s="12"/>
      <c r="L12" s="38">
        <v>0</v>
      </c>
      <c r="O12" s="56"/>
    </row>
    <row r="13" spans="1:21" ht="14.15" hidden="1" customHeight="1">
      <c r="A13" s="82" t="s">
        <v>493</v>
      </c>
      <c r="G13" s="539"/>
      <c r="H13" s="537">
        <v>0</v>
      </c>
      <c r="I13" s="537"/>
      <c r="J13" s="537">
        <v>0</v>
      </c>
      <c r="K13" s="12"/>
      <c r="L13" s="38">
        <v>0</v>
      </c>
      <c r="O13" s="56"/>
    </row>
    <row r="14" spans="1:21" ht="23.15" hidden="1" customHeight="1">
      <c r="A14" s="540" t="s">
        <v>494</v>
      </c>
      <c r="G14" s="539"/>
      <c r="H14" s="536">
        <v>0</v>
      </c>
      <c r="I14" s="537"/>
      <c r="J14" s="536">
        <v>0</v>
      </c>
      <c r="L14" s="81">
        <f>-2898650-L23</f>
        <v>1959879</v>
      </c>
      <c r="O14" s="56">
        <f t="shared" si="0"/>
        <v>0</v>
      </c>
    </row>
    <row r="15" spans="1:21" ht="14.15" hidden="1" customHeight="1">
      <c r="A15" s="540" t="s">
        <v>1242</v>
      </c>
      <c r="G15" s="539"/>
      <c r="H15" s="536">
        <f>+-'Con 5-18'!M193</f>
        <v>0</v>
      </c>
      <c r="I15" s="537"/>
      <c r="J15" s="536">
        <v>0</v>
      </c>
      <c r="L15" s="81"/>
      <c r="O15" s="56"/>
    </row>
    <row r="16" spans="1:21" ht="14.15" customHeight="1">
      <c r="A16" s="80" t="s">
        <v>495</v>
      </c>
      <c r="G16" s="539"/>
      <c r="H16" s="541">
        <f>'Con 5-18'!M209</f>
        <v>17863</v>
      </c>
      <c r="I16" s="537"/>
      <c r="J16" s="541">
        <v>365187</v>
      </c>
      <c r="L16" s="46">
        <v>248810</v>
      </c>
      <c r="O16" s="56">
        <f t="shared" si="0"/>
        <v>365187</v>
      </c>
      <c r="U16" s="56"/>
    </row>
    <row r="17" spans="1:20" s="48" customFormat="1" ht="14.15" customHeight="1">
      <c r="A17" s="79" t="s">
        <v>2003</v>
      </c>
      <c r="B17" s="79"/>
      <c r="C17" s="79"/>
      <c r="D17" s="79"/>
      <c r="E17" s="79"/>
      <c r="F17" s="79"/>
      <c r="G17" s="539"/>
      <c r="H17" s="542">
        <f>SUM(H9:H16)</f>
        <v>4760893</v>
      </c>
      <c r="I17" s="543"/>
      <c r="J17" s="542">
        <v>1299047</v>
      </c>
      <c r="L17" s="83" t="e">
        <f>SUM(L8:L16)</f>
        <v>#REF!</v>
      </c>
      <c r="O17" s="83">
        <f>SUM(O9:O16)</f>
        <v>1294686</v>
      </c>
      <c r="Q17" s="48">
        <v>-17602669</v>
      </c>
      <c r="T17" s="75"/>
    </row>
    <row r="18" spans="1:20" ht="14.15" customHeight="1">
      <c r="A18" s="79"/>
      <c r="G18" s="539"/>
      <c r="H18" s="536"/>
      <c r="I18" s="537"/>
      <c r="J18" s="536"/>
      <c r="L18" s="81"/>
      <c r="O18" s="56">
        <f t="shared" si="0"/>
        <v>0</v>
      </c>
      <c r="Q18" s="34">
        <v>196453</v>
      </c>
    </row>
    <row r="19" spans="1:20" ht="14.15" customHeight="1">
      <c r="A19" s="80" t="s">
        <v>1377</v>
      </c>
      <c r="G19" s="539"/>
      <c r="H19" s="544" t="e">
        <f>(+'Con BS'!N16-'Con BS'!L16)+('Con BS'!N12-'Con BS'!L12)</f>
        <v>#REF!</v>
      </c>
      <c r="I19" s="545"/>
      <c r="J19" s="544">
        <v>300198</v>
      </c>
      <c r="L19" s="81">
        <v>196453</v>
      </c>
      <c r="O19" s="56">
        <f t="shared" si="0"/>
        <v>300198</v>
      </c>
      <c r="Q19" s="34">
        <v>553358</v>
      </c>
    </row>
    <row r="20" spans="1:20" ht="14.15" customHeight="1">
      <c r="A20" s="80" t="s">
        <v>1289</v>
      </c>
      <c r="G20" s="539"/>
      <c r="H20" s="536">
        <f>+'Con 5-18'!M72-'Con 5-18'!O72+'Con 5-18'!M73-'Con 5-18'!O73+('Con BS'!L26-'Con BS'!N26)+('Con BS'!L29-'Con BS'!N29)</f>
        <v>-414673</v>
      </c>
      <c r="I20" s="537"/>
      <c r="J20" s="536">
        <v>-683288</v>
      </c>
      <c r="L20" s="81">
        <v>553358</v>
      </c>
      <c r="O20" s="56">
        <f t="shared" si="0"/>
        <v>-683288</v>
      </c>
      <c r="Q20" s="34">
        <v>-248810</v>
      </c>
    </row>
    <row r="21" spans="1:20" ht="14.15" customHeight="1">
      <c r="G21" s="539"/>
      <c r="H21" s="536"/>
      <c r="I21" s="537"/>
      <c r="J21" s="536"/>
      <c r="L21" s="81"/>
      <c r="O21" s="56">
        <f t="shared" si="0"/>
        <v>0</v>
      </c>
      <c r="Q21" s="34">
        <f>+Q17+Q18+Q19+Q20</f>
        <v>-17101668</v>
      </c>
    </row>
    <row r="22" spans="1:20" ht="14.15" hidden="1" customHeight="1">
      <c r="A22" s="80" t="s">
        <v>1310</v>
      </c>
      <c r="G22" s="539"/>
      <c r="H22" s="536">
        <v>0</v>
      </c>
      <c r="I22" s="537"/>
      <c r="J22" s="536">
        <v>0</v>
      </c>
      <c r="L22" s="81"/>
      <c r="O22" s="56"/>
    </row>
    <row r="23" spans="1:20" ht="14.15" hidden="1" customHeight="1">
      <c r="A23" s="80" t="s">
        <v>496</v>
      </c>
      <c r="G23" s="539"/>
      <c r="H23" s="536">
        <v>0</v>
      </c>
      <c r="I23" s="537"/>
      <c r="J23" s="536">
        <v>0</v>
      </c>
      <c r="L23" s="81">
        <v>-4858529</v>
      </c>
      <c r="N23" s="81">
        <v>-14596848</v>
      </c>
      <c r="O23" s="56"/>
    </row>
    <row r="24" spans="1:20" ht="14.15" customHeight="1">
      <c r="A24" s="80" t="s">
        <v>497</v>
      </c>
      <c r="G24" s="539"/>
      <c r="H24" s="537">
        <f>-H16</f>
        <v>-17863</v>
      </c>
      <c r="I24" s="537"/>
      <c r="J24" s="537">
        <v>-365187</v>
      </c>
      <c r="L24" s="46">
        <f>-L16</f>
        <v>-248810</v>
      </c>
      <c r="O24" s="56">
        <f t="shared" si="0"/>
        <v>-365187</v>
      </c>
      <c r="Q24" s="34">
        <v>11793034</v>
      </c>
    </row>
    <row r="25" spans="1:20" s="48" customFormat="1" ht="14.15" customHeight="1">
      <c r="A25" s="80" t="s">
        <v>1310</v>
      </c>
      <c r="B25" s="79"/>
      <c r="C25" s="79"/>
      <c r="D25" s="79"/>
      <c r="E25" s="79"/>
      <c r="F25" s="79"/>
      <c r="G25" s="539"/>
      <c r="H25" s="536">
        <f>+'Con I EX'!K27+'Con BS'!L31</f>
        <v>-492254</v>
      </c>
      <c r="I25" s="543"/>
      <c r="J25" s="542">
        <v>0</v>
      </c>
      <c r="L25" s="83"/>
      <c r="O25" s="83"/>
    </row>
    <row r="26" spans="1:20" s="48" customFormat="1" ht="14.15" customHeight="1">
      <c r="A26" s="80"/>
      <c r="B26" s="79"/>
      <c r="C26" s="79"/>
      <c r="D26" s="79"/>
      <c r="E26" s="79"/>
      <c r="F26" s="79"/>
      <c r="G26" s="539"/>
      <c r="H26" s="541"/>
      <c r="I26" s="543"/>
      <c r="J26" s="596"/>
      <c r="L26" s="83"/>
      <c r="O26" s="83"/>
    </row>
    <row r="27" spans="1:20" s="48" customFormat="1" ht="14.15" customHeight="1">
      <c r="A27" s="79" t="s">
        <v>2002</v>
      </c>
      <c r="B27" s="79"/>
      <c r="C27" s="79"/>
      <c r="D27" s="79"/>
      <c r="E27" s="79"/>
      <c r="F27" s="79"/>
      <c r="G27" s="539"/>
      <c r="H27" s="542" t="e">
        <f>SUM(H17:H26)</f>
        <v>#REF!</v>
      </c>
      <c r="I27" s="543"/>
      <c r="J27" s="542">
        <f>SUM(J17:J26)</f>
        <v>550770</v>
      </c>
      <c r="L27" s="83" t="e">
        <f>SUM(L17:L24)</f>
        <v>#REF!</v>
      </c>
      <c r="O27" s="83">
        <f>SUM(O17:O24)</f>
        <v>546409</v>
      </c>
      <c r="Q27" s="48">
        <v>6817000</v>
      </c>
    </row>
    <row r="28" spans="1:20" ht="14.15" customHeight="1">
      <c r="A28" s="79"/>
      <c r="G28" s="539"/>
      <c r="H28" s="536"/>
      <c r="I28" s="537"/>
      <c r="J28" s="536"/>
      <c r="L28" s="81"/>
      <c r="O28" s="56">
        <f t="shared" si="0"/>
        <v>0</v>
      </c>
      <c r="Q28" s="34">
        <f>+Q21+Q24+Q27</f>
        <v>1508366</v>
      </c>
    </row>
    <row r="29" spans="1:20" ht="14.15" hidden="1" customHeight="1">
      <c r="A29" s="79" t="s">
        <v>498</v>
      </c>
      <c r="G29" s="539"/>
      <c r="H29" s="536"/>
      <c r="I29" s="537"/>
      <c r="J29" s="536"/>
      <c r="L29" s="81"/>
      <c r="O29" s="56">
        <f t="shared" si="0"/>
        <v>0</v>
      </c>
    </row>
    <row r="30" spans="1:20" ht="14.15" hidden="1" customHeight="1">
      <c r="A30" s="80" t="s">
        <v>501</v>
      </c>
      <c r="G30" s="539"/>
      <c r="H30" s="546">
        <v>0</v>
      </c>
      <c r="I30" s="537"/>
      <c r="J30" s="546">
        <v>0</v>
      </c>
      <c r="L30" s="81"/>
      <c r="O30" s="56"/>
    </row>
    <row r="31" spans="1:20" ht="14.15" hidden="1" customHeight="1">
      <c r="A31" s="80" t="s">
        <v>499</v>
      </c>
      <c r="G31" s="539"/>
      <c r="H31" s="547">
        <v>0</v>
      </c>
      <c r="I31" s="548"/>
      <c r="J31" s="547">
        <v>0</v>
      </c>
      <c r="K31" s="84"/>
      <c r="L31" s="85" t="e">
        <f>+-#REF!</f>
        <v>#REF!</v>
      </c>
      <c r="O31" s="56">
        <f t="shared" si="0"/>
        <v>0</v>
      </c>
    </row>
    <row r="32" spans="1:20" ht="14.15" hidden="1" customHeight="1">
      <c r="A32" s="80" t="s">
        <v>500</v>
      </c>
      <c r="G32" s="539"/>
      <c r="H32" s="549">
        <f>-'Con 5-18'!M6</f>
        <v>0</v>
      </c>
      <c r="I32" s="548"/>
      <c r="J32" s="549">
        <v>0</v>
      </c>
      <c r="K32" s="84"/>
      <c r="L32" s="86">
        <v>0</v>
      </c>
      <c r="O32" s="56"/>
    </row>
    <row r="33" spans="1:34" ht="14.15" hidden="1" customHeight="1">
      <c r="A33" s="80" t="s">
        <v>501</v>
      </c>
      <c r="G33" s="539"/>
      <c r="H33" s="549">
        <v>0</v>
      </c>
      <c r="I33" s="548"/>
      <c r="J33" s="549">
        <v>0</v>
      </c>
      <c r="K33" s="84"/>
      <c r="L33" s="86">
        <v>0</v>
      </c>
      <c r="O33" s="56"/>
    </row>
    <row r="34" spans="1:34" s="48" customFormat="1" ht="14.15" hidden="1" customHeight="1">
      <c r="A34" s="79" t="s">
        <v>1290</v>
      </c>
      <c r="B34" s="79"/>
      <c r="C34" s="79"/>
      <c r="D34" s="79"/>
      <c r="E34" s="79"/>
      <c r="F34" s="79"/>
      <c r="G34" s="539"/>
      <c r="H34" s="542">
        <f>SUM(H30)</f>
        <v>0</v>
      </c>
      <c r="I34" s="543"/>
      <c r="J34" s="542">
        <v>0</v>
      </c>
      <c r="L34" s="83"/>
      <c r="O34" s="83"/>
    </row>
    <row r="35" spans="1:34" ht="14.15" hidden="1" customHeight="1">
      <c r="A35" s="79"/>
      <c r="G35" s="539"/>
      <c r="H35" s="536"/>
      <c r="I35" s="537"/>
      <c r="J35" s="536"/>
      <c r="L35" s="81"/>
      <c r="O35" s="56">
        <f t="shared" si="0"/>
        <v>0</v>
      </c>
    </row>
    <row r="36" spans="1:34" ht="14.15" customHeight="1">
      <c r="A36" s="79" t="s">
        <v>502</v>
      </c>
      <c r="G36" s="539"/>
      <c r="H36" s="536"/>
      <c r="I36" s="537"/>
      <c r="J36" s="536"/>
      <c r="L36" s="81"/>
      <c r="O36" s="56">
        <f t="shared" si="0"/>
        <v>0</v>
      </c>
    </row>
    <row r="37" spans="1:34" ht="14.15" customHeight="1">
      <c r="A37" s="80" t="s">
        <v>1992</v>
      </c>
      <c r="G37" s="539"/>
      <c r="H37" s="712">
        <f>-'PPE-Note-4'!O46</f>
        <v>-25000</v>
      </c>
      <c r="I37" s="537"/>
      <c r="J37" s="712">
        <v>0</v>
      </c>
      <c r="L37" s="81"/>
      <c r="O37" s="56"/>
    </row>
    <row r="38" spans="1:34" ht="14.15" customHeight="1">
      <c r="A38" s="80" t="s">
        <v>1291</v>
      </c>
      <c r="G38" s="539"/>
      <c r="H38" s="713" t="e">
        <f>+'Con BS'!L32-'Con BS'!N32</f>
        <v>#REF!</v>
      </c>
      <c r="I38" s="537"/>
      <c r="J38" s="713">
        <v>1000000</v>
      </c>
      <c r="L38" s="46">
        <v>11796035</v>
      </c>
      <c r="O38" s="56">
        <f t="shared" si="0"/>
        <v>1000000</v>
      </c>
    </row>
    <row r="39" spans="1:34" ht="14.15" hidden="1" customHeight="1">
      <c r="A39" s="80" t="s">
        <v>1292</v>
      </c>
      <c r="G39" s="539"/>
      <c r="H39" s="549">
        <v>0</v>
      </c>
      <c r="I39" s="548"/>
      <c r="J39" s="549">
        <v>0</v>
      </c>
      <c r="K39" s="84"/>
      <c r="L39" s="87">
        <v>6850000</v>
      </c>
      <c r="O39" s="56">
        <f>ROUND(J39,0)</f>
        <v>0</v>
      </c>
      <c r="T39" s="56"/>
      <c r="V39" s="56"/>
      <c r="W39" s="56"/>
    </row>
    <row r="40" spans="1:34" s="48" customFormat="1" ht="14.15" customHeight="1">
      <c r="A40" s="79" t="s">
        <v>2001</v>
      </c>
      <c r="B40" s="79"/>
      <c r="C40" s="79"/>
      <c r="D40" s="79"/>
      <c r="E40" s="79"/>
      <c r="F40" s="79"/>
      <c r="G40" s="539"/>
      <c r="H40" s="542" t="e">
        <f>+H38+H39+H37</f>
        <v>#REF!</v>
      </c>
      <c r="I40" s="543"/>
      <c r="J40" s="542">
        <v>1000000</v>
      </c>
      <c r="L40" s="50">
        <f>SUM(L38)</f>
        <v>11796035</v>
      </c>
      <c r="O40" s="56">
        <f t="shared" si="0"/>
        <v>1000000</v>
      </c>
      <c r="Y40" s="75"/>
    </row>
    <row r="41" spans="1:34" ht="14.15" customHeight="1">
      <c r="A41" s="79"/>
      <c r="G41" s="539"/>
      <c r="H41" s="541"/>
      <c r="I41" s="537"/>
      <c r="J41" s="541"/>
      <c r="L41" s="46"/>
      <c r="O41" s="56">
        <f t="shared" si="0"/>
        <v>0</v>
      </c>
      <c r="Y41" s="56"/>
    </row>
    <row r="42" spans="1:34" s="48" customFormat="1" ht="14.15" customHeight="1">
      <c r="A42" s="79" t="s">
        <v>2000</v>
      </c>
      <c r="B42" s="79"/>
      <c r="C42" s="79"/>
      <c r="D42" s="79"/>
      <c r="E42" s="79"/>
      <c r="F42" s="79"/>
      <c r="G42" s="79"/>
      <c r="H42" s="542" t="e">
        <f>SUM(H27,H34,H40)</f>
        <v>#REF!</v>
      </c>
      <c r="I42" s="543"/>
      <c r="J42" s="542">
        <v>1550770</v>
      </c>
      <c r="L42" s="83" t="e">
        <f>SUM(L27,L34,L40)</f>
        <v>#REF!</v>
      </c>
      <c r="O42" s="83">
        <f>SUM(O27,O34,O40)</f>
        <v>1546409</v>
      </c>
    </row>
    <row r="43" spans="1:34" ht="14.15" customHeight="1">
      <c r="H43" s="536"/>
      <c r="I43" s="537"/>
      <c r="J43" s="536"/>
      <c r="L43" s="81"/>
      <c r="O43" s="56">
        <f t="shared" si="0"/>
        <v>0</v>
      </c>
    </row>
    <row r="44" spans="1:34" ht="14.15" customHeight="1">
      <c r="A44" s="80" t="s">
        <v>503</v>
      </c>
      <c r="H44" s="536">
        <f>ROUND(+J46,0)</f>
        <v>2725573</v>
      </c>
      <c r="I44" s="537"/>
      <c r="J44" s="536">
        <v>1174803</v>
      </c>
      <c r="L44" s="81">
        <v>15627734</v>
      </c>
      <c r="O44" s="56">
        <f t="shared" si="0"/>
        <v>1174803</v>
      </c>
      <c r="T44" s="56"/>
    </row>
    <row r="45" spans="1:34" ht="14.15" customHeight="1">
      <c r="H45" s="536"/>
      <c r="I45" s="537"/>
      <c r="J45" s="536"/>
      <c r="L45" s="81"/>
      <c r="O45" s="56">
        <f t="shared" si="0"/>
        <v>0</v>
      </c>
      <c r="T45" s="399"/>
    </row>
    <row r="46" spans="1:34" s="48" customFormat="1" ht="14.15" customHeight="1" thickBot="1">
      <c r="A46" s="79" t="s">
        <v>504</v>
      </c>
      <c r="B46" s="79"/>
      <c r="C46" s="79"/>
      <c r="D46" s="79"/>
      <c r="E46" s="79"/>
      <c r="F46" s="79"/>
      <c r="G46" s="550">
        <f>+'Con BS'!K17</f>
        <v>8</v>
      </c>
      <c r="H46" s="551" t="e">
        <f>SUM(H42:H44)</f>
        <v>#REF!</v>
      </c>
      <c r="I46" s="543"/>
      <c r="J46" s="551">
        <v>2725573</v>
      </c>
      <c r="L46" s="88" t="e">
        <f>SUM(L42:L44)</f>
        <v>#REF!</v>
      </c>
      <c r="N46" s="19">
        <v>19483597</v>
      </c>
      <c r="O46" s="88">
        <f>SUM(O42:O44)</f>
        <v>2721212</v>
      </c>
      <c r="P46" s="34">
        <v>9704849</v>
      </c>
      <c r="S46" s="403" t="e">
        <f>'Con BS'!L17</f>
        <v>#REF!</v>
      </c>
      <c r="T46" s="75" t="e">
        <f>+H46-S46</f>
        <v>#REF!</v>
      </c>
      <c r="V46" s="481"/>
    </row>
    <row r="47" spans="1:34" ht="14.15" customHeight="1" thickTop="1">
      <c r="F47" s="536"/>
      <c r="J47" s="552"/>
      <c r="V47" s="56"/>
      <c r="AF47" s="34">
        <f>+'Con BS'!N17</f>
        <v>2725572.5485</v>
      </c>
      <c r="AH47" s="34" t="e">
        <f>+'Con BS'!#REF!</f>
        <v>#REF!</v>
      </c>
    </row>
    <row r="48" spans="1:34" ht="14.15" customHeight="1">
      <c r="F48" s="536"/>
      <c r="AF48" s="56" t="e">
        <f>+AF47-H46</f>
        <v>#REF!</v>
      </c>
      <c r="AH48" s="56" t="e">
        <f>+AH47-J46</f>
        <v>#REF!</v>
      </c>
    </row>
    <row r="49" spans="1:16" ht="14.15" customHeight="1">
      <c r="A49" s="553" t="str">
        <f>'Con BS'!A38</f>
        <v>The annexed notes form an integral part of these financial statements.</v>
      </c>
      <c r="F49" s="536"/>
      <c r="J49" s="552"/>
      <c r="L49" s="56"/>
      <c r="N49" s="56">
        <f>J46-N46</f>
        <v>-16758024</v>
      </c>
      <c r="P49" s="56" t="e">
        <f>L46-P46</f>
        <v>#REF!</v>
      </c>
    </row>
    <row r="51" spans="1:16" ht="14.15" customHeight="1">
      <c r="F51" s="79"/>
      <c r="H51" s="552"/>
    </row>
    <row r="52" spans="1:16" ht="14.15" customHeight="1">
      <c r="F52" s="79"/>
      <c r="H52" s="554"/>
    </row>
    <row r="53" spans="1:16" ht="14.15" customHeight="1">
      <c r="F53" s="79"/>
      <c r="H53" s="554"/>
    </row>
    <row r="54" spans="1:16" ht="14.15" customHeight="1">
      <c r="F54" s="79"/>
      <c r="H54" s="554"/>
    </row>
    <row r="55" spans="1:16" ht="14.15" customHeight="1">
      <c r="F55" s="79"/>
      <c r="H55" s="554"/>
    </row>
    <row r="56" spans="1:16" ht="14.15" customHeight="1">
      <c r="F56" s="79"/>
    </row>
    <row r="57" spans="1:16" ht="14.15" customHeight="1">
      <c r="F57" s="79"/>
    </row>
    <row r="58" spans="1:16" ht="14.15" customHeight="1">
      <c r="F58" s="79"/>
    </row>
    <row r="59" spans="1:16" ht="14.15" customHeight="1">
      <c r="F59" s="79"/>
    </row>
    <row r="60" spans="1:16" ht="14.15" customHeight="1">
      <c r="F60" s="79"/>
    </row>
    <row r="61" spans="1:16" ht="14.15" customHeight="1">
      <c r="F61" s="79"/>
    </row>
    <row r="62" spans="1:16" ht="14.15" customHeight="1">
      <c r="F62" s="79"/>
    </row>
    <row r="63" spans="1:16" ht="14.15" customHeight="1">
      <c r="F63" s="79"/>
    </row>
    <row r="64" spans="1:16" ht="14.15" customHeight="1">
      <c r="F64" s="79"/>
    </row>
    <row r="65" spans="1:16" ht="14.15" customHeight="1">
      <c r="E65" s="535"/>
      <c r="N65" s="84"/>
      <c r="O65" s="84"/>
      <c r="P65" s="84"/>
    </row>
    <row r="66" spans="1:16" ht="14.15" customHeight="1">
      <c r="E66" s="535"/>
      <c r="N66" s="84"/>
      <c r="O66" s="84"/>
      <c r="P66" s="84"/>
    </row>
    <row r="67" spans="1:16" ht="14.15" customHeight="1">
      <c r="E67" s="535"/>
      <c r="N67" s="84"/>
      <c r="O67" s="84"/>
      <c r="P67" s="84"/>
    </row>
    <row r="68" spans="1:16" ht="14.15" customHeight="1" thickBot="1">
      <c r="A68" s="4"/>
      <c r="B68" s="555"/>
      <c r="C68" s="555"/>
      <c r="D68" s="555"/>
      <c r="E68" s="7"/>
      <c r="G68" s="89"/>
      <c r="H68" s="89"/>
      <c r="I68" s="89"/>
    </row>
    <row r="69" spans="1:16" s="31" customFormat="1" ht="14.15" customHeight="1">
      <c r="A69" s="4"/>
      <c r="B69" s="767" t="s">
        <v>477</v>
      </c>
      <c r="C69" s="767"/>
      <c r="D69" s="767"/>
      <c r="E69" s="4"/>
      <c r="F69" s="540"/>
      <c r="G69" s="767" t="s">
        <v>478</v>
      </c>
      <c r="H69" s="767"/>
      <c r="I69" s="767"/>
      <c r="J69" s="540"/>
    </row>
    <row r="70" spans="1:16" s="31" customFormat="1" ht="14.15" customHeight="1">
      <c r="A70" s="540"/>
      <c r="B70" s="540"/>
      <c r="C70" s="540"/>
      <c r="D70" s="540"/>
      <c r="E70" s="540"/>
      <c r="F70" s="540"/>
      <c r="G70" s="540"/>
      <c r="H70" s="540"/>
      <c r="I70" s="540"/>
      <c r="J70" s="540"/>
    </row>
    <row r="71" spans="1:16" ht="14.15" customHeight="1">
      <c r="H71" s="498"/>
      <c r="J71" s="498"/>
    </row>
    <row r="72" spans="1:16" ht="14.15" customHeight="1">
      <c r="H72" s="498"/>
    </row>
    <row r="73" spans="1:16" ht="14.15" customHeight="1">
      <c r="H73" s="498"/>
    </row>
    <row r="74" spans="1:16" ht="14.15" customHeight="1">
      <c r="J74" s="552"/>
      <c r="L74" s="56"/>
    </row>
    <row r="346" spans="3:9" ht="14.15" customHeight="1">
      <c r="F346" s="80">
        <v>9788859</v>
      </c>
      <c r="G346" s="80">
        <v>9788859</v>
      </c>
      <c r="I346" s="80">
        <v>9788859</v>
      </c>
    </row>
    <row r="347" spans="3:9" ht="14.15" customHeight="1">
      <c r="C347" s="80" t="s">
        <v>1388</v>
      </c>
      <c r="F347" s="80">
        <v>39791015</v>
      </c>
      <c r="G347" s="80">
        <v>39791015</v>
      </c>
      <c r="I347" s="80">
        <v>39791015</v>
      </c>
    </row>
    <row r="397" spans="12:12" ht="14.15" customHeight="1">
      <c r="L397" s="34">
        <v>0</v>
      </c>
    </row>
  </sheetData>
  <mergeCells count="2">
    <mergeCell ref="B69:D69"/>
    <mergeCell ref="G69:I69"/>
  </mergeCells>
  <pageMargins left="0.9" right="0.4" top="0.75" bottom="0.25" header="0.2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94"/>
  <sheetViews>
    <sheetView topLeftCell="A94" zoomScaleNormal="100" zoomScaleSheetLayoutView="100" workbookViewId="0">
      <selection activeCell="B67" sqref="B67:L67"/>
    </sheetView>
  </sheetViews>
  <sheetFormatPr defaultColWidth="10.26953125" defaultRowHeight="14.15" customHeight="1"/>
  <cols>
    <col min="1" max="2" width="4.7265625" style="380" customWidth="1"/>
    <col min="3" max="3" width="4.7265625" style="4" customWidth="1"/>
    <col min="4" max="4" width="4.453125" style="4" customWidth="1"/>
    <col min="5" max="6" width="10.7265625" style="4" customWidth="1"/>
    <col min="7" max="7" width="9.26953125" style="4" customWidth="1"/>
    <col min="8" max="8" width="10.7265625" style="4" customWidth="1"/>
    <col min="9" max="9" width="11.26953125" style="4" customWidth="1"/>
    <col min="10" max="10" width="10.7265625" style="4" customWidth="1"/>
    <col min="11" max="11" width="0.26953125" style="4" customWidth="1"/>
    <col min="12" max="12" width="10.7265625" style="4" customWidth="1"/>
    <col min="13" max="13" width="12" style="36" customWidth="1"/>
    <col min="14" max="14" width="3.453125" style="36" customWidth="1"/>
    <col min="15" max="15" width="13.81640625" style="36" customWidth="1"/>
    <col min="16" max="16" width="10.453125" style="36" customWidth="1"/>
    <col min="17" max="16384" width="10.26953125" style="36"/>
  </cols>
  <sheetData>
    <row r="1" spans="1:17" ht="14.15" customHeight="1">
      <c r="A1" s="3" t="s">
        <v>457</v>
      </c>
      <c r="B1" s="377"/>
      <c r="C1" s="3"/>
      <c r="D1" s="3"/>
      <c r="E1" s="3"/>
      <c r="F1" s="3"/>
      <c r="G1" s="3"/>
      <c r="H1" s="3"/>
      <c r="I1" s="3"/>
      <c r="J1" s="3"/>
      <c r="K1" s="3"/>
      <c r="L1" s="3"/>
      <c r="M1" s="90"/>
      <c r="N1" s="90"/>
      <c r="O1" s="90"/>
      <c r="P1" s="90"/>
    </row>
    <row r="2" spans="1:17" ht="14.15" customHeight="1">
      <c r="A2" s="3" t="s">
        <v>505</v>
      </c>
      <c r="B2" s="377"/>
      <c r="C2" s="3"/>
      <c r="D2" s="3"/>
      <c r="E2" s="3"/>
      <c r="F2" s="3"/>
      <c r="G2" s="3"/>
      <c r="H2" s="3"/>
      <c r="I2" s="3"/>
      <c r="J2" s="3"/>
      <c r="K2" s="3"/>
      <c r="L2" s="3"/>
      <c r="M2" s="90"/>
      <c r="N2" s="90"/>
      <c r="O2" s="90"/>
      <c r="P2" s="90"/>
    </row>
    <row r="3" spans="1:17" ht="14.15" customHeight="1">
      <c r="A3" s="3" t="str">
        <f>CFS!A3</f>
        <v>FOR THE YEAR ENDED JUNE 30, 2025</v>
      </c>
      <c r="B3" s="3"/>
      <c r="C3" s="378"/>
      <c r="D3" s="378"/>
      <c r="E3" s="378"/>
      <c r="F3" s="378"/>
      <c r="G3" s="378"/>
      <c r="H3" s="378"/>
      <c r="I3" s="378"/>
      <c r="J3" s="378"/>
      <c r="K3" s="378"/>
      <c r="L3" s="378"/>
      <c r="M3" s="91"/>
      <c r="N3" s="91"/>
      <c r="O3" s="91"/>
      <c r="P3" s="91"/>
    </row>
    <row r="6" spans="1:17" ht="14.15" customHeight="1">
      <c r="A6" s="379" t="s">
        <v>506</v>
      </c>
      <c r="B6" s="377" t="s">
        <v>507</v>
      </c>
      <c r="C6" s="3"/>
    </row>
    <row r="7" spans="1:17" ht="14.15" customHeight="1">
      <c r="A7" s="379"/>
      <c r="B7" s="377"/>
      <c r="C7" s="3"/>
    </row>
    <row r="8" spans="1:17" ht="14.15" customHeight="1">
      <c r="A8" s="383"/>
      <c r="B8" s="383">
        <f>+A6+0.1</f>
        <v>1.1000000000000001</v>
      </c>
      <c r="C8" s="779" t="s">
        <v>1402</v>
      </c>
      <c r="D8" s="779"/>
      <c r="E8" s="779"/>
      <c r="F8" s="779"/>
      <c r="G8" s="779"/>
      <c r="H8" s="779"/>
      <c r="I8" s="779"/>
      <c r="J8" s="779"/>
      <c r="K8" s="779"/>
      <c r="L8" s="779"/>
      <c r="M8" s="4"/>
      <c r="N8" s="4"/>
      <c r="O8" s="4"/>
      <c r="P8" s="4"/>
    </row>
    <row r="9" spans="1:17" ht="14.15" customHeight="1">
      <c r="A9" s="383"/>
      <c r="B9" s="383"/>
      <c r="C9" s="779"/>
      <c r="D9" s="779"/>
      <c r="E9" s="779"/>
      <c r="F9" s="779"/>
      <c r="G9" s="779"/>
      <c r="H9" s="779"/>
      <c r="I9" s="779"/>
      <c r="J9" s="779"/>
      <c r="K9" s="779"/>
      <c r="L9" s="779"/>
      <c r="M9" s="4"/>
      <c r="N9" s="4"/>
      <c r="O9" s="4"/>
      <c r="P9" s="4"/>
    </row>
    <row r="10" spans="1:17" ht="14.15" customHeight="1">
      <c r="A10" s="383"/>
      <c r="B10" s="383"/>
      <c r="C10" s="779"/>
      <c r="D10" s="779"/>
      <c r="E10" s="779"/>
      <c r="F10" s="779"/>
      <c r="G10" s="779"/>
      <c r="H10" s="779"/>
      <c r="I10" s="779"/>
      <c r="J10" s="779"/>
      <c r="K10" s="779"/>
      <c r="L10" s="779"/>
      <c r="M10" s="4"/>
      <c r="N10" s="4"/>
      <c r="O10" s="4"/>
      <c r="P10" s="4"/>
    </row>
    <row r="11" spans="1:17" ht="14.15" customHeight="1">
      <c r="A11" s="383"/>
      <c r="B11" s="383"/>
      <c r="C11" s="779"/>
      <c r="D11" s="779"/>
      <c r="E11" s="779"/>
      <c r="F11" s="779"/>
      <c r="G11" s="779"/>
      <c r="H11" s="779"/>
      <c r="I11" s="779"/>
      <c r="J11" s="779"/>
      <c r="K11" s="779"/>
      <c r="L11" s="779"/>
      <c r="M11" s="4"/>
      <c r="N11" s="4"/>
      <c r="O11" s="4"/>
      <c r="P11" s="4"/>
    </row>
    <row r="12" spans="1:17" ht="14.15" customHeight="1">
      <c r="A12" s="383"/>
      <c r="B12" s="383"/>
      <c r="C12" s="779"/>
      <c r="D12" s="779"/>
      <c r="E12" s="779"/>
      <c r="F12" s="779"/>
      <c r="G12" s="779"/>
      <c r="H12" s="779"/>
      <c r="I12" s="779"/>
      <c r="J12" s="779"/>
      <c r="K12" s="779"/>
      <c r="L12" s="779"/>
      <c r="M12" s="4"/>
      <c r="N12" s="4"/>
      <c r="O12" s="4"/>
      <c r="P12" s="4"/>
    </row>
    <row r="13" spans="1:17" ht="14.15" customHeight="1">
      <c r="A13" s="383"/>
      <c r="B13" s="383"/>
      <c r="C13" s="779"/>
      <c r="D13" s="779"/>
      <c r="E13" s="779"/>
      <c r="F13" s="779"/>
      <c r="G13" s="779"/>
      <c r="H13" s="779"/>
      <c r="I13" s="779"/>
      <c r="J13" s="779"/>
      <c r="K13" s="779"/>
      <c r="L13" s="779"/>
      <c r="M13" s="4"/>
      <c r="N13" s="4"/>
      <c r="O13" s="4"/>
      <c r="P13" s="4"/>
    </row>
    <row r="14" spans="1:17" ht="14.15" customHeight="1">
      <c r="A14" s="383"/>
      <c r="B14" s="383"/>
      <c r="C14" s="779"/>
      <c r="D14" s="779"/>
      <c r="E14" s="779"/>
      <c r="F14" s="779"/>
      <c r="G14" s="779"/>
      <c r="H14" s="779"/>
      <c r="I14" s="779"/>
      <c r="J14" s="779"/>
      <c r="K14" s="779"/>
      <c r="L14" s="779"/>
      <c r="M14" s="4"/>
      <c r="N14" s="4"/>
      <c r="O14" s="4"/>
      <c r="P14" s="4"/>
    </row>
    <row r="15" spans="1:17" ht="14.15" customHeight="1">
      <c r="A15" s="383"/>
      <c r="B15" s="383"/>
      <c r="C15" s="779"/>
      <c r="D15" s="779"/>
      <c r="E15" s="779"/>
      <c r="F15" s="779"/>
      <c r="G15" s="779"/>
      <c r="H15" s="779"/>
      <c r="I15" s="779"/>
      <c r="J15" s="779"/>
      <c r="K15" s="779"/>
      <c r="L15" s="779"/>
      <c r="M15" s="4"/>
      <c r="N15" s="4"/>
      <c r="O15" s="4"/>
      <c r="P15" s="4"/>
    </row>
    <row r="16" spans="1:17" ht="14.15" customHeight="1">
      <c r="A16" s="383"/>
      <c r="B16" s="383"/>
      <c r="C16" s="406"/>
      <c r="D16" s="406"/>
      <c r="E16" s="406"/>
      <c r="F16" s="406"/>
      <c r="G16" s="406"/>
      <c r="H16" s="406"/>
      <c r="I16" s="406"/>
      <c r="J16" s="406"/>
      <c r="K16" s="406"/>
      <c r="L16" s="406"/>
      <c r="M16" s="577">
        <v>2025</v>
      </c>
      <c r="N16" s="576"/>
      <c r="O16" s="577">
        <v>2024</v>
      </c>
      <c r="P16" s="4"/>
      <c r="Q16" s="576" t="str">
        <f>+"During the year, the company incurred a deficit after tax of Rs. "&amp;M20&amp;" million (2024: Rs. "&amp;O20&amp;" million) which resulted in negative fund balance of Rs. "&amp;M21&amp;" million (2024: Rs. "&amp;O21&amp;" million) as of the date of financial position."</f>
        <v>During the year, the company incurred a deficit after tax of Rs. -3.19 million (2024: Rs. 0.01 million) which resulted in negative fund balance of Rs. 27.23 million (2024: Rs. 30.43 million) as of the date of financial position.</v>
      </c>
    </row>
    <row r="17" spans="1:17" ht="14.15" customHeight="1">
      <c r="A17" s="383"/>
      <c r="B17" s="383">
        <f>+B8+0.1</f>
        <v>1.2000000000000002</v>
      </c>
      <c r="C17" s="779" t="str">
        <f>CONCATENATE(Q16," ",Q17," ",Q18)</f>
        <v>During the year, the company incurred a deficit after tax of Rs. -3.19 million (2024: Rs. 0.01 million) which resulted in negative fund balance of Rs. 27.23 million (2024: Rs. 30.43 million) as of the date of financial position. However, the management believes that the adverse financial position will not affect the primary objectives of the company. Further, the major lender, who is also a related party due to common directorship, has also confirmed its financial commitment for future needs of the company. Accordingly, the company will be able to continue its operations in the foreseeable future.</v>
      </c>
      <c r="D17" s="779"/>
      <c r="E17" s="779"/>
      <c r="F17" s="779"/>
      <c r="G17" s="779"/>
      <c r="H17" s="779"/>
      <c r="I17" s="779"/>
      <c r="J17" s="779"/>
      <c r="K17" s="779"/>
      <c r="L17" s="779"/>
      <c r="M17" s="578"/>
      <c r="N17" s="578"/>
      <c r="O17" s="578"/>
      <c r="P17" s="4"/>
      <c r="Q17" s="576" t="s">
        <v>1425</v>
      </c>
    </row>
    <row r="18" spans="1:17" ht="14.15" customHeight="1">
      <c r="A18" s="383"/>
      <c r="B18" s="383"/>
      <c r="C18" s="779"/>
      <c r="D18" s="779"/>
      <c r="E18" s="779"/>
      <c r="F18" s="779"/>
      <c r="G18" s="779"/>
      <c r="H18" s="779"/>
      <c r="I18" s="779"/>
      <c r="J18" s="779"/>
      <c r="K18" s="779"/>
      <c r="L18" s="779"/>
      <c r="M18" s="578">
        <f>+'Con I EX'!K29</f>
        <v>3191280</v>
      </c>
      <c r="N18" s="578"/>
      <c r="O18" s="578">
        <f>+'Con I EX'!M29</f>
        <v>-5815.4514999999665</v>
      </c>
      <c r="P18" s="4"/>
      <c r="Q18" s="576" t="s">
        <v>1426</v>
      </c>
    </row>
    <row r="19" spans="1:17" ht="14.15" customHeight="1">
      <c r="A19" s="383"/>
      <c r="B19" s="383"/>
      <c r="C19" s="779"/>
      <c r="D19" s="779"/>
      <c r="E19" s="779"/>
      <c r="F19" s="779"/>
      <c r="G19" s="779"/>
      <c r="H19" s="779"/>
      <c r="I19" s="779"/>
      <c r="J19" s="779"/>
      <c r="K19" s="779"/>
      <c r="L19" s="779"/>
      <c r="M19" s="578">
        <f>+'Con BS'!L23</f>
        <v>-27233980</v>
      </c>
      <c r="N19" s="578"/>
      <c r="O19" s="578">
        <f>+'Con BS'!N23</f>
        <v>-30425260.451499999</v>
      </c>
      <c r="P19" s="4"/>
    </row>
    <row r="20" spans="1:17" ht="14.15" customHeight="1">
      <c r="A20" s="383"/>
      <c r="B20" s="383"/>
      <c r="C20" s="779"/>
      <c r="D20" s="779"/>
      <c r="E20" s="779"/>
      <c r="F20" s="779"/>
      <c r="G20" s="779"/>
      <c r="H20" s="779"/>
      <c r="I20" s="779"/>
      <c r="J20" s="779"/>
      <c r="K20" s="779"/>
      <c r="L20" s="779"/>
      <c r="M20" s="579">
        <f>ROUND(-M18/1000000, 2)</f>
        <v>-3.19</v>
      </c>
      <c r="N20" s="579"/>
      <c r="O20" s="579">
        <f>ROUND(-O18/1000000, 2)</f>
        <v>0.01</v>
      </c>
      <c r="P20" s="4"/>
    </row>
    <row r="21" spans="1:17" ht="14.15" customHeight="1">
      <c r="A21" s="383"/>
      <c r="B21" s="383"/>
      <c r="C21" s="779"/>
      <c r="D21" s="779"/>
      <c r="E21" s="779"/>
      <c r="F21" s="779"/>
      <c r="G21" s="779"/>
      <c r="H21" s="779"/>
      <c r="I21" s="779"/>
      <c r="J21" s="779"/>
      <c r="K21" s="779"/>
      <c r="L21" s="779"/>
      <c r="M21" s="579">
        <f>ROUND(-M19/1000000, 2)</f>
        <v>27.23</v>
      </c>
      <c r="N21" s="579"/>
      <c r="O21" s="579">
        <f>ROUND(-O19/1000000, 2)</f>
        <v>30.43</v>
      </c>
      <c r="P21" s="4"/>
    </row>
    <row r="22" spans="1:17" ht="14.15" customHeight="1">
      <c r="A22" s="383"/>
      <c r="B22" s="383"/>
      <c r="C22" s="779"/>
      <c r="D22" s="779"/>
      <c r="E22" s="779"/>
      <c r="F22" s="779"/>
      <c r="G22" s="779"/>
      <c r="H22" s="779"/>
      <c r="I22" s="779"/>
      <c r="J22" s="779"/>
      <c r="K22" s="779"/>
      <c r="L22" s="779"/>
      <c r="M22" s="579"/>
      <c r="N22" s="579"/>
      <c r="O22" s="579"/>
      <c r="P22" s="4"/>
    </row>
    <row r="23" spans="1:17" ht="14.15" customHeight="1">
      <c r="A23" s="377"/>
      <c r="C23" s="406"/>
      <c r="D23" s="406"/>
      <c r="E23" s="406"/>
      <c r="F23" s="406"/>
      <c r="G23" s="406"/>
      <c r="H23" s="406"/>
      <c r="I23" s="406"/>
      <c r="J23" s="406"/>
      <c r="K23" s="406"/>
      <c r="L23" s="406"/>
      <c r="M23" s="406"/>
      <c r="N23" s="406"/>
      <c r="O23" s="406"/>
      <c r="P23" s="406"/>
    </row>
    <row r="24" spans="1:17" ht="14.15" customHeight="1">
      <c r="A24" s="381">
        <f>+A6+1</f>
        <v>2</v>
      </c>
      <c r="B24" s="377" t="s">
        <v>1220</v>
      </c>
      <c r="C24" s="3"/>
    </row>
    <row r="25" spans="1:17" ht="14.15" customHeight="1">
      <c r="A25" s="381"/>
      <c r="B25" s="377"/>
      <c r="C25" s="3"/>
    </row>
    <row r="26" spans="1:17" ht="14.15" customHeight="1">
      <c r="A26" s="382"/>
      <c r="B26" s="383">
        <f>+A24+0.1</f>
        <v>2.1</v>
      </c>
      <c r="C26" s="377" t="s">
        <v>1293</v>
      </c>
    </row>
    <row r="27" spans="1:17" ht="14.15" customHeight="1">
      <c r="A27" s="382"/>
      <c r="B27" s="383"/>
      <c r="C27" s="377"/>
    </row>
    <row r="28" spans="1:17" ht="14.15" customHeight="1">
      <c r="A28" s="384"/>
      <c r="B28" s="384"/>
      <c r="C28" s="776" t="s">
        <v>2060</v>
      </c>
      <c r="D28" s="776"/>
      <c r="E28" s="776"/>
      <c r="F28" s="776"/>
      <c r="G28" s="776"/>
      <c r="H28" s="776"/>
      <c r="I28" s="776"/>
      <c r="J28" s="776"/>
      <c r="K28" s="776"/>
      <c r="L28" s="776"/>
      <c r="M28" s="217"/>
      <c r="N28" s="4"/>
      <c r="O28" s="4"/>
    </row>
    <row r="29" spans="1:17" ht="14.15" customHeight="1">
      <c r="A29" s="384"/>
      <c r="B29" s="384"/>
      <c r="C29" s="776"/>
      <c r="D29" s="776"/>
      <c r="E29" s="776"/>
      <c r="F29" s="776"/>
      <c r="G29" s="776"/>
      <c r="H29" s="776"/>
      <c r="I29" s="776"/>
      <c r="J29" s="776"/>
      <c r="K29" s="776"/>
      <c r="L29" s="776"/>
      <c r="M29" s="217"/>
      <c r="N29" s="4"/>
      <c r="O29" s="4"/>
    </row>
    <row r="30" spans="1:17" ht="14.15" customHeight="1">
      <c r="A30" s="384"/>
      <c r="B30" s="384"/>
      <c r="C30" s="776"/>
      <c r="D30" s="776"/>
      <c r="E30" s="776"/>
      <c r="F30" s="776"/>
      <c r="G30" s="776"/>
      <c r="H30" s="776"/>
      <c r="I30" s="776"/>
      <c r="J30" s="776"/>
      <c r="K30" s="776"/>
      <c r="L30" s="776"/>
      <c r="M30" s="217"/>
      <c r="N30" s="4"/>
      <c r="O30" s="4"/>
    </row>
    <row r="31" spans="1:17" ht="14.15" customHeight="1">
      <c r="A31" s="384"/>
      <c r="B31" s="384"/>
      <c r="C31" s="776"/>
      <c r="D31" s="776"/>
      <c r="E31" s="776"/>
      <c r="F31" s="776"/>
      <c r="G31" s="776"/>
      <c r="H31" s="776"/>
      <c r="I31" s="776"/>
      <c r="J31" s="776"/>
      <c r="K31" s="776"/>
      <c r="L31" s="776"/>
      <c r="M31" s="217"/>
      <c r="N31" s="4"/>
      <c r="O31" s="4"/>
    </row>
    <row r="32" spans="1:17" ht="14.15" customHeight="1">
      <c r="A32" s="384"/>
      <c r="B32" s="384"/>
      <c r="C32" s="407"/>
      <c r="D32" s="407"/>
      <c r="E32" s="407"/>
      <c r="F32" s="407"/>
      <c r="G32" s="407"/>
      <c r="H32" s="407"/>
      <c r="I32" s="407"/>
      <c r="J32" s="407"/>
      <c r="K32" s="407"/>
      <c r="L32" s="407"/>
      <c r="M32" s="217"/>
      <c r="N32" s="4"/>
      <c r="O32" s="4"/>
    </row>
    <row r="33" spans="1:12" ht="14.15" hidden="1" customHeight="1">
      <c r="A33" s="384"/>
      <c r="B33" s="384"/>
      <c r="C33" s="776" t="s">
        <v>2062</v>
      </c>
      <c r="D33" s="776"/>
      <c r="E33" s="776"/>
      <c r="F33" s="776"/>
      <c r="G33" s="776"/>
      <c r="H33" s="776"/>
      <c r="I33" s="776"/>
      <c r="J33" s="776"/>
      <c r="K33" s="776"/>
      <c r="L33" s="776"/>
    </row>
    <row r="34" spans="1:12" ht="14.15" hidden="1" customHeight="1">
      <c r="A34" s="384"/>
      <c r="B34" s="384"/>
      <c r="C34" s="776"/>
      <c r="D34" s="776"/>
      <c r="E34" s="776"/>
      <c r="F34" s="776"/>
      <c r="G34" s="776"/>
      <c r="H34" s="776"/>
      <c r="I34" s="776"/>
      <c r="J34" s="776"/>
      <c r="K34" s="776"/>
      <c r="L34" s="776"/>
    </row>
    <row r="35" spans="1:12" ht="14.15" hidden="1" customHeight="1">
      <c r="A35" s="384"/>
      <c r="B35" s="384"/>
      <c r="C35" s="407"/>
      <c r="D35" s="407"/>
      <c r="E35" s="407"/>
      <c r="F35" s="407"/>
      <c r="G35" s="407"/>
      <c r="H35" s="407"/>
      <c r="I35" s="407"/>
      <c r="J35" s="407"/>
      <c r="K35" s="407"/>
      <c r="L35" s="407"/>
    </row>
    <row r="36" spans="1:12" ht="14.15" hidden="1" customHeight="1">
      <c r="A36" s="384"/>
      <c r="B36" s="384"/>
      <c r="C36" s="698" t="s">
        <v>508</v>
      </c>
      <c r="D36" s="777" t="s">
        <v>2065</v>
      </c>
      <c r="E36" s="777"/>
      <c r="F36" s="777"/>
      <c r="G36" s="777"/>
      <c r="H36" s="777"/>
      <c r="I36" s="777"/>
      <c r="J36" s="777"/>
      <c r="K36" s="777"/>
      <c r="L36" s="777"/>
    </row>
    <row r="37" spans="1:12" ht="14.15" hidden="1" customHeight="1">
      <c r="A37" s="384"/>
      <c r="B37" s="384"/>
      <c r="C37" s="698"/>
      <c r="D37" s="777"/>
      <c r="E37" s="777"/>
      <c r="F37" s="777"/>
      <c r="G37" s="777"/>
      <c r="H37" s="777"/>
      <c r="I37" s="777"/>
      <c r="J37" s="777"/>
      <c r="K37" s="777"/>
      <c r="L37" s="777"/>
    </row>
    <row r="38" spans="1:12" ht="14.15" hidden="1" customHeight="1">
      <c r="A38" s="384"/>
      <c r="B38" s="384"/>
      <c r="C38" s="698"/>
      <c r="D38" s="777"/>
      <c r="E38" s="777"/>
      <c r="F38" s="777"/>
      <c r="G38" s="777"/>
      <c r="H38" s="777"/>
      <c r="I38" s="777"/>
      <c r="J38" s="777"/>
      <c r="K38" s="777"/>
      <c r="L38" s="777"/>
    </row>
    <row r="39" spans="1:12" ht="14.15" hidden="1" customHeight="1">
      <c r="A39" s="384"/>
      <c r="B39" s="384"/>
      <c r="C39" s="698"/>
      <c r="D39" s="407"/>
      <c r="E39" s="407"/>
      <c r="F39" s="407"/>
      <c r="G39" s="407"/>
      <c r="H39" s="407"/>
      <c r="I39" s="407"/>
      <c r="J39" s="407"/>
      <c r="K39" s="407"/>
      <c r="L39" s="407"/>
    </row>
    <row r="40" spans="1:12" ht="14.15" hidden="1" customHeight="1">
      <c r="A40" s="384"/>
      <c r="B40" s="384"/>
      <c r="C40" s="698" t="s">
        <v>508</v>
      </c>
      <c r="D40" s="777" t="s">
        <v>2063</v>
      </c>
      <c r="E40" s="777"/>
      <c r="F40" s="777"/>
      <c r="G40" s="777"/>
      <c r="H40" s="777"/>
      <c r="I40" s="777"/>
      <c r="J40" s="777"/>
      <c r="K40" s="777"/>
      <c r="L40" s="777"/>
    </row>
    <row r="41" spans="1:12" ht="14.15" hidden="1" customHeight="1">
      <c r="A41" s="384"/>
      <c r="B41" s="384"/>
      <c r="C41" s="407"/>
      <c r="D41" s="407"/>
      <c r="E41" s="407"/>
      <c r="F41" s="407"/>
      <c r="G41" s="407"/>
      <c r="H41" s="407"/>
      <c r="I41" s="407"/>
      <c r="J41" s="407"/>
      <c r="K41" s="407"/>
      <c r="L41" s="407"/>
    </row>
    <row r="42" spans="1:12" ht="14.15" hidden="1" customHeight="1">
      <c r="A42" s="384"/>
      <c r="B42" s="384"/>
      <c r="C42" s="776" t="s">
        <v>2064</v>
      </c>
      <c r="D42" s="776"/>
      <c r="E42" s="776"/>
      <c r="F42" s="776"/>
      <c r="G42" s="776"/>
      <c r="H42" s="776"/>
      <c r="I42" s="776"/>
      <c r="J42" s="776"/>
      <c r="K42" s="776"/>
      <c r="L42" s="776"/>
    </row>
    <row r="43" spans="1:12" ht="14.15" hidden="1" customHeight="1">
      <c r="A43" s="384"/>
      <c r="B43" s="384"/>
      <c r="C43" s="776"/>
      <c r="D43" s="776"/>
      <c r="E43" s="776"/>
      <c r="F43" s="776"/>
      <c r="G43" s="776"/>
      <c r="H43" s="776"/>
      <c r="I43" s="776"/>
      <c r="J43" s="776"/>
      <c r="K43" s="776"/>
      <c r="L43" s="776"/>
    </row>
    <row r="44" spans="1:12" ht="14.15" hidden="1" customHeight="1">
      <c r="A44" s="384"/>
      <c r="B44" s="384"/>
      <c r="C44" s="385"/>
      <c r="D44" s="385"/>
      <c r="E44" s="385"/>
      <c r="F44" s="385"/>
      <c r="G44" s="385"/>
      <c r="H44" s="385"/>
      <c r="I44" s="385"/>
      <c r="J44" s="385"/>
      <c r="K44" s="385"/>
      <c r="L44" s="385"/>
    </row>
    <row r="45" spans="1:12" ht="14.15" hidden="1" customHeight="1">
      <c r="A45" s="384"/>
      <c r="B45" s="384"/>
      <c r="C45" s="385"/>
      <c r="D45" s="385"/>
      <c r="E45" s="385"/>
      <c r="F45" s="385"/>
      <c r="G45" s="385"/>
      <c r="H45" s="385"/>
      <c r="I45" s="385"/>
      <c r="J45" s="385"/>
      <c r="K45" s="385"/>
      <c r="L45" s="385"/>
    </row>
    <row r="46" spans="1:12" ht="14.15" hidden="1" customHeight="1">
      <c r="A46" s="384"/>
      <c r="B46" s="384"/>
      <c r="C46" s="385"/>
      <c r="D46" s="385"/>
      <c r="E46" s="385"/>
      <c r="F46" s="385"/>
      <c r="G46" s="385"/>
      <c r="H46" s="385"/>
      <c r="I46" s="385"/>
      <c r="J46" s="385"/>
      <c r="K46" s="385"/>
      <c r="L46" s="385"/>
    </row>
    <row r="47" spans="1:12" ht="14.15" hidden="1" customHeight="1">
      <c r="A47" s="384"/>
      <c r="B47" s="384"/>
      <c r="C47" s="385"/>
      <c r="D47" s="385"/>
      <c r="E47" s="385"/>
      <c r="F47" s="385"/>
      <c r="G47" s="385"/>
      <c r="H47" s="385"/>
      <c r="I47" s="385"/>
      <c r="J47" s="385"/>
      <c r="K47" s="385"/>
      <c r="L47" s="385"/>
    </row>
    <row r="48" spans="1:12" ht="14.15" hidden="1" customHeight="1">
      <c r="A48" s="384"/>
      <c r="B48" s="384"/>
      <c r="C48" s="385"/>
      <c r="D48" s="385"/>
      <c r="E48" s="385"/>
      <c r="F48" s="385"/>
      <c r="G48" s="385"/>
      <c r="H48" s="385"/>
      <c r="I48" s="385"/>
      <c r="J48" s="385"/>
      <c r="K48" s="385"/>
      <c r="L48" s="385"/>
    </row>
    <row r="49" spans="1:13" ht="14.15" hidden="1" customHeight="1">
      <c r="A49" s="384"/>
      <c r="B49" s="384"/>
      <c r="C49" s="385"/>
      <c r="D49" s="385"/>
      <c r="E49" s="385"/>
      <c r="F49" s="385"/>
      <c r="G49" s="385"/>
      <c r="H49" s="385"/>
      <c r="I49" s="385"/>
      <c r="J49" s="385"/>
      <c r="K49" s="385"/>
      <c r="L49" s="385"/>
    </row>
    <row r="50" spans="1:13" ht="14.15" hidden="1" customHeight="1">
      <c r="A50" s="384"/>
      <c r="B50" s="384"/>
      <c r="C50" s="385"/>
      <c r="D50" s="385"/>
      <c r="E50" s="385"/>
      <c r="F50" s="385"/>
      <c r="G50" s="385"/>
      <c r="H50" s="385"/>
      <c r="I50" s="385"/>
      <c r="J50" s="385"/>
      <c r="K50" s="385"/>
      <c r="L50" s="385"/>
    </row>
    <row r="51" spans="1:13" ht="14.15" customHeight="1">
      <c r="A51" s="384"/>
      <c r="B51" s="392">
        <f>+B26+0.1</f>
        <v>2.2000000000000002</v>
      </c>
      <c r="C51" s="79" t="s">
        <v>509</v>
      </c>
      <c r="D51" s="80"/>
      <c r="E51" s="80"/>
      <c r="F51" s="80"/>
      <c r="G51" s="80"/>
      <c r="H51" s="80"/>
      <c r="I51" s="80"/>
      <c r="J51" s="80"/>
      <c r="K51" s="80"/>
      <c r="L51" s="80"/>
      <c r="M51" s="34"/>
    </row>
    <row r="52" spans="1:13" ht="14.15" customHeight="1">
      <c r="A52" s="384"/>
      <c r="B52" s="384"/>
      <c r="C52" s="79"/>
      <c r="D52" s="80"/>
      <c r="E52" s="80"/>
      <c r="F52" s="80"/>
      <c r="G52" s="80"/>
      <c r="H52" s="80"/>
      <c r="I52" s="80"/>
      <c r="J52" s="80"/>
      <c r="K52" s="80"/>
      <c r="L52" s="80"/>
      <c r="M52" s="34"/>
    </row>
    <row r="53" spans="1:13" ht="14.15" customHeight="1">
      <c r="A53" s="384"/>
      <c r="B53" s="384"/>
      <c r="C53" s="781" t="s">
        <v>1247</v>
      </c>
      <c r="D53" s="781"/>
      <c r="E53" s="781"/>
      <c r="F53" s="781"/>
      <c r="G53" s="781"/>
      <c r="H53" s="781"/>
      <c r="I53" s="781"/>
      <c r="J53" s="781"/>
      <c r="K53" s="781"/>
      <c r="L53" s="781"/>
      <c r="M53" s="92"/>
    </row>
    <row r="54" spans="1:13" ht="14.15" customHeight="1">
      <c r="A54" s="384"/>
      <c r="B54" s="384"/>
      <c r="C54" s="781"/>
      <c r="D54" s="781"/>
      <c r="E54" s="781"/>
      <c r="F54" s="781"/>
      <c r="G54" s="781"/>
      <c r="H54" s="781"/>
      <c r="I54" s="781"/>
      <c r="J54" s="781"/>
      <c r="K54" s="781"/>
      <c r="L54" s="781"/>
      <c r="M54" s="92"/>
    </row>
    <row r="55" spans="1:13" ht="14.15" customHeight="1">
      <c r="A55" s="384"/>
      <c r="B55" s="384"/>
      <c r="C55" s="781"/>
      <c r="D55" s="781"/>
      <c r="E55" s="781"/>
      <c r="F55" s="781"/>
      <c r="G55" s="781"/>
      <c r="H55" s="781"/>
      <c r="I55" s="781"/>
      <c r="J55" s="781"/>
      <c r="K55" s="781"/>
      <c r="L55" s="781"/>
      <c r="M55" s="92"/>
    </row>
    <row r="56" spans="1:13" ht="14.15" customHeight="1">
      <c r="A56" s="384"/>
      <c r="B56" s="384"/>
      <c r="C56" s="376"/>
      <c r="D56" s="376"/>
      <c r="E56" s="376"/>
      <c r="F56" s="376"/>
      <c r="G56" s="376"/>
      <c r="H56" s="376"/>
      <c r="I56" s="376"/>
      <c r="J56" s="376"/>
      <c r="K56" s="376"/>
      <c r="L56" s="376"/>
      <c r="M56" s="94"/>
    </row>
    <row r="57" spans="1:13" ht="14.15" customHeight="1">
      <c r="A57" s="384"/>
      <c r="B57" s="384"/>
      <c r="C57" s="781" t="s">
        <v>510</v>
      </c>
      <c r="D57" s="781"/>
      <c r="E57" s="781"/>
      <c r="F57" s="781"/>
      <c r="G57" s="781"/>
      <c r="H57" s="781"/>
      <c r="I57" s="781"/>
      <c r="J57" s="781"/>
      <c r="K57" s="781"/>
      <c r="L57" s="781"/>
      <c r="M57" s="92"/>
    </row>
    <row r="58" spans="1:13" ht="14.15" customHeight="1">
      <c r="A58" s="384"/>
      <c r="B58" s="384"/>
      <c r="C58" s="781"/>
      <c r="D58" s="781"/>
      <c r="E58" s="781"/>
      <c r="F58" s="781"/>
      <c r="G58" s="781"/>
      <c r="H58" s="781"/>
      <c r="I58" s="781"/>
      <c r="J58" s="781"/>
      <c r="K58" s="781"/>
      <c r="L58" s="781"/>
      <c r="M58" s="92"/>
    </row>
    <row r="59" spans="1:13" ht="14.15" customHeight="1">
      <c r="A59" s="384"/>
      <c r="B59" s="384"/>
      <c r="C59" s="376"/>
      <c r="D59" s="376"/>
      <c r="E59" s="376"/>
      <c r="F59" s="376"/>
      <c r="G59" s="376"/>
      <c r="H59" s="376"/>
      <c r="I59" s="376"/>
      <c r="J59" s="376"/>
      <c r="K59" s="376"/>
      <c r="L59" s="376"/>
      <c r="M59" s="92"/>
    </row>
    <row r="60" spans="1:13" ht="14.15" customHeight="1">
      <c r="A60" s="386"/>
      <c r="B60" s="384"/>
      <c r="C60" s="774" t="s">
        <v>511</v>
      </c>
      <c r="D60" s="774"/>
      <c r="E60" s="774"/>
      <c r="F60" s="774"/>
      <c r="G60" s="774"/>
      <c r="H60" s="774"/>
      <c r="I60" s="774"/>
      <c r="J60" s="774"/>
      <c r="K60" s="774"/>
      <c r="L60" s="774"/>
      <c r="M60" s="408"/>
    </row>
    <row r="61" spans="1:13" ht="14.15" customHeight="1">
      <c r="A61" s="386"/>
      <c r="B61" s="384"/>
      <c r="C61" s="774"/>
      <c r="D61" s="774"/>
      <c r="E61" s="774"/>
      <c r="F61" s="774"/>
      <c r="G61" s="774"/>
      <c r="H61" s="774"/>
      <c r="I61" s="774"/>
      <c r="J61" s="774"/>
      <c r="K61" s="774"/>
      <c r="L61" s="774"/>
      <c r="M61" s="408"/>
    </row>
    <row r="62" spans="1:13" ht="14.15" customHeight="1">
      <c r="A62" s="384"/>
      <c r="B62" s="409"/>
      <c r="C62" s="774"/>
      <c r="D62" s="774"/>
      <c r="E62" s="774"/>
      <c r="F62" s="774"/>
      <c r="G62" s="774"/>
      <c r="H62" s="774"/>
      <c r="I62" s="774"/>
      <c r="J62" s="774"/>
      <c r="K62" s="774"/>
      <c r="L62" s="774"/>
      <c r="M62" s="409"/>
    </row>
    <row r="63" spans="1:13" ht="14.15" customHeight="1">
      <c r="A63" s="384"/>
      <c r="B63" s="409"/>
      <c r="C63" s="408"/>
      <c r="D63" s="408"/>
      <c r="E63" s="408"/>
      <c r="F63" s="408"/>
      <c r="G63" s="408"/>
      <c r="H63" s="408"/>
      <c r="I63" s="408"/>
      <c r="J63" s="408"/>
      <c r="K63" s="408"/>
      <c r="L63" s="408"/>
      <c r="M63" s="409"/>
    </row>
    <row r="64" spans="1:13" ht="14.15" customHeight="1">
      <c r="A64" s="386"/>
      <c r="B64" s="384"/>
      <c r="C64" s="774" t="s">
        <v>512</v>
      </c>
      <c r="D64" s="774"/>
      <c r="E64" s="774"/>
      <c r="F64" s="774"/>
      <c r="G64" s="774"/>
      <c r="H64" s="774"/>
      <c r="I64" s="774"/>
      <c r="J64" s="774"/>
      <c r="K64" s="774"/>
      <c r="L64" s="774"/>
      <c r="M64" s="408"/>
    </row>
    <row r="65" spans="1:22" ht="14.15" customHeight="1">
      <c r="A65" s="386"/>
      <c r="B65" s="384"/>
      <c r="C65" s="774"/>
      <c r="D65" s="774"/>
      <c r="E65" s="774"/>
      <c r="F65" s="774"/>
      <c r="G65" s="774"/>
      <c r="H65" s="774"/>
      <c r="I65" s="774"/>
      <c r="J65" s="774"/>
      <c r="K65" s="774"/>
      <c r="L65" s="774"/>
      <c r="M65" s="408"/>
    </row>
    <row r="66" spans="1:22" ht="14.15" customHeight="1">
      <c r="A66" s="384"/>
      <c r="B66" s="384"/>
      <c r="C66" s="94"/>
      <c r="D66" s="94"/>
      <c r="E66" s="94"/>
      <c r="F66" s="94"/>
      <c r="G66" s="94"/>
      <c r="H66" s="94"/>
      <c r="I66" s="94"/>
      <c r="J66" s="94"/>
      <c r="K66" s="94"/>
      <c r="L66" s="94"/>
      <c r="M66" s="94"/>
    </row>
    <row r="67" spans="1:22" ht="14.15" customHeight="1">
      <c r="A67" s="381">
        <f>+A24+1</f>
        <v>3</v>
      </c>
      <c r="B67" s="775" t="s">
        <v>2057</v>
      </c>
      <c r="C67" s="775"/>
      <c r="D67" s="775"/>
      <c r="E67" s="775"/>
      <c r="F67" s="775"/>
      <c r="G67" s="775"/>
      <c r="H67" s="775"/>
      <c r="I67" s="775"/>
      <c r="J67" s="775"/>
      <c r="K67" s="775"/>
      <c r="L67" s="775"/>
      <c r="M67" s="94"/>
    </row>
    <row r="68" spans="1:22" ht="14.15" customHeight="1">
      <c r="A68" s="384"/>
      <c r="B68" s="597"/>
      <c r="C68" s="598"/>
      <c r="D68" s="599"/>
      <c r="E68" s="599"/>
      <c r="F68" s="599"/>
      <c r="G68" s="599"/>
      <c r="H68" s="599"/>
      <c r="I68" s="599"/>
      <c r="J68" s="599"/>
      <c r="K68" s="599"/>
      <c r="L68" s="599"/>
      <c r="M68" s="94"/>
    </row>
    <row r="69" spans="1:22" ht="14.15" customHeight="1">
      <c r="B69" s="779" t="s">
        <v>2059</v>
      </c>
      <c r="C69" s="779"/>
      <c r="D69" s="779"/>
      <c r="E69" s="779"/>
      <c r="F69" s="779"/>
      <c r="G69" s="779"/>
      <c r="H69" s="779"/>
      <c r="I69" s="779"/>
      <c r="J69" s="779"/>
      <c r="K69" s="779"/>
      <c r="L69" s="779"/>
      <c r="M69" s="411"/>
      <c r="N69" s="387"/>
      <c r="O69" s="387"/>
      <c r="P69" s="387"/>
      <c r="Q69" s="387"/>
      <c r="R69" s="387"/>
      <c r="S69" s="387"/>
      <c r="T69" s="387"/>
      <c r="U69" s="387"/>
      <c r="V69" s="387"/>
    </row>
    <row r="70" spans="1:22" ht="14.15" customHeight="1">
      <c r="B70" s="779"/>
      <c r="C70" s="779"/>
      <c r="D70" s="779"/>
      <c r="E70" s="779"/>
      <c r="F70" s="779"/>
      <c r="G70" s="779"/>
      <c r="H70" s="779"/>
      <c r="I70" s="779"/>
      <c r="J70" s="779"/>
      <c r="K70" s="779"/>
      <c r="L70" s="779"/>
      <c r="M70" s="411"/>
      <c r="N70" s="387"/>
      <c r="O70" s="387"/>
      <c r="P70" s="387"/>
      <c r="Q70" s="387"/>
      <c r="R70" s="387"/>
      <c r="S70" s="387"/>
      <c r="T70" s="387"/>
      <c r="U70" s="387"/>
      <c r="V70" s="387"/>
    </row>
    <row r="71" spans="1:22" ht="14.15" customHeight="1">
      <c r="C71" s="514"/>
      <c r="D71" s="602"/>
      <c r="E71" s="600"/>
      <c r="F71" s="600"/>
      <c r="G71" s="600"/>
      <c r="H71" s="600"/>
      <c r="I71" s="603"/>
      <c r="J71" s="601"/>
      <c r="K71" s="604"/>
      <c r="L71" s="601"/>
      <c r="M71" s="411"/>
      <c r="N71" s="387"/>
      <c r="O71" s="387"/>
      <c r="P71" s="387"/>
      <c r="Q71" s="387"/>
      <c r="R71" s="387"/>
      <c r="S71" s="387"/>
      <c r="T71" s="387"/>
      <c r="U71" s="387"/>
      <c r="V71" s="387"/>
    </row>
    <row r="72" spans="1:22" ht="14.15" customHeight="1">
      <c r="C72" s="514"/>
      <c r="D72" s="602"/>
      <c r="E72" s="600"/>
      <c r="F72" s="600"/>
      <c r="G72" s="600"/>
      <c r="H72" s="600"/>
      <c r="I72" s="603"/>
      <c r="J72" s="601"/>
      <c r="K72" s="604"/>
      <c r="L72" s="601"/>
      <c r="M72" s="411"/>
      <c r="N72" s="387"/>
      <c r="O72" s="387"/>
      <c r="P72" s="387"/>
      <c r="Q72" s="387"/>
      <c r="R72" s="387"/>
      <c r="S72" s="387"/>
      <c r="T72" s="387"/>
      <c r="U72" s="387"/>
      <c r="V72" s="387"/>
    </row>
    <row r="73" spans="1:22" ht="14.15" customHeight="1">
      <c r="C73" s="514"/>
      <c r="D73" s="602"/>
      <c r="E73" s="600"/>
      <c r="F73" s="600"/>
      <c r="G73" s="600"/>
      <c r="H73" s="600"/>
      <c r="I73" s="603"/>
      <c r="J73" s="601"/>
      <c r="K73" s="604"/>
      <c r="L73" s="601"/>
      <c r="M73" s="411"/>
      <c r="N73" s="387"/>
      <c r="O73" s="387"/>
      <c r="P73" s="387"/>
      <c r="Q73" s="387"/>
      <c r="R73" s="387"/>
      <c r="S73" s="387"/>
      <c r="T73" s="387"/>
      <c r="U73" s="387"/>
      <c r="V73" s="387"/>
    </row>
    <row r="74" spans="1:22" ht="14.15" customHeight="1">
      <c r="C74" s="514"/>
      <c r="D74" s="602"/>
      <c r="E74" s="600"/>
      <c r="F74" s="600"/>
      <c r="G74" s="600"/>
      <c r="H74" s="600"/>
      <c r="I74" s="603"/>
      <c r="J74" s="601"/>
      <c r="K74" s="604"/>
      <c r="L74" s="601"/>
      <c r="M74" s="411"/>
      <c r="N74" s="387"/>
      <c r="O74" s="387"/>
      <c r="P74" s="387"/>
      <c r="Q74" s="387"/>
      <c r="R74" s="387"/>
      <c r="S74" s="387"/>
      <c r="T74" s="387"/>
      <c r="U74" s="387"/>
      <c r="V74" s="387"/>
    </row>
    <row r="75" spans="1:22" ht="14.15" customHeight="1">
      <c r="C75" s="514"/>
      <c r="D75" s="602"/>
      <c r="E75" s="600"/>
      <c r="F75" s="600"/>
      <c r="G75" s="600"/>
      <c r="H75" s="600"/>
      <c r="I75" s="603"/>
      <c r="J75" s="601"/>
      <c r="K75" s="604"/>
      <c r="L75" s="601"/>
      <c r="M75" s="411"/>
      <c r="N75" s="387"/>
      <c r="O75" s="387"/>
      <c r="P75" s="387"/>
      <c r="Q75" s="387"/>
      <c r="R75" s="387"/>
      <c r="S75" s="387"/>
      <c r="T75" s="387"/>
      <c r="U75" s="387"/>
      <c r="V75" s="387"/>
    </row>
    <row r="76" spans="1:22" ht="14.15" customHeight="1">
      <c r="C76" s="514"/>
      <c r="D76" s="602"/>
      <c r="E76" s="600"/>
      <c r="F76" s="600"/>
      <c r="G76" s="600"/>
      <c r="H76" s="600"/>
      <c r="I76" s="603"/>
      <c r="J76" s="601"/>
      <c r="K76" s="604"/>
      <c r="L76" s="601"/>
      <c r="M76" s="411"/>
      <c r="N76" s="387"/>
      <c r="O76" s="387"/>
      <c r="P76" s="387"/>
      <c r="Q76" s="387"/>
      <c r="R76" s="387"/>
      <c r="S76" s="387"/>
      <c r="T76" s="387"/>
      <c r="U76" s="387"/>
      <c r="V76" s="387"/>
    </row>
    <row r="77" spans="1:22" ht="14.15" customHeight="1">
      <c r="C77" s="514"/>
      <c r="D77" s="602"/>
      <c r="E77" s="600"/>
      <c r="F77" s="600"/>
      <c r="G77" s="600"/>
      <c r="H77" s="600"/>
      <c r="I77" s="603"/>
      <c r="J77" s="601"/>
      <c r="K77" s="604"/>
      <c r="L77" s="601"/>
      <c r="M77" s="411"/>
      <c r="N77" s="387"/>
      <c r="O77" s="387"/>
      <c r="P77" s="387"/>
      <c r="Q77" s="387"/>
      <c r="R77" s="387"/>
      <c r="S77" s="387"/>
      <c r="T77" s="387"/>
      <c r="U77" s="387"/>
      <c r="V77" s="387"/>
    </row>
    <row r="78" spans="1:22" ht="14.15" customHeight="1">
      <c r="A78" s="388">
        <f>+A67+1</f>
        <v>4</v>
      </c>
      <c r="B78" s="210" t="s">
        <v>1378</v>
      </c>
      <c r="D78" s="409"/>
      <c r="E78" s="409"/>
      <c r="F78" s="409"/>
      <c r="G78" s="409"/>
      <c r="H78" s="409"/>
      <c r="I78" s="409"/>
      <c r="J78" s="409"/>
      <c r="K78" s="409"/>
      <c r="L78" s="409"/>
      <c r="M78" s="80"/>
      <c r="N78" s="80"/>
      <c r="O78" s="80"/>
      <c r="P78" s="80"/>
    </row>
    <row r="79" spans="1:22" ht="14.15" customHeight="1">
      <c r="C79" s="409"/>
      <c r="D79" s="409"/>
      <c r="E79" s="409"/>
      <c r="F79" s="409"/>
      <c r="G79" s="409"/>
      <c r="H79" s="409"/>
      <c r="I79" s="409"/>
      <c r="J79" s="409"/>
      <c r="K79" s="409"/>
      <c r="L79" s="409"/>
      <c r="M79" s="80"/>
      <c r="N79" s="80"/>
      <c r="O79" s="80"/>
      <c r="P79" s="80"/>
    </row>
    <row r="80" spans="1:22" ht="14.15" customHeight="1">
      <c r="A80" s="4"/>
      <c r="B80" s="383">
        <f>+A78+0.1</f>
        <v>4.0999999999999996</v>
      </c>
      <c r="C80" s="377" t="s">
        <v>463</v>
      </c>
      <c r="M80" s="93"/>
      <c r="N80" s="93"/>
      <c r="O80" s="80"/>
      <c r="P80" s="80"/>
    </row>
    <row r="81" spans="1:16" ht="14.15" customHeight="1">
      <c r="A81" s="4"/>
      <c r="B81" s="383"/>
      <c r="C81" s="377"/>
      <c r="M81" s="34"/>
      <c r="N81" s="34"/>
      <c r="O81" s="34"/>
      <c r="P81" s="80"/>
    </row>
    <row r="82" spans="1:16" ht="14.15" customHeight="1">
      <c r="A82" s="379"/>
      <c r="B82" s="382"/>
      <c r="C82" s="4" t="s">
        <v>513</v>
      </c>
      <c r="M82" s="34"/>
      <c r="N82" s="34"/>
      <c r="O82" s="34"/>
      <c r="P82" s="80"/>
    </row>
    <row r="83" spans="1:16" ht="14.15" customHeight="1">
      <c r="A83" s="379"/>
      <c r="B83" s="382"/>
      <c r="M83" s="92"/>
      <c r="N83" s="92"/>
      <c r="O83" s="92"/>
      <c r="P83" s="80"/>
    </row>
    <row r="84" spans="1:16" ht="14.15" customHeight="1">
      <c r="A84" s="379"/>
      <c r="B84" s="382"/>
      <c r="C84" s="780" t="s">
        <v>514</v>
      </c>
      <c r="D84" s="780"/>
      <c r="E84" s="780"/>
      <c r="F84" s="780"/>
      <c r="G84" s="780"/>
      <c r="H84" s="780"/>
      <c r="I84" s="780"/>
      <c r="J84" s="780"/>
      <c r="K84" s="780"/>
      <c r="L84" s="780"/>
      <c r="M84" s="92"/>
      <c r="N84" s="92"/>
      <c r="O84" s="92"/>
      <c r="P84" s="80"/>
    </row>
    <row r="85" spans="1:16" ht="14.15" customHeight="1">
      <c r="A85" s="379"/>
      <c r="B85" s="382"/>
      <c r="C85" s="410"/>
      <c r="D85" s="410"/>
      <c r="E85" s="410"/>
      <c r="F85" s="410"/>
      <c r="G85" s="410"/>
      <c r="H85" s="410"/>
      <c r="I85" s="410"/>
      <c r="J85" s="410"/>
      <c r="K85" s="410"/>
      <c r="L85" s="410"/>
      <c r="M85" s="92"/>
      <c r="N85" s="92"/>
      <c r="O85" s="92"/>
      <c r="P85" s="80"/>
    </row>
    <row r="86" spans="1:16" ht="14.15" customHeight="1">
      <c r="A86" s="379"/>
      <c r="B86" s="382"/>
      <c r="C86" s="779" t="s">
        <v>2006</v>
      </c>
      <c r="D86" s="779"/>
      <c r="E86" s="779"/>
      <c r="F86" s="779"/>
      <c r="G86" s="779"/>
      <c r="H86" s="779"/>
      <c r="I86" s="779"/>
      <c r="J86" s="779"/>
      <c r="K86" s="779"/>
      <c r="L86" s="779"/>
      <c r="M86" s="92"/>
      <c r="N86" s="92"/>
      <c r="O86" s="92"/>
      <c r="P86" s="80"/>
    </row>
    <row r="87" spans="1:16" ht="14.15" customHeight="1">
      <c r="A87" s="379"/>
      <c r="B87" s="384"/>
      <c r="C87" s="779"/>
      <c r="D87" s="779"/>
      <c r="E87" s="779"/>
      <c r="F87" s="779"/>
      <c r="G87" s="779"/>
      <c r="H87" s="779"/>
      <c r="I87" s="779"/>
      <c r="J87" s="779"/>
      <c r="K87" s="779"/>
      <c r="L87" s="779"/>
      <c r="M87" s="92"/>
      <c r="N87" s="92"/>
      <c r="O87" s="92"/>
      <c r="P87" s="80"/>
    </row>
    <row r="88" spans="1:16" ht="14.15" customHeight="1">
      <c r="A88" s="379"/>
      <c r="B88" s="384"/>
      <c r="C88" s="406"/>
      <c r="D88" s="406"/>
      <c r="E88" s="406"/>
      <c r="F88" s="406"/>
      <c r="G88" s="406"/>
      <c r="H88" s="406"/>
      <c r="I88" s="406"/>
      <c r="J88" s="406"/>
      <c r="K88" s="406"/>
      <c r="L88" s="406"/>
      <c r="M88" s="94"/>
      <c r="N88" s="94"/>
      <c r="O88" s="94"/>
      <c r="P88" s="80"/>
    </row>
    <row r="89" spans="1:16" ht="14.15" customHeight="1">
      <c r="A89" s="379"/>
      <c r="B89" s="382"/>
      <c r="C89" s="779" t="s">
        <v>515</v>
      </c>
      <c r="D89" s="779"/>
      <c r="E89" s="779"/>
      <c r="F89" s="779"/>
      <c r="G89" s="779"/>
      <c r="H89" s="779"/>
      <c r="I89" s="779"/>
      <c r="J89" s="779"/>
      <c r="K89" s="779"/>
      <c r="L89" s="779"/>
      <c r="M89" s="93"/>
      <c r="N89" s="93"/>
      <c r="O89" s="80"/>
      <c r="P89" s="80"/>
    </row>
    <row r="90" spans="1:16" ht="14.15" customHeight="1">
      <c r="B90" s="389"/>
      <c r="C90" s="779"/>
      <c r="D90" s="779"/>
      <c r="E90" s="779"/>
      <c r="F90" s="779"/>
      <c r="G90" s="779"/>
      <c r="H90" s="779"/>
      <c r="I90" s="779"/>
      <c r="J90" s="779"/>
      <c r="K90" s="779"/>
      <c r="L90" s="779"/>
      <c r="M90" s="95"/>
      <c r="N90" s="95"/>
      <c r="O90" s="95"/>
      <c r="P90" s="80"/>
    </row>
    <row r="91" spans="1:16" ht="14.15" customHeight="1">
      <c r="B91" s="389"/>
      <c r="C91" s="390"/>
      <c r="D91" s="390"/>
      <c r="E91" s="210"/>
      <c r="F91" s="210"/>
      <c r="M91" s="95"/>
      <c r="N91" s="95"/>
      <c r="O91" s="95"/>
      <c r="P91" s="80"/>
    </row>
    <row r="92" spans="1:16" ht="14.15" customHeight="1">
      <c r="A92" s="379"/>
      <c r="B92" s="382"/>
      <c r="C92" s="779" t="s">
        <v>1403</v>
      </c>
      <c r="D92" s="779"/>
      <c r="E92" s="779"/>
      <c r="F92" s="779"/>
      <c r="G92" s="779"/>
      <c r="H92" s="779"/>
      <c r="I92" s="779"/>
      <c r="J92" s="779"/>
      <c r="K92" s="779"/>
      <c r="L92" s="779"/>
      <c r="M92" s="92"/>
      <c r="N92" s="92"/>
      <c r="O92" s="92"/>
      <c r="P92" s="80"/>
    </row>
    <row r="93" spans="1:16" ht="14.15" customHeight="1">
      <c r="A93" s="379"/>
      <c r="B93" s="382"/>
      <c r="C93" s="779"/>
      <c r="D93" s="779"/>
      <c r="E93" s="779"/>
      <c r="F93" s="779"/>
      <c r="G93" s="779"/>
      <c r="H93" s="779"/>
      <c r="I93" s="779"/>
      <c r="J93" s="779"/>
      <c r="K93" s="779"/>
      <c r="L93" s="779"/>
      <c r="M93" s="92"/>
      <c r="N93" s="92"/>
      <c r="O93" s="92"/>
      <c r="P93" s="80"/>
    </row>
    <row r="94" spans="1:16" ht="14.15" customHeight="1">
      <c r="A94" s="379"/>
      <c r="B94" s="384"/>
      <c r="C94" s="779"/>
      <c r="D94" s="779"/>
      <c r="E94" s="779"/>
      <c r="F94" s="779"/>
      <c r="G94" s="779"/>
      <c r="H94" s="779"/>
      <c r="I94" s="779"/>
      <c r="J94" s="779"/>
      <c r="K94" s="779"/>
      <c r="L94" s="779"/>
      <c r="M94" s="92"/>
      <c r="N94" s="92"/>
      <c r="O94" s="92"/>
      <c r="P94" s="80"/>
    </row>
    <row r="95" spans="1:16" ht="14.15" customHeight="1">
      <c r="A95" s="379"/>
      <c r="B95" s="384"/>
      <c r="C95" s="406"/>
      <c r="D95" s="406"/>
      <c r="E95" s="406"/>
      <c r="F95" s="406"/>
      <c r="G95" s="406"/>
      <c r="H95" s="406"/>
      <c r="I95" s="406"/>
      <c r="J95" s="406"/>
      <c r="K95" s="406"/>
      <c r="L95" s="406"/>
      <c r="M95" s="92"/>
      <c r="N95" s="92"/>
      <c r="O95" s="92"/>
      <c r="P95" s="80"/>
    </row>
    <row r="96" spans="1:16" ht="14.15" customHeight="1">
      <c r="A96" s="379"/>
      <c r="B96" s="441">
        <f>B80+0.1</f>
        <v>4.1999999999999993</v>
      </c>
      <c r="C96" s="442" t="s">
        <v>1213</v>
      </c>
      <c r="D96" s="443"/>
      <c r="E96" s="443"/>
      <c r="F96" s="443"/>
      <c r="G96" s="443"/>
      <c r="H96" s="443"/>
      <c r="I96" s="443"/>
      <c r="J96" s="443"/>
      <c r="K96" s="443"/>
      <c r="L96" s="444"/>
      <c r="M96" s="92"/>
      <c r="N96" s="92"/>
      <c r="O96" s="92"/>
      <c r="P96" s="80"/>
    </row>
    <row r="97" spans="1:16" ht="14.15" customHeight="1">
      <c r="A97" s="379"/>
      <c r="B97" s="445"/>
      <c r="C97" s="444"/>
      <c r="D97" s="443"/>
      <c r="E97" s="443"/>
      <c r="F97" s="443"/>
      <c r="G97" s="443"/>
      <c r="H97" s="443"/>
      <c r="I97" s="443"/>
      <c r="J97" s="443"/>
      <c r="K97" s="443"/>
      <c r="L97" s="444"/>
      <c r="M97" s="92"/>
      <c r="N97" s="92"/>
      <c r="O97" s="92"/>
      <c r="P97" s="80"/>
    </row>
    <row r="98" spans="1:16" ht="14.15" customHeight="1">
      <c r="A98" s="379"/>
      <c r="B98" s="445"/>
      <c r="C98" s="782" t="s">
        <v>1243</v>
      </c>
      <c r="D98" s="782"/>
      <c r="E98" s="782"/>
      <c r="F98" s="782"/>
      <c r="G98" s="782"/>
      <c r="H98" s="782"/>
      <c r="I98" s="782"/>
      <c r="J98" s="782"/>
      <c r="K98" s="782"/>
      <c r="L98" s="782"/>
      <c r="M98" s="92"/>
      <c r="N98" s="92"/>
      <c r="O98" s="92"/>
      <c r="P98" s="80"/>
    </row>
    <row r="99" spans="1:16" ht="14.15" customHeight="1">
      <c r="A99" s="379"/>
      <c r="B99" s="445"/>
      <c r="C99" s="782"/>
      <c r="D99" s="782"/>
      <c r="E99" s="782"/>
      <c r="F99" s="782"/>
      <c r="G99" s="782"/>
      <c r="H99" s="782"/>
      <c r="I99" s="782"/>
      <c r="J99" s="782"/>
      <c r="K99" s="782"/>
      <c r="L99" s="782"/>
      <c r="M99" s="92"/>
      <c r="N99" s="92"/>
      <c r="O99" s="92"/>
      <c r="P99" s="80"/>
    </row>
    <row r="100" spans="1:16" ht="14.15" customHeight="1">
      <c r="A100" s="379"/>
      <c r="B100" s="445"/>
      <c r="C100" s="446"/>
      <c r="D100" s="446"/>
      <c r="E100" s="446"/>
      <c r="F100" s="446"/>
      <c r="G100" s="446"/>
      <c r="H100" s="446"/>
      <c r="I100" s="446"/>
      <c r="J100" s="446"/>
      <c r="K100" s="446"/>
      <c r="L100" s="446"/>
      <c r="M100" s="92"/>
      <c r="N100" s="92"/>
      <c r="O100" s="92"/>
      <c r="P100" s="80"/>
    </row>
    <row r="101" spans="1:16" ht="14.15" customHeight="1">
      <c r="A101" s="379"/>
      <c r="B101" s="445"/>
      <c r="C101" s="783" t="s">
        <v>1244</v>
      </c>
      <c r="D101" s="784"/>
      <c r="E101" s="784"/>
      <c r="F101" s="784"/>
      <c r="G101" s="784"/>
      <c r="H101" s="784"/>
      <c r="I101" s="784"/>
      <c r="J101" s="784"/>
      <c r="K101" s="784"/>
      <c r="L101" s="784"/>
      <c r="M101" s="92"/>
      <c r="N101" s="92"/>
      <c r="O101" s="92"/>
      <c r="P101" s="80"/>
    </row>
    <row r="102" spans="1:16" ht="14.15" customHeight="1">
      <c r="A102" s="379"/>
      <c r="B102" s="445"/>
      <c r="C102" s="784"/>
      <c r="D102" s="784"/>
      <c r="E102" s="784"/>
      <c r="F102" s="784"/>
      <c r="G102" s="784"/>
      <c r="H102" s="784"/>
      <c r="I102" s="784"/>
      <c r="J102" s="784"/>
      <c r="K102" s="784"/>
      <c r="L102" s="784"/>
      <c r="M102" s="92"/>
      <c r="N102" s="92"/>
      <c r="O102" s="92"/>
      <c r="P102" s="80"/>
    </row>
    <row r="103" spans="1:16" ht="14.15" customHeight="1">
      <c r="A103" s="379"/>
      <c r="B103" s="445"/>
      <c r="C103" s="784"/>
      <c r="D103" s="784"/>
      <c r="E103" s="784"/>
      <c r="F103" s="784"/>
      <c r="G103" s="784"/>
      <c r="H103" s="784"/>
      <c r="I103" s="784"/>
      <c r="J103" s="784"/>
      <c r="K103" s="784"/>
      <c r="L103" s="784"/>
      <c r="M103" s="92"/>
      <c r="N103" s="92"/>
      <c r="O103" s="92"/>
      <c r="P103" s="80"/>
    </row>
    <row r="104" spans="1:16" ht="14.15" customHeight="1">
      <c r="A104" s="379"/>
      <c r="B104" s="445"/>
      <c r="C104" s="784"/>
      <c r="D104" s="784"/>
      <c r="E104" s="784"/>
      <c r="F104" s="784"/>
      <c r="G104" s="784"/>
      <c r="H104" s="784"/>
      <c r="I104" s="784"/>
      <c r="J104" s="784"/>
      <c r="K104" s="784"/>
      <c r="L104" s="784"/>
      <c r="M104" s="92"/>
      <c r="N104" s="92"/>
      <c r="O104" s="92"/>
      <c r="P104" s="80"/>
    </row>
    <row r="105" spans="1:16" ht="14.15" customHeight="1">
      <c r="A105" s="379"/>
      <c r="B105" s="445"/>
      <c r="C105" s="784"/>
      <c r="D105" s="784"/>
      <c r="E105" s="784"/>
      <c r="F105" s="784"/>
      <c r="G105" s="784"/>
      <c r="H105" s="784"/>
      <c r="I105" s="784"/>
      <c r="J105" s="784"/>
      <c r="K105" s="784"/>
      <c r="L105" s="784"/>
      <c r="M105" s="92"/>
      <c r="N105" s="92"/>
      <c r="O105" s="92"/>
      <c r="P105" s="80"/>
    </row>
    <row r="106" spans="1:16" ht="14.15" customHeight="1">
      <c r="A106" s="379"/>
      <c r="B106" s="445"/>
      <c r="C106" s="784"/>
      <c r="D106" s="784"/>
      <c r="E106" s="784"/>
      <c r="F106" s="784"/>
      <c r="G106" s="784"/>
      <c r="H106" s="784"/>
      <c r="I106" s="784"/>
      <c r="J106" s="784"/>
      <c r="K106" s="784"/>
      <c r="L106" s="784"/>
      <c r="M106" s="92"/>
      <c r="N106" s="92"/>
      <c r="O106" s="92"/>
      <c r="P106" s="80"/>
    </row>
    <row r="107" spans="1:16" ht="14.15" customHeight="1">
      <c r="A107" s="379"/>
      <c r="B107" s="445"/>
      <c r="C107" s="444"/>
      <c r="D107" s="444"/>
      <c r="E107" s="444"/>
      <c r="F107" s="444"/>
      <c r="G107" s="444"/>
      <c r="H107" s="444"/>
      <c r="I107" s="444"/>
      <c r="J107" s="444"/>
      <c r="K107" s="444"/>
      <c r="L107" s="444"/>
      <c r="M107" s="92"/>
      <c r="N107" s="92"/>
      <c r="O107" s="92"/>
      <c r="P107" s="80"/>
    </row>
    <row r="108" spans="1:16" ht="14.15" customHeight="1">
      <c r="A108" s="379"/>
      <c r="B108" s="445"/>
      <c r="C108" s="785" t="s">
        <v>1424</v>
      </c>
      <c r="D108" s="785"/>
      <c r="E108" s="785"/>
      <c r="F108" s="785"/>
      <c r="G108" s="785"/>
      <c r="H108" s="785"/>
      <c r="I108" s="785"/>
      <c r="J108" s="785"/>
      <c r="K108" s="785"/>
      <c r="L108" s="785"/>
      <c r="M108" s="92"/>
      <c r="N108" s="92"/>
      <c r="O108" s="92"/>
      <c r="P108" s="80"/>
    </row>
    <row r="109" spans="1:16" ht="14.15" customHeight="1">
      <c r="A109" s="379"/>
      <c r="B109" s="445"/>
      <c r="C109" s="785"/>
      <c r="D109" s="785"/>
      <c r="E109" s="785"/>
      <c r="F109" s="785"/>
      <c r="G109" s="785"/>
      <c r="H109" s="785"/>
      <c r="I109" s="785"/>
      <c r="J109" s="785"/>
      <c r="K109" s="785"/>
      <c r="L109" s="785"/>
      <c r="M109" s="92"/>
      <c r="N109" s="92"/>
      <c r="O109" s="92"/>
      <c r="P109" s="80"/>
    </row>
    <row r="110" spans="1:16" ht="14.15" customHeight="1">
      <c r="A110" s="379"/>
      <c r="B110" s="445"/>
      <c r="C110" s="785"/>
      <c r="D110" s="785"/>
      <c r="E110" s="785"/>
      <c r="F110" s="785"/>
      <c r="G110" s="785"/>
      <c r="H110" s="785"/>
      <c r="I110" s="785"/>
      <c r="J110" s="785"/>
      <c r="K110" s="785"/>
      <c r="L110" s="785"/>
      <c r="M110" s="92"/>
      <c r="N110" s="92"/>
      <c r="O110" s="92"/>
      <c r="P110" s="80"/>
    </row>
    <row r="111" spans="1:16" ht="14.15" customHeight="1">
      <c r="A111" s="379"/>
      <c r="B111" s="445"/>
      <c r="C111" s="785"/>
      <c r="D111" s="785"/>
      <c r="E111" s="785"/>
      <c r="F111" s="785"/>
      <c r="G111" s="785"/>
      <c r="H111" s="785"/>
      <c r="I111" s="785"/>
      <c r="J111" s="785"/>
      <c r="K111" s="785"/>
      <c r="L111" s="785"/>
      <c r="M111" s="92"/>
      <c r="N111" s="92"/>
      <c r="O111" s="92"/>
      <c r="P111" s="80"/>
    </row>
    <row r="112" spans="1:16" ht="14.15" customHeight="1">
      <c r="A112" s="379"/>
      <c r="B112" s="445"/>
      <c r="C112" s="447"/>
      <c r="D112" s="447"/>
      <c r="E112" s="447"/>
      <c r="F112" s="447"/>
      <c r="G112" s="447"/>
      <c r="H112" s="447"/>
      <c r="I112" s="447"/>
      <c r="J112" s="447"/>
      <c r="K112" s="447"/>
      <c r="L112" s="447"/>
      <c r="M112" s="92"/>
      <c r="N112" s="92"/>
      <c r="O112" s="92"/>
      <c r="P112" s="80"/>
    </row>
    <row r="113" spans="1:16" ht="14.15" customHeight="1">
      <c r="A113" s="379"/>
      <c r="B113" s="445"/>
      <c r="C113" s="785" t="s">
        <v>1404</v>
      </c>
      <c r="D113" s="782"/>
      <c r="E113" s="782"/>
      <c r="F113" s="782"/>
      <c r="G113" s="782"/>
      <c r="H113" s="782"/>
      <c r="I113" s="782"/>
      <c r="J113" s="782"/>
      <c r="K113" s="782"/>
      <c r="L113" s="782"/>
      <c r="M113" s="92"/>
      <c r="N113" s="92"/>
      <c r="O113" s="92"/>
      <c r="P113" s="80"/>
    </row>
    <row r="114" spans="1:16" ht="14.15" customHeight="1">
      <c r="A114" s="379"/>
      <c r="B114" s="445"/>
      <c r="C114" s="782"/>
      <c r="D114" s="782"/>
      <c r="E114" s="782"/>
      <c r="F114" s="782"/>
      <c r="G114" s="782"/>
      <c r="H114" s="782"/>
      <c r="I114" s="782"/>
      <c r="J114" s="782"/>
      <c r="K114" s="782"/>
      <c r="L114" s="782"/>
      <c r="M114" s="92"/>
      <c r="N114" s="92"/>
      <c r="O114" s="92"/>
      <c r="P114" s="80"/>
    </row>
    <row r="115" spans="1:16" ht="14.15" customHeight="1">
      <c r="A115" s="379"/>
      <c r="B115" s="445"/>
      <c r="C115" s="782"/>
      <c r="D115" s="782"/>
      <c r="E115" s="782"/>
      <c r="F115" s="782"/>
      <c r="G115" s="782"/>
      <c r="H115" s="782"/>
      <c r="I115" s="782"/>
      <c r="J115" s="782"/>
      <c r="K115" s="782"/>
      <c r="L115" s="782"/>
      <c r="M115" s="92"/>
      <c r="N115" s="92"/>
      <c r="O115" s="92"/>
      <c r="P115" s="80"/>
    </row>
    <row r="116" spans="1:16" ht="14.15" customHeight="1">
      <c r="A116" s="379"/>
      <c r="B116" s="384"/>
      <c r="C116" s="406"/>
      <c r="D116" s="406"/>
      <c r="E116" s="406"/>
      <c r="F116" s="406"/>
      <c r="G116" s="406"/>
      <c r="H116" s="406"/>
      <c r="I116" s="406"/>
      <c r="J116" s="406"/>
      <c r="K116" s="406"/>
      <c r="L116" s="406"/>
      <c r="M116" s="92"/>
      <c r="N116" s="92"/>
      <c r="O116" s="92"/>
      <c r="P116" s="80"/>
    </row>
    <row r="117" spans="1:16" ht="14.15" customHeight="1">
      <c r="A117" s="384"/>
      <c r="B117" s="440">
        <f>+B96+0.1</f>
        <v>4.2999999999999989</v>
      </c>
      <c r="C117" s="210" t="s">
        <v>1294</v>
      </c>
      <c r="D117" s="79"/>
      <c r="E117" s="95"/>
      <c r="F117" s="95"/>
      <c r="G117" s="95"/>
      <c r="H117" s="95"/>
      <c r="I117" s="95"/>
      <c r="J117" s="95"/>
      <c r="K117" s="95"/>
      <c r="L117" s="95"/>
    </row>
    <row r="118" spans="1:16" ht="14.15" customHeight="1">
      <c r="A118" s="384"/>
      <c r="B118" s="384"/>
      <c r="C118" s="80"/>
      <c r="D118" s="80"/>
      <c r="E118" s="95"/>
      <c r="F118" s="95"/>
      <c r="G118" s="95"/>
      <c r="H118" s="95"/>
      <c r="I118" s="95"/>
      <c r="J118" s="95"/>
      <c r="K118" s="95"/>
      <c r="L118" s="95"/>
    </row>
    <row r="119" spans="1:16" ht="14.15" customHeight="1">
      <c r="A119" s="384"/>
      <c r="B119" s="384"/>
      <c r="C119" s="774" t="s">
        <v>516</v>
      </c>
      <c r="D119" s="774"/>
      <c r="E119" s="774"/>
      <c r="F119" s="774"/>
      <c r="G119" s="774"/>
      <c r="H119" s="774"/>
      <c r="I119" s="774"/>
      <c r="J119" s="774"/>
      <c r="K119" s="774"/>
      <c r="L119" s="774"/>
    </row>
    <row r="120" spans="1:16" ht="14.15" customHeight="1">
      <c r="A120" s="384"/>
      <c r="B120" s="382"/>
      <c r="C120" s="774"/>
      <c r="D120" s="774"/>
      <c r="E120" s="774"/>
      <c r="F120" s="774"/>
      <c r="G120" s="774"/>
      <c r="H120" s="774"/>
      <c r="I120" s="774"/>
      <c r="J120" s="774"/>
      <c r="K120" s="774"/>
      <c r="L120" s="774"/>
    </row>
    <row r="121" spans="1:16" ht="14.15" customHeight="1">
      <c r="A121" s="384"/>
      <c r="B121" s="94"/>
      <c r="C121" s="94"/>
      <c r="D121" s="94"/>
      <c r="E121" s="94"/>
      <c r="F121" s="94"/>
      <c r="G121" s="94"/>
      <c r="H121" s="94"/>
      <c r="I121" s="94"/>
      <c r="J121" s="94"/>
      <c r="K121" s="94"/>
      <c r="L121" s="94"/>
    </row>
    <row r="122" spans="1:16" ht="14.15" customHeight="1">
      <c r="A122" s="4"/>
      <c r="B122" s="440">
        <f>+B117+0.1</f>
        <v>4.3999999999999986</v>
      </c>
      <c r="C122" s="517" t="s">
        <v>2058</v>
      </c>
      <c r="D122" s="518"/>
      <c r="E122" s="514"/>
      <c r="F122" s="514"/>
      <c r="G122" s="514"/>
      <c r="H122" s="514"/>
      <c r="I122" s="514"/>
      <c r="J122" s="519"/>
      <c r="K122" s="520"/>
      <c r="L122" s="409"/>
    </row>
    <row r="123" spans="1:16" ht="14.15" customHeight="1">
      <c r="A123" s="4"/>
      <c r="B123" s="379"/>
      <c r="C123" s="518"/>
      <c r="D123" s="518"/>
      <c r="E123" s="514"/>
      <c r="F123" s="514"/>
      <c r="G123" s="514"/>
      <c r="H123" s="514"/>
      <c r="I123" s="514"/>
      <c r="J123" s="519"/>
      <c r="K123" s="520"/>
      <c r="L123" s="409"/>
    </row>
    <row r="124" spans="1:16" ht="14.15" customHeight="1">
      <c r="A124" s="4"/>
      <c r="B124" s="379"/>
      <c r="C124" s="792" t="s">
        <v>1379</v>
      </c>
      <c r="D124" s="792"/>
      <c r="E124" s="792"/>
      <c r="F124" s="792"/>
      <c r="G124" s="792"/>
      <c r="H124" s="792"/>
      <c r="I124" s="792"/>
      <c r="J124" s="792"/>
      <c r="K124" s="792"/>
      <c r="L124" s="792"/>
    </row>
    <row r="125" spans="1:16" ht="14.15" customHeight="1">
      <c r="A125" s="4"/>
      <c r="B125" s="379"/>
      <c r="C125" s="792"/>
      <c r="D125" s="792"/>
      <c r="E125" s="792"/>
      <c r="F125" s="792"/>
      <c r="G125" s="792"/>
      <c r="H125" s="792"/>
      <c r="I125" s="792"/>
      <c r="J125" s="792"/>
      <c r="K125" s="792"/>
      <c r="L125" s="792"/>
    </row>
    <row r="126" spans="1:16" ht="14.15" customHeight="1">
      <c r="A126" s="4"/>
      <c r="B126" s="379"/>
      <c r="C126" s="792"/>
      <c r="D126" s="792"/>
      <c r="E126" s="792"/>
      <c r="F126" s="792"/>
      <c r="G126" s="792"/>
      <c r="H126" s="792"/>
      <c r="I126" s="792"/>
      <c r="J126" s="792"/>
      <c r="K126" s="792"/>
      <c r="L126" s="792"/>
    </row>
    <row r="127" spans="1:16" ht="14.15" customHeight="1">
      <c r="A127" s="4"/>
      <c r="B127" s="379"/>
      <c r="C127" s="522"/>
      <c r="D127" s="515"/>
      <c r="E127" s="516"/>
      <c r="F127" s="516"/>
      <c r="G127" s="516"/>
      <c r="H127" s="516"/>
      <c r="I127" s="516"/>
      <c r="J127" s="516"/>
      <c r="K127" s="516"/>
      <c r="L127" s="409"/>
    </row>
    <row r="128" spans="1:16" ht="14.15" customHeight="1">
      <c r="A128" s="4"/>
      <c r="B128" s="379"/>
      <c r="C128" s="791" t="s">
        <v>1380</v>
      </c>
      <c r="D128" s="791"/>
      <c r="E128" s="791"/>
      <c r="F128" s="516"/>
      <c r="G128" s="516"/>
      <c r="H128" s="516"/>
      <c r="I128" s="516"/>
      <c r="J128" s="516"/>
      <c r="K128" s="516"/>
      <c r="L128" s="409"/>
    </row>
    <row r="129" spans="1:12" ht="14.15" customHeight="1">
      <c r="A129" s="4"/>
      <c r="B129" s="379"/>
      <c r="C129" s="789" t="s">
        <v>1381</v>
      </c>
      <c r="D129" s="789"/>
      <c r="E129" s="789"/>
      <c r="F129" s="789"/>
      <c r="G129" s="789"/>
      <c r="H129" s="789"/>
      <c r="I129" s="789"/>
      <c r="J129" s="789"/>
      <c r="K129" s="789"/>
      <c r="L129" s="789"/>
    </row>
    <row r="130" spans="1:12" ht="14.15" customHeight="1">
      <c r="A130" s="4"/>
      <c r="B130" s="379"/>
      <c r="C130" s="789"/>
      <c r="D130" s="789"/>
      <c r="E130" s="789"/>
      <c r="F130" s="789"/>
      <c r="G130" s="789"/>
      <c r="H130" s="789"/>
      <c r="I130" s="789"/>
      <c r="J130" s="789"/>
      <c r="K130" s="789"/>
      <c r="L130" s="789"/>
    </row>
    <row r="131" spans="1:12" ht="14.15" customHeight="1">
      <c r="A131" s="4"/>
      <c r="B131" s="379"/>
      <c r="C131" s="789"/>
      <c r="D131" s="789"/>
      <c r="E131" s="789"/>
      <c r="F131" s="789"/>
      <c r="G131" s="789"/>
      <c r="H131" s="789"/>
      <c r="I131" s="789"/>
      <c r="J131" s="789"/>
      <c r="K131" s="789"/>
      <c r="L131" s="789"/>
    </row>
    <row r="132" spans="1:12" ht="14.15" customHeight="1">
      <c r="A132" s="4"/>
      <c r="B132" s="379"/>
      <c r="C132" s="522"/>
      <c r="D132" s="523"/>
      <c r="E132" s="524"/>
      <c r="F132" s="524"/>
      <c r="G132" s="524"/>
      <c r="H132" s="524"/>
      <c r="I132" s="524"/>
      <c r="J132" s="524"/>
      <c r="K132" s="524"/>
      <c r="L132" s="409"/>
    </row>
    <row r="133" spans="1:12" ht="14.15" customHeight="1">
      <c r="A133" s="4"/>
      <c r="B133" s="379"/>
      <c r="C133" s="522"/>
      <c r="D133" s="523"/>
      <c r="E133" s="524"/>
      <c r="F133" s="524"/>
      <c r="G133" s="524"/>
      <c r="H133" s="524"/>
      <c r="I133" s="524"/>
      <c r="J133" s="524"/>
      <c r="K133" s="524"/>
      <c r="L133" s="409"/>
    </row>
    <row r="134" spans="1:12" ht="14.15" customHeight="1">
      <c r="A134" s="4"/>
      <c r="B134" s="379"/>
      <c r="C134" s="522"/>
      <c r="D134" s="523"/>
      <c r="E134" s="524"/>
      <c r="F134" s="524"/>
      <c r="G134" s="524"/>
      <c r="H134" s="524"/>
      <c r="I134" s="524"/>
      <c r="J134" s="524"/>
      <c r="K134" s="524"/>
      <c r="L134" s="409"/>
    </row>
    <row r="135" spans="1:12" ht="14.15" customHeight="1">
      <c r="A135" s="4"/>
      <c r="B135" s="379"/>
      <c r="C135" s="522"/>
      <c r="D135" s="523"/>
      <c r="E135" s="524"/>
      <c r="F135" s="524"/>
      <c r="G135" s="524"/>
      <c r="H135" s="524"/>
      <c r="I135" s="524"/>
      <c r="J135" s="524"/>
      <c r="K135" s="524"/>
      <c r="L135" s="409"/>
    </row>
    <row r="136" spans="1:12" ht="14.15" customHeight="1">
      <c r="A136" s="4"/>
      <c r="B136" s="379"/>
      <c r="C136" s="522"/>
      <c r="D136" s="523"/>
      <c r="E136" s="524"/>
      <c r="F136" s="524"/>
      <c r="G136" s="524"/>
      <c r="H136" s="524"/>
      <c r="I136" s="524"/>
      <c r="J136" s="524"/>
      <c r="K136" s="524"/>
      <c r="L136" s="409"/>
    </row>
    <row r="137" spans="1:12" ht="14.15" customHeight="1">
      <c r="A137" s="4"/>
      <c r="B137" s="379"/>
      <c r="C137" s="790" t="s">
        <v>1382</v>
      </c>
      <c r="D137" s="790"/>
      <c r="E137" s="790"/>
      <c r="F137" s="524"/>
      <c r="G137" s="524"/>
      <c r="H137" s="524"/>
      <c r="I137" s="524"/>
      <c r="J137" s="524"/>
      <c r="K137" s="524"/>
      <c r="L137" s="409"/>
    </row>
    <row r="138" spans="1:12" ht="14.15" customHeight="1">
      <c r="A138" s="4"/>
      <c r="B138" s="379"/>
      <c r="C138" s="783" t="s">
        <v>1383</v>
      </c>
      <c r="D138" s="783"/>
      <c r="E138" s="783"/>
      <c r="F138" s="783"/>
      <c r="G138" s="783"/>
      <c r="H138" s="783"/>
      <c r="I138" s="783"/>
      <c r="J138" s="783"/>
      <c r="K138" s="783"/>
      <c r="L138" s="783"/>
    </row>
    <row r="139" spans="1:12" ht="14.15" customHeight="1">
      <c r="A139" s="4"/>
      <c r="B139" s="379"/>
      <c r="C139" s="783"/>
      <c r="D139" s="783"/>
      <c r="E139" s="783"/>
      <c r="F139" s="783"/>
      <c r="G139" s="783"/>
      <c r="H139" s="783"/>
      <c r="I139" s="783"/>
      <c r="J139" s="783"/>
      <c r="K139" s="783"/>
      <c r="L139" s="783"/>
    </row>
    <row r="140" spans="1:12" ht="14.15" customHeight="1">
      <c r="A140" s="4"/>
      <c r="B140" s="379"/>
      <c r="C140" s="522"/>
      <c r="D140" s="523"/>
      <c r="E140" s="524"/>
      <c r="F140" s="524"/>
      <c r="G140" s="524"/>
      <c r="H140" s="524"/>
      <c r="I140" s="524"/>
      <c r="J140" s="524"/>
      <c r="K140" s="524"/>
      <c r="L140" s="409"/>
    </row>
    <row r="141" spans="1:12" ht="14.15" customHeight="1">
      <c r="A141" s="4"/>
      <c r="B141" s="440">
        <f>+B122+0.1</f>
        <v>4.4999999999999982</v>
      </c>
      <c r="C141" s="3" t="s">
        <v>1295</v>
      </c>
      <c r="D141" s="3"/>
      <c r="E141" s="3"/>
      <c r="F141" s="406"/>
      <c r="G141" s="406"/>
      <c r="H141" s="406"/>
      <c r="I141" s="406"/>
      <c r="J141" s="406"/>
      <c r="K141" s="406"/>
      <c r="L141" s="406"/>
    </row>
    <row r="142" spans="1:12" ht="14.15" customHeight="1">
      <c r="A142" s="4"/>
      <c r="B142" s="379"/>
      <c r="C142" s="393"/>
      <c r="D142" s="406"/>
      <c r="E142" s="406"/>
      <c r="F142" s="406"/>
      <c r="G142" s="406"/>
      <c r="H142" s="406"/>
      <c r="I142" s="406"/>
      <c r="J142" s="406"/>
      <c r="K142" s="406"/>
      <c r="L142" s="406"/>
    </row>
    <row r="143" spans="1:12" ht="14.15" customHeight="1">
      <c r="A143" s="379"/>
      <c r="B143" s="377"/>
      <c r="C143" s="779" t="s">
        <v>517</v>
      </c>
      <c r="D143" s="779"/>
      <c r="E143" s="779"/>
      <c r="F143" s="779"/>
      <c r="G143" s="779"/>
      <c r="H143" s="779"/>
      <c r="I143" s="779"/>
      <c r="J143" s="779"/>
      <c r="K143" s="779"/>
      <c r="L143" s="779"/>
    </row>
    <row r="144" spans="1:12" ht="14.15" customHeight="1">
      <c r="B144" s="4"/>
      <c r="C144" s="779"/>
      <c r="D144" s="779"/>
      <c r="E144" s="779"/>
      <c r="F144" s="779"/>
      <c r="G144" s="779"/>
      <c r="H144" s="779"/>
      <c r="I144" s="779"/>
      <c r="J144" s="779"/>
      <c r="K144" s="779"/>
      <c r="L144" s="779"/>
    </row>
    <row r="145" spans="2:12" ht="14.15" customHeight="1">
      <c r="B145" s="4"/>
      <c r="C145" s="406"/>
      <c r="D145" s="406"/>
      <c r="E145" s="406"/>
      <c r="F145" s="406"/>
      <c r="G145" s="406"/>
      <c r="H145" s="406"/>
      <c r="I145" s="406"/>
      <c r="J145" s="406"/>
      <c r="K145" s="406"/>
      <c r="L145" s="406"/>
    </row>
    <row r="146" spans="2:12" ht="14.15" customHeight="1">
      <c r="B146" s="4"/>
      <c r="C146" s="780" t="s">
        <v>518</v>
      </c>
      <c r="D146" s="780"/>
      <c r="E146" s="780"/>
      <c r="F146" s="780"/>
      <c r="G146" s="780"/>
      <c r="H146" s="780"/>
      <c r="I146" s="780"/>
      <c r="J146" s="780"/>
      <c r="K146" s="780"/>
      <c r="L146" s="780"/>
    </row>
    <row r="147" spans="2:12" ht="14.15" customHeight="1">
      <c r="B147" s="4"/>
      <c r="C147" s="780"/>
      <c r="D147" s="780"/>
      <c r="E147" s="780"/>
      <c r="F147" s="780"/>
      <c r="G147" s="780"/>
      <c r="H147" s="780"/>
      <c r="I147" s="780"/>
      <c r="J147" s="780"/>
      <c r="K147" s="780"/>
      <c r="L147" s="780"/>
    </row>
    <row r="148" spans="2:12" ht="14.15" customHeight="1">
      <c r="B148" s="4"/>
      <c r="C148" s="406"/>
      <c r="D148" s="406"/>
      <c r="E148" s="406"/>
      <c r="F148" s="406"/>
      <c r="G148" s="406"/>
      <c r="H148" s="406"/>
      <c r="I148" s="406"/>
      <c r="J148" s="406"/>
      <c r="K148" s="406"/>
      <c r="L148" s="406"/>
    </row>
    <row r="149" spans="2:12" ht="14.15" customHeight="1">
      <c r="B149" s="4"/>
      <c r="C149" s="774" t="s">
        <v>519</v>
      </c>
      <c r="D149" s="778"/>
      <c r="E149" s="778"/>
      <c r="F149" s="778"/>
      <c r="G149" s="778"/>
      <c r="H149" s="778"/>
      <c r="I149" s="778"/>
      <c r="J149" s="778"/>
      <c r="K149" s="778"/>
      <c r="L149" s="778"/>
    </row>
    <row r="150" spans="2:12" ht="14.15" customHeight="1">
      <c r="B150" s="4"/>
      <c r="C150" s="778"/>
      <c r="D150" s="778"/>
      <c r="E150" s="778"/>
      <c r="F150" s="778"/>
      <c r="G150" s="778"/>
      <c r="H150" s="778"/>
      <c r="I150" s="778"/>
      <c r="J150" s="778"/>
      <c r="K150" s="778"/>
      <c r="L150" s="778"/>
    </row>
    <row r="151" spans="2:12" ht="14.15" customHeight="1">
      <c r="B151" s="4"/>
      <c r="C151" s="594"/>
      <c r="D151" s="594"/>
      <c r="E151" s="594"/>
      <c r="F151" s="594"/>
      <c r="G151" s="594"/>
      <c r="H151" s="594"/>
      <c r="I151" s="594"/>
      <c r="J151" s="594"/>
      <c r="K151" s="594"/>
      <c r="L151" s="594"/>
    </row>
    <row r="152" spans="2:12" ht="14.15" customHeight="1">
      <c r="B152" s="440">
        <f>+B141+0.1</f>
        <v>4.5999999999999979</v>
      </c>
      <c r="C152" s="210" t="s">
        <v>1296</v>
      </c>
      <c r="D152" s="79"/>
      <c r="E152" s="95"/>
      <c r="F152" s="95"/>
      <c r="G152" s="95"/>
      <c r="H152" s="95"/>
      <c r="I152" s="95"/>
      <c r="J152" s="95"/>
      <c r="K152" s="95"/>
      <c r="L152" s="95"/>
    </row>
    <row r="153" spans="2:12" ht="14.15" customHeight="1">
      <c r="B153" s="4"/>
      <c r="C153" s="80"/>
      <c r="D153" s="80"/>
      <c r="E153" s="95"/>
      <c r="F153" s="95"/>
      <c r="G153" s="95"/>
      <c r="H153" s="95"/>
      <c r="I153" s="95"/>
      <c r="J153" s="95"/>
      <c r="K153" s="95"/>
      <c r="L153" s="95"/>
    </row>
    <row r="154" spans="2:12" ht="14.15" customHeight="1">
      <c r="B154" s="4"/>
      <c r="C154" s="774" t="s">
        <v>1405</v>
      </c>
      <c r="D154" s="778"/>
      <c r="E154" s="778"/>
      <c r="F154" s="778"/>
      <c r="G154" s="778"/>
      <c r="H154" s="778"/>
      <c r="I154" s="778"/>
      <c r="J154" s="778"/>
      <c r="K154" s="778"/>
      <c r="L154" s="778"/>
    </row>
    <row r="155" spans="2:12" ht="14.15" customHeight="1">
      <c r="B155" s="4"/>
      <c r="C155" s="778"/>
      <c r="D155" s="778"/>
      <c r="E155" s="778"/>
      <c r="F155" s="778"/>
      <c r="G155" s="778"/>
      <c r="H155" s="778"/>
      <c r="I155" s="778"/>
      <c r="J155" s="778"/>
      <c r="K155" s="778"/>
      <c r="L155" s="778"/>
    </row>
    <row r="156" spans="2:12" ht="14.15" customHeight="1">
      <c r="B156" s="4"/>
      <c r="C156" s="778"/>
      <c r="D156" s="778"/>
      <c r="E156" s="778"/>
      <c r="F156" s="778"/>
      <c r="G156" s="778"/>
      <c r="H156" s="778"/>
      <c r="I156" s="778"/>
      <c r="J156" s="778"/>
      <c r="K156" s="778"/>
      <c r="L156" s="778"/>
    </row>
    <row r="158" spans="2:12" ht="14.15" customHeight="1">
      <c r="B158" s="391">
        <f>+B152+0.1</f>
        <v>4.6999999999999975</v>
      </c>
      <c r="C158" s="210" t="s">
        <v>1297</v>
      </c>
      <c r="D158" s="79"/>
      <c r="E158" s="95"/>
      <c r="F158" s="95"/>
      <c r="G158" s="95"/>
      <c r="H158" s="95"/>
      <c r="I158" s="95"/>
      <c r="J158" s="95"/>
      <c r="K158" s="95"/>
      <c r="L158" s="95"/>
    </row>
    <row r="159" spans="2:12" ht="14.15" customHeight="1">
      <c r="C159" s="80"/>
      <c r="D159" s="80"/>
      <c r="E159" s="95"/>
      <c r="F159" s="95"/>
      <c r="G159" s="95"/>
      <c r="H159" s="95"/>
      <c r="I159" s="95"/>
      <c r="J159" s="95"/>
      <c r="K159" s="95"/>
      <c r="L159" s="95"/>
    </row>
    <row r="160" spans="2:12" ht="14.15" customHeight="1">
      <c r="C160" s="774" t="s">
        <v>1311</v>
      </c>
      <c r="D160" s="778"/>
      <c r="E160" s="778"/>
      <c r="F160" s="778"/>
      <c r="G160" s="778"/>
      <c r="H160" s="778"/>
      <c r="I160" s="778"/>
      <c r="J160" s="778"/>
      <c r="K160" s="778"/>
      <c r="L160" s="778"/>
    </row>
    <row r="161" spans="1:12" ht="14.15" hidden="1" customHeight="1">
      <c r="C161" s="80"/>
      <c r="D161" s="80"/>
      <c r="E161" s="95"/>
      <c r="F161" s="95"/>
      <c r="G161" s="95"/>
      <c r="H161" s="95"/>
      <c r="I161" s="95"/>
      <c r="J161" s="95"/>
      <c r="K161" s="95"/>
      <c r="L161" s="95"/>
    </row>
    <row r="162" spans="1:12" ht="14.15" hidden="1" customHeight="1">
      <c r="A162" s="388">
        <f>+A78+1</f>
        <v>5</v>
      </c>
      <c r="B162" s="377" t="s">
        <v>1389</v>
      </c>
      <c r="C162" s="80"/>
      <c r="D162" s="80"/>
      <c r="E162" s="95"/>
      <c r="F162" s="95"/>
      <c r="G162" s="95"/>
      <c r="H162" s="95"/>
      <c r="I162" s="95"/>
      <c r="J162" s="95"/>
      <c r="K162" s="95"/>
      <c r="L162" s="95"/>
    </row>
    <row r="163" spans="1:12" ht="14.15" hidden="1" customHeight="1">
      <c r="I163" s="786" t="s">
        <v>1392</v>
      </c>
      <c r="J163" s="786" t="s">
        <v>1393</v>
      </c>
      <c r="K163" s="786" t="s">
        <v>1394</v>
      </c>
      <c r="L163" s="786"/>
    </row>
    <row r="164" spans="1:12" ht="14.15" hidden="1" customHeight="1">
      <c r="I164" s="786"/>
      <c r="J164" s="786"/>
      <c r="K164" s="786"/>
      <c r="L164" s="786"/>
    </row>
    <row r="165" spans="1:12" ht="14.15" hidden="1" customHeight="1">
      <c r="I165" s="786"/>
      <c r="J165" s="786"/>
      <c r="K165" s="786"/>
      <c r="L165" s="786"/>
    </row>
    <row r="166" spans="1:12" ht="14.15" hidden="1" customHeight="1">
      <c r="I166" s="787" t="s">
        <v>1398</v>
      </c>
      <c r="J166" s="788"/>
      <c r="K166" s="788"/>
      <c r="L166" s="788"/>
    </row>
    <row r="167" spans="1:12" ht="14.15" hidden="1" customHeight="1">
      <c r="B167" s="563" t="s">
        <v>1390</v>
      </c>
    </row>
    <row r="168" spans="1:12" ht="14.15" hidden="1" customHeight="1">
      <c r="B168" s="565" t="s">
        <v>1391</v>
      </c>
    </row>
    <row r="169" spans="1:12" ht="14.15" hidden="1" customHeight="1"/>
    <row r="170" spans="1:12" ht="14.15" hidden="1" customHeight="1">
      <c r="B170" s="380" t="s">
        <v>362</v>
      </c>
      <c r="I170" s="498">
        <v>267947</v>
      </c>
      <c r="J170" s="498">
        <f>L170-I170</f>
        <v>-30687391.699999999</v>
      </c>
      <c r="K170" s="498"/>
      <c r="L170" s="558">
        <v>-30419444.699999999</v>
      </c>
    </row>
    <row r="171" spans="1:12" ht="14.15" hidden="1" customHeight="1">
      <c r="B171" s="380" t="s">
        <v>475</v>
      </c>
      <c r="I171" s="498">
        <v>0</v>
      </c>
      <c r="J171" s="498">
        <v>39791015</v>
      </c>
      <c r="K171" s="498"/>
      <c r="L171" s="498">
        <f>J171</f>
        <v>39791015</v>
      </c>
    </row>
    <row r="172" spans="1:12" ht="14.15" hidden="1" customHeight="1">
      <c r="B172" s="380" t="s">
        <v>1287</v>
      </c>
      <c r="I172" s="498">
        <v>18892482</v>
      </c>
      <c r="J172" s="498">
        <f>(I172-L172)*-1</f>
        <v>-9103623</v>
      </c>
      <c r="K172" s="498"/>
      <c r="L172" s="498">
        <v>9788859</v>
      </c>
    </row>
    <row r="173" spans="1:12" ht="14.15" hidden="1" customHeight="1">
      <c r="I173" s="498"/>
      <c r="J173" s="498"/>
      <c r="K173" s="498"/>
      <c r="L173" s="498"/>
    </row>
    <row r="174" spans="1:12" ht="14.15" hidden="1" customHeight="1">
      <c r="B174" s="563" t="s">
        <v>1395</v>
      </c>
      <c r="I174" s="498"/>
      <c r="J174" s="498"/>
      <c r="K174" s="498"/>
      <c r="L174" s="498"/>
    </row>
    <row r="175" spans="1:12" ht="14.15" hidden="1" customHeight="1">
      <c r="B175" s="565" t="s">
        <v>1279</v>
      </c>
      <c r="I175" s="498"/>
      <c r="J175" s="498"/>
      <c r="K175" s="498"/>
      <c r="L175" s="498"/>
    </row>
    <row r="176" spans="1:12" ht="14.15" hidden="1" customHeight="1">
      <c r="I176" s="498"/>
      <c r="J176" s="498"/>
      <c r="K176" s="498"/>
      <c r="L176" s="498"/>
    </row>
    <row r="177" spans="1:14" ht="14.15" hidden="1" customHeight="1">
      <c r="B177" s="380" t="s">
        <v>482</v>
      </c>
      <c r="I177" s="498">
        <v>40579772</v>
      </c>
      <c r="J177" s="498">
        <f>(I177-L177)*-1</f>
        <v>-39791015</v>
      </c>
      <c r="K177" s="498"/>
      <c r="L177" s="498">
        <v>788757</v>
      </c>
    </row>
    <row r="178" spans="1:14" ht="14.15" hidden="1" customHeight="1">
      <c r="B178" s="380" t="s">
        <v>484</v>
      </c>
      <c r="I178" s="498">
        <v>9103623</v>
      </c>
      <c r="J178" s="498">
        <f>-I178</f>
        <v>-9103623</v>
      </c>
      <c r="K178" s="498"/>
      <c r="L178" s="498">
        <v>0</v>
      </c>
      <c r="N178" s="36">
        <f>+J178+J177</f>
        <v>-48894638</v>
      </c>
    </row>
    <row r="179" spans="1:14" ht="14.15" hidden="1" customHeight="1">
      <c r="I179" s="498"/>
      <c r="J179" s="498"/>
      <c r="K179" s="498"/>
      <c r="L179" s="498"/>
    </row>
    <row r="180" spans="1:14" ht="14.15" hidden="1" customHeight="1">
      <c r="B180" s="563" t="s">
        <v>1396</v>
      </c>
      <c r="I180" s="498"/>
      <c r="J180" s="498"/>
      <c r="K180" s="498"/>
      <c r="L180" s="498"/>
    </row>
    <row r="181" spans="1:14" ht="14.15" hidden="1" customHeight="1">
      <c r="B181" s="565" t="s">
        <v>1279</v>
      </c>
      <c r="I181" s="498"/>
      <c r="J181" s="498"/>
      <c r="K181" s="498"/>
      <c r="L181" s="498"/>
    </row>
    <row r="182" spans="1:14" ht="14.15" hidden="1" customHeight="1">
      <c r="I182" s="498"/>
      <c r="J182" s="498"/>
      <c r="K182" s="498"/>
      <c r="L182" s="498"/>
    </row>
    <row r="183" spans="1:14" ht="14.15" hidden="1" customHeight="1">
      <c r="B183" s="380" t="s">
        <v>1422</v>
      </c>
      <c r="I183" s="498">
        <v>22288181</v>
      </c>
      <c r="J183" s="498">
        <f>I183-L183</f>
        <v>30687391.800000001</v>
      </c>
      <c r="K183" s="498"/>
      <c r="L183" s="498">
        <v>-8399210.8000000007</v>
      </c>
    </row>
    <row r="184" spans="1:14" ht="14.15" hidden="1" customHeight="1">
      <c r="I184" s="498"/>
      <c r="J184" s="498"/>
      <c r="K184" s="498"/>
      <c r="L184" s="498"/>
    </row>
    <row r="185" spans="1:14" ht="14.15" hidden="1" customHeight="1">
      <c r="B185" s="563" t="s">
        <v>1397</v>
      </c>
      <c r="I185" s="498"/>
      <c r="J185" s="498"/>
      <c r="K185" s="498"/>
      <c r="L185" s="498"/>
    </row>
    <row r="186" spans="1:14" ht="14.15" hidden="1" customHeight="1">
      <c r="B186" s="565" t="s">
        <v>1279</v>
      </c>
      <c r="I186" s="498"/>
      <c r="J186" s="498"/>
      <c r="K186" s="498"/>
      <c r="L186" s="498"/>
    </row>
    <row r="187" spans="1:14" ht="14.15" hidden="1" customHeight="1">
      <c r="I187" s="498"/>
      <c r="J187" s="498"/>
      <c r="K187" s="498"/>
      <c r="L187" s="498"/>
    </row>
    <row r="188" spans="1:14" ht="14.15" hidden="1" customHeight="1">
      <c r="B188" s="380" t="s">
        <v>1423</v>
      </c>
      <c r="I188" s="498">
        <v>31391804</v>
      </c>
      <c r="J188" s="498">
        <f>(I188-L188)*-1</f>
        <v>-39791014.799999997</v>
      </c>
      <c r="K188" s="498"/>
      <c r="L188" s="498">
        <v>-8399210.8000000007</v>
      </c>
    </row>
    <row r="189" spans="1:14" ht="14.15" hidden="1" customHeight="1">
      <c r="B189" s="380" t="s">
        <v>1291</v>
      </c>
      <c r="I189" s="498">
        <v>-36271802</v>
      </c>
      <c r="J189" s="498">
        <f>(I189-L189)*-1</f>
        <v>39791015</v>
      </c>
      <c r="K189" s="498"/>
      <c r="L189" s="498">
        <v>3519213</v>
      </c>
    </row>
    <row r="190" spans="1:14" ht="14.15" hidden="1" customHeight="1">
      <c r="C190" s="80"/>
      <c r="D190" s="80"/>
      <c r="E190" s="95"/>
      <c r="F190" s="95"/>
      <c r="I190" s="564"/>
      <c r="J190" s="564"/>
      <c r="K190" s="564"/>
      <c r="L190" s="564"/>
    </row>
    <row r="191" spans="1:14" ht="14.15" hidden="1" customHeight="1">
      <c r="A191" s="391">
        <f>+A162+0.1</f>
        <v>5.0999999999999996</v>
      </c>
      <c r="B191" s="779" t="s">
        <v>1419</v>
      </c>
      <c r="C191" s="779"/>
      <c r="D191" s="779"/>
      <c r="E191" s="779"/>
      <c r="F191" s="779"/>
      <c r="G191" s="779"/>
      <c r="H191" s="779"/>
      <c r="I191" s="779"/>
      <c r="J191" s="779"/>
      <c r="K191" s="779"/>
      <c r="L191" s="779"/>
    </row>
    <row r="192" spans="1:14" ht="14.15" hidden="1" customHeight="1">
      <c r="B192" s="779"/>
      <c r="C192" s="779"/>
      <c r="D192" s="779"/>
      <c r="E192" s="779"/>
      <c r="F192" s="779"/>
      <c r="G192" s="779"/>
      <c r="H192" s="779"/>
      <c r="I192" s="779"/>
      <c r="J192" s="779"/>
      <c r="K192" s="779"/>
      <c r="L192" s="779"/>
    </row>
    <row r="193" spans="3:12" ht="14.15" hidden="1" customHeight="1">
      <c r="C193" s="80"/>
      <c r="D193" s="80"/>
      <c r="E193" s="95"/>
      <c r="F193" s="95"/>
      <c r="G193" s="95"/>
      <c r="H193" s="95"/>
      <c r="I193" s="95"/>
      <c r="J193" s="95"/>
      <c r="K193" s="95"/>
      <c r="L193" s="95"/>
    </row>
    <row r="194" spans="3:12" ht="14.15" hidden="1" customHeight="1">
      <c r="C194" s="80"/>
      <c r="D194" s="80"/>
      <c r="E194" s="95"/>
      <c r="F194" s="95"/>
      <c r="G194" s="95"/>
      <c r="H194" s="95"/>
      <c r="I194" s="95"/>
      <c r="J194" s="95"/>
      <c r="K194" s="95"/>
      <c r="L194" s="95"/>
    </row>
  </sheetData>
  <mergeCells count="37">
    <mergeCell ref="C138:L139"/>
    <mergeCell ref="C129:L131"/>
    <mergeCell ref="C137:E137"/>
    <mergeCell ref="C128:E128"/>
    <mergeCell ref="B69:L70"/>
    <mergeCell ref="C86:L87"/>
    <mergeCell ref="C89:L90"/>
    <mergeCell ref="C92:L94"/>
    <mergeCell ref="C124:L126"/>
    <mergeCell ref="B191:L192"/>
    <mergeCell ref="J163:J165"/>
    <mergeCell ref="I163:I165"/>
    <mergeCell ref="I166:L166"/>
    <mergeCell ref="K163:L165"/>
    <mergeCell ref="C154:L156"/>
    <mergeCell ref="C160:L160"/>
    <mergeCell ref="C8:L15"/>
    <mergeCell ref="C17:L22"/>
    <mergeCell ref="C143:L144"/>
    <mergeCell ref="C146:L147"/>
    <mergeCell ref="C149:L150"/>
    <mergeCell ref="C53:L55"/>
    <mergeCell ref="C28:L31"/>
    <mergeCell ref="C57:L58"/>
    <mergeCell ref="C84:L84"/>
    <mergeCell ref="C119:L120"/>
    <mergeCell ref="C98:L99"/>
    <mergeCell ref="C101:L106"/>
    <mergeCell ref="C113:L115"/>
    <mergeCell ref="C108:L111"/>
    <mergeCell ref="C60:L62"/>
    <mergeCell ref="C64:L65"/>
    <mergeCell ref="B67:L67"/>
    <mergeCell ref="C33:L34"/>
    <mergeCell ref="D36:L38"/>
    <mergeCell ref="D40:L40"/>
    <mergeCell ref="C42:L43"/>
  </mergeCells>
  <pageMargins left="0.9" right="0.4" top="0.75" bottom="0.25" header="0.17" footer="0.5"/>
  <pageSetup paperSize="9" scale="95" orientation="portrait" r:id="rId1"/>
  <headerFooter alignWithMargins="0"/>
  <colBreaks count="1" manualBreakCount="1">
    <brk id="12"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0"/>
  <sheetViews>
    <sheetView view="pageBreakPreview" topLeftCell="A56" zoomScaleNormal="100" zoomScaleSheetLayoutView="100" workbookViewId="0">
      <selection activeCell="F115" sqref="F115"/>
    </sheetView>
  </sheetViews>
  <sheetFormatPr defaultColWidth="13.54296875" defaultRowHeight="13"/>
  <cols>
    <col min="1" max="2" width="4" style="34" customWidth="1"/>
    <col min="3" max="3" width="2.81640625" style="34" customWidth="1"/>
    <col min="4" max="4" width="19.54296875" style="34" customWidth="1"/>
    <col min="5" max="5" width="9.453125" style="34" customWidth="1"/>
    <col min="6" max="6" width="10.26953125" style="34" customWidth="1"/>
    <col min="7" max="7" width="9.7265625" style="34" customWidth="1"/>
    <col min="8" max="9" width="10.54296875" style="34" customWidth="1"/>
    <col min="10" max="10" width="9.453125" style="34" customWidth="1"/>
    <col min="11" max="11" width="9.7265625" style="34" customWidth="1"/>
    <col min="12" max="12" width="9.54296875" style="34" customWidth="1"/>
    <col min="13" max="13" width="9.7265625" style="34" customWidth="1"/>
    <col min="14" max="14" width="10.453125" style="34" customWidth="1"/>
    <col min="15" max="15" width="11.453125" style="34" customWidth="1"/>
    <col min="16" max="16384" width="13.54296875" style="34"/>
  </cols>
  <sheetData>
    <row r="1" spans="1:15" ht="13.5" customHeight="1">
      <c r="A1" s="388">
        <f>+'Con 1-3 (New)'!A78+1</f>
        <v>5</v>
      </c>
      <c r="B1" s="48" t="s">
        <v>2204</v>
      </c>
    </row>
    <row r="2" spans="1:15" ht="13.5" thickBot="1">
      <c r="A2" s="96"/>
      <c r="B2" s="294"/>
      <c r="C2" s="295"/>
      <c r="D2" s="295"/>
      <c r="E2" s="295"/>
      <c r="F2" s="97"/>
      <c r="G2" s="97"/>
      <c r="H2" s="97"/>
      <c r="I2" s="97"/>
      <c r="J2" s="97"/>
      <c r="K2" s="97"/>
      <c r="L2" s="295"/>
      <c r="M2" s="97"/>
      <c r="N2" s="98"/>
    </row>
    <row r="3" spans="1:15" ht="13.5" customHeight="1" thickBot="1">
      <c r="A3" s="96"/>
      <c r="B3" s="294"/>
      <c r="C3" s="295"/>
      <c r="D3" s="295"/>
      <c r="E3" s="801" t="s">
        <v>520</v>
      </c>
      <c r="F3" s="802"/>
      <c r="G3" s="802"/>
      <c r="H3" s="802"/>
      <c r="I3" s="802"/>
      <c r="J3" s="802"/>
      <c r="K3" s="802"/>
      <c r="L3" s="802"/>
      <c r="M3" s="803"/>
      <c r="N3" s="99" t="s">
        <v>1246</v>
      </c>
      <c r="O3" s="797" t="s">
        <v>521</v>
      </c>
    </row>
    <row r="4" spans="1:15" ht="13.5" customHeight="1">
      <c r="A4" s="96"/>
      <c r="E4" s="797" t="s">
        <v>1298</v>
      </c>
      <c r="F4" s="797" t="s">
        <v>340</v>
      </c>
      <c r="G4" s="797" t="s">
        <v>342</v>
      </c>
      <c r="H4" s="797" t="s">
        <v>344</v>
      </c>
      <c r="I4" s="797" t="s">
        <v>346</v>
      </c>
      <c r="J4" s="797" t="s">
        <v>1299</v>
      </c>
      <c r="K4" s="794" t="s">
        <v>1300</v>
      </c>
      <c r="L4" s="797" t="s">
        <v>354</v>
      </c>
      <c r="M4" s="797" t="s">
        <v>356</v>
      </c>
      <c r="N4" s="797" t="s">
        <v>344</v>
      </c>
      <c r="O4" s="798"/>
    </row>
    <row r="5" spans="1:15" ht="13.5" customHeight="1">
      <c r="A5" s="96"/>
      <c r="E5" s="798"/>
      <c r="F5" s="798"/>
      <c r="G5" s="798"/>
      <c r="H5" s="798"/>
      <c r="I5" s="798"/>
      <c r="J5" s="798"/>
      <c r="K5" s="795"/>
      <c r="L5" s="798"/>
      <c r="M5" s="798"/>
      <c r="N5" s="798"/>
      <c r="O5" s="798"/>
    </row>
    <row r="6" spans="1:15" ht="13.5" customHeight="1" thickBot="1">
      <c r="A6" s="96"/>
      <c r="E6" s="799"/>
      <c r="F6" s="799"/>
      <c r="G6" s="799"/>
      <c r="H6" s="799"/>
      <c r="I6" s="799"/>
      <c r="J6" s="799"/>
      <c r="K6" s="796"/>
      <c r="L6" s="799"/>
      <c r="M6" s="799"/>
      <c r="N6" s="799"/>
      <c r="O6" s="799"/>
    </row>
    <row r="7" spans="1:15" ht="13.5" customHeight="1" thickBot="1">
      <c r="A7" s="96"/>
      <c r="E7" s="100" t="s">
        <v>527</v>
      </c>
      <c r="F7" s="101"/>
      <c r="G7" s="101"/>
      <c r="H7" s="101"/>
      <c r="I7" s="101"/>
      <c r="J7" s="101"/>
      <c r="K7" s="101"/>
      <c r="L7" s="101"/>
      <c r="M7" s="101"/>
      <c r="N7" s="101"/>
      <c r="O7" s="102"/>
    </row>
    <row r="8" spans="1:15" ht="13.5" hidden="1" customHeight="1">
      <c r="A8" s="96"/>
      <c r="B8" s="294" t="s">
        <v>528</v>
      </c>
      <c r="C8" s="295"/>
      <c r="D8" s="295"/>
      <c r="E8" s="103"/>
      <c r="F8" s="104"/>
      <c r="G8" s="104"/>
      <c r="H8" s="104"/>
      <c r="I8" s="105"/>
      <c r="J8" s="104"/>
      <c r="K8" s="105"/>
      <c r="L8" s="103"/>
      <c r="M8" s="104"/>
      <c r="N8" s="104"/>
      <c r="O8" s="106"/>
    </row>
    <row r="9" spans="1:15" ht="13.5" hidden="1" customHeight="1">
      <c r="A9" s="96"/>
      <c r="B9" s="295" t="s">
        <v>352</v>
      </c>
      <c r="C9" s="295"/>
      <c r="D9" s="295"/>
      <c r="E9" s="103">
        <v>7171000</v>
      </c>
      <c r="F9" s="107">
        <v>22763815</v>
      </c>
      <c r="G9" s="107">
        <v>1244075</v>
      </c>
      <c r="H9" s="107">
        <v>1389085</v>
      </c>
      <c r="I9" s="107">
        <v>879714</v>
      </c>
      <c r="J9" s="107">
        <v>781677</v>
      </c>
      <c r="K9" s="107">
        <v>2761634</v>
      </c>
      <c r="L9" s="103">
        <v>3141295</v>
      </c>
      <c r="M9" s="107">
        <v>308439</v>
      </c>
      <c r="N9" s="107"/>
      <c r="O9" s="108">
        <f>SUM(E9:M9)</f>
        <v>40440734</v>
      </c>
    </row>
    <row r="10" spans="1:15" ht="13.5" hidden="1" customHeight="1">
      <c r="A10" s="96"/>
      <c r="B10" s="295" t="s">
        <v>529</v>
      </c>
      <c r="C10" s="295"/>
      <c r="D10" s="295"/>
      <c r="E10" s="106">
        <v>0</v>
      </c>
      <c r="F10" s="106">
        <v>-5989140</v>
      </c>
      <c r="G10" s="106">
        <v>-685771</v>
      </c>
      <c r="H10" s="106">
        <v>-1146911</v>
      </c>
      <c r="I10" s="106">
        <v>-688169</v>
      </c>
      <c r="J10" s="106">
        <v>-705720</v>
      </c>
      <c r="K10" s="106">
        <v>-2658747</v>
      </c>
      <c r="L10" s="106">
        <v>-3141295</v>
      </c>
      <c r="M10" s="106">
        <v>-308439</v>
      </c>
      <c r="N10" s="106"/>
      <c r="O10" s="108">
        <f>(SUM(E10:M10))</f>
        <v>-15324192</v>
      </c>
    </row>
    <row r="11" spans="1:15" ht="13.5" hidden="1" customHeight="1">
      <c r="A11" s="96"/>
      <c r="B11" s="294"/>
      <c r="C11" s="295"/>
      <c r="D11" s="295"/>
      <c r="E11" s="103"/>
      <c r="F11" s="104"/>
      <c r="G11" s="104"/>
      <c r="H11" s="104"/>
      <c r="I11" s="104"/>
      <c r="J11" s="104"/>
      <c r="K11" s="104"/>
      <c r="L11" s="103"/>
      <c r="M11" s="104"/>
      <c r="N11" s="104"/>
      <c r="O11" s="106"/>
    </row>
    <row r="12" spans="1:15" ht="13.5" hidden="1" customHeight="1">
      <c r="A12" s="96"/>
      <c r="B12" s="294" t="s">
        <v>530</v>
      </c>
      <c r="C12" s="295"/>
      <c r="D12" s="295"/>
      <c r="E12" s="296">
        <f>E9+E10</f>
        <v>7171000</v>
      </c>
      <c r="F12" s="296">
        <f t="shared" ref="F12:M12" si="0">F9+F10</f>
        <v>16774675</v>
      </c>
      <c r="G12" s="296">
        <f t="shared" si="0"/>
        <v>558304</v>
      </c>
      <c r="H12" s="296">
        <f t="shared" si="0"/>
        <v>242174</v>
      </c>
      <c r="I12" s="296">
        <f t="shared" si="0"/>
        <v>191545</v>
      </c>
      <c r="J12" s="296">
        <f t="shared" si="0"/>
        <v>75957</v>
      </c>
      <c r="K12" s="296">
        <f t="shared" si="0"/>
        <v>102887</v>
      </c>
      <c r="L12" s="296">
        <f t="shared" si="0"/>
        <v>0</v>
      </c>
      <c r="M12" s="296">
        <f t="shared" si="0"/>
        <v>0</v>
      </c>
      <c r="N12" s="296"/>
      <c r="O12" s="297">
        <f>O9+O10</f>
        <v>25116542</v>
      </c>
    </row>
    <row r="13" spans="1:15" ht="13.5" hidden="1" customHeight="1">
      <c r="A13" s="96"/>
      <c r="B13" s="294"/>
      <c r="C13" s="295"/>
      <c r="D13" s="295"/>
      <c r="E13" s="295"/>
      <c r="F13" s="109"/>
      <c r="G13" s="109"/>
      <c r="H13" s="109"/>
      <c r="I13" s="109"/>
      <c r="J13" s="109"/>
      <c r="K13" s="109"/>
      <c r="L13" s="295"/>
      <c r="M13" s="109"/>
      <c r="N13" s="109"/>
      <c r="O13" s="98"/>
    </row>
    <row r="14" spans="1:15" ht="23.15" hidden="1" customHeight="1">
      <c r="A14" s="96"/>
      <c r="B14" s="294" t="s">
        <v>531</v>
      </c>
      <c r="C14" s="295"/>
      <c r="D14" s="295"/>
      <c r="E14" s="295"/>
      <c r="F14" s="109"/>
      <c r="G14" s="109"/>
      <c r="H14" s="109"/>
      <c r="I14" s="109"/>
      <c r="J14" s="109"/>
      <c r="K14" s="109"/>
      <c r="L14" s="295"/>
      <c r="M14" s="109"/>
      <c r="N14" s="109"/>
      <c r="O14" s="98"/>
    </row>
    <row r="15" spans="1:15" ht="13.5" hidden="1" customHeight="1">
      <c r="A15" s="96"/>
      <c r="B15" s="295" t="s">
        <v>532</v>
      </c>
      <c r="C15" s="295"/>
      <c r="D15" s="295"/>
      <c r="E15" s="103">
        <f t="shared" ref="E15:M15" si="1">E12</f>
        <v>7171000</v>
      </c>
      <c r="F15" s="103">
        <f t="shared" si="1"/>
        <v>16774675</v>
      </c>
      <c r="G15" s="103">
        <f t="shared" si="1"/>
        <v>558304</v>
      </c>
      <c r="H15" s="103">
        <f t="shared" si="1"/>
        <v>242174</v>
      </c>
      <c r="I15" s="103">
        <f t="shared" si="1"/>
        <v>191545</v>
      </c>
      <c r="J15" s="103">
        <f t="shared" si="1"/>
        <v>75957</v>
      </c>
      <c r="K15" s="103">
        <f t="shared" si="1"/>
        <v>102887</v>
      </c>
      <c r="L15" s="103">
        <f t="shared" si="1"/>
        <v>0</v>
      </c>
      <c r="M15" s="103">
        <f t="shared" si="1"/>
        <v>0</v>
      </c>
      <c r="N15" s="103">
        <v>0</v>
      </c>
      <c r="O15" s="108">
        <f>SUM(E15:M15)</f>
        <v>25116542</v>
      </c>
    </row>
    <row r="16" spans="1:15" ht="13.5" hidden="1" customHeight="1">
      <c r="A16" s="96"/>
      <c r="B16" s="295" t="s">
        <v>533</v>
      </c>
      <c r="C16" s="295"/>
      <c r="D16" s="295"/>
      <c r="E16" s="103">
        <v>0</v>
      </c>
      <c r="F16" s="110">
        <v>0</v>
      </c>
      <c r="G16" s="110">
        <v>0</v>
      </c>
      <c r="H16" s="110">
        <v>274200</v>
      </c>
      <c r="I16" s="110">
        <v>0</v>
      </c>
      <c r="J16" s="110">
        <v>86700</v>
      </c>
      <c r="K16" s="110">
        <v>5500</v>
      </c>
      <c r="L16" s="103">
        <v>0</v>
      </c>
      <c r="M16" s="105">
        <v>0</v>
      </c>
      <c r="N16" s="105">
        <v>0</v>
      </c>
      <c r="O16" s="108">
        <f>SUM(E16:N16)</f>
        <v>366400</v>
      </c>
    </row>
    <row r="17" spans="1:15" ht="13.5" hidden="1" customHeight="1">
      <c r="A17" s="96"/>
      <c r="B17" s="294" t="s">
        <v>534</v>
      </c>
      <c r="C17" s="295"/>
      <c r="D17" s="295"/>
      <c r="E17" s="103"/>
      <c r="F17" s="104"/>
      <c r="G17" s="104"/>
      <c r="H17" s="104"/>
      <c r="I17" s="105"/>
      <c r="J17" s="104"/>
      <c r="K17" s="105"/>
      <c r="L17" s="103"/>
      <c r="M17" s="104"/>
      <c r="N17" s="104"/>
      <c r="O17" s="106"/>
    </row>
    <row r="18" spans="1:15" ht="13.5" hidden="1" customHeight="1">
      <c r="A18" s="96"/>
      <c r="B18" s="295" t="s">
        <v>352</v>
      </c>
      <c r="C18" s="295"/>
      <c r="D18" s="295"/>
      <c r="E18" s="111">
        <v>-5450000</v>
      </c>
      <c r="F18" s="112">
        <v>0</v>
      </c>
      <c r="G18" s="112">
        <v>0</v>
      </c>
      <c r="H18" s="112">
        <v>0</v>
      </c>
      <c r="I18" s="112">
        <v>0</v>
      </c>
      <c r="J18" s="112">
        <v>0</v>
      </c>
      <c r="K18" s="112">
        <v>0</v>
      </c>
      <c r="L18" s="112">
        <v>0</v>
      </c>
      <c r="M18" s="113">
        <v>0</v>
      </c>
      <c r="N18" s="113">
        <v>0</v>
      </c>
      <c r="O18" s="114">
        <f>SUM(E18:N18)</f>
        <v>-5450000</v>
      </c>
    </row>
    <row r="19" spans="1:15" ht="13.5" hidden="1" customHeight="1">
      <c r="A19" s="96"/>
      <c r="B19" s="295" t="s">
        <v>529</v>
      </c>
      <c r="C19" s="295"/>
      <c r="D19" s="295"/>
      <c r="E19" s="115">
        <v>0</v>
      </c>
      <c r="F19" s="116">
        <v>0</v>
      </c>
      <c r="G19" s="116">
        <v>0</v>
      </c>
      <c r="H19" s="116">
        <v>0</v>
      </c>
      <c r="I19" s="116">
        <v>0</v>
      </c>
      <c r="J19" s="116">
        <v>0</v>
      </c>
      <c r="K19" s="116">
        <v>0</v>
      </c>
      <c r="L19" s="116">
        <v>0</v>
      </c>
      <c r="M19" s="117">
        <v>0</v>
      </c>
      <c r="N19" s="117">
        <v>0</v>
      </c>
      <c r="O19" s="118">
        <f>SUM(E19:N19)</f>
        <v>0</v>
      </c>
    </row>
    <row r="20" spans="1:15" ht="13.5" hidden="1" customHeight="1">
      <c r="A20" s="96"/>
      <c r="B20" s="294"/>
      <c r="C20" s="295"/>
      <c r="D20" s="295"/>
      <c r="E20" s="103">
        <f>SUM(E18:E19)</f>
        <v>-5450000</v>
      </c>
      <c r="F20" s="103">
        <f t="shared" ref="F20:N20" si="2">SUM(F18:F19)</f>
        <v>0</v>
      </c>
      <c r="G20" s="103">
        <f t="shared" si="2"/>
        <v>0</v>
      </c>
      <c r="H20" s="103">
        <f t="shared" si="2"/>
        <v>0</v>
      </c>
      <c r="I20" s="103">
        <f t="shared" si="2"/>
        <v>0</v>
      </c>
      <c r="J20" s="103">
        <f t="shared" si="2"/>
        <v>0</v>
      </c>
      <c r="K20" s="103">
        <f t="shared" si="2"/>
        <v>0</v>
      </c>
      <c r="L20" s="103">
        <f t="shared" si="2"/>
        <v>0</v>
      </c>
      <c r="M20" s="103">
        <f t="shared" si="2"/>
        <v>0</v>
      </c>
      <c r="N20" s="103">
        <f t="shared" si="2"/>
        <v>0</v>
      </c>
      <c r="O20" s="108">
        <f>SUM(O18:O19)</f>
        <v>-5450000</v>
      </c>
    </row>
    <row r="21" spans="1:15" ht="13.5" hidden="1" customHeight="1">
      <c r="A21" s="96"/>
      <c r="B21" s="800" t="s">
        <v>535</v>
      </c>
      <c r="C21" s="800"/>
      <c r="D21" s="800"/>
      <c r="E21" s="103">
        <v>0</v>
      </c>
      <c r="F21" s="107">
        <v>-455276</v>
      </c>
      <c r="G21" s="106">
        <v>-62204</v>
      </c>
      <c r="H21" s="106">
        <v>-54435</v>
      </c>
      <c r="I21" s="106">
        <v>-35696</v>
      </c>
      <c r="J21" s="106">
        <v>-26920</v>
      </c>
      <c r="K21" s="106">
        <v>-40420</v>
      </c>
      <c r="L21" s="106">
        <v>0</v>
      </c>
      <c r="M21" s="106">
        <v>0</v>
      </c>
      <c r="N21" s="106">
        <v>0</v>
      </c>
      <c r="O21" s="108">
        <f>SUM(E21:N21)</f>
        <v>-674951</v>
      </c>
    </row>
    <row r="22" spans="1:15" ht="13.5" hidden="1" customHeight="1">
      <c r="A22" s="96"/>
      <c r="B22" s="295"/>
      <c r="C22" s="295"/>
      <c r="D22" s="295"/>
      <c r="E22" s="103"/>
      <c r="F22" s="107"/>
      <c r="G22" s="107"/>
      <c r="H22" s="107"/>
      <c r="I22" s="107"/>
      <c r="J22" s="107"/>
      <c r="K22" s="107"/>
      <c r="L22" s="103"/>
      <c r="M22" s="104"/>
      <c r="N22" s="104"/>
      <c r="O22" s="106"/>
    </row>
    <row r="23" spans="1:15" ht="13.5" hidden="1" customHeight="1">
      <c r="A23" s="96"/>
      <c r="B23" s="294" t="s">
        <v>536</v>
      </c>
      <c r="C23" s="295"/>
      <c r="D23" s="295"/>
      <c r="E23" s="119">
        <f t="shared" ref="E23:O23" si="3">+E15+E16+E20+E21</f>
        <v>1721000</v>
      </c>
      <c r="F23" s="119">
        <f t="shared" si="3"/>
        <v>16319399</v>
      </c>
      <c r="G23" s="119">
        <f t="shared" si="3"/>
        <v>496100</v>
      </c>
      <c r="H23" s="119">
        <f t="shared" si="3"/>
        <v>461939</v>
      </c>
      <c r="I23" s="119">
        <f t="shared" si="3"/>
        <v>155849</v>
      </c>
      <c r="J23" s="119">
        <f t="shared" si="3"/>
        <v>135737</v>
      </c>
      <c r="K23" s="119">
        <f t="shared" si="3"/>
        <v>67967</v>
      </c>
      <c r="L23" s="119">
        <f t="shared" si="3"/>
        <v>0</v>
      </c>
      <c r="M23" s="119">
        <f t="shared" si="3"/>
        <v>0</v>
      </c>
      <c r="N23" s="119">
        <f t="shared" si="3"/>
        <v>0</v>
      </c>
      <c r="O23" s="119">
        <f t="shared" si="3"/>
        <v>19357991</v>
      </c>
    </row>
    <row r="24" spans="1:15" ht="5.25" customHeight="1">
      <c r="A24" s="96"/>
      <c r="B24" s="120"/>
      <c r="C24" s="121"/>
      <c r="D24" s="121"/>
      <c r="E24" s="104"/>
      <c r="F24" s="104"/>
      <c r="G24" s="104"/>
      <c r="H24" s="104"/>
      <c r="I24" s="104"/>
      <c r="J24" s="104"/>
      <c r="K24" s="104"/>
      <c r="L24" s="104"/>
      <c r="M24" s="104"/>
      <c r="N24" s="104"/>
      <c r="O24" s="106"/>
    </row>
    <row r="25" spans="1:15" ht="13.5" hidden="1" customHeight="1">
      <c r="A25" s="96"/>
      <c r="B25" s="294" t="s">
        <v>957</v>
      </c>
      <c r="C25" s="295"/>
      <c r="D25" s="295"/>
      <c r="E25" s="103"/>
      <c r="F25" s="104"/>
      <c r="G25" s="104"/>
      <c r="H25" s="104"/>
      <c r="I25" s="105"/>
      <c r="J25" s="104"/>
      <c r="K25" s="105"/>
      <c r="L25" s="103"/>
      <c r="M25" s="104"/>
      <c r="N25" s="104"/>
      <c r="O25" s="106"/>
    </row>
    <row r="26" spans="1:15" ht="13.5" hidden="1" customHeight="1">
      <c r="A26" s="96"/>
      <c r="B26" s="295" t="s">
        <v>352</v>
      </c>
      <c r="C26" s="295"/>
      <c r="D26" s="295"/>
      <c r="E26" s="103">
        <v>1721000</v>
      </c>
      <c r="F26" s="103">
        <v>22763815</v>
      </c>
      <c r="G26" s="103">
        <v>1244075</v>
      </c>
      <c r="H26" s="103">
        <v>1789708</v>
      </c>
      <c r="I26" s="103">
        <v>911914</v>
      </c>
      <c r="J26" s="103">
        <v>868377</v>
      </c>
      <c r="K26" s="103">
        <v>2767134</v>
      </c>
      <c r="L26" s="103">
        <v>2534605</v>
      </c>
      <c r="M26" s="103">
        <v>308439</v>
      </c>
      <c r="N26" s="103">
        <v>3155750</v>
      </c>
      <c r="O26" s="106">
        <f>SUM(E26:N26)</f>
        <v>38064817</v>
      </c>
    </row>
    <row r="27" spans="1:15" ht="13.5" hidden="1" customHeight="1">
      <c r="A27" s="96"/>
      <c r="B27" s="295" t="s">
        <v>529</v>
      </c>
      <c r="C27" s="295"/>
      <c r="D27" s="295"/>
      <c r="E27" s="103">
        <v>0</v>
      </c>
      <c r="F27" s="103">
        <v>-7810244</v>
      </c>
      <c r="G27" s="103">
        <v>-934587</v>
      </c>
      <c r="H27" s="103">
        <v>-1434256</v>
      </c>
      <c r="I27" s="103">
        <v>-806290</v>
      </c>
      <c r="J27" s="103">
        <v>-785920</v>
      </c>
      <c r="K27" s="103">
        <v>-2767134</v>
      </c>
      <c r="L27" s="103">
        <v>-1915760</v>
      </c>
      <c r="M27" s="103">
        <v>-308439</v>
      </c>
      <c r="N27" s="103">
        <v>-858537</v>
      </c>
      <c r="O27" s="106">
        <f>SUM(E27:N27)</f>
        <v>-17621167</v>
      </c>
    </row>
    <row r="28" spans="1:15" ht="13.5" hidden="1" customHeight="1" thickBot="1">
      <c r="A28" s="96"/>
      <c r="B28" s="294" t="s">
        <v>536</v>
      </c>
      <c r="C28" s="295"/>
      <c r="D28" s="295"/>
      <c r="E28" s="122">
        <f>E26+E27</f>
        <v>1721000</v>
      </c>
      <c r="F28" s="122">
        <f t="shared" ref="F28:O28" si="4">F26+F27</f>
        <v>14953571</v>
      </c>
      <c r="G28" s="122">
        <f t="shared" si="4"/>
        <v>309488</v>
      </c>
      <c r="H28" s="122">
        <f t="shared" si="4"/>
        <v>355452</v>
      </c>
      <c r="I28" s="122">
        <f t="shared" si="4"/>
        <v>105624</v>
      </c>
      <c r="J28" s="122">
        <f t="shared" si="4"/>
        <v>82457</v>
      </c>
      <c r="K28" s="122">
        <f t="shared" si="4"/>
        <v>0</v>
      </c>
      <c r="L28" s="122">
        <f t="shared" si="4"/>
        <v>618845</v>
      </c>
      <c r="M28" s="122">
        <f t="shared" si="4"/>
        <v>0</v>
      </c>
      <c r="N28" s="122">
        <f t="shared" si="4"/>
        <v>2297213</v>
      </c>
      <c r="O28" s="122">
        <f t="shared" si="4"/>
        <v>20443650</v>
      </c>
    </row>
    <row r="29" spans="1:15" ht="13.5" hidden="1" customHeight="1" thickTop="1">
      <c r="A29" s="96"/>
      <c r="B29" s="295"/>
      <c r="C29" s="295"/>
      <c r="D29" s="295"/>
      <c r="E29" s="103"/>
      <c r="F29" s="107"/>
      <c r="G29" s="107"/>
      <c r="H29" s="107"/>
      <c r="I29" s="110"/>
      <c r="J29" s="107"/>
      <c r="K29" s="110"/>
      <c r="L29" s="103"/>
      <c r="M29" s="107"/>
      <c r="N29" s="107"/>
      <c r="O29" s="106"/>
    </row>
    <row r="30" spans="1:15" ht="13.5" customHeight="1">
      <c r="A30" s="96"/>
      <c r="B30" s="294" t="s">
        <v>1328</v>
      </c>
      <c r="C30" s="295"/>
      <c r="D30" s="295"/>
      <c r="E30" s="103"/>
      <c r="F30" s="104"/>
      <c r="G30" s="104"/>
      <c r="H30" s="104"/>
      <c r="I30" s="104"/>
      <c r="J30" s="104"/>
      <c r="K30" s="104"/>
      <c r="L30" s="103"/>
      <c r="M30" s="104"/>
      <c r="N30" s="104"/>
      <c r="O30" s="106"/>
    </row>
    <row r="31" spans="1:15" ht="13.5" customHeight="1">
      <c r="A31" s="96"/>
      <c r="B31" s="295" t="s">
        <v>532</v>
      </c>
      <c r="C31" s="295"/>
      <c r="D31" s="295"/>
      <c r="E31" s="103">
        <v>1721000</v>
      </c>
      <c r="F31" s="103">
        <v>13587743</v>
      </c>
      <c r="G31" s="103">
        <v>122876</v>
      </c>
      <c r="H31" s="103">
        <v>171296</v>
      </c>
      <c r="I31" s="103">
        <v>46163</v>
      </c>
      <c r="J31" s="103">
        <v>40695</v>
      </c>
      <c r="K31" s="103">
        <v>35122</v>
      </c>
      <c r="L31" s="103">
        <v>0</v>
      </c>
      <c r="M31" s="103">
        <v>0</v>
      </c>
      <c r="N31" s="103">
        <v>1350488</v>
      </c>
      <c r="O31" s="103">
        <v>17075383</v>
      </c>
    </row>
    <row r="32" spans="1:15" ht="13.5" customHeight="1">
      <c r="A32" s="96"/>
      <c r="B32" s="295" t="s">
        <v>533</v>
      </c>
      <c r="C32" s="295"/>
      <c r="D32" s="295"/>
      <c r="E32" s="103">
        <v>0</v>
      </c>
      <c r="F32" s="110">
        <v>0</v>
      </c>
      <c r="G32" s="110">
        <v>0</v>
      </c>
      <c r="H32" s="123">
        <v>0</v>
      </c>
      <c r="I32" s="110">
        <v>0</v>
      </c>
      <c r="J32" s="110">
        <v>0</v>
      </c>
      <c r="K32" s="110">
        <v>0</v>
      </c>
      <c r="L32" s="103">
        <v>0</v>
      </c>
      <c r="M32" s="105">
        <v>0</v>
      </c>
      <c r="N32" s="123">
        <v>0</v>
      </c>
      <c r="O32" s="103">
        <v>0</v>
      </c>
    </row>
    <row r="33" spans="1:15" ht="13.5" hidden="1" customHeight="1">
      <c r="A33" s="96"/>
      <c r="B33" s="295" t="s">
        <v>534</v>
      </c>
      <c r="C33" s="295"/>
      <c r="D33" s="295"/>
      <c r="E33" s="103">
        <v>0</v>
      </c>
      <c r="F33" s="104">
        <v>0</v>
      </c>
      <c r="G33" s="104">
        <v>0</v>
      </c>
      <c r="H33" s="107">
        <v>0</v>
      </c>
      <c r="I33" s="105">
        <v>0</v>
      </c>
      <c r="J33" s="104">
        <v>0</v>
      </c>
      <c r="K33" s="105">
        <v>0</v>
      </c>
      <c r="L33" s="103">
        <v>0</v>
      </c>
      <c r="M33" s="104">
        <v>0</v>
      </c>
      <c r="N33" s="104">
        <v>0</v>
      </c>
      <c r="O33" s="103">
        <v>0</v>
      </c>
    </row>
    <row r="34" spans="1:15" ht="13.5" customHeight="1">
      <c r="A34" s="96"/>
      <c r="B34" s="793" t="s">
        <v>535</v>
      </c>
      <c r="C34" s="793"/>
      <c r="D34" s="793"/>
      <c r="E34" s="103">
        <v>0</v>
      </c>
      <c r="F34" s="103">
        <v>-455276</v>
      </c>
      <c r="G34" s="103">
        <v>-62204</v>
      </c>
      <c r="H34" s="103">
        <v>-41558</v>
      </c>
      <c r="I34" s="103">
        <v>-15659</v>
      </c>
      <c r="J34" s="103">
        <v>-9920</v>
      </c>
      <c r="K34" s="103">
        <v>-35122</v>
      </c>
      <c r="L34" s="103">
        <v>0</v>
      </c>
      <c r="M34" s="103">
        <v>0</v>
      </c>
      <c r="N34" s="103">
        <v>-315575</v>
      </c>
      <c r="O34" s="103">
        <v>-935314</v>
      </c>
    </row>
    <row r="35" spans="1:15">
      <c r="A35" s="96"/>
      <c r="B35" s="295"/>
      <c r="C35" s="295"/>
      <c r="D35" s="295"/>
      <c r="E35" s="103"/>
      <c r="F35" s="107"/>
      <c r="G35" s="98"/>
      <c r="H35" s="107"/>
      <c r="I35" s="107"/>
      <c r="J35" s="107"/>
      <c r="K35" s="107"/>
      <c r="L35" s="103"/>
      <c r="M35" s="104"/>
      <c r="N35" s="104"/>
      <c r="O35" s="106"/>
    </row>
    <row r="36" spans="1:15" ht="13.5" customHeight="1" thickBot="1">
      <c r="A36" s="96"/>
      <c r="B36" s="294" t="s">
        <v>536</v>
      </c>
      <c r="C36" s="295"/>
      <c r="D36" s="295"/>
      <c r="E36" s="119">
        <v>1721000</v>
      </c>
      <c r="F36" s="119">
        <v>13132467</v>
      </c>
      <c r="G36" s="119">
        <v>60672</v>
      </c>
      <c r="H36" s="119">
        <v>129738</v>
      </c>
      <c r="I36" s="119">
        <v>30504</v>
      </c>
      <c r="J36" s="119">
        <v>30775</v>
      </c>
      <c r="K36" s="119">
        <v>0</v>
      </c>
      <c r="L36" s="119">
        <v>0</v>
      </c>
      <c r="M36" s="119">
        <v>0</v>
      </c>
      <c r="N36" s="119">
        <v>1034913</v>
      </c>
      <c r="O36" s="119">
        <v>16140069</v>
      </c>
    </row>
    <row r="37" spans="1:15" ht="13.5" customHeight="1" thickTop="1">
      <c r="A37" s="96"/>
      <c r="B37" s="294"/>
      <c r="C37" s="295"/>
      <c r="D37" s="295"/>
      <c r="E37" s="295"/>
      <c r="F37" s="109"/>
      <c r="G37" s="109"/>
      <c r="H37" s="109"/>
      <c r="I37" s="109"/>
      <c r="J37" s="109"/>
      <c r="K37" s="109"/>
      <c r="L37" s="295"/>
      <c r="M37" s="109"/>
      <c r="N37" s="109"/>
      <c r="O37" s="98"/>
    </row>
    <row r="38" spans="1:15" ht="13.5" customHeight="1">
      <c r="A38" s="96"/>
      <c r="B38" s="294" t="s">
        <v>1329</v>
      </c>
      <c r="C38" s="295"/>
      <c r="D38" s="295"/>
      <c r="E38" s="103"/>
      <c r="F38" s="104"/>
      <c r="G38" s="104"/>
      <c r="H38" s="104"/>
      <c r="I38" s="105"/>
      <c r="J38" s="104"/>
      <c r="K38" s="105"/>
      <c r="L38" s="103"/>
      <c r="M38" s="104"/>
      <c r="N38" s="104"/>
      <c r="O38" s="106"/>
    </row>
    <row r="39" spans="1:15" ht="13.5" customHeight="1">
      <c r="A39" s="96"/>
      <c r="B39" s="295" t="s">
        <v>352</v>
      </c>
      <c r="C39" s="295"/>
      <c r="D39" s="295"/>
      <c r="E39" s="103">
        <v>1721000</v>
      </c>
      <c r="F39" s="103">
        <v>22763815</v>
      </c>
      <c r="G39" s="103">
        <v>1244075</v>
      </c>
      <c r="H39" s="103">
        <v>1789708</v>
      </c>
      <c r="I39" s="103">
        <v>911914</v>
      </c>
      <c r="J39" s="103">
        <v>868377</v>
      </c>
      <c r="K39" s="103">
        <v>2903533</v>
      </c>
      <c r="L39" s="103">
        <v>1108605</v>
      </c>
      <c r="M39" s="103">
        <v>308439</v>
      </c>
      <c r="N39" s="103">
        <v>3155750</v>
      </c>
      <c r="O39" s="103">
        <v>36775216</v>
      </c>
    </row>
    <row r="40" spans="1:15" ht="13.5" customHeight="1">
      <c r="A40" s="96"/>
      <c r="B40" s="295" t="s">
        <v>529</v>
      </c>
      <c r="C40" s="295"/>
      <c r="D40" s="295"/>
      <c r="E40" s="103">
        <v>0</v>
      </c>
      <c r="F40" s="103">
        <v>-9631348</v>
      </c>
      <c r="G40" s="103">
        <v>-1183403</v>
      </c>
      <c r="H40" s="103">
        <v>-1659970</v>
      </c>
      <c r="I40" s="103">
        <v>-881410</v>
      </c>
      <c r="J40" s="103">
        <v>-837602</v>
      </c>
      <c r="K40" s="103">
        <v>-2903533</v>
      </c>
      <c r="L40" s="103">
        <v>-1108605</v>
      </c>
      <c r="M40" s="103">
        <v>-308439</v>
      </c>
      <c r="N40" s="103">
        <v>-2120837</v>
      </c>
      <c r="O40" s="103">
        <v>-20635147</v>
      </c>
    </row>
    <row r="41" spans="1:15">
      <c r="A41" s="96"/>
      <c r="B41" s="295"/>
      <c r="C41" s="295"/>
      <c r="D41" s="295"/>
      <c r="E41" s="103"/>
      <c r="F41" s="103"/>
      <c r="G41" s="103"/>
      <c r="H41" s="103"/>
      <c r="I41" s="103"/>
      <c r="J41" s="103"/>
      <c r="K41" s="103"/>
      <c r="L41" s="103"/>
      <c r="M41" s="103"/>
      <c r="N41" s="103"/>
      <c r="O41" s="103"/>
    </row>
    <row r="42" spans="1:15" ht="13.5" customHeight="1" thickBot="1">
      <c r="A42" s="96"/>
      <c r="B42" s="294" t="s">
        <v>530</v>
      </c>
      <c r="C42" s="295"/>
      <c r="D42" s="295"/>
      <c r="E42" s="122">
        <v>1721000</v>
      </c>
      <c r="F42" s="122">
        <v>13132467</v>
      </c>
      <c r="G42" s="122">
        <v>60672</v>
      </c>
      <c r="H42" s="122">
        <v>129738</v>
      </c>
      <c r="I42" s="122">
        <v>30504</v>
      </c>
      <c r="J42" s="122">
        <v>30775</v>
      </c>
      <c r="K42" s="122">
        <v>0</v>
      </c>
      <c r="L42" s="122">
        <v>0</v>
      </c>
      <c r="M42" s="122">
        <v>0</v>
      </c>
      <c r="N42" s="122">
        <v>1034913</v>
      </c>
      <c r="O42" s="122">
        <v>16140069</v>
      </c>
    </row>
    <row r="43" spans="1:15" ht="13.5" customHeight="1" thickTop="1">
      <c r="A43" s="96"/>
      <c r="B43" s="294"/>
      <c r="C43" s="295"/>
      <c r="D43" s="295"/>
      <c r="E43" s="124"/>
      <c r="F43" s="124"/>
      <c r="G43" s="124"/>
      <c r="H43" s="124"/>
      <c r="I43" s="124"/>
      <c r="J43" s="124"/>
      <c r="K43" s="124"/>
      <c r="L43" s="124"/>
      <c r="M43" s="124"/>
      <c r="N43" s="124"/>
      <c r="O43" s="124"/>
    </row>
    <row r="44" spans="1:15" ht="13.5" customHeight="1">
      <c r="A44" s="96"/>
      <c r="B44" s="294" t="s">
        <v>1435</v>
      </c>
      <c r="C44" s="295"/>
      <c r="D44" s="295"/>
      <c r="E44" s="368"/>
      <c r="F44" s="369"/>
      <c r="G44" s="369"/>
      <c r="H44" s="369"/>
      <c r="I44" s="369"/>
      <c r="J44" s="369"/>
      <c r="K44" s="369"/>
      <c r="L44" s="368"/>
      <c r="M44" s="369"/>
      <c r="N44" s="369"/>
      <c r="O44" s="125"/>
    </row>
    <row r="45" spans="1:15" ht="13.5" customHeight="1">
      <c r="A45" s="96"/>
      <c r="B45" s="295" t="s">
        <v>532</v>
      </c>
      <c r="C45" s="295"/>
      <c r="D45" s="295"/>
      <c r="E45" s="368">
        <f t="shared" ref="E45:N45" si="5">E42</f>
        <v>1721000</v>
      </c>
      <c r="F45" s="368">
        <f t="shared" si="5"/>
        <v>13132467</v>
      </c>
      <c r="G45" s="368">
        <f t="shared" si="5"/>
        <v>60672</v>
      </c>
      <c r="H45" s="368">
        <f t="shared" si="5"/>
        <v>129738</v>
      </c>
      <c r="I45" s="368">
        <f t="shared" si="5"/>
        <v>30504</v>
      </c>
      <c r="J45" s="368">
        <f t="shared" si="5"/>
        <v>30775</v>
      </c>
      <c r="K45" s="368">
        <f t="shared" si="5"/>
        <v>0</v>
      </c>
      <c r="L45" s="368">
        <f t="shared" si="5"/>
        <v>0</v>
      </c>
      <c r="M45" s="368">
        <f t="shared" si="5"/>
        <v>0</v>
      </c>
      <c r="N45" s="368">
        <f t="shared" si="5"/>
        <v>1034913</v>
      </c>
      <c r="O45" s="368">
        <f>+SUM(E45:N45)</f>
        <v>16140069</v>
      </c>
    </row>
    <row r="46" spans="1:15" ht="13.5" customHeight="1">
      <c r="A46" s="96"/>
      <c r="B46" s="295" t="s">
        <v>533</v>
      </c>
      <c r="C46" s="295"/>
      <c r="D46" s="295"/>
      <c r="E46" s="368">
        <v>0</v>
      </c>
      <c r="F46" s="426">
        <v>0</v>
      </c>
      <c r="G46" s="426">
        <v>0</v>
      </c>
      <c r="H46" s="427">
        <v>25000</v>
      </c>
      <c r="I46" s="426">
        <v>0</v>
      </c>
      <c r="J46" s="426">
        <v>0</v>
      </c>
      <c r="K46" s="426"/>
      <c r="L46" s="368">
        <v>0</v>
      </c>
      <c r="M46" s="370">
        <v>0</v>
      </c>
      <c r="N46" s="427">
        <v>0</v>
      </c>
      <c r="O46" s="368">
        <f>+SUM(E46:N46)</f>
        <v>25000</v>
      </c>
    </row>
    <row r="47" spans="1:15" ht="13.5" customHeight="1">
      <c r="A47" s="96"/>
      <c r="B47" s="294" t="s">
        <v>2066</v>
      </c>
      <c r="C47" s="295"/>
      <c r="D47" s="295"/>
      <c r="E47" s="368"/>
      <c r="F47" s="369"/>
      <c r="G47" s="369"/>
      <c r="H47" s="369"/>
      <c r="I47" s="370"/>
      <c r="J47" s="369"/>
      <c r="K47" s="370"/>
      <c r="L47" s="368"/>
      <c r="M47" s="369"/>
      <c r="N47" s="369"/>
      <c r="O47" s="368"/>
    </row>
    <row r="48" spans="1:15" ht="13.5" customHeight="1">
      <c r="A48" s="96"/>
      <c r="B48" s="295" t="s">
        <v>2067</v>
      </c>
      <c r="C48" s="295"/>
      <c r="D48" s="295"/>
      <c r="E48" s="700">
        <v>0</v>
      </c>
      <c r="F48" s="701">
        <v>0</v>
      </c>
      <c r="G48" s="701">
        <v>0</v>
      </c>
      <c r="H48" s="702">
        <f>-N48</f>
        <v>3155750</v>
      </c>
      <c r="I48" s="703">
        <v>0</v>
      </c>
      <c r="J48" s="702">
        <v>0</v>
      </c>
      <c r="K48" s="703">
        <v>0</v>
      </c>
      <c r="L48" s="704">
        <v>0</v>
      </c>
      <c r="M48" s="702">
        <v>0</v>
      </c>
      <c r="N48" s="702">
        <v>-3155750</v>
      </c>
      <c r="O48" s="705">
        <f t="shared" ref="O48:O50" si="6">+SUM(E48:N48)</f>
        <v>0</v>
      </c>
    </row>
    <row r="49" spans="1:16" ht="13.5" customHeight="1">
      <c r="A49" s="96"/>
      <c r="B49" s="295" t="s">
        <v>529</v>
      </c>
      <c r="C49" s="295"/>
      <c r="D49" s="295"/>
      <c r="E49" s="706">
        <v>0</v>
      </c>
      <c r="F49" s="707">
        <v>0</v>
      </c>
      <c r="G49" s="707">
        <v>0</v>
      </c>
      <c r="H49" s="708">
        <f>-N49</f>
        <v>-2120837</v>
      </c>
      <c r="I49" s="709">
        <v>0</v>
      </c>
      <c r="J49" s="708">
        <v>0</v>
      </c>
      <c r="K49" s="709">
        <v>0</v>
      </c>
      <c r="L49" s="710">
        <v>0</v>
      </c>
      <c r="M49" s="708">
        <v>0</v>
      </c>
      <c r="N49" s="708">
        <v>2120837</v>
      </c>
      <c r="O49" s="711">
        <f t="shared" si="6"/>
        <v>0</v>
      </c>
    </row>
    <row r="50" spans="1:16" ht="13.5" customHeight="1">
      <c r="A50" s="96"/>
      <c r="B50" s="295"/>
      <c r="C50" s="295"/>
      <c r="D50" s="295"/>
      <c r="E50" s="699">
        <f t="shared" ref="E50:M50" si="7">SUM(E48:E49)</f>
        <v>0</v>
      </c>
      <c r="F50" s="699">
        <f t="shared" si="7"/>
        <v>0</v>
      </c>
      <c r="G50" s="699">
        <f t="shared" si="7"/>
        <v>0</v>
      </c>
      <c r="H50" s="699">
        <f t="shared" si="7"/>
        <v>1034913</v>
      </c>
      <c r="I50" s="699">
        <f t="shared" si="7"/>
        <v>0</v>
      </c>
      <c r="J50" s="699">
        <f t="shared" si="7"/>
        <v>0</v>
      </c>
      <c r="K50" s="699">
        <f t="shared" si="7"/>
        <v>0</v>
      </c>
      <c r="L50" s="699">
        <f t="shared" si="7"/>
        <v>0</v>
      </c>
      <c r="M50" s="699">
        <f t="shared" si="7"/>
        <v>0</v>
      </c>
      <c r="N50" s="699">
        <f>SUM(N48:N49)</f>
        <v>-1034913</v>
      </c>
      <c r="O50" s="368">
        <f t="shared" si="6"/>
        <v>0</v>
      </c>
    </row>
    <row r="51" spans="1:16" ht="13.5" customHeight="1">
      <c r="A51" s="96"/>
      <c r="B51" s="793" t="s">
        <v>535</v>
      </c>
      <c r="C51" s="793"/>
      <c r="D51" s="793"/>
      <c r="E51" s="368">
        <v>0</v>
      </c>
      <c r="F51" s="368">
        <v>-455276</v>
      </c>
      <c r="G51" s="368">
        <v>-42323</v>
      </c>
      <c r="H51" s="368">
        <f>-40062-315575</f>
        <v>-355637</v>
      </c>
      <c r="I51" s="368">
        <v>-7068</v>
      </c>
      <c r="J51" s="368">
        <v>-9680</v>
      </c>
      <c r="K51" s="368"/>
      <c r="L51" s="368">
        <v>0</v>
      </c>
      <c r="M51" s="368">
        <v>0</v>
      </c>
      <c r="N51" s="368">
        <v>0</v>
      </c>
      <c r="O51" s="368">
        <f>+SUM(E51:N51)</f>
        <v>-869984</v>
      </c>
      <c r="P51" s="404"/>
    </row>
    <row r="52" spans="1:16" ht="13.5" customHeight="1">
      <c r="A52" s="96"/>
      <c r="B52" s="595"/>
      <c r="C52" s="595"/>
      <c r="D52" s="595"/>
      <c r="E52" s="368"/>
      <c r="F52" s="368"/>
      <c r="G52" s="368"/>
      <c r="H52" s="368"/>
      <c r="I52" s="368"/>
      <c r="J52" s="368"/>
      <c r="K52" s="368"/>
      <c r="L52" s="368"/>
      <c r="M52" s="368"/>
      <c r="N52" s="368"/>
      <c r="O52" s="368"/>
      <c r="P52" s="404"/>
    </row>
    <row r="53" spans="1:16" ht="13.5" customHeight="1" thickBot="1">
      <c r="A53" s="96"/>
      <c r="B53" s="294" t="s">
        <v>530</v>
      </c>
      <c r="C53" s="295"/>
      <c r="D53" s="295"/>
      <c r="E53" s="297">
        <f t="shared" ref="E53:M53" si="8">+E45+E46+E50+E51</f>
        <v>1721000</v>
      </c>
      <c r="F53" s="297">
        <f t="shared" si="8"/>
        <v>12677191</v>
      </c>
      <c r="G53" s="297">
        <f t="shared" si="8"/>
        <v>18349</v>
      </c>
      <c r="H53" s="297">
        <f t="shared" si="8"/>
        <v>834014</v>
      </c>
      <c r="I53" s="297">
        <f t="shared" si="8"/>
        <v>23436</v>
      </c>
      <c r="J53" s="297">
        <f t="shared" si="8"/>
        <v>21095</v>
      </c>
      <c r="K53" s="297">
        <f t="shared" si="8"/>
        <v>0</v>
      </c>
      <c r="L53" s="297">
        <f t="shared" si="8"/>
        <v>0</v>
      </c>
      <c r="M53" s="297">
        <f t="shared" si="8"/>
        <v>0</v>
      </c>
      <c r="N53" s="297">
        <f>+N45+N46+N50+N51</f>
        <v>0</v>
      </c>
      <c r="O53" s="372">
        <f>+SUM(E53:N53)</f>
        <v>15295085</v>
      </c>
      <c r="P53" s="404"/>
    </row>
    <row r="54" spans="1:16" ht="13.5" customHeight="1" thickTop="1">
      <c r="A54" s="96"/>
      <c r="B54" s="294"/>
      <c r="C54" s="295"/>
      <c r="D54" s="295"/>
      <c r="E54" s="295"/>
      <c r="F54" s="371"/>
      <c r="G54" s="371"/>
      <c r="H54" s="371"/>
      <c r="I54" s="371"/>
      <c r="J54" s="371"/>
      <c r="K54" s="371"/>
      <c r="L54" s="295"/>
      <c r="M54" s="371"/>
      <c r="N54" s="371"/>
      <c r="O54" s="98"/>
      <c r="P54" s="404"/>
    </row>
    <row r="55" spans="1:16" ht="13.5" customHeight="1">
      <c r="A55" s="96"/>
      <c r="B55" s="294" t="s">
        <v>1436</v>
      </c>
      <c r="C55" s="295"/>
      <c r="D55" s="295"/>
      <c r="E55" s="368"/>
      <c r="F55" s="369"/>
      <c r="G55" s="369"/>
      <c r="H55" s="369"/>
      <c r="I55" s="370"/>
      <c r="J55" s="369"/>
      <c r="K55" s="370"/>
      <c r="L55" s="368"/>
      <c r="M55" s="369"/>
      <c r="N55" s="369"/>
      <c r="O55" s="125"/>
      <c r="P55" s="404"/>
    </row>
    <row r="56" spans="1:16" ht="13.5" customHeight="1">
      <c r="A56" s="96"/>
      <c r="B56" s="295" t="s">
        <v>352</v>
      </c>
      <c r="C56" s="295"/>
      <c r="D56" s="295"/>
      <c r="E56" s="368">
        <f t="shared" ref="E56:M56" si="9">+E39+E46+E48</f>
        <v>1721000</v>
      </c>
      <c r="F56" s="368">
        <f t="shared" si="9"/>
        <v>22763815</v>
      </c>
      <c r="G56" s="368">
        <f t="shared" si="9"/>
        <v>1244075</v>
      </c>
      <c r="H56" s="368">
        <f t="shared" si="9"/>
        <v>4970458</v>
      </c>
      <c r="I56" s="368">
        <f t="shared" si="9"/>
        <v>911914</v>
      </c>
      <c r="J56" s="368">
        <f t="shared" si="9"/>
        <v>868377</v>
      </c>
      <c r="K56" s="368">
        <f t="shared" si="9"/>
        <v>2903533</v>
      </c>
      <c r="L56" s="368">
        <f t="shared" si="9"/>
        <v>1108605</v>
      </c>
      <c r="M56" s="368">
        <f t="shared" si="9"/>
        <v>308439</v>
      </c>
      <c r="N56" s="368">
        <v>0</v>
      </c>
      <c r="O56" s="368">
        <f>SUM(E56:N56)</f>
        <v>36800216</v>
      </c>
      <c r="P56" s="404"/>
    </row>
    <row r="57" spans="1:16" ht="13.5" customHeight="1">
      <c r="A57" s="96"/>
      <c r="B57" s="295" t="s">
        <v>529</v>
      </c>
      <c r="C57" s="295"/>
      <c r="D57" s="295"/>
      <c r="E57" s="368">
        <f t="shared" ref="E57:M57" si="10">+E40+E49+E51</f>
        <v>0</v>
      </c>
      <c r="F57" s="368">
        <f t="shared" si="10"/>
        <v>-10086624</v>
      </c>
      <c r="G57" s="368">
        <f t="shared" si="10"/>
        <v>-1225726</v>
      </c>
      <c r="H57" s="368">
        <f t="shared" si="10"/>
        <v>-4136444</v>
      </c>
      <c r="I57" s="368">
        <f t="shared" si="10"/>
        <v>-888478</v>
      </c>
      <c r="J57" s="368">
        <f t="shared" si="10"/>
        <v>-847282</v>
      </c>
      <c r="K57" s="368">
        <f t="shared" si="10"/>
        <v>-2903533</v>
      </c>
      <c r="L57" s="368">
        <f t="shared" si="10"/>
        <v>-1108605</v>
      </c>
      <c r="M57" s="368">
        <f t="shared" si="10"/>
        <v>-308439</v>
      </c>
      <c r="N57" s="368">
        <f>+N40+N49+N51</f>
        <v>0</v>
      </c>
      <c r="O57" s="368">
        <f>SUM(E57:N57)</f>
        <v>-21505131</v>
      </c>
    </row>
    <row r="58" spans="1:16">
      <c r="A58" s="96"/>
      <c r="B58" s="295"/>
      <c r="C58" s="295"/>
      <c r="D58" s="295"/>
      <c r="E58" s="368"/>
      <c r="F58" s="368"/>
      <c r="G58" s="368"/>
      <c r="H58" s="368"/>
      <c r="I58" s="368"/>
      <c r="J58" s="368"/>
      <c r="K58" s="368"/>
      <c r="L58" s="368"/>
      <c r="M58" s="368"/>
      <c r="N58" s="368"/>
      <c r="O58" s="368"/>
    </row>
    <row r="59" spans="1:16" ht="13.5" customHeight="1" thickBot="1">
      <c r="A59" s="96"/>
      <c r="B59" s="294" t="s">
        <v>530</v>
      </c>
      <c r="C59" s="295"/>
      <c r="D59" s="295"/>
      <c r="E59" s="372">
        <f t="shared" ref="E59:M59" si="11">E56+E57</f>
        <v>1721000</v>
      </c>
      <c r="F59" s="372">
        <f t="shared" si="11"/>
        <v>12677191</v>
      </c>
      <c r="G59" s="372">
        <f t="shared" si="11"/>
        <v>18349</v>
      </c>
      <c r="H59" s="372">
        <f t="shared" si="11"/>
        <v>834014</v>
      </c>
      <c r="I59" s="372">
        <f t="shared" si="11"/>
        <v>23436</v>
      </c>
      <c r="J59" s="372">
        <f t="shared" si="11"/>
        <v>21095</v>
      </c>
      <c r="K59" s="372">
        <f t="shared" si="11"/>
        <v>0</v>
      </c>
      <c r="L59" s="372">
        <f t="shared" si="11"/>
        <v>0</v>
      </c>
      <c r="M59" s="372">
        <f t="shared" si="11"/>
        <v>0</v>
      </c>
      <c r="N59" s="372">
        <f>N56+N57</f>
        <v>0</v>
      </c>
      <c r="O59" s="372">
        <f>O56+O57</f>
        <v>15295085</v>
      </c>
    </row>
    <row r="60" spans="1:16" ht="13.5" hidden="1" customHeight="1" thickTop="1">
      <c r="A60" s="96"/>
      <c r="B60" s="294"/>
      <c r="C60" s="295"/>
      <c r="D60" s="295"/>
      <c r="E60" s="373"/>
      <c r="F60" s="373"/>
      <c r="G60" s="373"/>
      <c r="H60" s="373"/>
      <c r="I60" s="373"/>
      <c r="J60" s="373"/>
      <c r="K60" s="373"/>
      <c r="L60" s="373"/>
      <c r="M60" s="373"/>
      <c r="N60" s="373"/>
      <c r="O60" s="373"/>
    </row>
    <row r="61" spans="1:16" ht="13.5" hidden="1" customHeight="1" thickBot="1">
      <c r="A61" s="96"/>
      <c r="B61" s="294"/>
      <c r="C61" s="295"/>
      <c r="D61" s="295"/>
      <c r="E61" s="373"/>
      <c r="F61" s="373"/>
      <c r="G61" s="373"/>
      <c r="H61" s="373"/>
      <c r="I61" s="373"/>
      <c r="J61" s="373"/>
      <c r="K61" s="373"/>
      <c r="L61" s="373"/>
      <c r="M61" s="373"/>
      <c r="N61" s="373"/>
      <c r="O61" s="373"/>
    </row>
    <row r="62" spans="1:16" ht="13.5" hidden="1" customHeight="1" thickBot="1">
      <c r="A62" s="96"/>
      <c r="B62" s="294"/>
      <c r="C62" s="295"/>
      <c r="D62" s="295"/>
      <c r="E62" s="801"/>
      <c r="F62" s="802"/>
      <c r="G62" s="802"/>
      <c r="H62" s="802"/>
      <c r="I62" s="802"/>
      <c r="J62" s="802"/>
      <c r="K62" s="802"/>
      <c r="L62" s="802"/>
      <c r="M62" s="803"/>
      <c r="N62" s="428"/>
      <c r="O62" s="98"/>
    </row>
    <row r="63" spans="1:16" ht="13.5" hidden="1" customHeight="1">
      <c r="E63" s="797" t="s">
        <v>522</v>
      </c>
      <c r="F63" s="797" t="s">
        <v>523</v>
      </c>
      <c r="G63" s="797" t="s">
        <v>342</v>
      </c>
      <c r="H63" s="797" t="s">
        <v>524</v>
      </c>
      <c r="I63" s="797" t="s">
        <v>525</v>
      </c>
      <c r="J63" s="797" t="s">
        <v>348</v>
      </c>
      <c r="K63" s="794" t="s">
        <v>526</v>
      </c>
      <c r="L63" s="797" t="s">
        <v>354</v>
      </c>
      <c r="M63" s="797" t="s">
        <v>356</v>
      </c>
      <c r="N63" s="414"/>
      <c r="O63" s="797" t="s">
        <v>537</v>
      </c>
    </row>
    <row r="64" spans="1:16" ht="13.5" hidden="1" customHeight="1">
      <c r="E64" s="798"/>
      <c r="F64" s="798"/>
      <c r="G64" s="798"/>
      <c r="H64" s="798"/>
      <c r="I64" s="798"/>
      <c r="J64" s="798"/>
      <c r="K64" s="795"/>
      <c r="L64" s="798"/>
      <c r="M64" s="798"/>
      <c r="N64" s="415"/>
      <c r="O64" s="798"/>
    </row>
    <row r="65" spans="2:15" ht="13.5" hidden="1" customHeight="1" thickBot="1">
      <c r="E65" s="799"/>
      <c r="F65" s="799"/>
      <c r="G65" s="799"/>
      <c r="H65" s="799"/>
      <c r="I65" s="799"/>
      <c r="J65" s="799"/>
      <c r="K65" s="796"/>
      <c r="L65" s="799"/>
      <c r="M65" s="799"/>
      <c r="N65" s="416"/>
      <c r="O65" s="799"/>
    </row>
    <row r="66" spans="2:15" ht="13.5" hidden="1" customHeight="1" thickBot="1">
      <c r="E66" s="100" t="s">
        <v>527</v>
      </c>
      <c r="F66" s="101"/>
      <c r="G66" s="101"/>
      <c r="H66" s="101"/>
      <c r="I66" s="101"/>
      <c r="J66" s="101"/>
      <c r="K66" s="101"/>
      <c r="L66" s="101"/>
      <c r="M66" s="101"/>
      <c r="N66" s="101"/>
      <c r="O66" s="102"/>
    </row>
    <row r="67" spans="2:15" ht="13.5" hidden="1" customHeight="1">
      <c r="B67" s="48" t="s">
        <v>352</v>
      </c>
      <c r="C67" s="48"/>
      <c r="D67" s="48"/>
      <c r="E67" s="137"/>
      <c r="F67" s="138"/>
      <c r="G67" s="138"/>
      <c r="H67" s="138"/>
      <c r="I67" s="138"/>
      <c r="J67" s="138"/>
      <c r="K67" s="138"/>
      <c r="L67" s="138"/>
      <c r="M67" s="138"/>
      <c r="N67" s="138"/>
    </row>
    <row r="68" spans="2:15" ht="12.75" hidden="1" customHeight="1">
      <c r="B68" s="34" t="s">
        <v>538</v>
      </c>
      <c r="E68" s="81">
        <v>7171000</v>
      </c>
      <c r="F68" s="81">
        <v>22763815</v>
      </c>
      <c r="G68" s="81">
        <v>1244075</v>
      </c>
      <c r="H68" s="81">
        <v>1389085</v>
      </c>
      <c r="I68" s="81">
        <v>879714</v>
      </c>
      <c r="J68" s="81">
        <v>781677</v>
      </c>
      <c r="K68" s="81">
        <v>2761634</v>
      </c>
      <c r="L68" s="81">
        <v>3141295</v>
      </c>
      <c r="M68" s="81">
        <v>308439</v>
      </c>
      <c r="N68" s="81"/>
      <c r="O68" s="83">
        <f>SUM(E68:M68)</f>
        <v>40440734</v>
      </c>
    </row>
    <row r="69" spans="2:15" ht="13.5" hidden="1" customHeight="1">
      <c r="B69" s="34" t="s">
        <v>539</v>
      </c>
      <c r="E69" s="81">
        <v>0</v>
      </c>
      <c r="F69" s="81">
        <v>0</v>
      </c>
      <c r="G69" s="81">
        <v>0</v>
      </c>
      <c r="H69" s="81">
        <f>214200+60000</f>
        <v>274200</v>
      </c>
      <c r="I69" s="81">
        <v>0</v>
      </c>
      <c r="J69" s="81">
        <v>86700</v>
      </c>
      <c r="K69" s="81">
        <v>5500</v>
      </c>
      <c r="L69" s="81">
        <v>0</v>
      </c>
      <c r="M69" s="81">
        <v>0</v>
      </c>
      <c r="N69" s="81"/>
      <c r="O69" s="83">
        <f>SUM(E69:M69)</f>
        <v>366400</v>
      </c>
    </row>
    <row r="70" spans="2:15" ht="13.5" hidden="1" customHeight="1">
      <c r="B70" s="34" t="s">
        <v>540</v>
      </c>
      <c r="E70" s="81">
        <v>-5450000</v>
      </c>
      <c r="F70" s="81">
        <v>0</v>
      </c>
      <c r="G70" s="81">
        <v>0</v>
      </c>
      <c r="H70" s="81">
        <v>0</v>
      </c>
      <c r="I70" s="81">
        <v>0</v>
      </c>
      <c r="J70" s="81">
        <v>0</v>
      </c>
      <c r="K70" s="81">
        <v>0</v>
      </c>
      <c r="L70" s="81">
        <v>0</v>
      </c>
      <c r="M70" s="81">
        <v>0</v>
      </c>
      <c r="N70" s="81"/>
      <c r="O70" s="83">
        <f>SUM(E70:M70)</f>
        <v>-5450000</v>
      </c>
    </row>
    <row r="71" spans="2:15" ht="13.5" hidden="1" thickTop="1">
      <c r="E71" s="81"/>
      <c r="F71" s="81"/>
      <c r="G71" s="81"/>
      <c r="H71" s="81"/>
      <c r="I71" s="81"/>
      <c r="J71" s="81"/>
      <c r="K71" s="81"/>
      <c r="L71" s="83"/>
      <c r="M71" s="81"/>
      <c r="N71" s="81"/>
      <c r="O71" s="83"/>
    </row>
    <row r="72" spans="2:15" ht="13.5" hidden="1" customHeight="1" thickBot="1">
      <c r="B72" s="48" t="s">
        <v>541</v>
      </c>
      <c r="C72" s="48"/>
      <c r="D72" s="48"/>
      <c r="E72" s="88">
        <f>SUM(E68:E70)</f>
        <v>1721000</v>
      </c>
      <c r="F72" s="88">
        <f t="shared" ref="F72:O72" si="12">SUM(F68:F70)</f>
        <v>22763815</v>
      </c>
      <c r="G72" s="88">
        <f t="shared" si="12"/>
        <v>1244075</v>
      </c>
      <c r="H72" s="88">
        <f t="shared" si="12"/>
        <v>1663285</v>
      </c>
      <c r="I72" s="88">
        <f t="shared" si="12"/>
        <v>879714</v>
      </c>
      <c r="J72" s="88">
        <f t="shared" si="12"/>
        <v>868377</v>
      </c>
      <c r="K72" s="88">
        <f t="shared" si="12"/>
        <v>2767134</v>
      </c>
      <c r="L72" s="88">
        <f t="shared" si="12"/>
        <v>3141295</v>
      </c>
      <c r="M72" s="88">
        <f t="shared" si="12"/>
        <v>308439</v>
      </c>
      <c r="N72" s="88"/>
      <c r="O72" s="88">
        <f t="shared" si="12"/>
        <v>35357134</v>
      </c>
    </row>
    <row r="73" spans="2:15" ht="13.5" hidden="1" customHeight="1" thickTop="1">
      <c r="E73" s="126"/>
      <c r="F73" s="126"/>
      <c r="G73" s="126"/>
      <c r="H73" s="126"/>
      <c r="I73" s="126"/>
      <c r="J73" s="126"/>
      <c r="K73" s="126"/>
      <c r="L73" s="126"/>
      <c r="M73" s="126"/>
      <c r="N73" s="126"/>
      <c r="O73" s="127"/>
    </row>
    <row r="74" spans="2:15" ht="13.5" hidden="1" customHeight="1">
      <c r="B74" s="48" t="s">
        <v>491</v>
      </c>
      <c r="C74" s="48"/>
      <c r="D74" s="48"/>
      <c r="E74" s="81"/>
      <c r="F74" s="81"/>
      <c r="G74" s="81"/>
      <c r="H74" s="81"/>
      <c r="I74" s="81"/>
      <c r="J74" s="81"/>
      <c r="K74" s="81"/>
      <c r="L74" s="81"/>
      <c r="M74" s="81"/>
      <c r="N74" s="81"/>
    </row>
    <row r="75" spans="2:15" ht="13.5" hidden="1" customHeight="1">
      <c r="B75" s="34" t="s">
        <v>538</v>
      </c>
      <c r="E75" s="81">
        <v>0</v>
      </c>
      <c r="F75" s="81" t="e">
        <f>+#REF!</f>
        <v>#REF!</v>
      </c>
      <c r="G75" s="81" t="e">
        <f>+#REF!</f>
        <v>#REF!</v>
      </c>
      <c r="H75" s="81" t="e">
        <f>+#REF!</f>
        <v>#REF!</v>
      </c>
      <c r="I75" s="81" t="e">
        <f>+#REF!</f>
        <v>#REF!</v>
      </c>
      <c r="J75" s="81" t="e">
        <f>+#REF!</f>
        <v>#REF!</v>
      </c>
      <c r="K75" s="81" t="e">
        <f>+#REF!</f>
        <v>#REF!</v>
      </c>
      <c r="L75" s="81" t="e">
        <f>+#REF!</f>
        <v>#REF!</v>
      </c>
      <c r="M75" s="81" t="e">
        <f>+#REF!</f>
        <v>#REF!</v>
      </c>
      <c r="N75" s="81"/>
      <c r="O75" s="83" t="e">
        <f>SUM(E75:M75)</f>
        <v>#REF!</v>
      </c>
    </row>
    <row r="76" spans="2:15" ht="13.5" hidden="1" customHeight="1">
      <c r="B76" s="34" t="s">
        <v>542</v>
      </c>
      <c r="E76" s="40">
        <v>0</v>
      </c>
      <c r="F76" s="40">
        <v>0</v>
      </c>
      <c r="G76" s="40">
        <v>0</v>
      </c>
      <c r="H76" s="40">
        <f>10998+2668</f>
        <v>13666</v>
      </c>
      <c r="I76" s="40">
        <v>0</v>
      </c>
      <c r="J76" s="40">
        <v>7577</v>
      </c>
      <c r="K76" s="40">
        <v>1288</v>
      </c>
      <c r="L76" s="40">
        <v>0</v>
      </c>
      <c r="M76" s="128">
        <v>0</v>
      </c>
      <c r="N76" s="128"/>
      <c r="O76" s="129">
        <f>SUM(E76:M76)</f>
        <v>22531</v>
      </c>
    </row>
    <row r="77" spans="2:15" ht="13.5" hidden="1" customHeight="1">
      <c r="B77" s="34" t="s">
        <v>543</v>
      </c>
      <c r="E77" s="130">
        <v>0</v>
      </c>
      <c r="F77" s="130" t="e">
        <v>#REF!</v>
      </c>
      <c r="G77" s="130" t="e">
        <v>#REF!</v>
      </c>
      <c r="H77" s="130">
        <v>40769</v>
      </c>
      <c r="I77" s="130">
        <v>35696</v>
      </c>
      <c r="J77" s="130">
        <v>19343</v>
      </c>
      <c r="K77" s="130">
        <v>39132</v>
      </c>
      <c r="L77" s="130">
        <v>0</v>
      </c>
      <c r="M77" s="131">
        <v>0</v>
      </c>
      <c r="N77" s="131"/>
      <c r="O77" s="429" t="e">
        <f>SUM(E77:M77)</f>
        <v>#REF!</v>
      </c>
    </row>
    <row r="78" spans="2:15" ht="13.5" hidden="1" customHeight="1">
      <c r="B78" s="48"/>
      <c r="E78" s="81">
        <v>0</v>
      </c>
      <c r="F78" s="81" t="e">
        <f>SUM(F76:F77)</f>
        <v>#REF!</v>
      </c>
      <c r="G78" s="81" t="e">
        <f t="shared" ref="G78:M78" si="13">SUM(G76:G77)</f>
        <v>#REF!</v>
      </c>
      <c r="H78" s="81">
        <f t="shared" si="13"/>
        <v>54435</v>
      </c>
      <c r="I78" s="81">
        <f t="shared" si="13"/>
        <v>35696</v>
      </c>
      <c r="J78" s="81">
        <f t="shared" si="13"/>
        <v>26920</v>
      </c>
      <c r="K78" s="81">
        <f t="shared" si="13"/>
        <v>40420</v>
      </c>
      <c r="L78" s="81">
        <f t="shared" si="13"/>
        <v>0</v>
      </c>
      <c r="M78" s="81">
        <f t="shared" si="13"/>
        <v>0</v>
      </c>
      <c r="N78" s="81"/>
      <c r="O78" s="75" t="e">
        <f>SUM(O76:O77)</f>
        <v>#REF!</v>
      </c>
    </row>
    <row r="79" spans="2:15" ht="12.75" hidden="1" customHeight="1">
      <c r="E79" s="56"/>
      <c r="F79" s="56"/>
      <c r="G79" s="56"/>
      <c r="H79" s="56"/>
      <c r="I79" s="56"/>
      <c r="J79" s="56"/>
      <c r="K79" s="56"/>
      <c r="L79" s="56"/>
      <c r="M79" s="56"/>
      <c r="N79" s="56"/>
      <c r="O79" s="75"/>
    </row>
    <row r="80" spans="2:15" ht="13.5" hidden="1" customHeight="1" thickBot="1">
      <c r="B80" s="48" t="s">
        <v>541</v>
      </c>
      <c r="C80" s="48"/>
      <c r="D80" s="48"/>
      <c r="E80" s="88">
        <f>E75+E78</f>
        <v>0</v>
      </c>
      <c r="F80" s="88" t="e">
        <f>SUM(F75:F77)</f>
        <v>#REF!</v>
      </c>
      <c r="G80" s="88" t="e">
        <f t="shared" ref="G80:M80" si="14">SUM(G75:G77)</f>
        <v>#REF!</v>
      </c>
      <c r="H80" s="88" t="e">
        <f t="shared" si="14"/>
        <v>#REF!</v>
      </c>
      <c r="I80" s="88" t="e">
        <f t="shared" si="14"/>
        <v>#REF!</v>
      </c>
      <c r="J80" s="88" t="e">
        <f t="shared" si="14"/>
        <v>#REF!</v>
      </c>
      <c r="K80" s="88" t="e">
        <f t="shared" si="14"/>
        <v>#REF!</v>
      </c>
      <c r="L80" s="88" t="e">
        <f t="shared" si="14"/>
        <v>#REF!</v>
      </c>
      <c r="M80" s="88" t="e">
        <f t="shared" si="14"/>
        <v>#REF!</v>
      </c>
      <c r="N80" s="88"/>
      <c r="O80" s="88" t="e">
        <f>O75+O78</f>
        <v>#REF!</v>
      </c>
    </row>
    <row r="81" spans="1:15" ht="13.5" hidden="1" customHeight="1" thickTop="1">
      <c r="B81" s="48"/>
      <c r="C81" s="48"/>
      <c r="D81" s="48"/>
      <c r="E81" s="83"/>
      <c r="F81" s="83"/>
      <c r="G81" s="83"/>
      <c r="H81" s="83"/>
      <c r="I81" s="83"/>
      <c r="J81" s="83"/>
      <c r="K81" s="83"/>
      <c r="L81" s="83"/>
      <c r="M81" s="83"/>
      <c r="N81" s="83"/>
      <c r="O81" s="83"/>
    </row>
    <row r="82" spans="1:15" s="36" customFormat="1" ht="13.5" hidden="1" customHeight="1" thickBot="1">
      <c r="A82" s="34"/>
      <c r="B82" s="48" t="s">
        <v>544</v>
      </c>
      <c r="C82" s="48"/>
      <c r="D82" s="48"/>
      <c r="E82" s="76">
        <f>E72-E80</f>
        <v>1721000</v>
      </c>
      <c r="F82" s="76" t="e">
        <f>F72-F80</f>
        <v>#REF!</v>
      </c>
      <c r="G82" s="76" t="e">
        <f t="shared" ref="G82:M82" si="15">G72-G80</f>
        <v>#REF!</v>
      </c>
      <c r="H82" s="76" t="e">
        <f t="shared" si="15"/>
        <v>#REF!</v>
      </c>
      <c r="I82" s="76" t="e">
        <f t="shared" si="15"/>
        <v>#REF!</v>
      </c>
      <c r="J82" s="76" t="e">
        <f t="shared" si="15"/>
        <v>#REF!</v>
      </c>
      <c r="K82" s="76" t="e">
        <f t="shared" si="15"/>
        <v>#REF!</v>
      </c>
      <c r="L82" s="76" t="e">
        <f t="shared" si="15"/>
        <v>#REF!</v>
      </c>
      <c r="M82" s="76" t="e">
        <f t="shared" si="15"/>
        <v>#REF!</v>
      </c>
      <c r="N82" s="76"/>
      <c r="O82" s="76" t="e">
        <f>O72-O80</f>
        <v>#REF!</v>
      </c>
    </row>
    <row r="83" spans="1:15" s="36" customFormat="1" ht="13.5" hidden="1" customHeight="1" thickTop="1">
      <c r="A83" s="34"/>
      <c r="B83" s="48"/>
      <c r="C83" s="48"/>
      <c r="D83" s="48"/>
      <c r="E83" s="56"/>
      <c r="F83" s="56"/>
      <c r="G83" s="56"/>
      <c r="H83" s="56"/>
      <c r="I83" s="56"/>
      <c r="J83" s="56"/>
      <c r="K83" s="56"/>
      <c r="L83" s="56"/>
      <c r="M83" s="56"/>
      <c r="N83" s="56"/>
      <c r="O83" s="56"/>
    </row>
    <row r="84" spans="1:15" s="36" customFormat="1" ht="13.5" hidden="1" customHeight="1" thickBot="1">
      <c r="B84" s="48" t="s">
        <v>545</v>
      </c>
      <c r="C84" s="48"/>
      <c r="D84" s="48"/>
      <c r="E84" s="77"/>
      <c r="F84" s="132">
        <v>0.02</v>
      </c>
      <c r="G84" s="132">
        <v>0.05</v>
      </c>
      <c r="H84" s="132">
        <v>0.1</v>
      </c>
      <c r="I84" s="132">
        <v>0.1</v>
      </c>
      <c r="J84" s="132">
        <v>0.1</v>
      </c>
      <c r="K84" s="132">
        <v>0.33</v>
      </c>
      <c r="L84" s="132">
        <v>0.2</v>
      </c>
      <c r="M84" s="132">
        <v>0.15</v>
      </c>
      <c r="N84" s="132">
        <v>0.1</v>
      </c>
    </row>
    <row r="85" spans="1:15" s="36" customFormat="1" ht="13.5" hidden="1" customHeight="1" thickTop="1">
      <c r="A85" s="96"/>
      <c r="B85" s="295"/>
      <c r="C85" s="295"/>
      <c r="D85" s="295"/>
      <c r="E85" s="133"/>
      <c r="F85" s="134"/>
      <c r="G85" s="134"/>
      <c r="H85" s="134"/>
      <c r="I85" s="135"/>
      <c r="J85" s="134"/>
      <c r="K85" s="135"/>
      <c r="L85" s="133"/>
      <c r="M85" s="134"/>
      <c r="N85" s="136"/>
    </row>
    <row r="86" spans="1:15" s="36" customFormat="1" ht="13.5" hidden="1" customHeight="1">
      <c r="A86" s="96"/>
      <c r="B86" s="48" t="s">
        <v>352</v>
      </c>
      <c r="C86" s="48"/>
      <c r="D86" s="48"/>
      <c r="E86" s="137"/>
      <c r="F86" s="138"/>
      <c r="G86" s="138"/>
      <c r="H86" s="138"/>
      <c r="I86" s="138"/>
      <c r="J86" s="138"/>
      <c r="K86" s="138"/>
      <c r="L86" s="138"/>
      <c r="M86" s="138"/>
      <c r="N86" s="34"/>
    </row>
    <row r="87" spans="1:15" ht="13.5" hidden="1" customHeight="1">
      <c r="A87" s="96"/>
      <c r="B87" s="34" t="s">
        <v>546</v>
      </c>
      <c r="E87" s="38">
        <f>+E71</f>
        <v>0</v>
      </c>
      <c r="F87" s="38">
        <f t="shared" ref="F87:M87" si="16">+F71</f>
        <v>0</v>
      </c>
      <c r="G87" s="38">
        <f t="shared" si="16"/>
        <v>0</v>
      </c>
      <c r="H87" s="38">
        <f t="shared" si="16"/>
        <v>0</v>
      </c>
      <c r="I87" s="38">
        <f t="shared" si="16"/>
        <v>0</v>
      </c>
      <c r="J87" s="38">
        <f t="shared" si="16"/>
        <v>0</v>
      </c>
      <c r="K87" s="38">
        <f t="shared" si="16"/>
        <v>0</v>
      </c>
      <c r="L87" s="38">
        <f t="shared" si="16"/>
        <v>0</v>
      </c>
      <c r="M87" s="38">
        <f t="shared" si="16"/>
        <v>0</v>
      </c>
      <c r="N87" s="50">
        <f>SUM(E87:M87)</f>
        <v>0</v>
      </c>
    </row>
    <row r="88" spans="1:15" ht="13.5" hidden="1" customHeight="1">
      <c r="A88" s="96"/>
      <c r="B88" s="34" t="s">
        <v>539</v>
      </c>
      <c r="E88" s="38">
        <v>0</v>
      </c>
      <c r="F88" s="38">
        <v>0</v>
      </c>
      <c r="G88" s="38">
        <v>0</v>
      </c>
      <c r="H88" s="38">
        <v>0</v>
      </c>
      <c r="I88" s="38">
        <v>32200</v>
      </c>
      <c r="J88" s="38">
        <v>0</v>
      </c>
      <c r="K88" s="38">
        <v>0</v>
      </c>
      <c r="L88" s="38"/>
      <c r="M88" s="38">
        <v>0</v>
      </c>
      <c r="N88" s="50">
        <f>SUM(E88:M88)</f>
        <v>32200</v>
      </c>
    </row>
    <row r="89" spans="1:15" ht="13.5" hidden="1" customHeight="1">
      <c r="A89" s="96"/>
      <c r="B89" s="34" t="s">
        <v>540</v>
      </c>
      <c r="E89" s="38"/>
      <c r="F89" s="38">
        <v>0</v>
      </c>
      <c r="G89" s="38">
        <v>0</v>
      </c>
      <c r="H89" s="38">
        <v>0</v>
      </c>
      <c r="I89" s="38">
        <v>0</v>
      </c>
      <c r="J89" s="38">
        <v>0</v>
      </c>
      <c r="K89" s="38">
        <v>0</v>
      </c>
      <c r="L89" s="38"/>
      <c r="M89" s="38">
        <v>0</v>
      </c>
      <c r="N89" s="50">
        <f>SUM(E89:M89)</f>
        <v>0</v>
      </c>
    </row>
    <row r="90" spans="1:15" ht="13.5" hidden="1" customHeight="1">
      <c r="A90" s="96"/>
      <c r="E90" s="38"/>
      <c r="F90" s="38"/>
      <c r="G90" s="38"/>
      <c r="H90" s="38"/>
      <c r="I90" s="38"/>
      <c r="J90" s="38"/>
      <c r="K90" s="38"/>
      <c r="L90" s="50"/>
      <c r="M90" s="38"/>
      <c r="N90" s="50"/>
    </row>
    <row r="91" spans="1:15" ht="13.5" hidden="1" customHeight="1" thickBot="1">
      <c r="A91" s="96"/>
      <c r="B91" s="48" t="s">
        <v>547</v>
      </c>
      <c r="C91" s="48"/>
      <c r="D91" s="48"/>
      <c r="E91" s="88">
        <f>SUM(E87:E89)</f>
        <v>0</v>
      </c>
      <c r="F91" s="88">
        <f t="shared" ref="F91:N91" si="17">SUM(F87:F89)</f>
        <v>0</v>
      </c>
      <c r="G91" s="88">
        <f t="shared" si="17"/>
        <v>0</v>
      </c>
      <c r="H91" s="88">
        <f t="shared" si="17"/>
        <v>0</v>
      </c>
      <c r="I91" s="88">
        <f t="shared" si="17"/>
        <v>32200</v>
      </c>
      <c r="J91" s="88">
        <f t="shared" si="17"/>
        <v>0</v>
      </c>
      <c r="K91" s="88">
        <f t="shared" si="17"/>
        <v>0</v>
      </c>
      <c r="L91" s="88">
        <f t="shared" si="17"/>
        <v>0</v>
      </c>
      <c r="M91" s="88">
        <f t="shared" si="17"/>
        <v>0</v>
      </c>
      <c r="N91" s="88">
        <f t="shared" si="17"/>
        <v>32200</v>
      </c>
    </row>
    <row r="92" spans="1:15" ht="13.5" hidden="1" customHeight="1" thickTop="1">
      <c r="A92" s="96"/>
      <c r="E92" s="139"/>
      <c r="F92" s="139"/>
      <c r="G92" s="139"/>
      <c r="H92" s="139"/>
      <c r="I92" s="139"/>
      <c r="J92" s="139"/>
      <c r="K92" s="139"/>
      <c r="L92" s="139"/>
      <c r="M92" s="139"/>
      <c r="N92" s="127"/>
    </row>
    <row r="93" spans="1:15" ht="12.75" hidden="1" customHeight="1">
      <c r="A93" s="96"/>
      <c r="B93" s="48" t="s">
        <v>491</v>
      </c>
      <c r="C93" s="48"/>
      <c r="D93" s="48"/>
      <c r="E93" s="38"/>
      <c r="F93" s="38"/>
      <c r="G93" s="38"/>
      <c r="H93" s="38"/>
      <c r="I93" s="38"/>
      <c r="J93" s="38"/>
      <c r="K93" s="38"/>
      <c r="L93" s="38"/>
      <c r="M93" s="38"/>
    </row>
    <row r="94" spans="1:15" ht="13.5" hidden="1" customHeight="1">
      <c r="A94" s="96"/>
      <c r="B94" s="34" t="s">
        <v>546</v>
      </c>
      <c r="E94" s="38">
        <f>+E80</f>
        <v>0</v>
      </c>
      <c r="F94" s="38" t="e">
        <f t="shared" ref="F94:M94" si="18">+F80</f>
        <v>#REF!</v>
      </c>
      <c r="G94" s="38" t="e">
        <f t="shared" si="18"/>
        <v>#REF!</v>
      </c>
      <c r="H94" s="38" t="e">
        <f t="shared" si="18"/>
        <v>#REF!</v>
      </c>
      <c r="I94" s="38" t="e">
        <f t="shared" si="18"/>
        <v>#REF!</v>
      </c>
      <c r="J94" s="38" t="e">
        <f t="shared" si="18"/>
        <v>#REF!</v>
      </c>
      <c r="K94" s="38" t="e">
        <f t="shared" si="18"/>
        <v>#REF!</v>
      </c>
      <c r="L94" s="38" t="e">
        <f t="shared" si="18"/>
        <v>#REF!</v>
      </c>
      <c r="M94" s="38" t="e">
        <f t="shared" si="18"/>
        <v>#REF!</v>
      </c>
      <c r="N94" s="50" t="e">
        <f>SUM(E94:M94)</f>
        <v>#REF!</v>
      </c>
    </row>
    <row r="95" spans="1:15" ht="13.5" hidden="1" customHeight="1">
      <c r="A95" s="96"/>
      <c r="B95" s="34" t="s">
        <v>542</v>
      </c>
      <c r="E95" s="40"/>
      <c r="F95" s="40"/>
      <c r="G95" s="40"/>
      <c r="H95" s="40"/>
      <c r="I95" s="40">
        <v>1342</v>
      </c>
      <c r="J95" s="40"/>
      <c r="K95" s="40"/>
      <c r="L95" s="40"/>
      <c r="M95" s="128"/>
      <c r="N95" s="40">
        <f>SUM(E95:M95)</f>
        <v>1342</v>
      </c>
    </row>
    <row r="96" spans="1:15" ht="13.5" hidden="1" customHeight="1">
      <c r="A96" s="96"/>
      <c r="B96" s="34" t="s">
        <v>1431</v>
      </c>
      <c r="E96" s="140"/>
      <c r="F96" s="140"/>
      <c r="G96" s="140"/>
      <c r="H96" s="140"/>
      <c r="I96" s="140"/>
      <c r="J96" s="140"/>
      <c r="K96" s="140"/>
      <c r="L96" s="140"/>
      <c r="M96" s="141"/>
      <c r="N96" s="140">
        <f>SUM(E96:M96)</f>
        <v>0</v>
      </c>
    </row>
    <row r="97" spans="1:15" ht="13.5" hidden="1" customHeight="1">
      <c r="A97" s="96"/>
      <c r="B97" s="34" t="s">
        <v>543</v>
      </c>
      <c r="E97" s="130">
        <v>0</v>
      </c>
      <c r="F97" s="130">
        <v>455276</v>
      </c>
      <c r="G97" s="130">
        <v>62204</v>
      </c>
      <c r="H97" s="130">
        <v>392729</v>
      </c>
      <c r="I97" s="130">
        <v>27096</v>
      </c>
      <c r="J97" s="130">
        <v>21108</v>
      </c>
      <c r="K97" s="130">
        <v>21409</v>
      </c>
      <c r="L97" s="130">
        <v>285200</v>
      </c>
      <c r="M97" s="131">
        <v>0</v>
      </c>
      <c r="N97" s="130">
        <f>SUM(E97:M97)</f>
        <v>1265022</v>
      </c>
    </row>
    <row r="98" spans="1:15" ht="13.5" hidden="1" customHeight="1">
      <c r="A98" s="96"/>
      <c r="B98" s="48"/>
      <c r="E98" s="38">
        <f>SUM(E95:E97)</f>
        <v>0</v>
      </c>
      <c r="F98" s="38">
        <f t="shared" ref="F98:M98" si="19">SUM(F95:F97)</f>
        <v>455276</v>
      </c>
      <c r="G98" s="38">
        <f t="shared" si="19"/>
        <v>62204</v>
      </c>
      <c r="H98" s="38">
        <f t="shared" si="19"/>
        <v>392729</v>
      </c>
      <c r="I98" s="38">
        <f t="shared" si="19"/>
        <v>28438</v>
      </c>
      <c r="J98" s="38">
        <f t="shared" si="19"/>
        <v>21108</v>
      </c>
      <c r="K98" s="38">
        <f t="shared" si="19"/>
        <v>21409</v>
      </c>
      <c r="L98" s="38">
        <f t="shared" si="19"/>
        <v>285200</v>
      </c>
      <c r="M98" s="38">
        <f t="shared" si="19"/>
        <v>0</v>
      </c>
      <c r="N98" s="75">
        <f>SUM(N95:N97)</f>
        <v>1266364</v>
      </c>
    </row>
    <row r="99" spans="1:15" ht="13.5" hidden="1" customHeight="1">
      <c r="A99" s="96"/>
      <c r="E99" s="56"/>
      <c r="F99" s="56"/>
      <c r="G99" s="56"/>
      <c r="H99" s="56"/>
      <c r="I99" s="56"/>
      <c r="J99" s="56"/>
      <c r="K99" s="56"/>
      <c r="L99" s="56"/>
      <c r="M99" s="56"/>
      <c r="N99" s="75"/>
    </row>
    <row r="100" spans="1:15" ht="13.5" hidden="1" customHeight="1" thickBot="1">
      <c r="A100" s="96"/>
      <c r="B100" s="48" t="s">
        <v>547</v>
      </c>
      <c r="C100" s="48"/>
      <c r="D100" s="48"/>
      <c r="E100" s="88">
        <f>E94+E98</f>
        <v>0</v>
      </c>
      <c r="F100" s="88" t="e">
        <f t="shared" ref="F100:M100" si="20">F94+F98</f>
        <v>#REF!</v>
      </c>
      <c r="G100" s="88" t="e">
        <f t="shared" si="20"/>
        <v>#REF!</v>
      </c>
      <c r="H100" s="88" t="e">
        <f t="shared" si="20"/>
        <v>#REF!</v>
      </c>
      <c r="I100" s="88" t="e">
        <f t="shared" si="20"/>
        <v>#REF!</v>
      </c>
      <c r="J100" s="88" t="e">
        <f t="shared" si="20"/>
        <v>#REF!</v>
      </c>
      <c r="K100" s="88" t="e">
        <f t="shared" si="20"/>
        <v>#REF!</v>
      </c>
      <c r="L100" s="88" t="e">
        <f t="shared" si="20"/>
        <v>#REF!</v>
      </c>
      <c r="M100" s="88" t="e">
        <f t="shared" si="20"/>
        <v>#REF!</v>
      </c>
      <c r="N100" s="88" t="e">
        <f>N94+N98</f>
        <v>#REF!</v>
      </c>
    </row>
    <row r="101" spans="1:15" ht="13.5" hidden="1" customHeight="1" thickTop="1">
      <c r="A101" s="142"/>
      <c r="B101" s="48"/>
      <c r="C101" s="48"/>
      <c r="D101" s="48"/>
      <c r="E101" s="50"/>
      <c r="F101" s="50"/>
      <c r="G101" s="50"/>
      <c r="H101" s="50"/>
      <c r="I101" s="50"/>
      <c r="J101" s="50"/>
      <c r="K101" s="50"/>
      <c r="L101" s="50"/>
      <c r="M101" s="50"/>
      <c r="N101" s="50"/>
    </row>
    <row r="102" spans="1:15" ht="13.5" hidden="1" customHeight="1" thickBot="1">
      <c r="A102" s="143"/>
      <c r="B102" s="48" t="s">
        <v>548</v>
      </c>
      <c r="C102" s="48"/>
      <c r="D102" s="48"/>
      <c r="E102" s="76">
        <f>+E91-E100</f>
        <v>0</v>
      </c>
      <c r="F102" s="76" t="e">
        <f t="shared" ref="F102:K102" si="21">+F91-F100</f>
        <v>#REF!</v>
      </c>
      <c r="G102" s="76" t="e">
        <f t="shared" si="21"/>
        <v>#REF!</v>
      </c>
      <c r="H102" s="76" t="e">
        <f t="shared" si="21"/>
        <v>#REF!</v>
      </c>
      <c r="I102" s="76" t="e">
        <f t="shared" si="21"/>
        <v>#REF!</v>
      </c>
      <c r="J102" s="76" t="e">
        <f t="shared" si="21"/>
        <v>#REF!</v>
      </c>
      <c r="K102" s="76" t="e">
        <f t="shared" si="21"/>
        <v>#REF!</v>
      </c>
      <c r="L102" s="76" t="e">
        <f>+L91-L100</f>
        <v>#REF!</v>
      </c>
      <c r="M102" s="76" t="e">
        <f>+M91-M100</f>
        <v>#REF!</v>
      </c>
      <c r="N102" s="76" t="e">
        <f>N91-N100</f>
        <v>#REF!</v>
      </c>
    </row>
    <row r="103" spans="1:15" ht="13.5" customHeight="1" thickTop="1">
      <c r="B103" s="48"/>
      <c r="C103" s="48"/>
      <c r="D103" s="48"/>
      <c r="E103" s="56"/>
      <c r="F103" s="56"/>
      <c r="G103" s="56"/>
      <c r="H103" s="56"/>
      <c r="I103" s="56"/>
      <c r="J103" s="56"/>
      <c r="K103" s="56"/>
      <c r="L103" s="56"/>
      <c r="M103" s="56"/>
      <c r="N103" s="56"/>
    </row>
    <row r="104" spans="1:15" ht="13.5" customHeight="1" thickBot="1">
      <c r="B104" s="48" t="s">
        <v>545</v>
      </c>
      <c r="C104" s="48"/>
      <c r="D104" s="48"/>
      <c r="E104" s="77"/>
      <c r="F104" s="132">
        <v>0.02</v>
      </c>
      <c r="G104" s="132">
        <v>0.05</v>
      </c>
      <c r="H104" s="132">
        <v>0.1</v>
      </c>
      <c r="I104" s="132">
        <v>0.1</v>
      </c>
      <c r="J104" s="132">
        <v>0.1</v>
      </c>
      <c r="K104" s="132">
        <v>0.33</v>
      </c>
      <c r="L104" s="132">
        <v>0.2</v>
      </c>
      <c r="M104" s="132">
        <v>0.15</v>
      </c>
      <c r="N104" s="132">
        <v>0.1</v>
      </c>
    </row>
    <row r="105" spans="1:15" ht="13.5" hidden="1" customHeight="1" thickTop="1">
      <c r="A105" s="36"/>
      <c r="B105" s="144"/>
      <c r="C105" s="144"/>
      <c r="D105" s="144"/>
      <c r="E105" s="36"/>
      <c r="F105" s="36"/>
      <c r="G105" s="36"/>
      <c r="H105" s="36"/>
      <c r="I105" s="36"/>
      <c r="J105" s="36"/>
      <c r="K105" s="36"/>
      <c r="L105" s="36"/>
      <c r="M105" s="36"/>
      <c r="N105" s="36"/>
    </row>
    <row r="106" spans="1:15" ht="13.5" hidden="1" customHeight="1">
      <c r="A106" s="36"/>
      <c r="B106" s="144"/>
      <c r="C106" s="144"/>
      <c r="D106" s="144"/>
      <c r="E106" s="36"/>
      <c r="F106" s="36"/>
      <c r="G106" s="36"/>
      <c r="H106" s="36"/>
      <c r="I106" s="36"/>
      <c r="J106" s="36"/>
      <c r="K106" s="36"/>
      <c r="L106" s="36"/>
      <c r="M106" s="36"/>
      <c r="N106" s="36"/>
    </row>
    <row r="107" spans="1:15" ht="13.5" customHeight="1" thickTop="1">
      <c r="A107" s="36"/>
      <c r="B107" s="144"/>
      <c r="C107" s="144"/>
      <c r="D107" s="144"/>
      <c r="E107" s="36"/>
      <c r="F107" s="36"/>
      <c r="G107" s="36"/>
      <c r="H107" s="36"/>
      <c r="I107" s="36"/>
      <c r="J107" s="36"/>
      <c r="K107" s="36"/>
      <c r="L107" s="36"/>
      <c r="M107" s="36"/>
      <c r="N107" s="36"/>
    </row>
    <row r="108" spans="1:15" ht="13.5" customHeight="1">
      <c r="A108" s="36"/>
      <c r="B108" s="144"/>
      <c r="C108" s="144"/>
      <c r="D108" s="144"/>
      <c r="E108" s="36"/>
      <c r="F108" s="36"/>
      <c r="G108" s="36"/>
      <c r="H108" s="36"/>
      <c r="I108" s="36"/>
      <c r="J108" s="36"/>
      <c r="K108" s="36"/>
      <c r="L108" s="36"/>
      <c r="M108" s="36"/>
      <c r="N108" s="36"/>
    </row>
    <row r="109" spans="1:15" ht="13.5" customHeight="1">
      <c r="A109" s="36"/>
      <c r="B109" s="144"/>
      <c r="C109" s="144"/>
      <c r="D109" s="144"/>
      <c r="E109" s="36"/>
      <c r="F109" s="36"/>
      <c r="G109" s="36"/>
      <c r="H109" s="36"/>
      <c r="I109" s="36"/>
      <c r="J109" s="36"/>
      <c r="K109" s="36"/>
      <c r="L109" s="36"/>
      <c r="M109" s="36"/>
      <c r="N109" s="36"/>
    </row>
    <row r="110" spans="1:15" ht="13.5" customHeight="1">
      <c r="A110" s="36"/>
      <c r="B110" s="294" t="s">
        <v>2181</v>
      </c>
      <c r="C110" s="295"/>
      <c r="D110" s="295"/>
      <c r="E110" s="368"/>
      <c r="F110" s="369"/>
      <c r="G110" s="369"/>
      <c r="H110" s="369"/>
      <c r="I110" s="369"/>
      <c r="J110" s="369"/>
      <c r="K110" s="369"/>
      <c r="L110" s="368"/>
      <c r="M110" s="369"/>
      <c r="N110" s="369"/>
      <c r="O110" s="125"/>
    </row>
    <row r="111" spans="1:15" ht="13.5" customHeight="1">
      <c r="A111" s="36"/>
      <c r="B111" s="295" t="s">
        <v>532</v>
      </c>
      <c r="C111" s="295"/>
      <c r="D111" s="295"/>
      <c r="E111" s="368">
        <v>1721000</v>
      </c>
      <c r="F111" s="368">
        <v>12677191</v>
      </c>
      <c r="G111" s="368">
        <v>18349</v>
      </c>
      <c r="H111" s="368">
        <v>834014</v>
      </c>
      <c r="I111" s="368">
        <v>23436</v>
      </c>
      <c r="J111" s="368">
        <v>21095</v>
      </c>
      <c r="K111" s="368">
        <v>0</v>
      </c>
      <c r="L111" s="368">
        <v>0</v>
      </c>
      <c r="M111" s="368">
        <v>0</v>
      </c>
      <c r="N111" s="368">
        <f>N50</f>
        <v>-1034913</v>
      </c>
      <c r="O111" s="368">
        <f>SUM(E111:N111)</f>
        <v>14260172</v>
      </c>
    </row>
    <row r="112" spans="1:15" ht="13.5" customHeight="1">
      <c r="A112" s="36"/>
      <c r="B112" s="295" t="s">
        <v>533</v>
      </c>
      <c r="C112" s="295"/>
      <c r="D112" s="295"/>
      <c r="E112" s="368">
        <v>0</v>
      </c>
      <c r="F112" s="426">
        <v>0</v>
      </c>
      <c r="G112" s="426">
        <v>0</v>
      </c>
      <c r="H112" s="427"/>
      <c r="I112" s="426">
        <v>0</v>
      </c>
      <c r="J112" s="426">
        <v>0</v>
      </c>
      <c r="K112" s="426"/>
      <c r="L112" s="368">
        <v>0</v>
      </c>
      <c r="M112" s="370">
        <v>0</v>
      </c>
      <c r="N112" s="427">
        <v>0</v>
      </c>
      <c r="O112" s="368">
        <f>SUM(E112:N112)</f>
        <v>0</v>
      </c>
    </row>
    <row r="113" spans="1:15" ht="13.5" customHeight="1">
      <c r="A113" s="36"/>
      <c r="B113" s="294" t="s">
        <v>2066</v>
      </c>
      <c r="C113" s="295"/>
      <c r="D113" s="295"/>
      <c r="E113" s="368"/>
      <c r="F113" s="369"/>
      <c r="G113" s="369"/>
      <c r="H113" s="369"/>
      <c r="I113" s="370"/>
      <c r="J113" s="369"/>
      <c r="K113" s="370"/>
      <c r="L113" s="368"/>
      <c r="M113" s="369"/>
      <c r="N113" s="369"/>
      <c r="O113" s="368"/>
    </row>
    <row r="114" spans="1:15" ht="13.5" customHeight="1">
      <c r="A114" s="36"/>
      <c r="B114" s="793" t="s">
        <v>535</v>
      </c>
      <c r="C114" s="793"/>
      <c r="D114" s="793"/>
      <c r="E114" s="368">
        <v>0</v>
      </c>
      <c r="F114" s="368">
        <v>-455276</v>
      </c>
      <c r="G114" s="368">
        <v>-18349</v>
      </c>
      <c r="H114" s="368">
        <f>-42562</f>
        <v>-42562</v>
      </c>
      <c r="I114" s="368">
        <v>-23436</v>
      </c>
      <c r="J114" s="368">
        <v>-1093</v>
      </c>
      <c r="K114" s="368"/>
      <c r="L114" s="368">
        <v>0</v>
      </c>
      <c r="M114" s="368">
        <v>0</v>
      </c>
      <c r="N114" s="368">
        <v>-315575</v>
      </c>
      <c r="O114" s="368">
        <f>+SUM(E114:N114)</f>
        <v>-856291</v>
      </c>
    </row>
    <row r="115" spans="1:15" ht="13.5" customHeight="1">
      <c r="A115" s="36"/>
      <c r="B115" s="595"/>
      <c r="C115" s="595"/>
      <c r="D115" s="595"/>
      <c r="E115" s="368"/>
      <c r="F115" s="368"/>
      <c r="G115" s="368"/>
      <c r="H115" s="368"/>
      <c r="I115" s="368"/>
      <c r="J115" s="368"/>
      <c r="K115" s="368"/>
      <c r="L115" s="368"/>
      <c r="M115" s="368"/>
      <c r="N115" s="368"/>
      <c r="O115" s="368"/>
    </row>
    <row r="116" spans="1:15" ht="13.5" customHeight="1" thickBot="1">
      <c r="A116" s="36"/>
      <c r="B116" s="294" t="s">
        <v>2182</v>
      </c>
      <c r="C116" s="295"/>
      <c r="D116" s="295"/>
      <c r="E116" s="297">
        <f>+E111+E112-E114</f>
        <v>1721000</v>
      </c>
      <c r="F116" s="297">
        <f t="shared" ref="F116:M116" si="22">+F111+F112+F114</f>
        <v>12221915</v>
      </c>
      <c r="G116" s="297">
        <f t="shared" si="22"/>
        <v>0</v>
      </c>
      <c r="H116" s="297">
        <f t="shared" si="22"/>
        <v>791452</v>
      </c>
      <c r="I116" s="297">
        <f t="shared" si="22"/>
        <v>0</v>
      </c>
      <c r="J116" s="297">
        <f t="shared" si="22"/>
        <v>20002</v>
      </c>
      <c r="K116" s="297">
        <f t="shared" si="22"/>
        <v>0</v>
      </c>
      <c r="L116" s="297">
        <f t="shared" si="22"/>
        <v>0</v>
      </c>
      <c r="M116" s="297">
        <f t="shared" si="22"/>
        <v>0</v>
      </c>
      <c r="N116" s="297">
        <f>N111-N114</f>
        <v>-719338</v>
      </c>
      <c r="O116" s="372">
        <f>+SUM(E116:N116)</f>
        <v>14035031</v>
      </c>
    </row>
    <row r="117" spans="1:15" ht="13.5" customHeight="1" thickTop="1">
      <c r="A117" s="36"/>
      <c r="B117" s="144"/>
      <c r="C117" s="144"/>
      <c r="D117" s="144"/>
      <c r="E117" s="36"/>
      <c r="F117" s="36"/>
      <c r="G117" s="36"/>
      <c r="H117" s="36"/>
      <c r="I117" s="36"/>
      <c r="J117" s="36"/>
      <c r="K117" s="36"/>
      <c r="L117" s="36"/>
      <c r="M117" s="36"/>
      <c r="N117" s="36"/>
    </row>
    <row r="118" spans="1:15" ht="13.5" customHeight="1">
      <c r="A118" s="36"/>
      <c r="B118" s="144"/>
      <c r="C118" s="144"/>
      <c r="D118" s="144"/>
      <c r="E118" s="36"/>
      <c r="F118" s="36"/>
      <c r="G118" s="36"/>
      <c r="H118" s="36"/>
      <c r="I118" s="36"/>
      <c r="J118" s="36"/>
      <c r="K118" s="36"/>
      <c r="L118" s="36"/>
      <c r="M118" s="36"/>
      <c r="N118" s="36"/>
    </row>
    <row r="119" spans="1:15" ht="13.5" customHeight="1">
      <c r="A119" s="36"/>
      <c r="B119" s="294" t="s">
        <v>2183</v>
      </c>
      <c r="C119" s="295"/>
      <c r="D119" s="295"/>
      <c r="E119" s="368"/>
      <c r="F119" s="369"/>
      <c r="G119" s="369"/>
      <c r="H119" s="369"/>
      <c r="I119" s="370"/>
      <c r="J119" s="369"/>
      <c r="K119" s="370"/>
      <c r="L119" s="368"/>
      <c r="M119" s="369"/>
      <c r="N119" s="369"/>
      <c r="O119" s="125"/>
    </row>
    <row r="120" spans="1:15" ht="13.5" customHeight="1">
      <c r="A120" s="36"/>
      <c r="B120" s="295" t="s">
        <v>352</v>
      </c>
      <c r="C120" s="295"/>
      <c r="D120" s="295"/>
      <c r="E120" s="368">
        <v>1721000</v>
      </c>
      <c r="F120" s="368">
        <v>22763815</v>
      </c>
      <c r="G120" s="368">
        <v>1244075</v>
      </c>
      <c r="H120" s="368">
        <v>4970458</v>
      </c>
      <c r="I120" s="368">
        <v>911914</v>
      </c>
      <c r="J120" s="368">
        <v>868377</v>
      </c>
      <c r="K120" s="368">
        <v>2903533</v>
      </c>
      <c r="L120" s="368">
        <v>1108605</v>
      </c>
      <c r="M120" s="368">
        <v>308439</v>
      </c>
      <c r="N120" s="368">
        <v>3155750</v>
      </c>
      <c r="O120" s="368">
        <f>SUM(E120:N120)</f>
        <v>39955966</v>
      </c>
    </row>
    <row r="121" spans="1:15" ht="13.5" customHeight="1">
      <c r="A121" s="36"/>
      <c r="B121" s="295" t="s">
        <v>529</v>
      </c>
      <c r="C121" s="295"/>
      <c r="D121" s="295"/>
      <c r="E121" s="368">
        <f>+E106+E114</f>
        <v>0</v>
      </c>
      <c r="F121" s="368">
        <f t="shared" ref="F121:M121" si="23">+F57+F106+F114</f>
        <v>-10541900</v>
      </c>
      <c r="G121" s="368">
        <f t="shared" si="23"/>
        <v>-1244075</v>
      </c>
      <c r="H121" s="368">
        <f t="shared" si="23"/>
        <v>-4179006</v>
      </c>
      <c r="I121" s="368">
        <f t="shared" si="23"/>
        <v>-911914</v>
      </c>
      <c r="J121" s="368">
        <f t="shared" si="23"/>
        <v>-848375</v>
      </c>
      <c r="K121" s="368">
        <f t="shared" si="23"/>
        <v>-2903533</v>
      </c>
      <c r="L121" s="368">
        <f t="shared" si="23"/>
        <v>-1108605</v>
      </c>
      <c r="M121" s="368">
        <f t="shared" si="23"/>
        <v>-308439</v>
      </c>
      <c r="N121" s="368">
        <f>N49-N114</f>
        <v>2436412</v>
      </c>
      <c r="O121" s="368">
        <f>SUM(E121:N121)</f>
        <v>-19609435</v>
      </c>
    </row>
    <row r="122" spans="1:15" ht="13.5" customHeight="1">
      <c r="A122" s="36"/>
      <c r="B122" s="295"/>
      <c r="C122" s="295"/>
      <c r="D122" s="295"/>
      <c r="E122" s="368"/>
      <c r="F122" s="368"/>
      <c r="G122" s="368"/>
      <c r="H122" s="368"/>
      <c r="I122" s="368"/>
      <c r="J122" s="368"/>
      <c r="K122" s="368"/>
      <c r="L122" s="368"/>
      <c r="M122" s="368"/>
      <c r="N122" s="368"/>
      <c r="O122" s="368"/>
    </row>
    <row r="123" spans="1:15" ht="13.5" customHeight="1" thickBot="1">
      <c r="A123" s="36"/>
      <c r="B123" s="294" t="s">
        <v>530</v>
      </c>
      <c r="C123" s="295"/>
      <c r="D123" s="295"/>
      <c r="E123" s="372">
        <f t="shared" ref="E123:M123" si="24">E120+E121</f>
        <v>1721000</v>
      </c>
      <c r="F123" s="372">
        <f t="shared" si="24"/>
        <v>12221915</v>
      </c>
      <c r="G123" s="372">
        <f t="shared" si="24"/>
        <v>0</v>
      </c>
      <c r="H123" s="372">
        <f t="shared" si="24"/>
        <v>791452</v>
      </c>
      <c r="I123" s="372">
        <f t="shared" si="24"/>
        <v>0</v>
      </c>
      <c r="J123" s="372">
        <f t="shared" si="24"/>
        <v>20002</v>
      </c>
      <c r="K123" s="372">
        <f t="shared" si="24"/>
        <v>0</v>
      </c>
      <c r="L123" s="372">
        <f t="shared" si="24"/>
        <v>0</v>
      </c>
      <c r="M123" s="372">
        <f t="shared" si="24"/>
        <v>0</v>
      </c>
      <c r="N123" s="372">
        <f>N120+N121</f>
        <v>5592162</v>
      </c>
      <c r="O123" s="372">
        <f>O120+O121</f>
        <v>20346531</v>
      </c>
    </row>
    <row r="124" spans="1:15" ht="13.5" customHeight="1" thickTop="1">
      <c r="A124" s="36"/>
      <c r="B124" s="294"/>
      <c r="C124" s="295"/>
      <c r="D124" s="295"/>
      <c r="E124" s="373"/>
      <c r="F124" s="373"/>
      <c r="G124" s="373"/>
      <c r="H124" s="373"/>
      <c r="I124" s="373"/>
      <c r="J124" s="373"/>
      <c r="K124" s="373"/>
      <c r="L124" s="373"/>
      <c r="M124" s="373"/>
      <c r="N124" s="373"/>
      <c r="O124" s="373"/>
    </row>
    <row r="125" spans="1:15" ht="13.5" customHeight="1" thickBot="1">
      <c r="A125" s="36"/>
      <c r="B125" s="48" t="s">
        <v>545</v>
      </c>
      <c r="C125" s="48"/>
      <c r="D125" s="48"/>
      <c r="E125" s="77"/>
      <c r="F125" s="132">
        <v>0.02</v>
      </c>
      <c r="G125" s="132">
        <v>0.05</v>
      </c>
      <c r="H125" s="132">
        <v>0.1</v>
      </c>
      <c r="I125" s="132">
        <v>0.1</v>
      </c>
      <c r="J125" s="132">
        <v>0.1</v>
      </c>
      <c r="K125" s="132">
        <v>0.33</v>
      </c>
      <c r="L125" s="132">
        <v>0.2</v>
      </c>
      <c r="M125" s="132">
        <v>0.15</v>
      </c>
      <c r="N125" s="132">
        <v>0.1</v>
      </c>
    </row>
    <row r="126" spans="1:15" ht="13.5" thickTop="1"/>
    <row r="129" spans="3:9">
      <c r="F129" s="34">
        <v>9788859</v>
      </c>
      <c r="G129" s="34">
        <v>9788859</v>
      </c>
      <c r="I129" s="34">
        <v>9788859</v>
      </c>
    </row>
    <row r="130" spans="3:9">
      <c r="C130" s="449" t="s">
        <v>1388</v>
      </c>
      <c r="F130" s="34">
        <v>39791015</v>
      </c>
      <c r="G130" s="34">
        <v>39791015</v>
      </c>
      <c r="I130" s="34">
        <v>39791015</v>
      </c>
    </row>
    <row r="180" spans="12:12">
      <c r="L180" s="34">
        <v>0</v>
      </c>
    </row>
  </sheetData>
  <mergeCells count="27">
    <mergeCell ref="O3:O6"/>
    <mergeCell ref="E62:M62"/>
    <mergeCell ref="E3:M3"/>
    <mergeCell ref="E4:E6"/>
    <mergeCell ref="F4:F6"/>
    <mergeCell ref="G4:G6"/>
    <mergeCell ref="H4:H6"/>
    <mergeCell ref="I4:I6"/>
    <mergeCell ref="J4:J6"/>
    <mergeCell ref="K4:K6"/>
    <mergeCell ref="L4:L6"/>
    <mergeCell ref="M4:M6"/>
    <mergeCell ref="N4:N6"/>
    <mergeCell ref="B21:D21"/>
    <mergeCell ref="B34:D34"/>
    <mergeCell ref="B51:D51"/>
    <mergeCell ref="E63:E65"/>
    <mergeCell ref="F63:F65"/>
    <mergeCell ref="B114:D114"/>
    <mergeCell ref="K63:K65"/>
    <mergeCell ref="L63:L65"/>
    <mergeCell ref="M63:M65"/>
    <mergeCell ref="O63:O65"/>
    <mergeCell ref="J63:J65"/>
    <mergeCell ref="G63:G65"/>
    <mergeCell ref="H63:H65"/>
    <mergeCell ref="I63:I65"/>
  </mergeCells>
  <pageMargins left="0.9" right="0.4" top="0.75" bottom="0.25" header="0.3" footer="0.3"/>
  <pageSetup scale="79" orientation="landscape" r:id="rId1"/>
  <rowBreaks count="1" manualBreakCount="1">
    <brk id="108" max="1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383"/>
  <sheetViews>
    <sheetView showGridLines="0" view="pageBreakPreview" topLeftCell="A236" zoomScaleNormal="100" zoomScaleSheetLayoutView="100" workbookViewId="0">
      <selection activeCell="M285" sqref="M285"/>
    </sheetView>
  </sheetViews>
  <sheetFormatPr defaultColWidth="10.26953125" defaultRowHeight="13.5" customHeight="1"/>
  <cols>
    <col min="1" max="1" width="4.7265625" style="668" customWidth="1"/>
    <col min="2" max="2" width="4.7265625" style="669" customWidth="1"/>
    <col min="3" max="4" width="4.7265625" style="145" customWidth="1"/>
    <col min="5" max="5" width="12.1796875" style="145" customWidth="1"/>
    <col min="6" max="6" width="9.7265625" style="145" customWidth="1"/>
    <col min="7" max="7" width="23.54296875" style="149" customWidth="1"/>
    <col min="8" max="8" width="15.7265625" style="150" customWidth="1"/>
    <col min="9" max="9" width="9.7265625" style="150" customWidth="1"/>
    <col min="10" max="10" width="5.26953125" style="150" customWidth="1"/>
    <col min="11" max="11" width="12.26953125" style="149" customWidth="1"/>
    <col min="12" max="12" width="4.81640625" style="149" customWidth="1"/>
    <col min="13" max="13" width="11.26953125" style="149" customWidth="1"/>
    <col min="14" max="14" width="0.81640625" style="149" customWidth="1"/>
    <col min="15" max="15" width="11.26953125" style="150" customWidth="1"/>
    <col min="16" max="16" width="11.26953125" style="149" hidden="1" customWidth="1"/>
    <col min="17" max="17" width="0.81640625" style="150" hidden="1" customWidth="1"/>
    <col min="18" max="18" width="11.26953125" style="149" hidden="1" customWidth="1"/>
    <col min="19" max="19" width="5.7265625" style="149" hidden="1" customWidth="1"/>
    <col min="20" max="20" width="11.26953125" style="145" hidden="1" customWidth="1"/>
    <col min="21" max="21" width="14.1796875" style="145" hidden="1" customWidth="1"/>
    <col min="22" max="22" width="16.453125" style="145" hidden="1" customWidth="1"/>
    <col min="23" max="23" width="11.7265625" style="145" hidden="1" customWidth="1"/>
    <col min="24" max="26" width="10.26953125" style="145" hidden="1" customWidth="1"/>
    <col min="27" max="28" width="10.26953125" style="145" customWidth="1"/>
    <col min="29" max="29" width="18.26953125" style="145" bestFit="1" customWidth="1"/>
    <col min="30" max="30" width="11" style="145" bestFit="1" customWidth="1"/>
    <col min="31" max="16384" width="10.26953125" style="145"/>
  </cols>
  <sheetData>
    <row r="1" spans="1:30" ht="13.5" customHeight="1">
      <c r="A1" s="212"/>
      <c r="B1" s="212"/>
      <c r="C1" s="146"/>
      <c r="D1" s="213"/>
      <c r="E1" s="213"/>
      <c r="F1" s="213"/>
      <c r="G1" s="213"/>
      <c r="H1" s="213"/>
      <c r="I1" s="213"/>
      <c r="J1" s="213"/>
      <c r="K1" s="5">
        <v>2026</v>
      </c>
      <c r="L1" s="147"/>
      <c r="M1" s="5">
        <v>2025</v>
      </c>
      <c r="N1" s="5"/>
      <c r="O1" s="5">
        <v>2024</v>
      </c>
      <c r="P1" s="148">
        <v>2017</v>
      </c>
    </row>
    <row r="2" spans="1:30" ht="13.5" customHeight="1">
      <c r="A2" s="667">
        <f>+'PPE-Note-4'!A1+1</f>
        <v>6</v>
      </c>
      <c r="B2" s="668" t="s">
        <v>549</v>
      </c>
      <c r="C2" s="152"/>
      <c r="D2" s="213"/>
      <c r="E2" s="213"/>
      <c r="F2" s="213"/>
      <c r="G2" s="213"/>
      <c r="H2" s="213"/>
      <c r="I2" s="163" t="s">
        <v>459</v>
      </c>
      <c r="J2" s="163"/>
      <c r="K2" s="153" t="s">
        <v>460</v>
      </c>
      <c r="L2" s="163"/>
      <c r="M2" s="153" t="s">
        <v>460</v>
      </c>
      <c r="O2" s="153" t="s">
        <v>460</v>
      </c>
      <c r="P2" s="153" t="s">
        <v>460</v>
      </c>
    </row>
    <row r="3" spans="1:30" ht="13.5" customHeight="1">
      <c r="B3" s="212"/>
      <c r="D3" s="152"/>
      <c r="E3" s="152"/>
      <c r="F3" s="152"/>
      <c r="G3" s="152"/>
      <c r="H3" s="145"/>
      <c r="I3" s="145"/>
      <c r="J3" s="145"/>
      <c r="L3" s="147"/>
      <c r="M3" s="147"/>
      <c r="O3" s="154"/>
      <c r="P3" s="154"/>
    </row>
    <row r="4" spans="1:30" ht="13.5" customHeight="1">
      <c r="B4" s="214" t="s">
        <v>550</v>
      </c>
      <c r="C4" s="152"/>
      <c r="D4" s="217"/>
      <c r="E4" s="217"/>
      <c r="F4" s="217"/>
      <c r="G4" s="217"/>
      <c r="H4" s="145"/>
      <c r="I4" s="145"/>
      <c r="J4" s="145"/>
      <c r="K4" s="147"/>
      <c r="L4" s="147"/>
      <c r="M4" s="147"/>
      <c r="O4" s="145"/>
      <c r="P4" s="145"/>
    </row>
    <row r="5" spans="1:30" ht="13.5" customHeight="1">
      <c r="B5" s="217" t="s">
        <v>532</v>
      </c>
      <c r="C5" s="217"/>
      <c r="D5" s="217"/>
      <c r="E5" s="217"/>
      <c r="F5" s="217"/>
      <c r="G5" s="217"/>
      <c r="H5" s="145"/>
      <c r="I5" s="145"/>
      <c r="J5" s="145"/>
      <c r="K5" s="147">
        <v>5815</v>
      </c>
      <c r="L5" s="147"/>
      <c r="M5" s="154">
        <f>O9</f>
        <v>8722</v>
      </c>
      <c r="O5" s="154">
        <v>13083</v>
      </c>
      <c r="P5" s="154">
        <v>0</v>
      </c>
    </row>
    <row r="6" spans="1:30" ht="13.5" customHeight="1">
      <c r="B6" s="217" t="s">
        <v>551</v>
      </c>
      <c r="C6" s="217" t="s">
        <v>552</v>
      </c>
      <c r="D6" s="217"/>
      <c r="E6" s="217"/>
      <c r="F6" s="217"/>
      <c r="G6" s="217"/>
      <c r="H6" s="145"/>
      <c r="I6" s="145"/>
      <c r="J6" s="145"/>
      <c r="K6" s="147"/>
      <c r="L6" s="147"/>
      <c r="M6" s="149">
        <v>0</v>
      </c>
      <c r="O6" s="149">
        <v>0</v>
      </c>
      <c r="P6" s="145">
        <v>170118</v>
      </c>
    </row>
    <row r="7" spans="1:30" ht="13.5" customHeight="1">
      <c r="B7" s="217" t="s">
        <v>553</v>
      </c>
      <c r="C7" s="217" t="s">
        <v>554</v>
      </c>
      <c r="D7" s="155"/>
      <c r="E7" s="155"/>
      <c r="F7" s="155"/>
      <c r="G7" s="155"/>
      <c r="H7" s="145"/>
      <c r="I7" s="145"/>
      <c r="J7" s="145"/>
      <c r="K7" s="149">
        <v>-2907</v>
      </c>
      <c r="L7" s="147"/>
      <c r="M7" s="149">
        <v>-2907</v>
      </c>
      <c r="O7" s="149">
        <v>-4361</v>
      </c>
      <c r="P7" s="149">
        <v>-37800</v>
      </c>
    </row>
    <row r="8" spans="1:30" ht="13.5" customHeight="1">
      <c r="B8" s="155"/>
      <c r="C8" s="155"/>
      <c r="D8" s="156"/>
      <c r="E8" s="156"/>
      <c r="F8" s="156"/>
      <c r="G8" s="156"/>
      <c r="H8" s="145"/>
      <c r="I8" s="145"/>
      <c r="J8" s="145"/>
      <c r="K8" s="147"/>
      <c r="L8" s="147"/>
      <c r="O8" s="149"/>
    </row>
    <row r="9" spans="1:30" ht="13.5" customHeight="1" thickBot="1">
      <c r="B9" s="156" t="s">
        <v>555</v>
      </c>
      <c r="C9" s="156"/>
      <c r="D9" s="217"/>
      <c r="E9" s="217"/>
      <c r="F9" s="217"/>
      <c r="G9" s="217"/>
      <c r="H9" s="145"/>
      <c r="I9" s="145"/>
      <c r="J9" s="145"/>
      <c r="K9" s="740">
        <f>K5+K7</f>
        <v>2908</v>
      </c>
      <c r="L9" s="157"/>
      <c r="M9" s="158">
        <f>M5+M6+M7</f>
        <v>5815</v>
      </c>
      <c r="O9" s="158">
        <v>8722</v>
      </c>
      <c r="P9" s="158">
        <f>P5+P6+P7</f>
        <v>132318</v>
      </c>
    </row>
    <row r="10" spans="1:30" ht="13.5" customHeight="1" thickTop="1">
      <c r="B10" s="156"/>
      <c r="C10" s="156"/>
      <c r="D10" s="217"/>
      <c r="E10" s="217"/>
      <c r="F10" s="217"/>
      <c r="G10" s="217"/>
      <c r="H10" s="145"/>
      <c r="I10" s="145"/>
      <c r="J10" s="145"/>
      <c r="K10" s="157"/>
      <c r="L10" s="157"/>
      <c r="M10" s="157"/>
      <c r="O10" s="159"/>
      <c r="P10" s="159"/>
    </row>
    <row r="11" spans="1:30" ht="13.5" customHeight="1">
      <c r="B11" s="156" t="s">
        <v>556</v>
      </c>
      <c r="C11" s="156"/>
      <c r="D11" s="156"/>
      <c r="E11" s="156"/>
      <c r="F11" s="155"/>
      <c r="G11" s="217"/>
      <c r="H11" s="145"/>
      <c r="I11" s="145"/>
      <c r="J11" s="145"/>
      <c r="K11" s="147"/>
      <c r="L11" s="147"/>
      <c r="M11" s="147"/>
      <c r="O11" s="149"/>
    </row>
    <row r="12" spans="1:30" ht="13.5" customHeight="1">
      <c r="B12" s="155" t="s">
        <v>352</v>
      </c>
      <c r="C12" s="155"/>
      <c r="D12" s="155"/>
      <c r="E12" s="155"/>
      <c r="F12" s="155"/>
      <c r="G12" s="155"/>
      <c r="H12" s="145"/>
      <c r="I12" s="145"/>
      <c r="J12" s="145"/>
      <c r="K12" s="741">
        <v>460096</v>
      </c>
      <c r="L12" s="147"/>
      <c r="M12" s="513">
        <f>+O12+M6</f>
        <v>460096</v>
      </c>
      <c r="O12" s="149">
        <v>460096</v>
      </c>
      <c r="P12" s="149">
        <v>386398</v>
      </c>
      <c r="AB12" s="145">
        <v>797386</v>
      </c>
    </row>
    <row r="13" spans="1:30" ht="13.5" customHeight="1">
      <c r="B13" s="217" t="s">
        <v>557</v>
      </c>
      <c r="D13" s="217"/>
      <c r="E13" s="217"/>
      <c r="F13" s="217"/>
      <c r="G13" s="217"/>
      <c r="H13" s="147"/>
      <c r="I13" s="145"/>
      <c r="J13" s="145"/>
      <c r="K13" s="513">
        <f>+K7+M13</f>
        <v>-457188</v>
      </c>
      <c r="L13" s="147"/>
      <c r="M13" s="149">
        <f>+O13+M7</f>
        <v>-454281</v>
      </c>
      <c r="O13" s="149">
        <v>-451374</v>
      </c>
      <c r="P13" s="149">
        <v>-254080</v>
      </c>
      <c r="AB13" s="145">
        <v>566700</v>
      </c>
      <c r="AD13" s="188"/>
    </row>
    <row r="14" spans="1:30" ht="14.15" customHeight="1">
      <c r="B14" s="212"/>
      <c r="C14" s="156"/>
      <c r="D14" s="156"/>
      <c r="E14" s="156"/>
      <c r="F14" s="156"/>
      <c r="G14" s="156"/>
      <c r="H14" s="145"/>
      <c r="I14" s="145"/>
      <c r="J14" s="145"/>
      <c r="K14" s="147"/>
      <c r="L14" s="147"/>
      <c r="M14" s="147"/>
      <c r="O14" s="149"/>
    </row>
    <row r="15" spans="1:30" ht="13.5" customHeight="1" thickBot="1">
      <c r="B15" s="156" t="s">
        <v>536</v>
      </c>
      <c r="C15" s="217"/>
      <c r="D15" s="217"/>
      <c r="E15" s="217"/>
      <c r="F15" s="217"/>
      <c r="G15" s="217"/>
      <c r="H15" s="145"/>
      <c r="I15" s="145"/>
      <c r="J15" s="145"/>
      <c r="K15" s="158">
        <f>K12+K13</f>
        <v>2908</v>
      </c>
      <c r="L15" s="157"/>
      <c r="M15" s="158">
        <f>M12+M13</f>
        <v>5815</v>
      </c>
      <c r="O15" s="158">
        <v>8722</v>
      </c>
      <c r="P15" s="158">
        <f>P12+P13</f>
        <v>132318</v>
      </c>
    </row>
    <row r="16" spans="1:30" ht="13.5" customHeight="1" thickTop="1">
      <c r="B16" s="212"/>
      <c r="C16" s="217"/>
      <c r="D16" s="217"/>
      <c r="E16" s="217"/>
      <c r="F16" s="217"/>
      <c r="G16" s="217"/>
      <c r="H16" s="145"/>
      <c r="I16" s="145"/>
      <c r="J16" s="145"/>
      <c r="K16" s="147"/>
      <c r="L16" s="147"/>
      <c r="M16" s="459"/>
      <c r="N16" s="460"/>
      <c r="O16" s="460"/>
    </row>
    <row r="17" spans="1:27" ht="13.5" customHeight="1" thickBot="1">
      <c r="B17" s="217" t="s">
        <v>1312</v>
      </c>
      <c r="K17" s="503">
        <v>0.33329999999999999</v>
      </c>
      <c r="L17" s="147"/>
      <c r="M17" s="503">
        <v>0.33329999999999999</v>
      </c>
      <c r="N17" s="460"/>
      <c r="O17" s="503">
        <v>0.33329999999999999</v>
      </c>
      <c r="P17" s="160">
        <v>3</v>
      </c>
      <c r="AA17" s="448"/>
    </row>
    <row r="18" spans="1:27" ht="13.5" customHeight="1" thickTop="1">
      <c r="K18" s="147"/>
      <c r="L18" s="147"/>
      <c r="M18" s="147"/>
      <c r="O18" s="161"/>
      <c r="P18" s="161"/>
    </row>
    <row r="19" spans="1:27" ht="13.5" hidden="1" customHeight="1">
      <c r="A19" s="212"/>
      <c r="B19" s="670" t="s">
        <v>558</v>
      </c>
      <c r="D19" s="162"/>
      <c r="K19" s="163"/>
      <c r="L19" s="163"/>
      <c r="M19" s="163"/>
      <c r="N19" s="148"/>
      <c r="O19" s="164"/>
      <c r="P19" s="148"/>
      <c r="Q19" s="164"/>
      <c r="R19" s="148" t="s">
        <v>460</v>
      </c>
      <c r="S19" s="148"/>
      <c r="T19" s="148" t="s">
        <v>460</v>
      </c>
    </row>
    <row r="20" spans="1:27" ht="13.5" hidden="1" customHeight="1">
      <c r="B20" s="212"/>
      <c r="K20" s="150"/>
      <c r="L20" s="150"/>
      <c r="M20" s="150"/>
      <c r="T20" s="149"/>
    </row>
    <row r="21" spans="1:27" ht="13.5" hidden="1" customHeight="1">
      <c r="B21" s="671" t="s">
        <v>352</v>
      </c>
      <c r="K21" s="150"/>
      <c r="L21" s="150"/>
      <c r="M21" s="150"/>
      <c r="N21" s="149" t="e">
        <v>#REF!</v>
      </c>
      <c r="P21" s="149" t="e">
        <v>#REF!</v>
      </c>
      <c r="R21" s="149" t="e">
        <v>#REF!</v>
      </c>
      <c r="T21" s="149">
        <v>216280</v>
      </c>
      <c r="V21" s="145">
        <f>+T21/3</f>
        <v>72093.333333333328</v>
      </c>
    </row>
    <row r="22" spans="1:27" ht="13.5" hidden="1" customHeight="1">
      <c r="B22" s="671" t="s">
        <v>353</v>
      </c>
      <c r="D22" s="166"/>
      <c r="E22" s="166"/>
      <c r="F22" s="166"/>
      <c r="K22" s="167">
        <v>5.0999999999999996</v>
      </c>
      <c r="L22" s="167"/>
      <c r="M22" s="167"/>
      <c r="N22" s="149" t="e">
        <v>#REF!</v>
      </c>
      <c r="P22" s="149" t="e">
        <v>#REF!</v>
      </c>
      <c r="R22" s="149" t="e">
        <v>#REF!</v>
      </c>
      <c r="S22" s="168"/>
      <c r="T22" s="149">
        <v>-216280</v>
      </c>
      <c r="V22" s="145">
        <f>+V21*2</f>
        <v>144186.66666666666</v>
      </c>
      <c r="W22" s="145" t="e">
        <f>+#REF!</f>
        <v>#REF!</v>
      </c>
    </row>
    <row r="23" spans="1:27" ht="13.5" hidden="1" customHeight="1">
      <c r="C23" s="165"/>
      <c r="K23" s="150"/>
      <c r="L23" s="150"/>
      <c r="M23" s="150"/>
      <c r="T23" s="149"/>
      <c r="V23" s="145">
        <f>+V21+V22</f>
        <v>216280</v>
      </c>
    </row>
    <row r="24" spans="1:27" ht="13.5" hidden="1" customHeight="1" thickBot="1">
      <c r="B24" s="266"/>
      <c r="C24" s="166"/>
      <c r="D24" s="166"/>
      <c r="E24" s="166"/>
      <c r="F24" s="166"/>
      <c r="K24" s="150"/>
      <c r="L24" s="150"/>
      <c r="M24" s="150"/>
      <c r="N24" s="158" t="e">
        <f>SUM(N21:N22)</f>
        <v>#REF!</v>
      </c>
      <c r="O24" s="159"/>
      <c r="P24" s="158" t="e">
        <f>SUM(P21:P22)</f>
        <v>#REF!</v>
      </c>
      <c r="Q24" s="159"/>
      <c r="R24" s="158" t="e">
        <f>SUM(R21:R22)</f>
        <v>#REF!</v>
      </c>
      <c r="S24" s="168"/>
      <c r="T24" s="158">
        <f>SUM(T21:T22)</f>
        <v>0</v>
      </c>
      <c r="W24" s="145" t="e">
        <f>+W22*3</f>
        <v>#REF!</v>
      </c>
    </row>
    <row r="25" spans="1:27" ht="13.5" hidden="1" customHeight="1" thickTop="1">
      <c r="A25" s="672"/>
      <c r="B25" s="493">
        <v>5.0999999999999996</v>
      </c>
      <c r="C25" s="165" t="s">
        <v>559</v>
      </c>
      <c r="D25" s="165"/>
      <c r="E25" s="165"/>
      <c r="F25" s="165"/>
      <c r="G25" s="165"/>
      <c r="K25" s="165"/>
      <c r="L25" s="165"/>
      <c r="M25" s="165"/>
      <c r="N25" s="165"/>
      <c r="O25" s="165"/>
      <c r="P25" s="165"/>
      <c r="Q25" s="165"/>
      <c r="R25" s="165"/>
      <c r="S25" s="169"/>
    </row>
    <row r="26" spans="1:27" ht="13.5" hidden="1" customHeight="1">
      <c r="A26" s="667">
        <f>+A2+1</f>
        <v>7</v>
      </c>
      <c r="B26" s="670" t="s">
        <v>560</v>
      </c>
      <c r="K26" s="150"/>
      <c r="L26" s="150"/>
      <c r="M26" s="150"/>
      <c r="N26" s="150"/>
      <c r="R26" s="148"/>
      <c r="S26" s="148"/>
      <c r="T26" s="148"/>
    </row>
    <row r="27" spans="1:27" ht="13.5" hidden="1" customHeight="1">
      <c r="A27" s="673"/>
      <c r="B27" s="270"/>
      <c r="C27" s="166"/>
      <c r="K27" s="145"/>
      <c r="L27" s="145"/>
      <c r="M27" s="145"/>
      <c r="N27" s="145"/>
      <c r="O27" s="145"/>
      <c r="P27" s="145"/>
      <c r="Q27" s="145"/>
      <c r="T27" s="149"/>
    </row>
    <row r="28" spans="1:27" ht="13.5" hidden="1" customHeight="1" thickBot="1">
      <c r="B28" s="212" t="s">
        <v>561</v>
      </c>
      <c r="G28" s="145"/>
      <c r="K28" s="167">
        <f>+B32</f>
        <v>7.1</v>
      </c>
      <c r="L28" s="167"/>
      <c r="M28" s="170">
        <v>0</v>
      </c>
      <c r="O28" s="170">
        <v>0</v>
      </c>
      <c r="P28" s="170" t="e">
        <v>#REF!</v>
      </c>
      <c r="R28" s="170" t="e">
        <v>#REF!</v>
      </c>
      <c r="S28" s="150"/>
      <c r="T28" s="150">
        <v>6850000</v>
      </c>
    </row>
    <row r="29" spans="1:27" ht="13.5" hidden="1" customHeight="1" thickTop="1">
      <c r="B29" s="212"/>
      <c r="H29" s="145"/>
      <c r="I29" s="145"/>
      <c r="J29" s="145"/>
      <c r="K29" s="145"/>
      <c r="L29" s="145"/>
      <c r="M29" s="145"/>
      <c r="N29" s="145"/>
      <c r="O29" s="145"/>
      <c r="P29" s="150"/>
      <c r="R29" s="150"/>
      <c r="S29" s="150"/>
      <c r="T29" s="150"/>
    </row>
    <row r="30" spans="1:27" ht="13.5" hidden="1" customHeight="1" thickBot="1">
      <c r="B30" s="212"/>
      <c r="H30" s="145"/>
      <c r="I30" s="145"/>
      <c r="J30" s="145"/>
      <c r="K30" s="145"/>
      <c r="L30" s="145"/>
      <c r="M30" s="145"/>
      <c r="N30" s="145"/>
      <c r="O30" s="145"/>
      <c r="P30" s="171" t="e">
        <f>SUM(P28:P28)</f>
        <v>#REF!</v>
      </c>
      <c r="Q30" s="172"/>
      <c r="R30" s="171" t="e">
        <f>SUM(R28:R28)</f>
        <v>#REF!</v>
      </c>
      <c r="S30" s="150"/>
      <c r="T30" s="171">
        <f>SUM(T28:T28)</f>
        <v>6850000</v>
      </c>
    </row>
    <row r="31" spans="1:27" ht="13.5" hidden="1" customHeight="1" thickTop="1">
      <c r="B31" s="668"/>
      <c r="H31" s="145"/>
      <c r="I31" s="145"/>
      <c r="J31" s="145"/>
      <c r="K31" s="145"/>
      <c r="L31" s="145"/>
      <c r="M31" s="145"/>
      <c r="N31" s="145"/>
      <c r="O31" s="145"/>
      <c r="P31" s="159"/>
      <c r="Q31" s="159"/>
      <c r="R31" s="159"/>
      <c r="S31" s="150"/>
      <c r="T31" s="172"/>
    </row>
    <row r="32" spans="1:27" ht="13.5" hidden="1" customHeight="1">
      <c r="B32" s="674">
        <f>+A26+0.1</f>
        <v>7.1</v>
      </c>
      <c r="C32" s="806" t="s">
        <v>562</v>
      </c>
      <c r="D32" s="806"/>
      <c r="E32" s="806"/>
      <c r="F32" s="806"/>
      <c r="G32" s="806"/>
      <c r="H32" s="806"/>
      <c r="I32" s="806"/>
      <c r="J32" s="806"/>
      <c r="K32" s="806"/>
      <c r="L32" s="806"/>
      <c r="M32" s="806"/>
      <c r="N32" s="806"/>
      <c r="O32" s="806"/>
      <c r="P32" s="806"/>
      <c r="Q32" s="806"/>
      <c r="R32" s="806"/>
      <c r="S32" s="173"/>
      <c r="T32" s="173"/>
    </row>
    <row r="33" spans="1:27" ht="13.5" hidden="1" customHeight="1">
      <c r="C33" s="806"/>
      <c r="D33" s="806"/>
      <c r="E33" s="806"/>
      <c r="F33" s="806"/>
      <c r="G33" s="806"/>
      <c r="H33" s="806"/>
      <c r="I33" s="806"/>
      <c r="J33" s="806"/>
      <c r="K33" s="806"/>
      <c r="L33" s="806"/>
      <c r="M33" s="806"/>
      <c r="N33" s="806"/>
      <c r="O33" s="806"/>
      <c r="P33" s="806"/>
      <c r="Q33" s="806"/>
      <c r="R33" s="806"/>
      <c r="S33" s="173"/>
      <c r="T33" s="173"/>
    </row>
    <row r="34" spans="1:27" ht="13.5" hidden="1" customHeight="1">
      <c r="C34" s="174"/>
      <c r="D34" s="174"/>
      <c r="E34" s="174"/>
      <c r="F34" s="174"/>
      <c r="G34" s="174"/>
      <c r="H34" s="174"/>
      <c r="I34" s="174"/>
      <c r="J34" s="174"/>
      <c r="K34" s="174"/>
      <c r="L34" s="174"/>
      <c r="M34" s="174"/>
      <c r="N34" s="174"/>
      <c r="O34" s="174"/>
      <c r="P34" s="174"/>
      <c r="Q34" s="174"/>
      <c r="R34" s="174"/>
      <c r="S34" s="174"/>
      <c r="T34" s="174"/>
    </row>
    <row r="35" spans="1:27" ht="13.5" hidden="1" customHeight="1">
      <c r="A35" s="673"/>
      <c r="B35" s="675"/>
      <c r="F35" s="163"/>
      <c r="G35" s="145"/>
      <c r="H35" s="145"/>
      <c r="I35" s="145"/>
      <c r="J35" s="145"/>
      <c r="K35" s="145"/>
      <c r="L35" s="145"/>
      <c r="M35" s="169">
        <v>2020</v>
      </c>
      <c r="O35" s="169">
        <v>2019</v>
      </c>
      <c r="P35" s="169">
        <v>2017</v>
      </c>
      <c r="Q35" s="169"/>
      <c r="R35" s="169">
        <v>2016</v>
      </c>
      <c r="S35" s="169"/>
      <c r="T35" s="169">
        <v>2015</v>
      </c>
    </row>
    <row r="36" spans="1:27" ht="13.5" customHeight="1">
      <c r="A36" s="676">
        <f>+A2+1</f>
        <v>7</v>
      </c>
      <c r="B36" s="270" t="s">
        <v>1301</v>
      </c>
      <c r="G36" s="145"/>
      <c r="H36" s="145"/>
      <c r="I36" s="145"/>
      <c r="J36" s="145"/>
      <c r="K36" s="163"/>
      <c r="L36" s="163"/>
      <c r="M36" s="148"/>
      <c r="O36" s="148"/>
      <c r="P36" s="148" t="s">
        <v>460</v>
      </c>
      <c r="Q36" s="164"/>
      <c r="R36" s="148" t="s">
        <v>460</v>
      </c>
      <c r="S36" s="148"/>
      <c r="T36" s="148" t="s">
        <v>460</v>
      </c>
    </row>
    <row r="37" spans="1:27" ht="13.5" customHeight="1">
      <c r="A37" s="673"/>
      <c r="B37" s="270" t="s">
        <v>481</v>
      </c>
      <c r="G37" s="145"/>
      <c r="H37" s="145"/>
      <c r="I37" s="145"/>
      <c r="J37" s="145"/>
      <c r="K37" s="145"/>
      <c r="L37" s="145"/>
      <c r="M37" s="145"/>
      <c r="P37" s="150"/>
      <c r="R37" s="150"/>
      <c r="S37" s="150"/>
      <c r="T37" s="149"/>
    </row>
    <row r="38" spans="1:27" ht="13.5" customHeight="1">
      <c r="B38" s="677" t="s">
        <v>336</v>
      </c>
      <c r="G38" s="145"/>
      <c r="H38" s="145"/>
      <c r="I38" s="145"/>
      <c r="J38" s="145"/>
      <c r="K38" s="145"/>
      <c r="L38" s="145"/>
      <c r="M38" s="125" t="e">
        <f>ROUND(GETPIVOTDATA("Sum of Amount",'Pivot 2025'!$A$3,"FSL1","Balance Sheet","FSL2","Current Assets","FSL3","Loans, Advances, Deposits, Prepayments And Receivables","FSL 4","Staff Loan"),0)</f>
        <v>#REF!</v>
      </c>
      <c r="O38" s="136">
        <v>0</v>
      </c>
      <c r="P38" s="136" t="e">
        <v>#REF!</v>
      </c>
      <c r="Q38" s="136"/>
      <c r="R38" s="136" t="e">
        <v>#REF!</v>
      </c>
      <c r="S38" s="150"/>
      <c r="T38" s="175">
        <v>1474046</v>
      </c>
    </row>
    <row r="39" spans="1:27" ht="13.5" customHeight="1">
      <c r="B39" s="677" t="s">
        <v>334</v>
      </c>
      <c r="G39" s="145"/>
      <c r="H39" s="145"/>
      <c r="I39" s="145"/>
      <c r="J39" s="145"/>
      <c r="K39" s="145"/>
      <c r="L39" s="145"/>
      <c r="M39" s="504" t="e">
        <f>ROUND(GETPIVOTDATA("Sum of Amount",'Pivot 2025'!$A$3,"FSL1","Balance Sheet","FSL2","Current Assets","FSL3","Loans, Advances, Deposits, Prepayments And Receivables","FSL 4","Advance Against Activities"),0)</f>
        <v>#REF!</v>
      </c>
      <c r="O39" s="136">
        <v>602497</v>
      </c>
      <c r="P39" s="136">
        <v>699641</v>
      </c>
      <c r="Q39" s="136"/>
      <c r="R39" s="136" t="e">
        <v>#REF!</v>
      </c>
      <c r="S39" s="150"/>
      <c r="T39" s="176">
        <v>3020380</v>
      </c>
      <c r="AA39" s="145" t="e">
        <f>M47-M39</f>
        <v>#REF!</v>
      </c>
    </row>
    <row r="40" spans="1:27" ht="13.5" customHeight="1">
      <c r="B40" s="677" t="s">
        <v>566</v>
      </c>
      <c r="G40" s="145"/>
      <c r="H40" s="145"/>
      <c r="I40" s="145"/>
      <c r="J40" s="145"/>
      <c r="K40" s="145"/>
      <c r="L40" s="145"/>
      <c r="M40" s="354" t="e">
        <f>ROUND(GETPIVOTDATA("Sum of Amount",'Pivot 2025'!$A$3,"FSL1","Balance Sheet","FSL2","Current Assets","FSL3","Loans, Advances, Deposits, Prepayments And Receivables","FSL 4","Advance Against Salaries"),0)</f>
        <v>#REF!</v>
      </c>
      <c r="O40" s="136">
        <v>30000</v>
      </c>
      <c r="P40" s="136"/>
      <c r="Q40" s="136"/>
      <c r="R40" s="136"/>
      <c r="S40" s="150"/>
      <c r="T40" s="150"/>
    </row>
    <row r="41" spans="1:27" ht="13.5" hidden="1" customHeight="1">
      <c r="B41" s="677" t="s">
        <v>2054</v>
      </c>
      <c r="G41" s="145"/>
      <c r="H41" s="145"/>
      <c r="I41" s="145"/>
      <c r="J41" s="145"/>
      <c r="K41" s="145"/>
      <c r="L41" s="145"/>
      <c r="M41" s="354">
        <v>0</v>
      </c>
      <c r="O41" s="136">
        <v>0</v>
      </c>
      <c r="P41" s="136"/>
      <c r="Q41" s="136"/>
      <c r="R41" s="136"/>
      <c r="S41" s="150"/>
      <c r="T41" s="150"/>
    </row>
    <row r="42" spans="1:27" ht="13.5" customHeight="1">
      <c r="B42" s="677" t="s">
        <v>333</v>
      </c>
      <c r="G42" s="145"/>
      <c r="H42" s="145"/>
      <c r="I42" s="145"/>
      <c r="J42" s="145"/>
      <c r="K42" s="145"/>
      <c r="L42" s="145"/>
      <c r="M42" s="504" t="e">
        <f>ROUND(GETPIVOTDATA("Sum of Amount",'Pivot 2025'!$A$3,"FSL1","Balance Sheet","FSL2","Current Assets","FSL3","Loans, Advances, Deposits, Prepayments And Receivables","FSL 4","Security Depopsit"),0)</f>
        <v>#REF!</v>
      </c>
      <c r="O42" s="125">
        <v>119700</v>
      </c>
      <c r="P42" s="125" t="e">
        <v>#REF!</v>
      </c>
      <c r="Q42" s="136"/>
      <c r="R42" s="125" t="e">
        <v>#REF!</v>
      </c>
      <c r="S42" s="150"/>
      <c r="T42" s="150">
        <v>91500</v>
      </c>
    </row>
    <row r="43" spans="1:27" ht="13.5" hidden="1" customHeight="1">
      <c r="B43" s="677" t="s">
        <v>564</v>
      </c>
      <c r="G43" s="145"/>
      <c r="H43" s="145"/>
      <c r="I43" s="145"/>
      <c r="J43" s="145"/>
      <c r="K43" s="145"/>
      <c r="L43" s="145"/>
      <c r="M43" s="354" t="e">
        <f>ROUND(GETPIVOTDATA("Sum of Amount",'Pivot 2025'!$A$3,"FSL1","Balance Sheet","FSL2","Current Assets","FSL3","Loans, Advances, Deposits, Prepayments And Receivables","FSL 4","Prepaid Insurance"),0)</f>
        <v>#REF!</v>
      </c>
      <c r="O43" s="136">
        <v>0</v>
      </c>
      <c r="P43" s="136" t="e">
        <v>#REF!</v>
      </c>
      <c r="Q43" s="136"/>
      <c r="R43" s="125">
        <v>0</v>
      </c>
      <c r="S43" s="150"/>
      <c r="T43" s="176">
        <v>13375</v>
      </c>
    </row>
    <row r="44" spans="1:27" ht="13.5" hidden="1" customHeight="1">
      <c r="B44" s="677" t="s">
        <v>565</v>
      </c>
      <c r="G44" s="145"/>
      <c r="H44" s="145"/>
      <c r="I44" s="145"/>
      <c r="J44" s="145"/>
      <c r="K44" s="145"/>
      <c r="L44" s="145"/>
      <c r="M44" s="354">
        <v>0</v>
      </c>
      <c r="O44" s="136">
        <v>0</v>
      </c>
      <c r="P44" s="136" t="e">
        <v>#REF!</v>
      </c>
      <c r="Q44" s="136"/>
      <c r="R44" s="136" t="e">
        <v>#REF!</v>
      </c>
      <c r="S44" s="150"/>
      <c r="T44" s="176"/>
    </row>
    <row r="45" spans="1:27" ht="13.5" customHeight="1">
      <c r="B45" s="677" t="s">
        <v>331</v>
      </c>
      <c r="G45" s="145"/>
      <c r="H45" s="145"/>
      <c r="I45" s="145"/>
      <c r="J45" s="145"/>
      <c r="K45" s="145"/>
      <c r="L45" s="145"/>
      <c r="M45" s="354" t="e">
        <f>ROUND(GETPIVOTDATA("Sum of Amount",'Pivot 2025'!$A$3,"FSL1","Balance Sheet","FSL2","Current Assets","FSL3","Loans, Advances, Deposits, Prepayments And Receivables","FSL 4","Other Receivables")+GETPIVOTDATA("Sum of Amount",'Pivot 2025'!$A$3,"FSL1","Balance Sheet","FSL2","Current Assets","FSL3","Loans, Advances, Deposits, Prepayments And Receivables","FSL 4","Others Receivable"),0)</f>
        <v>#REF!</v>
      </c>
      <c r="O45" s="136">
        <v>958390</v>
      </c>
      <c r="P45" s="136">
        <v>746204</v>
      </c>
      <c r="Q45" s="136"/>
      <c r="R45" s="136" t="e">
        <v>#REF!</v>
      </c>
      <c r="S45" s="150"/>
      <c r="T45" s="177">
        <v>1016122.76</v>
      </c>
      <c r="W45" s="145" t="e">
        <f>+#REF!-#REF!</f>
        <v>#REF!</v>
      </c>
      <c r="AA45" s="145" t="e">
        <f>O45-M45</f>
        <v>#REF!</v>
      </c>
    </row>
    <row r="46" spans="1:27" ht="13.5" customHeight="1">
      <c r="B46" s="677"/>
      <c r="G46" s="145"/>
      <c r="H46" s="145"/>
      <c r="I46" s="145"/>
      <c r="J46" s="145"/>
      <c r="K46" s="145"/>
      <c r="L46" s="145"/>
      <c r="M46" s="145"/>
      <c r="O46" s="136"/>
      <c r="P46" s="136"/>
      <c r="Q46" s="136"/>
      <c r="R46" s="136"/>
      <c r="S46" s="150"/>
      <c r="T46" s="150"/>
    </row>
    <row r="47" spans="1:27" ht="13.5" customHeight="1" thickBot="1">
      <c r="B47" s="266"/>
      <c r="G47" s="145"/>
      <c r="H47" s="145"/>
      <c r="I47" s="145"/>
      <c r="J47" s="145"/>
      <c r="K47" s="746"/>
      <c r="L47" s="145"/>
      <c r="M47" s="178" t="e">
        <f>SUM(M38:M45)</f>
        <v>#REF!</v>
      </c>
      <c r="O47" s="178">
        <f>SUM(O38:O46)</f>
        <v>1710587</v>
      </c>
      <c r="P47" s="178" t="e">
        <f>SUM(P38:P46)</f>
        <v>#REF!</v>
      </c>
      <c r="Q47" s="179"/>
      <c r="R47" s="178" t="e">
        <f>SUM(R38:R46)</f>
        <v>#REF!</v>
      </c>
      <c r="S47" s="150"/>
      <c r="T47" s="158" t="e">
        <f>#REF!+T42</f>
        <v>#REF!</v>
      </c>
      <c r="W47" s="145" t="e">
        <f>R47-T47</f>
        <v>#REF!</v>
      </c>
      <c r="X47" s="145" t="e">
        <f>#REF!-#REF!</f>
        <v>#REF!</v>
      </c>
    </row>
    <row r="48" spans="1:27" ht="13.5" customHeight="1" thickTop="1">
      <c r="B48" s="266"/>
      <c r="G48" s="145"/>
      <c r="H48" s="145"/>
      <c r="I48" s="145"/>
      <c r="J48" s="145"/>
      <c r="K48" s="145"/>
      <c r="L48" s="145"/>
      <c r="M48" s="145"/>
      <c r="O48" s="145"/>
      <c r="P48" s="145"/>
      <c r="Q48" s="145"/>
      <c r="R48" s="159"/>
      <c r="S48" s="150"/>
      <c r="T48" s="159"/>
    </row>
    <row r="49" spans="1:28" ht="13.5" customHeight="1">
      <c r="A49" s="676">
        <f>A36+1</f>
        <v>8</v>
      </c>
      <c r="B49" s="270" t="s">
        <v>1302</v>
      </c>
      <c r="G49" s="145"/>
      <c r="H49" s="145"/>
      <c r="I49" s="145"/>
      <c r="J49" s="145"/>
      <c r="K49" s="145"/>
      <c r="L49" s="145"/>
      <c r="M49" s="145"/>
      <c r="O49" s="145"/>
      <c r="P49" s="145"/>
      <c r="Q49" s="145"/>
      <c r="R49" s="150"/>
      <c r="S49" s="150"/>
      <c r="T49" s="149"/>
    </row>
    <row r="50" spans="1:28" ht="13.5" customHeight="1">
      <c r="A50" s="676"/>
      <c r="B50" s="270"/>
      <c r="G50" s="145"/>
      <c r="H50" s="145"/>
      <c r="I50" s="145"/>
      <c r="J50" s="145"/>
      <c r="K50" s="145"/>
      <c r="L50" s="145"/>
      <c r="M50" s="145"/>
      <c r="O50" s="145"/>
      <c r="P50" s="145"/>
      <c r="Q50" s="145"/>
      <c r="R50" s="150"/>
      <c r="S50" s="150"/>
      <c r="T50" s="149"/>
    </row>
    <row r="51" spans="1:28" ht="13.5" customHeight="1">
      <c r="B51" s="212" t="s">
        <v>1303</v>
      </c>
      <c r="G51" s="145"/>
      <c r="H51" s="145"/>
      <c r="I51" s="145"/>
      <c r="J51" s="145"/>
      <c r="K51" s="145"/>
      <c r="L51" s="145"/>
      <c r="M51" s="504" t="e">
        <f>ROUND(GETPIVOTDATA("Sum of Amount",'Pivot 2025'!$A$3,"FSL1","Balance Sheet","FSL2","Current Assets","FSL3","Cash And Bank Balances","FSL 4","Cash With Banks In Current/Pls Accounts"),0)</f>
        <v>#REF!</v>
      </c>
      <c r="O51" s="149">
        <v>2707493</v>
      </c>
      <c r="P51" s="149">
        <v>16766572.34</v>
      </c>
      <c r="R51" s="149" t="e">
        <v>#REF!</v>
      </c>
      <c r="T51" s="150"/>
    </row>
    <row r="52" spans="1:28" ht="13.5" customHeight="1">
      <c r="B52" s="678" t="s">
        <v>567</v>
      </c>
      <c r="D52" s="166"/>
      <c r="G52" s="145"/>
      <c r="H52" s="145"/>
      <c r="I52" s="145"/>
      <c r="J52" s="145"/>
      <c r="K52" s="145"/>
      <c r="L52" s="145"/>
      <c r="M52" s="354">
        <v>0</v>
      </c>
      <c r="O52" s="149">
        <v>18079.548500000001</v>
      </c>
      <c r="P52" s="149">
        <v>6246</v>
      </c>
      <c r="R52" s="150">
        <v>0</v>
      </c>
      <c r="S52" s="150"/>
      <c r="T52" s="150"/>
      <c r="AB52" s="145">
        <f>6262+7180</f>
        <v>13442</v>
      </c>
    </row>
    <row r="53" spans="1:28" ht="13.5" customHeight="1">
      <c r="B53" s="266"/>
      <c r="C53" s="180"/>
      <c r="D53" s="166"/>
      <c r="G53" s="145"/>
      <c r="H53" s="145"/>
      <c r="I53" s="145"/>
      <c r="J53" s="145"/>
      <c r="K53" s="145"/>
      <c r="L53" s="145"/>
      <c r="M53" s="145"/>
      <c r="P53" s="150"/>
      <c r="R53" s="150"/>
      <c r="S53" s="150"/>
      <c r="T53" s="150"/>
    </row>
    <row r="54" spans="1:28" ht="13.5" customHeight="1" thickBot="1">
      <c r="B54" s="266"/>
      <c r="G54" s="145"/>
      <c r="H54" s="145"/>
      <c r="I54" s="145"/>
      <c r="J54" s="145"/>
      <c r="K54" s="746"/>
      <c r="L54" s="145"/>
      <c r="M54" s="158" t="e">
        <f>+M51+M52</f>
        <v>#REF!</v>
      </c>
      <c r="O54" s="158">
        <f>+O51+O52</f>
        <v>2725572.5485</v>
      </c>
      <c r="P54" s="158">
        <f>+P51+P52</f>
        <v>16772818.34</v>
      </c>
      <c r="Q54" s="159"/>
      <c r="R54" s="158" t="e">
        <f>+R51+R52</f>
        <v>#REF!</v>
      </c>
      <c r="S54" s="150"/>
      <c r="T54" s="158" t="e">
        <f>#REF!+#REF!</f>
        <v>#REF!</v>
      </c>
      <c r="AB54" s="145">
        <v>2713755</v>
      </c>
    </row>
    <row r="55" spans="1:28" ht="13.5" customHeight="1" thickTop="1">
      <c r="A55" s="676"/>
      <c r="B55" s="676"/>
      <c r="C55" s="166"/>
      <c r="K55" s="145"/>
      <c r="L55" s="145"/>
      <c r="M55" s="145"/>
      <c r="N55" s="145"/>
      <c r="O55" s="145"/>
      <c r="P55" s="145"/>
      <c r="Q55" s="145"/>
      <c r="R55" s="145"/>
      <c r="S55" s="169"/>
      <c r="T55" s="169"/>
    </row>
    <row r="56" spans="1:28" ht="13.5" hidden="1" customHeight="1">
      <c r="A56" s="676"/>
      <c r="B56" s="676"/>
      <c r="C56" s="804"/>
      <c r="D56" s="804"/>
      <c r="E56" s="804"/>
      <c r="F56" s="804"/>
      <c r="G56" s="804"/>
      <c r="H56" s="804"/>
      <c r="I56" s="804"/>
      <c r="J56" s="804"/>
      <c r="K56" s="804"/>
      <c r="L56" s="804"/>
      <c r="M56" s="804"/>
      <c r="N56" s="804"/>
      <c r="O56" s="804"/>
      <c r="P56" s="804"/>
      <c r="Q56" s="804"/>
      <c r="R56" s="804"/>
      <c r="S56" s="169"/>
      <c r="T56" s="169"/>
    </row>
    <row r="57" spans="1:28" ht="13.5" hidden="1" customHeight="1">
      <c r="A57" s="676"/>
      <c r="B57" s="676"/>
      <c r="C57" s="804"/>
      <c r="D57" s="804"/>
      <c r="E57" s="804"/>
      <c r="F57" s="804"/>
      <c r="G57" s="804"/>
      <c r="H57" s="804"/>
      <c r="I57" s="804"/>
      <c r="J57" s="804"/>
      <c r="K57" s="804"/>
      <c r="L57" s="804"/>
      <c r="M57" s="804"/>
      <c r="N57" s="804"/>
      <c r="O57" s="804"/>
      <c r="P57" s="804"/>
      <c r="Q57" s="804"/>
      <c r="R57" s="804"/>
      <c r="S57" s="169"/>
      <c r="T57" s="169"/>
    </row>
    <row r="58" spans="1:28" ht="13.5" hidden="1" customHeight="1">
      <c r="A58" s="676"/>
      <c r="B58" s="676"/>
      <c r="C58" s="804"/>
      <c r="D58" s="804"/>
      <c r="E58" s="804"/>
      <c r="F58" s="804"/>
      <c r="G58" s="804"/>
      <c r="H58" s="804"/>
      <c r="I58" s="804"/>
      <c r="J58" s="804"/>
      <c r="K58" s="804"/>
      <c r="L58" s="804"/>
      <c r="M58" s="804"/>
      <c r="N58" s="804"/>
      <c r="O58" s="804"/>
      <c r="P58" s="804"/>
      <c r="Q58" s="804"/>
      <c r="R58" s="804"/>
      <c r="S58" s="169"/>
      <c r="T58" s="169"/>
    </row>
    <row r="59" spans="1:28" ht="13.5" hidden="1" customHeight="1">
      <c r="A59" s="676"/>
      <c r="B59" s="676"/>
      <c r="C59" s="804"/>
      <c r="D59" s="804"/>
      <c r="E59" s="804"/>
      <c r="F59" s="804"/>
      <c r="G59" s="804"/>
      <c r="H59" s="804"/>
      <c r="I59" s="804"/>
      <c r="J59" s="804"/>
      <c r="K59" s="804"/>
      <c r="L59" s="804"/>
      <c r="M59" s="804"/>
      <c r="N59" s="804"/>
      <c r="O59" s="804"/>
      <c r="P59" s="804"/>
      <c r="Q59" s="804"/>
      <c r="R59" s="804"/>
      <c r="S59" s="169"/>
      <c r="T59" s="169"/>
    </row>
    <row r="60" spans="1:28" ht="13.5" hidden="1" customHeight="1">
      <c r="A60" s="676"/>
      <c r="B60" s="212"/>
      <c r="C60" s="804"/>
      <c r="D60" s="804"/>
      <c r="E60" s="804"/>
      <c r="F60" s="804"/>
      <c r="G60" s="804"/>
      <c r="H60" s="804"/>
      <c r="I60" s="804"/>
      <c r="J60" s="804"/>
      <c r="K60" s="804"/>
      <c r="L60" s="804"/>
      <c r="M60" s="804"/>
      <c r="N60" s="804"/>
      <c r="O60" s="804"/>
      <c r="P60" s="804"/>
      <c r="Q60" s="804"/>
      <c r="R60" s="804"/>
      <c r="S60" s="169"/>
      <c r="T60" s="169"/>
    </row>
    <row r="61" spans="1:28" ht="13.5" hidden="1" customHeight="1">
      <c r="A61" s="212"/>
      <c r="B61" s="212"/>
      <c r="G61" s="145"/>
      <c r="H61" s="145"/>
      <c r="I61" s="145"/>
      <c r="J61" s="145"/>
      <c r="K61" s="145"/>
      <c r="L61" s="145"/>
      <c r="M61" s="145"/>
      <c r="N61" s="145"/>
      <c r="O61" s="145"/>
      <c r="P61" s="145"/>
      <c r="Q61" s="145"/>
      <c r="R61" s="145"/>
      <c r="S61" s="169"/>
      <c r="T61" s="169"/>
    </row>
    <row r="62" spans="1:28" ht="13.5" hidden="1" customHeight="1">
      <c r="A62" s="676"/>
      <c r="B62" s="212"/>
      <c r="G62" s="145"/>
      <c r="H62" s="145"/>
      <c r="I62" s="145"/>
      <c r="J62" s="145"/>
      <c r="K62" s="145"/>
      <c r="L62" s="145"/>
      <c r="M62" s="145"/>
      <c r="N62" s="145"/>
      <c r="O62" s="145"/>
      <c r="P62" s="145"/>
      <c r="Q62" s="145"/>
      <c r="R62" s="145"/>
      <c r="S62" s="169"/>
      <c r="T62" s="169"/>
    </row>
    <row r="63" spans="1:28" ht="13.5" hidden="1" customHeight="1">
      <c r="A63" s="676"/>
      <c r="B63" s="212"/>
      <c r="G63" s="145"/>
      <c r="H63" s="145"/>
      <c r="I63" s="145"/>
      <c r="J63" s="145"/>
      <c r="K63" s="145"/>
      <c r="L63" s="145"/>
      <c r="M63" s="145"/>
      <c r="N63" s="145"/>
      <c r="O63" s="145"/>
      <c r="P63" s="145"/>
      <c r="Q63" s="125"/>
      <c r="R63" s="125"/>
      <c r="S63" s="169"/>
      <c r="T63" s="169"/>
    </row>
    <row r="64" spans="1:28" ht="13.5" hidden="1" customHeight="1">
      <c r="A64" s="676"/>
      <c r="B64" s="212"/>
      <c r="G64" s="145"/>
      <c r="H64" s="145"/>
      <c r="I64" s="145"/>
      <c r="J64" s="145"/>
      <c r="K64" s="145"/>
      <c r="L64" s="145"/>
      <c r="M64" s="145"/>
      <c r="N64" s="145"/>
      <c r="O64" s="145"/>
      <c r="P64" s="145"/>
      <c r="Q64" s="125"/>
      <c r="R64" s="125"/>
      <c r="S64" s="169"/>
      <c r="T64" s="169"/>
    </row>
    <row r="65" spans="1:30" ht="13.5" hidden="1" customHeight="1">
      <c r="A65" s="676"/>
      <c r="B65" s="212"/>
      <c r="G65" s="145"/>
      <c r="H65" s="145"/>
      <c r="I65" s="145"/>
      <c r="J65" s="145"/>
      <c r="K65" s="145"/>
      <c r="L65" s="145"/>
      <c r="M65" s="145"/>
      <c r="N65" s="145"/>
      <c r="O65" s="145"/>
      <c r="P65" s="145"/>
      <c r="Q65" s="125"/>
      <c r="R65" s="125"/>
      <c r="S65" s="169"/>
      <c r="T65" s="169"/>
    </row>
    <row r="66" spans="1:30" ht="13.5" hidden="1" customHeight="1" thickBot="1">
      <c r="A66" s="676"/>
      <c r="B66" s="212"/>
      <c r="G66" s="145"/>
      <c r="H66" s="145"/>
      <c r="I66" s="145"/>
      <c r="J66" s="145"/>
      <c r="K66" s="145"/>
      <c r="L66" s="145"/>
      <c r="M66" s="145"/>
      <c r="N66" s="145"/>
      <c r="O66" s="145"/>
      <c r="P66" s="145"/>
      <c r="Q66" s="184"/>
      <c r="R66" s="178"/>
      <c r="S66" s="169"/>
      <c r="T66" s="169"/>
    </row>
    <row r="67" spans="1:30" ht="13.5" hidden="1" customHeight="1" thickTop="1">
      <c r="A67" s="676"/>
      <c r="B67" s="212"/>
      <c r="G67" s="145"/>
      <c r="H67" s="145"/>
      <c r="I67" s="145"/>
      <c r="J67" s="145"/>
      <c r="K67" s="145"/>
      <c r="L67" s="145"/>
      <c r="M67" s="145"/>
      <c r="N67" s="145"/>
      <c r="O67" s="145"/>
      <c r="P67" s="145"/>
      <c r="Q67" s="184"/>
      <c r="R67" s="179"/>
      <c r="S67" s="169"/>
      <c r="T67" s="169"/>
    </row>
    <row r="68" spans="1:30" ht="13.5" hidden="1" customHeight="1">
      <c r="A68" s="676"/>
      <c r="B68" s="212"/>
      <c r="G68" s="145"/>
      <c r="H68" s="145"/>
      <c r="I68" s="145"/>
      <c r="J68" s="145"/>
      <c r="K68" s="145"/>
      <c r="L68" s="145"/>
      <c r="M68" s="145"/>
      <c r="N68" s="145"/>
      <c r="O68" s="145"/>
      <c r="P68" s="145"/>
      <c r="Q68" s="184"/>
      <c r="R68" s="179"/>
      <c r="S68" s="169"/>
      <c r="T68" s="169"/>
    </row>
    <row r="69" spans="1:30" ht="13.5" hidden="1" customHeight="1">
      <c r="A69" s="676"/>
      <c r="B69" s="212"/>
      <c r="G69" s="145"/>
      <c r="H69" s="145"/>
      <c r="I69" s="145"/>
      <c r="J69" s="145"/>
      <c r="K69" s="145"/>
      <c r="L69" s="145"/>
      <c r="M69" s="145"/>
      <c r="N69" s="145"/>
      <c r="O69" s="145"/>
      <c r="P69" s="145"/>
      <c r="Q69" s="184"/>
      <c r="R69" s="179"/>
      <c r="S69" s="169"/>
      <c r="T69" s="169"/>
    </row>
    <row r="70" spans="1:30" ht="13.5" customHeight="1">
      <c r="A70" s="676">
        <f>+A49+1</f>
        <v>9</v>
      </c>
      <c r="B70" s="668" t="s">
        <v>1304</v>
      </c>
      <c r="D70" s="163"/>
      <c r="E70" s="163"/>
      <c r="G70" s="145"/>
      <c r="H70" s="145"/>
      <c r="I70" s="145"/>
      <c r="J70" s="145"/>
      <c r="K70" s="163"/>
      <c r="L70" s="163"/>
      <c r="M70" s="148"/>
      <c r="N70" s="145"/>
      <c r="O70" s="148"/>
      <c r="P70" s="148" t="s">
        <v>460</v>
      </c>
      <c r="Q70" s="145"/>
      <c r="R70" s="145"/>
      <c r="S70" s="148"/>
      <c r="T70" s="148" t="s">
        <v>460</v>
      </c>
    </row>
    <row r="71" spans="1:30" ht="13.5" customHeight="1">
      <c r="A71" s="673"/>
      <c r="B71" s="270"/>
      <c r="D71" s="163"/>
      <c r="E71" s="163"/>
      <c r="G71" s="145"/>
      <c r="H71" s="145"/>
      <c r="I71" s="145"/>
      <c r="J71" s="145"/>
      <c r="K71" s="163"/>
      <c r="L71" s="163"/>
      <c r="M71" s="163"/>
      <c r="O71" s="163"/>
      <c r="T71" s="168"/>
    </row>
    <row r="72" spans="1:30" ht="13.5" customHeight="1">
      <c r="B72" s="212" t="s">
        <v>358</v>
      </c>
      <c r="G72" s="145"/>
      <c r="H72" s="145"/>
      <c r="I72" s="145"/>
      <c r="J72" s="145"/>
      <c r="K72" s="183"/>
      <c r="L72" s="183"/>
      <c r="M72" s="185">
        <f>-ROUND(GETPIVOTDATA("Sum of Amount",'Pivot 2025'!$A$3,"FSL1","Balance Sheet","FSL2","Current Liabilities","FSL3","Accrued, Payables And Other Liabilities","FSL 4","Accrued Expenses"),0)</f>
        <v>6101653</v>
      </c>
      <c r="O72" s="149">
        <v>6523065</v>
      </c>
      <c r="P72" s="149">
        <v>1944840</v>
      </c>
      <c r="R72" s="149" t="e">
        <v>#REF!</v>
      </c>
      <c r="T72" s="149">
        <v>1166169</v>
      </c>
      <c r="AA72" s="145">
        <f>O72-M72</f>
        <v>421412</v>
      </c>
    </row>
    <row r="73" spans="1:30" ht="13.5" customHeight="1">
      <c r="B73" s="212" t="s">
        <v>359</v>
      </c>
      <c r="G73" s="145"/>
      <c r="H73" s="145"/>
      <c r="I73" s="145"/>
      <c r="J73" s="145"/>
      <c r="K73" s="183"/>
      <c r="L73" s="183"/>
      <c r="M73" s="185">
        <f>-ROUND(GETPIVOTDATA("Sum of Amount",'Pivot 2025'!$A$3,"FSL1","Balance Sheet","FSL2","Current Liabilities","FSL3","Accrued, Payables And Other Liabilities","FSL 4","Other Liabilities"),0)+510000</f>
        <v>3702870</v>
      </c>
      <c r="O73" s="149">
        <f>3186131+510000</f>
        <v>3696131</v>
      </c>
      <c r="P73" s="149" t="e">
        <v>#REF!</v>
      </c>
      <c r="R73" s="149" t="e">
        <v>#REF!</v>
      </c>
      <c r="T73" s="149">
        <v>45225</v>
      </c>
      <c r="AA73" s="145">
        <f t="shared" ref="AA73:AA74" si="0">O73-M73</f>
        <v>-6739</v>
      </c>
    </row>
    <row r="74" spans="1:30" ht="13.5" hidden="1" customHeight="1">
      <c r="B74" s="212" t="s">
        <v>1309</v>
      </c>
      <c r="G74" s="145"/>
      <c r="H74" s="145"/>
      <c r="I74" s="145"/>
      <c r="J74" s="145"/>
      <c r="K74" s="183"/>
      <c r="L74" s="183"/>
      <c r="M74" s="185">
        <f>GETPIVOTDATA("Sum of Debit5",'Pivot 2025'!$A$3,"FSL1","Balance Sheet","FSL2","Current Liabilities","FSL3","Accrued, Payables And Other Liabilities","FSL 4","Provision for taxation")</f>
        <v>0</v>
      </c>
      <c r="O74" s="149">
        <v>0</v>
      </c>
      <c r="T74" s="149"/>
      <c r="AA74" s="145">
        <f t="shared" si="0"/>
        <v>0</v>
      </c>
      <c r="AD74" s="145">
        <v>9103623</v>
      </c>
    </row>
    <row r="75" spans="1:30" ht="13.5" customHeight="1">
      <c r="B75" s="212"/>
      <c r="G75" s="145"/>
      <c r="H75" s="145"/>
      <c r="I75" s="145"/>
      <c r="J75" s="145"/>
      <c r="K75" s="145"/>
      <c r="L75" s="145"/>
      <c r="M75" s="136"/>
      <c r="O75" s="149"/>
      <c r="T75" s="149"/>
    </row>
    <row r="76" spans="1:30" ht="13.5" customHeight="1" thickBot="1">
      <c r="B76" s="270"/>
      <c r="D76" s="166"/>
      <c r="E76" s="166"/>
      <c r="G76" s="145"/>
      <c r="H76" s="145"/>
      <c r="I76" s="145"/>
      <c r="J76" s="145"/>
      <c r="K76" s="747"/>
      <c r="L76" s="166"/>
      <c r="M76" s="178">
        <f>SUM(M72:M75)</f>
        <v>9804523</v>
      </c>
      <c r="O76" s="158">
        <f>SUM(O72:O75)</f>
        <v>10219196</v>
      </c>
      <c r="P76" s="158" t="e">
        <f>SUM(P72:P75)</f>
        <v>#REF!</v>
      </c>
      <c r="Q76" s="159"/>
      <c r="R76" s="158" t="e">
        <f>SUM(R72:R75)</f>
        <v>#REF!</v>
      </c>
      <c r="T76" s="158">
        <f>SUM(T72:T75)</f>
        <v>1211394</v>
      </c>
      <c r="W76" s="145" t="e">
        <f>R76-T76</f>
        <v>#REF!</v>
      </c>
    </row>
    <row r="77" spans="1:30" ht="13.5" customHeight="1" thickTop="1">
      <c r="B77" s="270"/>
      <c r="D77" s="166"/>
      <c r="E77" s="166"/>
      <c r="G77" s="145"/>
      <c r="H77" s="145"/>
      <c r="I77" s="145"/>
      <c r="J77" s="145"/>
      <c r="K77" s="166"/>
      <c r="L77" s="166"/>
      <c r="M77" s="166"/>
      <c r="O77" s="159"/>
      <c r="P77" s="159"/>
      <c r="Q77" s="159"/>
      <c r="R77" s="159"/>
      <c r="T77" s="159"/>
    </row>
    <row r="78" spans="1:30" ht="13.5" customHeight="1">
      <c r="A78" s="676">
        <f>+A70+1</f>
        <v>10</v>
      </c>
      <c r="B78" s="270" t="s">
        <v>571</v>
      </c>
      <c r="G78" s="145"/>
      <c r="H78" s="145"/>
      <c r="I78" s="145"/>
      <c r="J78" s="145"/>
      <c r="M78" s="148"/>
      <c r="N78" s="145"/>
      <c r="O78" s="148"/>
      <c r="P78" s="148"/>
      <c r="Q78" s="164"/>
      <c r="R78" s="148"/>
      <c r="S78" s="148"/>
      <c r="T78" s="148"/>
    </row>
    <row r="79" spans="1:30" ht="13.5" customHeight="1">
      <c r="A79" s="676"/>
      <c r="B79" s="270"/>
      <c r="G79" s="145"/>
      <c r="H79" s="145"/>
      <c r="I79" s="145"/>
      <c r="J79" s="145"/>
      <c r="K79" s="145"/>
      <c r="L79" s="145"/>
      <c r="M79" s="145"/>
      <c r="O79" s="149"/>
      <c r="T79" s="149"/>
    </row>
    <row r="80" spans="1:30" ht="13.5" customHeight="1">
      <c r="A80" s="673"/>
      <c r="B80" s="212" t="s">
        <v>332</v>
      </c>
      <c r="G80" s="145"/>
      <c r="H80" s="145"/>
      <c r="I80" s="183">
        <f>+B84</f>
        <v>10.1</v>
      </c>
      <c r="J80" s="145"/>
      <c r="L80" s="183"/>
      <c r="M80" s="185" t="e">
        <f>-GETPIVOTDATA("Sum of Amount",'Pivot 2025'!$A$3,"FSL1","Balance Sheet","FSL2","Current Liabilities","FSL3","Short Term Liabilities","FSL 4","Pakistan Labour Trust")</f>
        <v>#REF!</v>
      </c>
      <c r="O80" s="149">
        <v>40791015</v>
      </c>
      <c r="P80" s="149">
        <v>27543493.77</v>
      </c>
      <c r="R80" s="149" t="e">
        <v>#REF!</v>
      </c>
      <c r="T80" s="149">
        <v>8838057.7699999996</v>
      </c>
      <c r="W80" s="145" t="e">
        <f>R80-T80</f>
        <v>#REF!</v>
      </c>
    </row>
    <row r="81" spans="1:24" ht="13.5" customHeight="1">
      <c r="A81" s="212"/>
      <c r="B81" s="212"/>
      <c r="G81" s="145"/>
      <c r="H81" s="145"/>
      <c r="I81" s="145"/>
      <c r="J81" s="145"/>
      <c r="K81" s="145"/>
      <c r="L81" s="145"/>
      <c r="M81" s="145"/>
      <c r="O81" s="149"/>
      <c r="T81" s="149"/>
    </row>
    <row r="82" spans="1:24" ht="13.5" customHeight="1" thickBot="1">
      <c r="A82" s="673"/>
      <c r="B82" s="679"/>
      <c r="G82" s="145"/>
      <c r="H82" s="145"/>
      <c r="I82" s="145"/>
      <c r="J82" s="145"/>
      <c r="K82" s="746"/>
      <c r="L82" s="145"/>
      <c r="M82" s="158" t="e">
        <f>SUM(M80:M81)</f>
        <v>#REF!</v>
      </c>
      <c r="O82" s="158">
        <f>SUM(O80:O81)</f>
        <v>40791015</v>
      </c>
      <c r="P82" s="158">
        <f>SUM(P80:P81)</f>
        <v>27543493.77</v>
      </c>
      <c r="Q82" s="159"/>
      <c r="R82" s="158" t="e">
        <f>SUM(R80:R81)</f>
        <v>#REF!</v>
      </c>
      <c r="S82" s="159"/>
      <c r="T82" s="158">
        <f>SUM(T80:T80)</f>
        <v>8838057.7699999996</v>
      </c>
    </row>
    <row r="83" spans="1:24" ht="13.5" customHeight="1" thickTop="1">
      <c r="A83" s="673"/>
      <c r="B83" s="679"/>
      <c r="O83" s="149"/>
    </row>
    <row r="84" spans="1:24" ht="13.5" customHeight="1">
      <c r="B84" s="186">
        <f>A78+0.1</f>
        <v>10.1</v>
      </c>
      <c r="C84" s="805" t="s">
        <v>572</v>
      </c>
      <c r="D84" s="805"/>
      <c r="E84" s="805"/>
      <c r="F84" s="805"/>
      <c r="G84" s="805"/>
      <c r="H84" s="805"/>
      <c r="I84" s="805"/>
      <c r="J84" s="805"/>
      <c r="K84" s="805"/>
      <c r="L84" s="805"/>
      <c r="M84" s="805"/>
      <c r="N84" s="805"/>
      <c r="O84" s="805"/>
      <c r="P84" s="805"/>
      <c r="Q84" s="805"/>
      <c r="R84" s="805"/>
      <c r="S84" s="805"/>
      <c r="T84" s="805"/>
    </row>
    <row r="85" spans="1:24" ht="13.5" customHeight="1">
      <c r="B85" s="186"/>
      <c r="C85" s="374"/>
      <c r="D85" s="374"/>
      <c r="E85" s="374"/>
      <c r="F85" s="374"/>
      <c r="G85" s="374"/>
      <c r="H85" s="374"/>
      <c r="I85" s="374"/>
      <c r="J85" s="374"/>
      <c r="K85" s="374"/>
      <c r="L85" s="374"/>
      <c r="M85" s="374"/>
      <c r="N85" s="374"/>
      <c r="O85" s="374"/>
      <c r="P85" s="374"/>
      <c r="Q85" s="374"/>
      <c r="R85" s="374"/>
      <c r="S85" s="374"/>
      <c r="T85" s="374"/>
    </row>
    <row r="86" spans="1:24" ht="13.5" hidden="1" customHeight="1">
      <c r="B86" s="186"/>
      <c r="C86" s="374"/>
      <c r="D86" s="374"/>
      <c r="E86" s="374"/>
      <c r="F86" s="374"/>
      <c r="G86" s="374"/>
      <c r="H86" s="374"/>
      <c r="I86" s="374"/>
      <c r="J86" s="374"/>
      <c r="K86" s="374"/>
      <c r="L86" s="374"/>
      <c r="M86" s="374"/>
      <c r="N86" s="374"/>
      <c r="O86" s="374"/>
      <c r="P86" s="374"/>
      <c r="Q86" s="374"/>
      <c r="R86" s="374"/>
      <c r="S86" s="374"/>
      <c r="T86" s="374"/>
    </row>
    <row r="87" spans="1:24" ht="13.5" hidden="1" customHeight="1">
      <c r="S87" s="169"/>
      <c r="T87" s="169"/>
    </row>
    <row r="88" spans="1:24" ht="13.5" hidden="1" customHeight="1">
      <c r="S88" s="169"/>
      <c r="T88" s="169"/>
    </row>
    <row r="89" spans="1:24" ht="13.5" hidden="1" customHeight="1">
      <c r="S89" s="187"/>
      <c r="T89" s="187"/>
    </row>
    <row r="90" spans="1:24" ht="13.5" hidden="1" customHeight="1">
      <c r="S90" s="187"/>
      <c r="T90" s="187"/>
      <c r="X90" s="188">
        <v>126.63</v>
      </c>
    </row>
    <row r="91" spans="1:24" ht="13.5" hidden="1" customHeight="1">
      <c r="A91" s="673"/>
      <c r="B91" s="679"/>
      <c r="G91" s="145"/>
      <c r="H91" s="145"/>
      <c r="I91" s="145"/>
      <c r="J91" s="145"/>
      <c r="K91" s="145"/>
      <c r="L91" s="145"/>
      <c r="M91" s="145"/>
      <c r="N91" s="145"/>
      <c r="O91" s="145"/>
      <c r="P91" s="145"/>
      <c r="Q91" s="145"/>
      <c r="R91" s="150"/>
      <c r="S91" s="150"/>
      <c r="T91" s="150"/>
      <c r="X91" s="188">
        <v>121.3</v>
      </c>
    </row>
    <row r="92" spans="1:24" ht="13.5" hidden="1" customHeight="1">
      <c r="A92" s="673"/>
      <c r="B92" s="679"/>
      <c r="G92" s="145"/>
      <c r="H92" s="145"/>
      <c r="I92" s="145"/>
      <c r="J92" s="145"/>
      <c r="K92" s="145"/>
      <c r="L92" s="145"/>
      <c r="M92" s="145"/>
      <c r="N92" s="145"/>
      <c r="O92" s="145"/>
      <c r="P92" s="145"/>
      <c r="Q92" s="145"/>
      <c r="R92" s="150"/>
      <c r="S92" s="150"/>
      <c r="T92" s="150"/>
      <c r="X92" s="188"/>
    </row>
    <row r="93" spans="1:24" ht="13.5" hidden="1" customHeight="1">
      <c r="A93" s="673"/>
      <c r="B93" s="679"/>
      <c r="G93" s="145"/>
      <c r="H93" s="145"/>
      <c r="I93" s="145"/>
      <c r="J93" s="145"/>
      <c r="K93" s="145"/>
      <c r="L93" s="145"/>
      <c r="M93" s="145"/>
      <c r="N93" s="145"/>
      <c r="O93" s="145"/>
      <c r="P93" s="145"/>
      <c r="Q93" s="145"/>
      <c r="R93" s="150"/>
      <c r="S93" s="150"/>
      <c r="T93" s="150"/>
      <c r="X93" s="188"/>
    </row>
    <row r="94" spans="1:24" ht="13.5" hidden="1" customHeight="1">
      <c r="A94" s="673"/>
      <c r="B94" s="679"/>
      <c r="G94" s="145"/>
      <c r="H94" s="145"/>
      <c r="I94" s="145"/>
      <c r="J94" s="145"/>
      <c r="K94" s="145"/>
      <c r="L94" s="145"/>
      <c r="M94" s="145"/>
      <c r="N94" s="145"/>
      <c r="O94" s="145"/>
      <c r="P94" s="145"/>
      <c r="Q94" s="145"/>
      <c r="R94" s="150"/>
      <c r="S94" s="150"/>
      <c r="T94" s="150"/>
      <c r="X94" s="188"/>
    </row>
    <row r="95" spans="1:24" ht="13.5" customHeight="1">
      <c r="A95" s="673"/>
      <c r="B95" s="679"/>
      <c r="G95" s="145"/>
      <c r="H95" s="145"/>
      <c r="I95" s="145"/>
      <c r="J95" s="145"/>
      <c r="K95" s="145"/>
      <c r="L95" s="145"/>
      <c r="M95" s="145"/>
      <c r="N95" s="145"/>
      <c r="O95" s="145"/>
      <c r="P95" s="145"/>
      <c r="Q95" s="145"/>
      <c r="R95" s="150"/>
      <c r="S95" s="150"/>
      <c r="T95" s="150"/>
      <c r="X95" s="188"/>
    </row>
    <row r="96" spans="1:24" ht="13.5" customHeight="1">
      <c r="A96" s="673"/>
      <c r="B96" s="679"/>
      <c r="G96" s="145"/>
      <c r="H96" s="145"/>
      <c r="I96" s="145"/>
      <c r="J96" s="145"/>
      <c r="K96" s="145"/>
      <c r="L96" s="145"/>
      <c r="M96" s="145"/>
      <c r="N96" s="145"/>
      <c r="O96" s="145"/>
      <c r="P96" s="145"/>
      <c r="Q96" s="145"/>
      <c r="R96" s="150"/>
      <c r="S96" s="150"/>
      <c r="T96" s="150"/>
      <c r="X96" s="188"/>
    </row>
    <row r="97" spans="1:33" ht="13.5" customHeight="1">
      <c r="A97" s="673"/>
      <c r="B97" s="679"/>
      <c r="G97" s="145"/>
      <c r="H97" s="145"/>
      <c r="I97" s="145"/>
      <c r="J97" s="145"/>
      <c r="K97" s="145"/>
      <c r="L97" s="145"/>
      <c r="M97" s="145"/>
      <c r="N97" s="145"/>
      <c r="O97" s="145"/>
      <c r="P97" s="145"/>
      <c r="Q97" s="145"/>
      <c r="R97" s="150"/>
      <c r="S97" s="150"/>
      <c r="T97" s="150"/>
      <c r="X97" s="188"/>
    </row>
    <row r="98" spans="1:33" ht="13.5" customHeight="1">
      <c r="A98" s="673"/>
      <c r="B98" s="679"/>
      <c r="G98" s="145"/>
      <c r="H98" s="145"/>
      <c r="I98" s="145"/>
      <c r="J98" s="145"/>
      <c r="K98" s="145"/>
      <c r="L98" s="145"/>
      <c r="M98" s="145"/>
      <c r="N98" s="145"/>
      <c r="O98" s="145"/>
      <c r="P98" s="145"/>
      <c r="Q98" s="145"/>
      <c r="R98" s="150"/>
      <c r="S98" s="150"/>
      <c r="T98" s="150"/>
      <c r="X98" s="188"/>
    </row>
    <row r="99" spans="1:33" ht="13.5" customHeight="1">
      <c r="A99" s="673"/>
      <c r="B99" s="679"/>
      <c r="G99" s="145"/>
      <c r="H99" s="145"/>
      <c r="I99" s="145"/>
      <c r="J99" s="145"/>
      <c r="K99" s="145"/>
      <c r="L99" s="145"/>
      <c r="M99" s="145"/>
      <c r="N99" s="145"/>
      <c r="O99" s="145"/>
      <c r="P99" s="145"/>
      <c r="Q99" s="145"/>
      <c r="R99" s="150"/>
      <c r="S99" s="150"/>
      <c r="T99" s="150"/>
      <c r="X99" s="188"/>
    </row>
    <row r="100" spans="1:33" ht="13.5" customHeight="1">
      <c r="A100" s="673"/>
      <c r="B100" s="679"/>
      <c r="G100" s="145"/>
      <c r="H100" s="145"/>
      <c r="I100" s="145"/>
      <c r="J100" s="145"/>
      <c r="K100" s="145"/>
      <c r="L100" s="145"/>
      <c r="M100" s="145"/>
      <c r="N100" s="145"/>
      <c r="O100" s="145"/>
      <c r="P100" s="145"/>
      <c r="Q100" s="145"/>
      <c r="R100" s="150"/>
      <c r="S100" s="150"/>
      <c r="T100" s="150"/>
      <c r="X100" s="188"/>
    </row>
    <row r="101" spans="1:33" ht="13.5" customHeight="1">
      <c r="A101" s="673"/>
      <c r="B101" s="679"/>
      <c r="G101" s="145"/>
      <c r="H101" s="145"/>
      <c r="I101" s="145"/>
      <c r="J101" s="145"/>
      <c r="K101" s="145"/>
      <c r="L101" s="145"/>
      <c r="M101" s="145"/>
      <c r="N101" s="145"/>
      <c r="O101" s="145"/>
      <c r="P101" s="145"/>
      <c r="Q101" s="145"/>
      <c r="R101" s="150"/>
      <c r="S101" s="150"/>
      <c r="T101" s="150"/>
      <c r="X101" s="188"/>
    </row>
    <row r="102" spans="1:33" ht="13.5" customHeight="1">
      <c r="A102" s="673"/>
      <c r="B102" s="679"/>
      <c r="G102" s="145"/>
      <c r="H102" s="145"/>
      <c r="I102" s="145"/>
      <c r="J102" s="145"/>
      <c r="K102" s="145"/>
      <c r="L102" s="145"/>
      <c r="M102" s="145"/>
      <c r="N102" s="145"/>
      <c r="O102" s="145"/>
      <c r="P102" s="145"/>
      <c r="Q102" s="145"/>
      <c r="R102" s="150"/>
      <c r="S102" s="150"/>
      <c r="T102" s="150"/>
      <c r="X102" s="188"/>
    </row>
    <row r="103" spans="1:33" ht="13.5" customHeight="1">
      <c r="A103" s="673"/>
      <c r="B103" s="679"/>
      <c r="G103" s="145"/>
      <c r="H103" s="145"/>
      <c r="I103" s="145"/>
      <c r="J103" s="145"/>
      <c r="K103" s="145"/>
      <c r="L103" s="145"/>
      <c r="M103" s="145"/>
      <c r="N103" s="145"/>
      <c r="O103" s="145"/>
      <c r="P103" s="145"/>
      <c r="Q103" s="145"/>
      <c r="R103" s="150"/>
      <c r="S103" s="150"/>
      <c r="T103" s="150"/>
      <c r="X103" s="188"/>
    </row>
    <row r="104" spans="1:33" ht="13.5" customHeight="1">
      <c r="A104" s="673"/>
      <c r="B104" s="679"/>
      <c r="G104" s="145"/>
      <c r="H104" s="145"/>
      <c r="I104" s="145"/>
      <c r="J104" s="145"/>
      <c r="K104" s="145"/>
      <c r="L104" s="145"/>
      <c r="M104" s="145"/>
      <c r="N104" s="145"/>
      <c r="O104" s="145"/>
      <c r="P104" s="145"/>
      <c r="Q104" s="145"/>
      <c r="R104" s="150"/>
      <c r="S104" s="150"/>
      <c r="T104" s="150"/>
      <c r="X104" s="188"/>
    </row>
    <row r="105" spans="1:33" ht="13.5" customHeight="1">
      <c r="A105" s="673"/>
      <c r="B105" s="679"/>
      <c r="G105" s="145"/>
      <c r="H105" s="145"/>
      <c r="I105" s="145"/>
      <c r="J105" s="145"/>
      <c r="K105" s="145"/>
      <c r="L105" s="145"/>
      <c r="M105" s="145"/>
      <c r="N105" s="145"/>
      <c r="O105" s="145"/>
      <c r="P105" s="145"/>
      <c r="Q105" s="145"/>
      <c r="R105" s="150"/>
      <c r="S105" s="150"/>
      <c r="T105" s="150"/>
      <c r="X105" s="188"/>
    </row>
    <row r="106" spans="1:33" ht="13.5" customHeight="1">
      <c r="A106" s="673"/>
      <c r="B106" s="679"/>
      <c r="G106" s="145"/>
      <c r="H106" s="145"/>
      <c r="I106" s="145"/>
      <c r="J106" s="145"/>
      <c r="K106" s="5">
        <v>2026</v>
      </c>
      <c r="L106" s="145"/>
      <c r="M106" s="5">
        <v>2025</v>
      </c>
      <c r="N106" s="5"/>
      <c r="O106" s="5">
        <v>2024</v>
      </c>
      <c r="P106" s="145"/>
      <c r="Q106" s="145"/>
      <c r="R106" s="150"/>
      <c r="S106" s="150"/>
      <c r="T106" s="150"/>
      <c r="X106" s="188"/>
    </row>
    <row r="107" spans="1:33" ht="13.5" customHeight="1">
      <c r="A107" s="676">
        <f>+A78+1</f>
        <v>11</v>
      </c>
      <c r="B107" s="270" t="s">
        <v>1313</v>
      </c>
      <c r="C107" s="163"/>
      <c r="D107" s="163"/>
      <c r="E107" s="163"/>
      <c r="G107" s="145"/>
      <c r="H107" s="145"/>
      <c r="I107" s="163" t="s">
        <v>459</v>
      </c>
      <c r="J107" s="145"/>
      <c r="K107" s="148" t="s">
        <v>460</v>
      </c>
      <c r="L107" s="163"/>
      <c r="M107" s="148" t="s">
        <v>460</v>
      </c>
      <c r="N107" s="145"/>
      <c r="O107" s="148" t="s">
        <v>460</v>
      </c>
      <c r="P107" s="148" t="s">
        <v>460</v>
      </c>
      <c r="Q107" s="164"/>
      <c r="R107" s="148" t="s">
        <v>460</v>
      </c>
      <c r="S107" s="148"/>
      <c r="T107" s="148" t="s">
        <v>460</v>
      </c>
      <c r="X107" s="188">
        <v>115.3</v>
      </c>
    </row>
    <row r="108" spans="1:33" ht="13.5" customHeight="1">
      <c r="A108" s="673"/>
      <c r="B108" s="270"/>
      <c r="C108" s="163"/>
      <c r="D108" s="163"/>
      <c r="E108" s="163"/>
      <c r="O108" s="149"/>
      <c r="X108" s="188">
        <v>118.5</v>
      </c>
    </row>
    <row r="109" spans="1:33" ht="13.5" customHeight="1">
      <c r="A109" s="673"/>
      <c r="B109" s="270" t="s">
        <v>1314</v>
      </c>
      <c r="C109" s="163"/>
      <c r="D109" s="163"/>
      <c r="E109" s="163"/>
      <c r="O109" s="149"/>
      <c r="X109" s="145">
        <f>SUM(X90:X108)</f>
        <v>481.73</v>
      </c>
      <c r="Y109" s="188">
        <f>X109/12</f>
        <v>40.144166666666671</v>
      </c>
      <c r="AD109" s="145" t="s">
        <v>1427</v>
      </c>
      <c r="AE109" s="145">
        <v>417356</v>
      </c>
      <c r="AF109" s="145">
        <v>0</v>
      </c>
      <c r="AG109" s="145">
        <v>417356</v>
      </c>
    </row>
    <row r="110" spans="1:33" ht="13.5" customHeight="1">
      <c r="A110" s="673"/>
      <c r="B110" s="145" t="s">
        <v>1305</v>
      </c>
      <c r="G110" s="145"/>
      <c r="H110" s="145"/>
      <c r="I110" s="145"/>
      <c r="J110" s="145"/>
      <c r="K110" s="748"/>
      <c r="L110" s="145"/>
      <c r="M110" s="394"/>
      <c r="N110" s="190"/>
      <c r="O110" s="191"/>
      <c r="P110" s="605"/>
      <c r="R110" s="176"/>
      <c r="S110" s="150"/>
      <c r="T110" s="176"/>
      <c r="AD110" s="145" t="s">
        <v>1351</v>
      </c>
      <c r="AE110" s="145">
        <v>464334</v>
      </c>
      <c r="AF110" s="145">
        <v>0</v>
      </c>
      <c r="AG110" s="145">
        <v>464334</v>
      </c>
    </row>
    <row r="111" spans="1:33" ht="13">
      <c r="A111" s="673"/>
      <c r="B111" s="145"/>
      <c r="G111" s="145"/>
      <c r="H111" s="145"/>
      <c r="I111" s="145"/>
      <c r="J111" s="145"/>
      <c r="K111" s="749"/>
      <c r="L111" s="145"/>
      <c r="M111" s="606">
        <f>ROUND(GETPIVOTDATA("Sum of Amount",'Pivot 2025'!$A$3,"FSL1","Profit and Loss","FSL2","Operating Costs","FSL3","Peace Seminar Activities")+GETPIVOTDATA("Sum of Amount",'Pivot 2025'!$A$3,"FSL1","Profit and Loss","FSL2","Operating Costs","FSL3","Piler Program Activities : Peace / Labor Related Seminars &amp; Conferences Activities"),0)</f>
        <v>2095879</v>
      </c>
      <c r="N111" s="190"/>
      <c r="O111" s="193">
        <v>188000</v>
      </c>
      <c r="P111" s="605">
        <v>1085203</v>
      </c>
      <c r="R111" s="176" t="e">
        <f>SUM(#REF!)</f>
        <v>#REF!</v>
      </c>
      <c r="S111" s="150"/>
      <c r="T111" s="176" t="e">
        <f>SUM(#REF!)</f>
        <v>#REF!</v>
      </c>
      <c r="U111" s="145" t="s">
        <v>574</v>
      </c>
      <c r="AA111" s="145">
        <f>176380+1919499</f>
        <v>2095879</v>
      </c>
      <c r="AD111" s="145" t="s">
        <v>1428</v>
      </c>
      <c r="AE111" s="145">
        <v>100000</v>
      </c>
      <c r="AF111" s="145">
        <v>0</v>
      </c>
      <c r="AG111" s="145">
        <v>100000</v>
      </c>
    </row>
    <row r="112" spans="1:33" ht="14.15" customHeight="1">
      <c r="A112" s="673"/>
      <c r="B112" s="145" t="s">
        <v>1306</v>
      </c>
      <c r="G112" s="145"/>
      <c r="H112" s="145"/>
      <c r="I112" s="145"/>
      <c r="J112" s="145"/>
      <c r="K112" s="749"/>
      <c r="L112" s="145"/>
      <c r="M112" s="192">
        <f>ROUND(GETPIVOTDATA("Sum of Amount",'Pivot 2025'!$A$3,"FSL1","Profit and Loss","FSL2","Operating Costs","FSL3","Memorial Programmes"),0)</f>
        <v>76100</v>
      </c>
      <c r="N112" s="190"/>
      <c r="O112" s="193">
        <v>0</v>
      </c>
      <c r="P112" s="605">
        <v>0</v>
      </c>
      <c r="R112" s="176"/>
      <c r="S112" s="150"/>
      <c r="T112" s="194"/>
      <c r="AD112" s="145" t="s">
        <v>1429</v>
      </c>
      <c r="AE112" s="145">
        <v>1100000</v>
      </c>
      <c r="AF112" s="145">
        <v>0</v>
      </c>
      <c r="AG112" s="145">
        <v>1100000</v>
      </c>
    </row>
    <row r="113" spans="1:33" ht="14.15" hidden="1" customHeight="1">
      <c r="A113" s="673"/>
      <c r="B113" s="145" t="s">
        <v>1307</v>
      </c>
      <c r="G113" s="145"/>
      <c r="H113" s="145"/>
      <c r="I113" s="145"/>
      <c r="J113" s="145"/>
      <c r="K113" s="749"/>
      <c r="L113" s="145"/>
      <c r="M113" s="192">
        <f>ROUND(GETPIVOTDATA("Sum of Amount",'Pivot 2025'!$A$3,"FSL1","Profit and Loss","FSL2","Operating Costs","FSL3","National Labour Council."),0)</f>
        <v>0</v>
      </c>
      <c r="N113" s="190"/>
      <c r="O113" s="193">
        <v>0</v>
      </c>
      <c r="P113" s="605"/>
      <c r="R113" s="176"/>
      <c r="S113" s="150"/>
      <c r="T113" s="194"/>
      <c r="AD113" s="145" t="s">
        <v>1357</v>
      </c>
      <c r="AE113" s="145">
        <v>88433</v>
      </c>
      <c r="AF113" s="145">
        <v>0</v>
      </c>
      <c r="AG113" s="145">
        <v>88433</v>
      </c>
    </row>
    <row r="114" spans="1:33" ht="14.15" customHeight="1">
      <c r="A114" s="673"/>
      <c r="B114" s="145" t="s">
        <v>1406</v>
      </c>
      <c r="G114" s="145"/>
      <c r="H114" s="145"/>
      <c r="I114" s="145"/>
      <c r="J114" s="145"/>
      <c r="K114" s="749"/>
      <c r="L114" s="145"/>
      <c r="M114" s="192">
        <f>GETPIVOTDATA("Sum of Amount",'Pivot 2025'!$A$3,"FSL1","Profit and Loss","FSL2","Operating Costs","FSL3","GLJ-ILRF:Women Leadership committee meeting","FSL 4","GLJ-ILRF:Women Leadership committee meeting")</f>
        <v>65000</v>
      </c>
      <c r="N114" s="190"/>
      <c r="O114" s="193">
        <v>417356</v>
      </c>
      <c r="P114" s="605">
        <v>0</v>
      </c>
      <c r="R114" s="176"/>
      <c r="S114" s="150"/>
      <c r="T114" s="194"/>
    </row>
    <row r="115" spans="1:33" ht="14.15" customHeight="1">
      <c r="A115" s="673"/>
      <c r="B115" s="145" t="s">
        <v>1410</v>
      </c>
      <c r="G115" s="145"/>
      <c r="H115" s="145"/>
      <c r="I115" s="145"/>
      <c r="J115" s="145"/>
      <c r="K115" s="749"/>
      <c r="L115" s="145"/>
      <c r="M115" s="192">
        <f>+GETPIVOTDATA("Sum of Amount",'Pivot 2025'!$A$3,"FSL1","Profit and Loss","FSL2","Operating Costs","FSL3","GLJ-ILRF : AFWA National Convenings - 1")</f>
        <v>54230</v>
      </c>
      <c r="N115" s="190"/>
      <c r="O115" s="193">
        <v>464334</v>
      </c>
      <c r="P115" s="605">
        <v>0</v>
      </c>
      <c r="R115" s="176"/>
      <c r="S115" s="150"/>
      <c r="T115" s="194"/>
      <c r="AA115" s="417"/>
    </row>
    <row r="116" spans="1:33" ht="14.15" customHeight="1">
      <c r="A116" s="673"/>
      <c r="B116" s="145" t="s">
        <v>1430</v>
      </c>
      <c r="G116" s="145"/>
      <c r="H116" s="145"/>
      <c r="I116" s="145"/>
      <c r="J116" s="145"/>
      <c r="K116" s="749"/>
      <c r="L116" s="145"/>
      <c r="M116" s="192">
        <f>+GETPIVOTDATA("Sum of Amount",'Pivot 2025'!$A$3,"FSL1","Profit and Loss","FSL2","Operating Costs","FSL3","GLJ-ILRF:GDW-Lawyer-Legal Breif")</f>
        <v>0</v>
      </c>
      <c r="N116" s="190"/>
      <c r="O116" s="193">
        <v>100000</v>
      </c>
      <c r="P116" s="605"/>
      <c r="R116" s="176"/>
      <c r="S116" s="150"/>
      <c r="T116" s="194"/>
    </row>
    <row r="117" spans="1:33" ht="14.15" customHeight="1">
      <c r="A117" s="673"/>
      <c r="B117" s="145" t="s">
        <v>2009</v>
      </c>
      <c r="G117" s="145"/>
      <c r="H117" s="145"/>
      <c r="I117" s="145"/>
      <c r="J117" s="145"/>
      <c r="K117" s="749"/>
      <c r="L117" s="145"/>
      <c r="M117" s="192">
        <f>GETPIVOTDATA("Sum of Amount",'Pivot 2025'!$A$3,"FSL1","Profit and Loss","FSL2","Operating Costs","FSL3","Glj-Ilrf: Consumption Survey")+GETPIVOTDATA("Sum of Amount",'Pivot 2025'!$A$3,"FSL1","Profit and Loss","FSL2","Operating Costs","FSL3","Glj-Ilrf:Meetings")+GETPIVOTDATA("Sum of Amount",'Pivot 2025'!$A$3,"FSL1","Profit and Loss","FSL2","Operating Costs","FSL3","Peace Seminar Activities")</f>
        <v>1602706</v>
      </c>
      <c r="N117" s="190"/>
      <c r="O117" s="193">
        <v>0</v>
      </c>
      <c r="P117" s="605"/>
      <c r="R117" s="176"/>
      <c r="S117" s="150"/>
      <c r="T117" s="194"/>
    </row>
    <row r="118" spans="1:33" ht="14.15" customHeight="1">
      <c r="A118" s="673"/>
      <c r="B118" s="145" t="s">
        <v>1413</v>
      </c>
      <c r="G118" s="145"/>
      <c r="H118" s="145"/>
      <c r="I118" s="145"/>
      <c r="J118" s="145"/>
      <c r="K118" s="749"/>
      <c r="L118" s="145"/>
      <c r="M118" s="192">
        <f>+GETPIVOTDATA("Sum of Amount",'Pivot 2025'!$A$3,"FSL1","Profit and Loss","FSL2","Operating Costs","FSL3","GLJ-ILRF : Field Cordinator")</f>
        <v>1320000</v>
      </c>
      <c r="N118" s="190"/>
      <c r="O118" s="193">
        <v>1100000</v>
      </c>
      <c r="P118" s="605"/>
      <c r="R118" s="176"/>
      <c r="S118" s="150"/>
      <c r="T118" s="194"/>
    </row>
    <row r="119" spans="1:33" ht="14.15" customHeight="1">
      <c r="A119" s="673"/>
      <c r="B119" s="145" t="s">
        <v>1371</v>
      </c>
      <c r="G119" s="145"/>
      <c r="H119" s="145"/>
      <c r="I119" s="145"/>
      <c r="J119" s="145"/>
      <c r="K119" s="749"/>
      <c r="L119" s="145"/>
      <c r="M119" s="192">
        <f>+GETPIVOTDATA("Sum of Amount",'Pivot 2025'!$A$3,"FSL1","Profit and Loss","FSL2","Operating Costs","FSL3","GLJ-ILRF : Wage struggle working group - 2")</f>
        <v>349175</v>
      </c>
      <c r="N119" s="190"/>
      <c r="O119" s="193">
        <v>88433</v>
      </c>
      <c r="P119" s="605"/>
      <c r="R119" s="176"/>
      <c r="S119" s="150"/>
      <c r="T119" s="194"/>
      <c r="AD119" s="145" t="s">
        <v>1357</v>
      </c>
      <c r="AE119" s="145">
        <v>88433</v>
      </c>
      <c r="AF119" s="145">
        <v>0</v>
      </c>
      <c r="AG119" s="145">
        <v>88433</v>
      </c>
    </row>
    <row r="120" spans="1:33" ht="14.15" customHeight="1">
      <c r="A120" s="673"/>
      <c r="B120" s="145" t="s">
        <v>1414</v>
      </c>
      <c r="G120" s="145"/>
      <c r="H120" s="145"/>
      <c r="I120" s="145"/>
      <c r="J120" s="145"/>
      <c r="K120" s="749"/>
      <c r="L120" s="145"/>
      <c r="M120" s="192">
        <f>GETPIVOTDATA("Sum of Amount",'Pivot 2025'!$A$3,"FSL1","Profit and Loss","FSL2","Operating Costs","FSL3","GRC-H.1.2#Advocacy material development and distribution")+GETPIVOTDATA("Sum of Amount",'Pivot 2025'!$A$3,"FSL1","Profit and Loss","FSL2","Operating Costs","FSL3","GRC-Data Analyst-Quantitative")+GETPIVOTDATA("Sum of Amount",'Pivot 2025'!$A$3,"FSL1","Profit and Loss","FSL2","Operating Costs","FSL3","GRC- Project Management Cost","FSL 4","GRC- Project Management Cost")</f>
        <v>1931001</v>
      </c>
      <c r="N120" s="190"/>
      <c r="O120" s="193">
        <v>1396500</v>
      </c>
      <c r="P120" s="605"/>
      <c r="R120" s="176"/>
      <c r="S120" s="150"/>
      <c r="T120" s="194"/>
      <c r="AD120" s="145" t="s">
        <v>1415</v>
      </c>
      <c r="AE120" s="145">
        <v>1396500</v>
      </c>
      <c r="AF120" s="145">
        <v>0</v>
      </c>
      <c r="AG120" s="145">
        <v>1396500</v>
      </c>
    </row>
    <row r="121" spans="1:33" ht="14.15" customHeight="1">
      <c r="A121" s="673"/>
      <c r="B121" s="145" t="s">
        <v>1407</v>
      </c>
      <c r="G121" s="145"/>
      <c r="H121" s="145"/>
      <c r="I121" s="145"/>
      <c r="J121" s="145"/>
      <c r="K121" s="749"/>
      <c r="L121" s="145"/>
      <c r="M121" s="192">
        <f>+GETPIVOTDATA("Sum of Amount",'Pivot 2025'!$A$3,"FSL1","Profit and Loss","FSL2","Operating Costs","FSL3","GRC-8.1.3 # Training workshops   ")</f>
        <v>330784</v>
      </c>
      <c r="N121" s="190"/>
      <c r="O121" s="193">
        <v>2229049</v>
      </c>
      <c r="P121" s="605"/>
      <c r="R121" s="176"/>
      <c r="S121" s="150"/>
      <c r="T121" s="194"/>
    </row>
    <row r="122" spans="1:33" ht="14.15" customHeight="1">
      <c r="A122" s="673"/>
      <c r="B122" s="145" t="s">
        <v>1408</v>
      </c>
      <c r="G122" s="145"/>
      <c r="H122" s="145"/>
      <c r="I122" s="145"/>
      <c r="J122" s="145"/>
      <c r="K122" s="749"/>
      <c r="L122" s="145"/>
      <c r="M122" s="192">
        <f>+GETPIVOTDATA("Sum of Amount",'Pivot 2025'!$A$3,"FSL1","Profit and Loss","FSL2","Operating Costs","FSL3","GRC-8.2.4 # National travel for participants")</f>
        <v>1161050</v>
      </c>
      <c r="N122" s="190"/>
      <c r="O122" s="193">
        <v>22000</v>
      </c>
      <c r="P122" s="605"/>
      <c r="R122" s="176"/>
      <c r="S122" s="150"/>
      <c r="T122" s="194"/>
      <c r="AD122" s="145" t="s">
        <v>1363</v>
      </c>
      <c r="AE122" s="145">
        <v>2857940</v>
      </c>
      <c r="AF122" s="145">
        <v>0</v>
      </c>
      <c r="AG122" s="145">
        <v>2857940</v>
      </c>
    </row>
    <row r="123" spans="1:33" ht="14.15" customHeight="1">
      <c r="A123" s="673"/>
      <c r="B123" s="145" t="s">
        <v>1409</v>
      </c>
      <c r="G123" s="145"/>
      <c r="H123" s="145"/>
      <c r="I123" s="145"/>
      <c r="J123" s="145"/>
      <c r="K123" s="749"/>
      <c r="L123" s="145"/>
      <c r="M123" s="192">
        <f>+GETPIVOTDATA("Sum of Amount",'Pivot 2025'!$A$3,"FSL1","Profit and Loss","FSL2","Operating Costs","FSL3","GRC-8.2.5 # Stationary &amp; material")+GETPIVOTDATA("Sum of Amount",'Pivot 2025'!$A$3,"FSL1","Profit and Loss","FSL2","Operating Costs","FSL3","GLJ-ILRF : FTH Campaign","FSL 4","GLJ-ILRF : FTH Campaign")+GETPIVOTDATA("Sum of Amount",'Pivot 2025'!$A$3,"FSL1","Profit and Loss","FSL2","Operating Costs","FSL3","GLJ-ILRF : OBS-B.5.16-all program")</f>
        <v>336440</v>
      </c>
      <c r="N123" s="190"/>
      <c r="O123" s="193">
        <v>48590</v>
      </c>
      <c r="P123" s="605"/>
      <c r="R123" s="176"/>
      <c r="S123" s="150"/>
      <c r="T123" s="194"/>
    </row>
    <row r="124" spans="1:33" ht="14.15" customHeight="1">
      <c r="A124" s="673"/>
      <c r="B124" s="145" t="s">
        <v>1372</v>
      </c>
      <c r="G124" s="145"/>
      <c r="H124" s="145"/>
      <c r="I124" s="145"/>
      <c r="J124" s="145"/>
      <c r="K124" s="749"/>
      <c r="L124" s="145"/>
      <c r="M124" s="192">
        <f>+GETPIVOTDATA("Sum of Amount",'Pivot 2025'!$A$3,"FSL1","Profit and Loss","FSL2","Operating Costs","FSL3","GRC-Total Direct Costs")+GETPIVOTDATA("Sum of Amount",'Pivot 2025'!$A$3,"FSL1","Profit and Loss","FSL2","Operating Costs","FSL3","GLJ-ILRF : FTH Campaign")+GETPIVOTDATA("Sum of Amount",'Pivot 2025'!$A$3,"FSL1","Profit and Loss","FSL2","Operating Costs","FSL3","GLJ-ILRF : OBS-B.5.16-all program")</f>
        <v>425572</v>
      </c>
      <c r="N124" s="190"/>
      <c r="O124" s="193">
        <v>1419458</v>
      </c>
      <c r="P124" s="605"/>
      <c r="R124" s="176"/>
      <c r="S124" s="150"/>
      <c r="T124" s="194"/>
    </row>
    <row r="125" spans="1:33" ht="13.5" customHeight="1">
      <c r="A125" s="673"/>
      <c r="B125" s="145" t="s">
        <v>1221</v>
      </c>
      <c r="G125" s="145"/>
      <c r="H125" s="145"/>
      <c r="I125" s="145"/>
      <c r="J125" s="145"/>
      <c r="K125" s="749"/>
      <c r="L125" s="145"/>
      <c r="M125" s="192">
        <f>ROUND(+GETPIVOTDATA("Sum of Amount",'Pivot 2025'!$A$3,"FSL1","Profit and Loss","FSL2","Operating Costs","FSL3","Glj-Ilrf: Consumption Survey")+GETPIVOTDATA("Sum of Amount",'Pivot 2025'!$A$3,"FSL1","Profit and Loss","FSL2","Operating Costs","FSL3","Glj-Ilrf: Translation Of Interview Guide In Urdu")+GETPIVOTDATA("Sum of Amount",'Pivot 2025'!$A$3,"FSL1","Profit and Loss","FSL2","Operating Costs","FSL3","Glj-Ilrf:Meetings")+GETPIVOTDATA("Sum of Amount",'Pivot 2025'!$A$3,"FSL1","Profit and Loss","FSL2","Operating Costs","FSL3","Ngo Overhead","FSL 4","Glj-Ilrf:"),0)+GETPIVOTDATA("Sum of Amount",'Pivot 2025'!$A$3,"FSL1","Profit and Loss","FSL2","Operating Costs","FSL3","GLJ-ILRF:Global event interpreter")+GETPIVOTDATA("Sum of Amount",'Pivot 2025'!$A$3,"FSL1","Profit and Loss","FSL2","Operating Costs","FSL3","GLJ-ILRF: JEL trainings &amp; Natl seminars etc")+GETPIVOTDATA("Sum of Amount",'Pivot 2025'!$A$3,"FSL1","Profit and Loss","FSL2","Operating Costs","FSL3","GLJ-ILRF: GBVH campaign")</f>
        <v>1426326</v>
      </c>
      <c r="N125" s="190"/>
      <c r="O125" s="193">
        <v>48847</v>
      </c>
      <c r="P125" s="605"/>
      <c r="R125" s="176"/>
      <c r="S125" s="150"/>
      <c r="T125" s="194"/>
    </row>
    <row r="126" spans="1:33" ht="14.15" customHeight="1">
      <c r="A126" s="673"/>
      <c r="B126" s="145" t="s">
        <v>1280</v>
      </c>
      <c r="G126" s="145"/>
      <c r="H126" s="145"/>
      <c r="I126" s="145"/>
      <c r="J126" s="145"/>
      <c r="K126" s="749"/>
      <c r="L126" s="145"/>
      <c r="M126" s="192">
        <f>GETPIVOTDATA("Sum of Amount",'Pivot 2025'!$A$3,"FSL1","Profit and Loss","FSL2","Operating Costs","FSL3","GRC- Project Management Cost","FSL 4","GRC- Project Management Cost")+GETPIVOTDATA("Sum of Amount",'Pivot 2025'!$A$3,"FSL1","Profit and Loss","FSL2","Operating Costs","FSL3","GRC-B.1.1#EOBI Contribution")+GETPIVOTDATA("Sum of Amount",'Pivot 2025'!$A$3,"FSL1","Profit and Loss","FSL2","Operating Costs","FSL3","GRC-8.2.4 # Facilitators fee")+GETPIVOTDATA("Sum of Amount",'Pivot 2025'!$A$3,"FSL1","Profit and Loss","FSL2","Operating Costs","FSL3","GRC-8.2.1 # Venue, including food and drinks")+GETPIVOTDATA("Sum of Amount",'Pivot 2025'!$A$3,"FSL1","Profit and Loss","FSL2","Operating Costs","FSL3","GRC-8.2.3 # Accommodation for participants")+GETPIVOTDATA("Sum of Amount",'Pivot 2025'!$A$3,"FSL1","Profit and Loss","FSL2","Operating Costs","FSL3","GRC-8.1.3 # Training workshops   ")+GETPIVOTDATA("Sum of Amount",'Pivot 2025'!$A$3,"FSL1","Profit and Loss","FSL2","Operating Costs","FSL3","GRC-Total Direct Costs")+1558</f>
        <v>4398349</v>
      </c>
      <c r="N126" s="190"/>
      <c r="O126" s="193">
        <v>2691092.57</v>
      </c>
      <c r="P126" s="605"/>
      <c r="R126" s="176"/>
      <c r="S126" s="150"/>
      <c r="T126" s="194"/>
    </row>
    <row r="127" spans="1:33" ht="18" hidden="1" customHeight="1">
      <c r="A127" s="673"/>
      <c r="B127" s="145" t="s">
        <v>1222</v>
      </c>
      <c r="G127" s="145"/>
      <c r="H127" s="145"/>
      <c r="I127" s="145"/>
      <c r="J127" s="145"/>
      <c r="K127" s="749"/>
      <c r="L127" s="145"/>
      <c r="M127" s="192">
        <v>0</v>
      </c>
      <c r="N127" s="190"/>
      <c r="O127" s="193">
        <v>0</v>
      </c>
      <c r="P127" s="605"/>
      <c r="R127" s="176"/>
      <c r="S127" s="150"/>
      <c r="T127" s="194"/>
    </row>
    <row r="128" spans="1:33" ht="22" hidden="1" customHeight="1">
      <c r="A128" s="673"/>
      <c r="B128" s="145" t="s">
        <v>1223</v>
      </c>
      <c r="G128" s="145"/>
      <c r="H128" s="145"/>
      <c r="I128" s="145"/>
      <c r="J128" s="145"/>
      <c r="K128" s="749"/>
      <c r="L128" s="145"/>
      <c r="M128" s="192">
        <v>0</v>
      </c>
      <c r="N128" s="190"/>
      <c r="O128" s="193">
        <v>0</v>
      </c>
      <c r="P128" s="605"/>
      <c r="R128" s="176"/>
      <c r="S128" s="150"/>
      <c r="T128" s="194"/>
    </row>
    <row r="129" spans="1:30" ht="14.15" hidden="1" customHeight="1">
      <c r="A129" s="673"/>
      <c r="B129" s="145" t="s">
        <v>1224</v>
      </c>
      <c r="G129" s="145"/>
      <c r="H129" s="145"/>
      <c r="I129" s="145"/>
      <c r="J129" s="145"/>
      <c r="K129" s="749"/>
      <c r="L129" s="145"/>
      <c r="M129" s="192">
        <v>0</v>
      </c>
      <c r="N129" s="190"/>
      <c r="O129" s="193">
        <v>0</v>
      </c>
      <c r="P129" s="605"/>
      <c r="R129" s="176"/>
      <c r="S129" s="150"/>
      <c r="T129" s="194"/>
    </row>
    <row r="130" spans="1:30" ht="14.15" customHeight="1">
      <c r="A130" s="673"/>
      <c r="B130" s="145" t="s">
        <v>2007</v>
      </c>
      <c r="G130" s="145"/>
      <c r="H130" s="145"/>
      <c r="I130" s="145"/>
      <c r="J130" s="145"/>
      <c r="K130" s="749"/>
      <c r="L130" s="145"/>
      <c r="M130" s="192">
        <f>GETPIVOTDATA("Sum of Amount",'Pivot 2025'!$A$3,"FSL1","Profit and Loss","FSL2","Operating Costs","FSL3","LBL#1-Surveyor Cost","FSL 4","LBL#1-Surveyor Cost")+GETPIVOTDATA("Sum of Amount",'Pivot 2025'!$A$3,"FSL1","Profit and Loss","FSL2","Operating Costs","FSL3","Software expense","FSL 4","Software expense")</f>
        <v>572290</v>
      </c>
      <c r="N130" s="190"/>
      <c r="O130" s="193">
        <v>0</v>
      </c>
      <c r="P130" s="150"/>
      <c r="R130" s="150"/>
      <c r="S130" s="150"/>
      <c r="T130" s="161"/>
    </row>
    <row r="131" spans="1:30" ht="14.15" customHeight="1">
      <c r="A131" s="673"/>
      <c r="B131" s="145" t="s">
        <v>2008</v>
      </c>
      <c r="G131" s="145"/>
      <c r="H131" s="145"/>
      <c r="I131" s="145"/>
      <c r="J131" s="145"/>
      <c r="K131" s="750"/>
      <c r="L131" s="145"/>
      <c r="M131" s="437">
        <f>GETPIVOTDATA("Sum of Amount",'Pivot 2025'!$A$3,"FSL1","Profit and Loss","FSL2","Operating Costs","FSL3","ABA-2.1-(a)#Campaign Help Prevent Child-Ground transport for Staff")+GETPIVOTDATA("Sum of Amount",'Pivot 2025'!$A$3,"FSL1","Profit and Loss","FSL2","Operating Costs","FSL3","ABA-2.1-(e)#Campaign Help Prevent Child-Refreshment")+GETPIVOTDATA("Sum of Amount",'Pivot 2025'!$A$3,"FSL1","Profit and Loss","FSL2","Operating Costs","FSL3","ABA#Transport Expenses")+GETPIVOTDATA("Sum of Amount",'Pivot 2025'!$A$3,"FSL1","Profit and Loss","FSL2","Operating Costs","FSL3","ABA#Printing &amp; Stationery Expenses")+GETPIVOTDATA("Sum of Amount",'Pivot 2025'!$A$3,"FSL1","Profit and Loss","FSL2","Operating Costs","FSL3","ABA#Food/Refreshment Expenses")+GETPIVOTDATA("Sum of Amount",'Pivot 2025'!$A$3,"FSL1","Profit and Loss","FSL2","Operating Costs","FSL3","ABA#1.1-Identify Law and Policy Proposals through Legal Mapping of Traffficking,Child Protection &amp; L")+GETPIVOTDATA("Sum of Amount",'Pivot 2025'!$A$3,"FSL1","Profit and Loss","FSL2","Operating Costs","FSL3","ABA#  Child safeguarding Policy by reviewing relevant laws &amp; UN guiding principles")+GETPIVOTDATA("Sum of Amount",'Pivot 2025'!$A$3,"FSL1","Profit and Loss","FSL2","Operating Costs","FSL3","ABA#  Child safeguarding Policy by reviewing relevant laws &amp; UN guiding principles","FSL 4","ABA#  Child safeguarding Policy by reviewing relevant laws &amp; UN guiding principles")+GETPIVOTDATA("Sum of Amount",'Pivot 2025'!$A$3,"FSL1","Profit and Loss","FSL2","Operating Costs","FSL3","LBL#1-Surveyor Cost","FSL 4","LBL#1-Surveyor Cost")</f>
        <v>797972</v>
      </c>
      <c r="N131" s="190"/>
      <c r="O131" s="195">
        <v>0</v>
      </c>
      <c r="P131" s="150"/>
      <c r="R131" s="150"/>
      <c r="S131" s="150"/>
      <c r="T131" s="161"/>
    </row>
    <row r="132" spans="1:30" ht="13.5" customHeight="1">
      <c r="A132" s="673"/>
      <c r="B132" s="266"/>
      <c r="D132" s="163"/>
      <c r="E132" s="163"/>
      <c r="G132" s="145"/>
      <c r="H132" s="145"/>
      <c r="I132" s="145"/>
      <c r="J132" s="145"/>
      <c r="K132" s="150">
        <f>ROUND(SUM(K110:L131),0)</f>
        <v>0</v>
      </c>
      <c r="L132" s="145"/>
      <c r="M132" s="150">
        <f>ROUND(SUM(M110:N131),0)</f>
        <v>16942874</v>
      </c>
      <c r="O132" s="150">
        <v>10213660</v>
      </c>
      <c r="P132" s="159" t="e">
        <f>+#REF!+#REF!+#REF!+#REF!+#REF!+#REF!+P111+#REF!+#REF!+#REF!+#REF!+#REF!+#REF!+#REF!+#REF!+#REF!+#REF!+#REF!+#REF!+#REF!+#REF!+#REF!+#REF!</f>
        <v>#REF!</v>
      </c>
      <c r="R132" s="149" t="e">
        <f>+#REF!+#REF!+#REF!+#REF!+#REF!+R111+#REF!+#REF!+#REF!+#REF!+#REF!+#REF!+#REF!+#REF!+#REF!+#REF!+#REF!+#REF!+#REF!+#REF!+#REF!</f>
        <v>#REF!</v>
      </c>
      <c r="T132" s="149" t="e">
        <f>+#REF!+#REF!+#REF!+#REF!+#REF!+#REF!+T111+#REF!+#REF!+#REF!+#REF!+#REF!+#REF!+#REF!+#REF!+#REF!+#REF!+#REF!+#REF!</f>
        <v>#REF!</v>
      </c>
      <c r="U132" s="145">
        <v>31628147</v>
      </c>
      <c r="V132" s="145" t="e">
        <f>U132-T132</f>
        <v>#REF!</v>
      </c>
    </row>
    <row r="133" spans="1:30" s="166" customFormat="1" ht="13.5" customHeight="1">
      <c r="A133" s="673"/>
      <c r="B133" s="697" t="s">
        <v>578</v>
      </c>
      <c r="C133" s="145"/>
      <c r="D133" s="163"/>
      <c r="E133" s="163"/>
      <c r="O133" s="197"/>
      <c r="P133" s="197"/>
      <c r="Q133" s="150"/>
      <c r="R133" s="197"/>
      <c r="S133" s="149"/>
      <c r="T133" s="149"/>
      <c r="AA133" s="166">
        <f>SUM(AA134:AA138)</f>
        <v>5328329</v>
      </c>
    </row>
    <row r="134" spans="1:30" s="166" customFormat="1" ht="13.5" customHeight="1">
      <c r="A134" s="673"/>
      <c r="B134" s="671" t="s">
        <v>579</v>
      </c>
      <c r="C134" s="145"/>
      <c r="E134" s="163"/>
      <c r="K134" s="751"/>
      <c r="M134" s="175">
        <f>ROUND(GETPIVOTDATA("Sum of Amount",'Pivot 2025'!$A$3,"FSL1","Profit and Loss","FSL2","Operating Costs","FSL3","Salary, Wages And Benefits")+GETPIVOTDATA("Sum of Amount",'Pivot 2025'!$A$3,"FSL1","Profit and Loss","FSL2","Operating Costs","FSL3","Staff Overtime"),0)+GETPIVOTDATA("Sum of Amount",'Pivot 2025'!$A$3,"FSL1","Profit and Loss","FSL2","Operating Costs","FSL3","Salary, Wages And Benefits:")</f>
        <v>8343587</v>
      </c>
      <c r="O134" s="175">
        <v>5328329</v>
      </c>
      <c r="P134" s="175">
        <v>17530283</v>
      </c>
      <c r="Q134" s="150"/>
      <c r="R134" s="175" t="e">
        <v>#REF!</v>
      </c>
      <c r="S134" s="149"/>
      <c r="T134" s="175">
        <v>15234820</v>
      </c>
      <c r="U134" s="166" t="e">
        <f>+R134-T134</f>
        <v>#REF!</v>
      </c>
      <c r="W134" s="198" t="s">
        <v>580</v>
      </c>
      <c r="AA134" s="166">
        <v>315120</v>
      </c>
    </row>
    <row r="135" spans="1:30" s="166" customFormat="1" ht="13.5" customHeight="1">
      <c r="A135" s="673"/>
      <c r="B135" s="671" t="s">
        <v>581</v>
      </c>
      <c r="C135" s="145"/>
      <c r="D135" s="163"/>
      <c r="E135" s="163"/>
      <c r="K135" s="752"/>
      <c r="M135" s="177">
        <f>ROUND(GETPIVOTDATA("Sum of Amount",'Pivot 2025'!$A$3,"FSL1","Profit and Loss","FSL2","Operating Costs","FSL3","Salary, Wages And Benefits: Staff Welfare"),0)</f>
        <v>352519</v>
      </c>
      <c r="O135" s="177">
        <v>310928</v>
      </c>
      <c r="P135" s="177">
        <v>469217</v>
      </c>
      <c r="Q135" s="150"/>
      <c r="R135" s="177" t="e">
        <v>#REF!</v>
      </c>
      <c r="S135" s="149"/>
      <c r="T135" s="177">
        <v>840096</v>
      </c>
      <c r="AA135" s="166">
        <v>4999709</v>
      </c>
    </row>
    <row r="136" spans="1:30" s="166" customFormat="1" ht="13.5" customHeight="1">
      <c r="A136" s="673"/>
      <c r="B136" s="679"/>
      <c r="C136" s="196"/>
      <c r="D136" s="145"/>
      <c r="E136" s="163"/>
      <c r="F136" s="163"/>
      <c r="K136" s="149">
        <f>SUM(K134:K135)</f>
        <v>0</v>
      </c>
      <c r="M136" s="149">
        <f>SUM(M134:M135)</f>
        <v>8696106</v>
      </c>
      <c r="O136" s="149">
        <f>SUM(O134:O135)</f>
        <v>5639257</v>
      </c>
      <c r="P136" s="149">
        <f>SUM(P134:P135)</f>
        <v>17999500</v>
      </c>
      <c r="Q136" s="150"/>
      <c r="R136" s="149" t="e">
        <f>SUM(R134:R135)</f>
        <v>#REF!</v>
      </c>
      <c r="S136" s="149"/>
      <c r="T136" s="149">
        <f>SUM(T134:T135)</f>
        <v>16074916</v>
      </c>
      <c r="W136" s="145" t="s">
        <v>582</v>
      </c>
      <c r="X136" s="145"/>
      <c r="Y136" s="145"/>
      <c r="Z136" s="145" t="e">
        <f>#REF!</f>
        <v>#REF!</v>
      </c>
      <c r="AA136" s="145">
        <v>13500</v>
      </c>
      <c r="AB136" s="145"/>
    </row>
    <row r="137" spans="1:30" s="166" customFormat="1" ht="13.5" customHeight="1">
      <c r="A137" s="673"/>
      <c r="B137" s="679"/>
      <c r="C137" s="196"/>
      <c r="D137" s="145"/>
      <c r="E137" s="163"/>
      <c r="F137" s="163"/>
      <c r="P137" s="149"/>
      <c r="Q137" s="150"/>
      <c r="R137" s="149"/>
      <c r="S137" s="149"/>
      <c r="T137" s="149"/>
      <c r="W137" s="145"/>
      <c r="X137" s="145" t="s">
        <v>583</v>
      </c>
      <c r="Y137" s="145"/>
      <c r="Z137" s="145"/>
      <c r="AA137" s="145"/>
      <c r="AB137" s="145"/>
    </row>
    <row r="138" spans="1:30" s="166" customFormat="1" ht="13.5" customHeight="1" thickBot="1">
      <c r="A138" s="673"/>
      <c r="B138" s="679"/>
      <c r="C138" s="151"/>
      <c r="E138" s="163"/>
      <c r="F138" s="163"/>
      <c r="K138" s="158">
        <f>K136+K132</f>
        <v>0</v>
      </c>
      <c r="M138" s="158">
        <f>M136+M132</f>
        <v>25638980</v>
      </c>
      <c r="O138" s="158">
        <f>O136+O132</f>
        <v>15852917</v>
      </c>
      <c r="P138" s="158" t="e">
        <f>P136+P132</f>
        <v>#REF!</v>
      </c>
      <c r="Q138" s="159"/>
      <c r="R138" s="158" t="e">
        <f>R136+R132</f>
        <v>#REF!</v>
      </c>
      <c r="S138" s="168"/>
      <c r="T138" s="158" t="e">
        <f>T136+T132</f>
        <v>#REF!</v>
      </c>
      <c r="W138" s="145" t="s">
        <v>1416</v>
      </c>
      <c r="X138" s="145"/>
      <c r="Y138" s="145"/>
      <c r="Z138" s="145"/>
      <c r="AA138" s="145"/>
      <c r="AB138" s="145"/>
    </row>
    <row r="139" spans="1:30" s="166" customFormat="1" ht="13.5" customHeight="1" thickTop="1">
      <c r="A139" s="673"/>
      <c r="B139" s="679"/>
      <c r="C139" s="151"/>
      <c r="E139" s="163"/>
      <c r="F139" s="163"/>
      <c r="G139" s="159"/>
      <c r="H139" s="159"/>
      <c r="I139" s="159"/>
      <c r="J139" s="159"/>
      <c r="P139" s="169"/>
      <c r="Q139" s="159"/>
      <c r="R139" s="159"/>
      <c r="S139" s="168"/>
    </row>
    <row r="140" spans="1:30" ht="13.5" customHeight="1">
      <c r="A140" s="676">
        <f>A107+1</f>
        <v>12</v>
      </c>
      <c r="B140" s="270" t="s">
        <v>584</v>
      </c>
      <c r="C140" s="212"/>
      <c r="D140" s="266"/>
      <c r="E140" s="266"/>
      <c r="F140" s="212"/>
      <c r="G140" s="212"/>
      <c r="H140" s="212"/>
      <c r="I140" s="212"/>
      <c r="J140" s="212"/>
      <c r="K140" s="212"/>
      <c r="L140" s="212"/>
      <c r="M140" s="212"/>
      <c r="N140" s="212"/>
      <c r="O140" s="212"/>
      <c r="P140" s="148" t="s">
        <v>460</v>
      </c>
      <c r="Q140" s="164"/>
      <c r="R140" s="148" t="s">
        <v>460</v>
      </c>
      <c r="S140" s="148"/>
      <c r="T140" s="148" t="s">
        <v>460</v>
      </c>
    </row>
    <row r="141" spans="1:30" ht="13.5" customHeight="1">
      <c r="A141" s="676"/>
      <c r="B141" s="270"/>
      <c r="C141" s="212"/>
      <c r="D141" s="266"/>
      <c r="E141" s="266"/>
      <c r="F141" s="212"/>
      <c r="G141" s="212"/>
      <c r="H141" s="212"/>
      <c r="I141" s="212"/>
      <c r="J141" s="212"/>
      <c r="K141" s="266"/>
      <c r="L141" s="266"/>
      <c r="M141" s="266"/>
      <c r="N141" s="714"/>
      <c r="O141" s="714"/>
      <c r="T141" s="149"/>
    </row>
    <row r="142" spans="1:30" ht="13.5" customHeight="1">
      <c r="A142" s="673"/>
      <c r="B142" s="680" t="s">
        <v>365</v>
      </c>
      <c r="C142" s="212"/>
      <c r="D142" s="669"/>
      <c r="E142" s="669"/>
      <c r="F142" s="212"/>
      <c r="G142" s="212"/>
      <c r="H142" s="212"/>
      <c r="I142" s="717">
        <f>+B170</f>
        <v>12.1</v>
      </c>
      <c r="J142" s="212"/>
      <c r="L142" s="717"/>
      <c r="M142" s="715">
        <f>ROUND(GETPIVOTDATA("Sum of Amount",'Pivot 2025'!$A$3,"FSL1","Profit and Loss","FSL2","Administrative And General Expenses","FSL3","Salary, Wages And Benefits","FSL 4","Salary, Wages And Benefits"),0)</f>
        <v>1991332</v>
      </c>
      <c r="N142" s="714"/>
      <c r="O142" s="714">
        <v>1453502</v>
      </c>
      <c r="P142" s="149">
        <v>7749170</v>
      </c>
      <c r="R142" s="149" t="e">
        <v>#REF!</v>
      </c>
      <c r="T142" s="149">
        <v>19768945</v>
      </c>
      <c r="V142" s="145" t="e">
        <f>+R142+R136</f>
        <v>#REF!</v>
      </c>
      <c r="W142" s="145">
        <f>T136+T142</f>
        <v>35843861</v>
      </c>
      <c r="X142" s="145" t="e">
        <f>#REF!</f>
        <v>#REF!</v>
      </c>
      <c r="AD142" s="354"/>
    </row>
    <row r="143" spans="1:30" ht="13.5" customHeight="1">
      <c r="A143" s="673"/>
      <c r="B143" s="680" t="s">
        <v>366</v>
      </c>
      <c r="C143" s="212"/>
      <c r="D143" s="669"/>
      <c r="E143" s="669"/>
      <c r="F143" s="212"/>
      <c r="G143" s="212"/>
      <c r="H143" s="212"/>
      <c r="I143" s="212"/>
      <c r="J143" s="212"/>
      <c r="K143" s="669"/>
      <c r="L143" s="669"/>
      <c r="M143" s="716">
        <f>ROUND(GETPIVOTDATA("Sum of Amount",'Pivot 2025'!$A$3,"FSL1","Profit and Loss","FSL2","Administrative And General Expenses","FSL3","Electricity, Gas And Water","FSL 4","Electricity, Gas And Water"),0)</f>
        <v>970951</v>
      </c>
      <c r="N143" s="714"/>
      <c r="O143" s="714">
        <v>380573</v>
      </c>
      <c r="P143" s="149" t="e">
        <v>#REF!</v>
      </c>
      <c r="R143" s="149" t="e">
        <v>#REF!</v>
      </c>
      <c r="T143" s="149">
        <v>1281477</v>
      </c>
      <c r="V143" s="145" t="e">
        <f>+V142*W143</f>
        <v>#REF!</v>
      </c>
      <c r="W143" s="199" t="e">
        <f>+#REF!/W142</f>
        <v>#REF!</v>
      </c>
      <c r="AD143" s="354"/>
    </row>
    <row r="144" spans="1:30" ht="13.5" customHeight="1">
      <c r="A144" s="673"/>
      <c r="B144" s="680" t="s">
        <v>367</v>
      </c>
      <c r="C144" s="212"/>
      <c r="D144" s="669"/>
      <c r="E144" s="669"/>
      <c r="F144" s="212"/>
      <c r="G144" s="212"/>
      <c r="H144" s="212"/>
      <c r="I144" s="212"/>
      <c r="J144" s="212"/>
      <c r="K144" s="669"/>
      <c r="L144" s="669"/>
      <c r="M144" s="716">
        <f>ROUND(GETPIVOTDATA("Sum of Amount",'Pivot 2025'!$A$3,"FSL1","Profit and Loss","FSL2","Administrative And General Expenses","FSL3","Telephone","FSL 4","Telephone"),0)</f>
        <v>211040</v>
      </c>
      <c r="N144" s="714"/>
      <c r="O144" s="714">
        <v>29690</v>
      </c>
      <c r="P144" s="149" t="e">
        <v>#REF!</v>
      </c>
      <c r="R144" s="149" t="e">
        <v>#REF!</v>
      </c>
      <c r="T144" s="149">
        <v>590475</v>
      </c>
      <c r="W144" s="145" t="e">
        <f>R142-T142</f>
        <v>#REF!</v>
      </c>
      <c r="AD144" s="354"/>
    </row>
    <row r="145" spans="1:30" ht="13.5" customHeight="1">
      <c r="A145" s="673"/>
      <c r="B145" s="680" t="s">
        <v>368</v>
      </c>
      <c r="C145" s="212"/>
      <c r="D145" s="669"/>
      <c r="E145" s="669"/>
      <c r="F145" s="212"/>
      <c r="G145" s="212"/>
      <c r="H145" s="212"/>
      <c r="I145" s="212"/>
      <c r="J145" s="212"/>
      <c r="K145" s="669"/>
      <c r="L145" s="669"/>
      <c r="M145" s="716">
        <f>ROUND(GETPIVOTDATA("Sum of Amount",'Pivot 2025'!$A$3,"FSL1","Profit and Loss","FSL2","Administrative And General Expenses","FSL3","Travelling, Vehicle And Generator Fuel","FSL 4","Travelling, Vehicle And Generator Fuel"),0)</f>
        <v>509508</v>
      </c>
      <c r="N145" s="714"/>
      <c r="O145" s="714">
        <v>595112</v>
      </c>
      <c r="P145" s="149" t="e">
        <v>#REF!</v>
      </c>
      <c r="R145" s="149" t="e">
        <v>#REF!</v>
      </c>
      <c r="T145" s="149">
        <v>3110163.9299999997</v>
      </c>
      <c r="V145" s="200">
        <v>424219.79</v>
      </c>
      <c r="AD145" s="354"/>
    </row>
    <row r="146" spans="1:30" ht="13.5" customHeight="1">
      <c r="A146" s="673"/>
      <c r="B146" s="680" t="s">
        <v>373</v>
      </c>
      <c r="C146" s="212"/>
      <c r="D146" s="669"/>
      <c r="E146" s="669"/>
      <c r="F146" s="212"/>
      <c r="G146" s="212"/>
      <c r="H146" s="212"/>
      <c r="I146" s="212"/>
      <c r="J146" s="212"/>
      <c r="K146" s="669"/>
      <c r="L146" s="669"/>
      <c r="M146" s="716">
        <f>ROUND(GETPIVOTDATA("Sum of Amount",'Pivot 2025'!$A$3,"FSL1","Profit and Loss","FSL2","Administrative And General Expenses","FSL3","Vehicle Insurance","FSL 4","Vehicle Insurance"),0)</f>
        <v>1239</v>
      </c>
      <c r="N146" s="714"/>
      <c r="O146" s="714">
        <v>2113</v>
      </c>
      <c r="P146" s="149" t="e">
        <v>#REF!</v>
      </c>
      <c r="R146" s="149" t="e">
        <v>#REF!</v>
      </c>
      <c r="T146" s="149">
        <v>218876</v>
      </c>
      <c r="AD146" s="354"/>
    </row>
    <row r="147" spans="1:30" ht="13.5" hidden="1" customHeight="1">
      <c r="A147" s="673"/>
      <c r="B147" s="680" t="s">
        <v>585</v>
      </c>
      <c r="C147" s="212"/>
      <c r="D147" s="669"/>
      <c r="E147" s="669"/>
      <c r="F147" s="212"/>
      <c r="G147" s="212"/>
      <c r="H147" s="212"/>
      <c r="I147" s="212"/>
      <c r="J147" s="212"/>
      <c r="K147" s="669"/>
      <c r="L147" s="669"/>
      <c r="M147" s="716">
        <v>0</v>
      </c>
      <c r="N147" s="714"/>
      <c r="O147" s="714">
        <v>0</v>
      </c>
      <c r="P147" s="149">
        <v>0</v>
      </c>
      <c r="R147" s="149" t="e">
        <v>#REF!</v>
      </c>
      <c r="T147" s="149">
        <v>0</v>
      </c>
      <c r="AD147" s="354"/>
    </row>
    <row r="148" spans="1:30" ht="13.5" customHeight="1">
      <c r="A148" s="673"/>
      <c r="B148" s="680" t="s">
        <v>369</v>
      </c>
      <c r="C148" s="212"/>
      <c r="D148" s="669"/>
      <c r="E148" s="669"/>
      <c r="F148" s="212"/>
      <c r="G148" s="212"/>
      <c r="H148" s="212"/>
      <c r="I148" s="212"/>
      <c r="J148" s="212"/>
      <c r="K148" s="669"/>
      <c r="L148" s="669"/>
      <c r="M148" s="716">
        <f>ROUND(GETPIVOTDATA("Sum of Amount",'Pivot 2025'!$A$3,"FSL1","Profit and Loss","FSL2","Administrative And General Expenses","FSL3","Vehicle Maintenance","FSL 4","Vehicle Maintenance"),0)</f>
        <v>149345</v>
      </c>
      <c r="N148" s="714"/>
      <c r="O148" s="714">
        <v>122860</v>
      </c>
      <c r="P148" s="149" t="e">
        <v>#REF!</v>
      </c>
      <c r="R148" s="149" t="e">
        <v>#REF!</v>
      </c>
      <c r="T148" s="149">
        <v>389471</v>
      </c>
      <c r="AD148" s="354"/>
    </row>
    <row r="149" spans="1:30" ht="13.5" customHeight="1">
      <c r="A149" s="673"/>
      <c r="B149" s="681" t="s">
        <v>1411</v>
      </c>
      <c r="C149" s="212"/>
      <c r="D149" s="669"/>
      <c r="E149" s="669"/>
      <c r="F149" s="212"/>
      <c r="G149" s="212"/>
      <c r="H149" s="212"/>
      <c r="I149" s="212"/>
      <c r="J149" s="212"/>
      <c r="K149" s="669"/>
      <c r="L149" s="669"/>
      <c r="M149" s="716">
        <f>ROUND(GETPIVOTDATA("Sum of Amount",'Pivot 2025'!$A$3,"FSL1","Profit and Loss","FSL2","Administrative And General Expenses","FSL3","Equipment Repair Maintenance","FSL 4","Equipment Repair Maintenance"),0)</f>
        <v>901515</v>
      </c>
      <c r="N149" s="714"/>
      <c r="O149" s="714">
        <v>97847</v>
      </c>
      <c r="P149" s="149" t="e">
        <v>#REF!</v>
      </c>
      <c r="R149" s="149" t="e">
        <v>#REF!</v>
      </c>
      <c r="T149" s="149">
        <v>266613</v>
      </c>
      <c r="AD149" s="354"/>
    </row>
    <row r="150" spans="1:30" ht="13.5" customHeight="1">
      <c r="A150" s="673"/>
      <c r="B150" s="680" t="s">
        <v>374</v>
      </c>
      <c r="C150" s="212"/>
      <c r="D150" s="669"/>
      <c r="E150" s="669"/>
      <c r="F150" s="212"/>
      <c r="G150" s="212"/>
      <c r="H150" s="212"/>
      <c r="I150" s="212"/>
      <c r="J150" s="212"/>
      <c r="K150" s="669"/>
      <c r="L150" s="669"/>
      <c r="M150" s="716">
        <f>ROUND(GETPIVOTDATA("Sum of Amount",'Pivot 2025'!$A$3,"FSL1","Profit and Loss","FSL2","Administrative And General Expenses","FSL3","Postage And Internet","FSL 4","Postage And Internet"),0)</f>
        <v>7540</v>
      </c>
      <c r="N150" s="714"/>
      <c r="O150" s="714">
        <v>3030</v>
      </c>
      <c r="P150" s="149" t="e">
        <v>#REF!</v>
      </c>
      <c r="R150" s="149" t="e">
        <v>#REF!</v>
      </c>
      <c r="T150" s="149">
        <v>96507</v>
      </c>
      <c r="AD150" s="354"/>
    </row>
    <row r="151" spans="1:30" ht="13.5" customHeight="1">
      <c r="A151" s="673"/>
      <c r="B151" s="680" t="s">
        <v>377</v>
      </c>
      <c r="C151" s="212"/>
      <c r="D151" s="669"/>
      <c r="E151" s="669"/>
      <c r="F151" s="212"/>
      <c r="G151" s="212"/>
      <c r="H151" s="212"/>
      <c r="I151" s="212"/>
      <c r="J151" s="212"/>
      <c r="K151" s="669"/>
      <c r="L151" s="669"/>
      <c r="M151" s="716">
        <f>ROUND(GETPIVOTDATA("Sum of Amount",'Pivot 2025'!$A$3,"FSL1","Profit and Loss","FSL2","Administrative And General Expenses","FSL3","Legal And Professional Charges","FSL 4","Legal And Professional Charges"),0)</f>
        <v>397896</v>
      </c>
      <c r="N151" s="714"/>
      <c r="O151" s="714">
        <v>222338</v>
      </c>
      <c r="P151" s="149" t="e">
        <v>#REF!</v>
      </c>
      <c r="R151" s="149" t="e">
        <v>#REF!</v>
      </c>
      <c r="T151" s="149">
        <v>292227</v>
      </c>
      <c r="AD151" s="354"/>
    </row>
    <row r="152" spans="1:30" ht="13.5" customHeight="1">
      <c r="A152" s="673"/>
      <c r="B152" s="680" t="s">
        <v>378</v>
      </c>
      <c r="C152" s="212"/>
      <c r="D152" s="669"/>
      <c r="E152" s="669"/>
      <c r="F152" s="212"/>
      <c r="G152" s="212"/>
      <c r="H152" s="212"/>
      <c r="I152" s="717">
        <f>+B173</f>
        <v>12.2</v>
      </c>
      <c r="J152" s="212"/>
      <c r="L152" s="717"/>
      <c r="M152" s="716">
        <f>+GETPIVOTDATA("Sum of Amount",'Pivot 2025'!$A$3,"FSL1","Profit and Loss","FSL2","Administrative And General Expenses","FSL3","Auditors' Remuneration")</f>
        <v>432000</v>
      </c>
      <c r="N152" s="714"/>
      <c r="O152" s="714">
        <f>+O181</f>
        <v>432000</v>
      </c>
      <c r="P152" s="149" t="e">
        <v>#REF!</v>
      </c>
      <c r="R152" s="149" t="e">
        <v>#REF!</v>
      </c>
      <c r="T152" s="149">
        <v>481000</v>
      </c>
      <c r="AD152" s="354"/>
    </row>
    <row r="153" spans="1:30" ht="13.5" hidden="1" customHeight="1">
      <c r="A153" s="673"/>
      <c r="B153" s="680" t="s">
        <v>379</v>
      </c>
      <c r="C153" s="212"/>
      <c r="D153" s="669"/>
      <c r="E153" s="669"/>
      <c r="F153" s="212"/>
      <c r="G153" s="212"/>
      <c r="H153" s="212"/>
      <c r="I153" s="212"/>
      <c r="J153" s="212"/>
      <c r="K153" s="669"/>
      <c r="L153" s="669"/>
      <c r="M153" s="716">
        <v>0</v>
      </c>
      <c r="N153" s="714"/>
      <c r="O153" s="714">
        <v>0</v>
      </c>
      <c r="P153" s="149" t="e">
        <v>#REF!</v>
      </c>
      <c r="R153" s="149" t="e">
        <v>#REF!</v>
      </c>
      <c r="T153" s="149">
        <v>81000</v>
      </c>
      <c r="AD153" s="354"/>
    </row>
    <row r="154" spans="1:30" ht="13.5" customHeight="1">
      <c r="A154" s="673"/>
      <c r="B154" s="680" t="s">
        <v>375</v>
      </c>
      <c r="C154" s="212"/>
      <c r="D154" s="669"/>
      <c r="E154" s="669"/>
      <c r="F154" s="212"/>
      <c r="G154" s="212"/>
      <c r="H154" s="212"/>
      <c r="I154" s="212"/>
      <c r="J154" s="212"/>
      <c r="K154" s="669"/>
      <c r="L154" s="669"/>
      <c r="M154" s="716">
        <f>ROUND(GETPIVOTDATA("Sum of Amount",'Pivot 2025'!$A$3,"FSL1","Profit and Loss","FSL2","Administrative And General Expenses","FSL3","Stationery, Photocopies And Materials","FSL 4","Stationery, Photocopies And Materials"),0)</f>
        <v>216278</v>
      </c>
      <c r="N154" s="714"/>
      <c r="O154" s="714">
        <v>26364</v>
      </c>
      <c r="P154" s="149" t="e">
        <v>#REF!</v>
      </c>
      <c r="R154" s="149" t="e">
        <v>#REF!</v>
      </c>
      <c r="T154" s="149">
        <v>267096.25</v>
      </c>
      <c r="AD154" s="354"/>
    </row>
    <row r="155" spans="1:30" ht="13" hidden="1">
      <c r="A155" s="673"/>
      <c r="B155" s="681" t="s">
        <v>372</v>
      </c>
      <c r="C155" s="212"/>
      <c r="D155" s="669"/>
      <c r="E155" s="669"/>
      <c r="F155" s="212"/>
      <c r="G155" s="212"/>
      <c r="H155" s="212"/>
      <c r="I155" s="212"/>
      <c r="J155" s="212"/>
      <c r="K155" s="669"/>
      <c r="L155" s="669"/>
      <c r="M155" s="716">
        <v>0</v>
      </c>
      <c r="N155" s="714"/>
      <c r="O155" s="714">
        <v>0</v>
      </c>
      <c r="P155" s="149" t="e">
        <v>#REF!</v>
      </c>
      <c r="R155" s="149" t="e">
        <v>#REF!</v>
      </c>
      <c r="T155" s="201">
        <v>121179</v>
      </c>
      <c r="AD155" s="354"/>
    </row>
    <row r="156" spans="1:30" ht="13.5" customHeight="1">
      <c r="A156" s="673"/>
      <c r="B156" s="681" t="s">
        <v>370</v>
      </c>
      <c r="C156" s="212"/>
      <c r="D156" s="212"/>
      <c r="E156" s="212"/>
      <c r="F156" s="212"/>
      <c r="G156" s="212"/>
      <c r="H156" s="212"/>
      <c r="I156" s="212"/>
      <c r="J156" s="212"/>
      <c r="K156" s="669"/>
      <c r="L156" s="669"/>
      <c r="M156" s="716">
        <f>ROUND(GETPIVOTDATA("Sum of Amount",'Pivot 2025'!$A$3,"FSL1","Profit and Loss","FSL2","Administrative And General Expenses","FSL3","General Maintenance","FSL 4","General Maintenance"),0)+GETPIVOTDATA("Sum of Amount",'Pivot 2025'!$A$3,"FSL1","Profit and Loss","FSL2","Administrative And General Expenses","FSL3","Administrative And General Expenses")</f>
        <v>376210</v>
      </c>
      <c r="N156" s="714"/>
      <c r="O156" s="714">
        <v>20469</v>
      </c>
      <c r="P156" s="149" t="e">
        <v>#REF!</v>
      </c>
      <c r="R156" s="149" t="e">
        <v>#REF!</v>
      </c>
      <c r="T156" s="149">
        <v>62751</v>
      </c>
      <c r="AD156" s="354"/>
    </row>
    <row r="157" spans="1:30" ht="13.5" customHeight="1">
      <c r="A157" s="673"/>
      <c r="B157" s="681" t="s">
        <v>376</v>
      </c>
      <c r="C157" s="212"/>
      <c r="D157" s="212"/>
      <c r="E157" s="212"/>
      <c r="F157" s="212"/>
      <c r="G157" s="212"/>
      <c r="H157" s="212"/>
      <c r="I157" s="212"/>
      <c r="J157" s="212"/>
      <c r="K157" s="669"/>
      <c r="L157" s="669"/>
      <c r="M157" s="716">
        <f>ROUND(GETPIVOTDATA("Sum of Amount",'Pivot 2025'!$A$3,"FSL1","Profit and Loss","FSL2","Administrative And General Expenses","FSL3","Miscellaneous"),0)</f>
        <v>568067</v>
      </c>
      <c r="N157" s="714"/>
      <c r="O157" s="714">
        <f>140374-32000</f>
        <v>108374</v>
      </c>
      <c r="P157" s="149" t="e">
        <v>#REF!</v>
      </c>
      <c r="R157" s="149" t="e">
        <v>#REF!</v>
      </c>
      <c r="T157" s="149">
        <v>623636</v>
      </c>
      <c r="AD157" s="354"/>
    </row>
    <row r="158" spans="1:30" ht="13.5" hidden="1" customHeight="1">
      <c r="A158" s="673"/>
      <c r="B158" s="681" t="s">
        <v>380</v>
      </c>
      <c r="C158" s="212"/>
      <c r="D158" s="212"/>
      <c r="E158" s="212"/>
      <c r="F158" s="212"/>
      <c r="G158" s="212"/>
      <c r="H158" s="212"/>
      <c r="I158" s="212"/>
      <c r="J158" s="212"/>
      <c r="K158" s="669"/>
      <c r="L158" s="669"/>
      <c r="M158" s="716">
        <v>0</v>
      </c>
      <c r="N158" s="714"/>
      <c r="O158" s="714">
        <v>0</v>
      </c>
      <c r="P158" s="149" t="e">
        <v>#REF!</v>
      </c>
      <c r="R158" s="149" t="e">
        <v>#REF!</v>
      </c>
      <c r="T158" s="149">
        <v>286032</v>
      </c>
      <c r="AD158" s="354"/>
    </row>
    <row r="159" spans="1:30" ht="13.5" hidden="1" customHeight="1">
      <c r="A159" s="673"/>
      <c r="B159" s="681" t="s">
        <v>1417</v>
      </c>
      <c r="C159" s="212"/>
      <c r="D159" s="212"/>
      <c r="E159" s="212"/>
      <c r="F159" s="212"/>
      <c r="G159" s="212"/>
      <c r="H159" s="212"/>
      <c r="I159" s="212"/>
      <c r="J159" s="212"/>
      <c r="K159" s="669"/>
      <c r="L159" s="669"/>
      <c r="M159" s="716">
        <v>0</v>
      </c>
      <c r="N159" s="714"/>
      <c r="O159" s="714">
        <v>0</v>
      </c>
      <c r="P159" s="149">
        <v>31785</v>
      </c>
      <c r="R159" s="149" t="e">
        <v>#REF!</v>
      </c>
      <c r="T159" s="149">
        <v>2705</v>
      </c>
      <c r="AD159" s="354"/>
    </row>
    <row r="160" spans="1:30" ht="13.5" customHeight="1">
      <c r="A160" s="673"/>
      <c r="B160" s="681" t="s">
        <v>491</v>
      </c>
      <c r="C160" s="212"/>
      <c r="D160" s="212"/>
      <c r="E160" s="212"/>
      <c r="F160" s="212"/>
      <c r="G160" s="212"/>
      <c r="H160" s="212"/>
      <c r="I160" s="718">
        <f>+'PPE-Note-4'!A1</f>
        <v>5</v>
      </c>
      <c r="J160" s="212"/>
      <c r="L160" s="718"/>
      <c r="M160" s="716">
        <f>+GETPIVOTDATA("Sum of Amount",'Pivot 2025'!$A$3,"FSL1","Profit and Loss","FSL2","Administrative And General Expenses","FSL3","Depreciation Expenses")</f>
        <v>869984</v>
      </c>
      <c r="N160" s="714"/>
      <c r="O160" s="714">
        <v>935315</v>
      </c>
      <c r="P160" s="149" t="e">
        <v>#REF!</v>
      </c>
      <c r="R160" s="149" t="e">
        <f>+#REF!</f>
        <v>#REF!</v>
      </c>
      <c r="T160" s="145">
        <v>811557</v>
      </c>
      <c r="AD160" s="354"/>
    </row>
    <row r="161" spans="1:30" ht="13.5" customHeight="1">
      <c r="A161" s="673"/>
      <c r="B161" s="681" t="s">
        <v>586</v>
      </c>
      <c r="C161" s="212"/>
      <c r="D161" s="212"/>
      <c r="E161" s="212"/>
      <c r="F161" s="212"/>
      <c r="G161" s="212"/>
      <c r="H161" s="718"/>
      <c r="I161" s="718">
        <f>+A2</f>
        <v>6</v>
      </c>
      <c r="J161" s="718"/>
      <c r="L161" s="718"/>
      <c r="M161" s="716">
        <f>+GETPIVOTDATA("Sum of Amount",'Pivot 2025'!$A$3,"FSL1","Profit and Loss","FSL2","Administrative And General Expenses","FSL3","Amortisation","FSL 4","Amortisation Expenses")</f>
        <v>2907</v>
      </c>
      <c r="N161" s="714"/>
      <c r="O161" s="714">
        <v>4361</v>
      </c>
      <c r="P161" s="149">
        <v>37800</v>
      </c>
      <c r="R161" s="149">
        <v>0</v>
      </c>
      <c r="AD161" s="354"/>
    </row>
    <row r="162" spans="1:30" ht="13.5" hidden="1" customHeight="1">
      <c r="A162" s="673"/>
      <c r="B162" s="212" t="s">
        <v>587</v>
      </c>
      <c r="C162" s="212"/>
      <c r="D162" s="212"/>
      <c r="E162" s="212"/>
      <c r="F162" s="212"/>
      <c r="G162" s="212"/>
      <c r="H162" s="266"/>
      <c r="I162" s="266"/>
      <c r="J162" s="266"/>
      <c r="K162" s="266"/>
      <c r="L162" s="266"/>
      <c r="M162" s="716">
        <v>0</v>
      </c>
      <c r="N162" s="714"/>
      <c r="O162" s="212">
        <v>0</v>
      </c>
      <c r="P162" s="149">
        <v>0</v>
      </c>
      <c r="R162" s="149" t="e">
        <v>#REF!</v>
      </c>
      <c r="T162" s="149">
        <v>0</v>
      </c>
      <c r="AD162" s="354"/>
    </row>
    <row r="163" spans="1:30" ht="13.5" hidden="1" customHeight="1">
      <c r="A163" s="673"/>
      <c r="B163" s="212" t="s">
        <v>588</v>
      </c>
      <c r="C163" s="212"/>
      <c r="D163" s="212"/>
      <c r="E163" s="212"/>
      <c r="F163" s="212"/>
      <c r="G163" s="212"/>
      <c r="H163" s="266"/>
      <c r="I163" s="266"/>
      <c r="J163" s="266"/>
      <c r="K163" s="266"/>
      <c r="L163" s="266"/>
      <c r="M163" s="716">
        <v>0</v>
      </c>
      <c r="N163" s="714"/>
      <c r="O163" s="714">
        <v>0</v>
      </c>
      <c r="P163" s="149">
        <v>0</v>
      </c>
      <c r="R163" s="149" t="e">
        <v>#REF!</v>
      </c>
      <c r="T163" s="149">
        <v>0</v>
      </c>
      <c r="AD163" s="354"/>
    </row>
    <row r="164" spans="1:30" ht="13.5" customHeight="1">
      <c r="B164" s="212" t="s">
        <v>589</v>
      </c>
      <c r="C164" s="212"/>
      <c r="D164" s="212"/>
      <c r="E164" s="212"/>
      <c r="F164" s="212"/>
      <c r="G164" s="212"/>
      <c r="H164" s="212"/>
      <c r="I164" s="212"/>
      <c r="J164" s="212"/>
      <c r="K164" s="212"/>
      <c r="L164" s="212"/>
      <c r="M164" s="716">
        <f>ROUND(GETPIVOTDATA("Sum of Amount",'Pivot 2025'!$A$3,"FSL1","Profit and Loss","FSL2","Administrative And General Expenses","FSL3","Local Donation","FSL 4","Local Donation"),0)</f>
        <v>0</v>
      </c>
      <c r="N164" s="714"/>
      <c r="O164" s="714">
        <v>30000</v>
      </c>
      <c r="P164" s="149" t="e">
        <v>#REF!</v>
      </c>
      <c r="R164" s="149" t="e">
        <v>#REF!</v>
      </c>
      <c r="T164" s="125">
        <v>301712</v>
      </c>
      <c r="AD164" s="354"/>
    </row>
    <row r="165" spans="1:30" ht="13.5" hidden="1" customHeight="1">
      <c r="B165" s="212" t="s">
        <v>1209</v>
      </c>
      <c r="C165" s="212"/>
      <c r="D165" s="212"/>
      <c r="E165" s="212"/>
      <c r="F165" s="212"/>
      <c r="G165" s="212"/>
      <c r="H165" s="212"/>
      <c r="I165" s="212"/>
      <c r="J165" s="212"/>
      <c r="K165" s="212"/>
      <c r="L165" s="212"/>
      <c r="M165" s="716">
        <f>ROUND(GETPIVOTDATA("Sum of Amount",'Pivot 2025'!$A$3,"FSL1","Profit and Loss","FSL2","Administrative And General Expenses","FSL3","Advertising And Publication Expenses"),0)</f>
        <v>0</v>
      </c>
      <c r="N165" s="714"/>
      <c r="O165" s="714">
        <v>0</v>
      </c>
      <c r="T165" s="125"/>
      <c r="AD165" s="354"/>
    </row>
    <row r="166" spans="1:30" ht="13.5" hidden="1" customHeight="1">
      <c r="A166" s="673"/>
      <c r="B166" s="681" t="s">
        <v>1315</v>
      </c>
      <c r="C166" s="212"/>
      <c r="D166" s="212"/>
      <c r="E166" s="212"/>
      <c r="F166" s="212"/>
      <c r="G166" s="212"/>
      <c r="H166" s="669"/>
      <c r="I166" s="669"/>
      <c r="J166" s="669"/>
      <c r="K166" s="669"/>
      <c r="L166" s="669"/>
      <c r="M166" s="716">
        <f>+ROUND(GETPIVOTDATA("Sum of Amount",'Pivot 2025'!$A$3,"FSL1","Profit and Loss","FSL2","Administrative And General Expenses","FSL3","Ngo Overhead","FSL 4","Overhead"),0)</f>
        <v>0</v>
      </c>
      <c r="N166" s="714"/>
      <c r="O166" s="714">
        <v>0</v>
      </c>
      <c r="P166" s="149" t="e">
        <v>#REF!</v>
      </c>
      <c r="R166" s="149" t="e">
        <v>#REF!</v>
      </c>
      <c r="S166" s="150"/>
      <c r="T166" s="149">
        <v>821779</v>
      </c>
      <c r="AD166" s="354"/>
    </row>
    <row r="167" spans="1:30" ht="13">
      <c r="A167" s="673"/>
      <c r="B167" s="681"/>
      <c r="C167" s="212"/>
      <c r="D167" s="212"/>
      <c r="E167" s="212"/>
      <c r="F167" s="212"/>
      <c r="G167" s="212"/>
      <c r="H167" s="669"/>
      <c r="I167" s="669"/>
      <c r="J167" s="669"/>
      <c r="K167" s="669"/>
      <c r="L167" s="669"/>
      <c r="M167" s="669"/>
      <c r="N167" s="714"/>
      <c r="O167" s="714"/>
      <c r="S167" s="150"/>
      <c r="T167" s="149"/>
    </row>
    <row r="168" spans="1:30" ht="13.5" customHeight="1" thickBot="1">
      <c r="A168" s="673"/>
      <c r="B168" s="678"/>
      <c r="C168" s="212"/>
      <c r="D168" s="266"/>
      <c r="E168" s="266"/>
      <c r="F168" s="212"/>
      <c r="G168" s="212"/>
      <c r="H168" s="266"/>
      <c r="I168" s="266"/>
      <c r="J168" s="266"/>
      <c r="K168" s="266"/>
      <c r="L168" s="266"/>
      <c r="M168" s="719">
        <f>SUM(M142:M166)</f>
        <v>7605812</v>
      </c>
      <c r="N168" s="714"/>
      <c r="O168" s="719">
        <f>SUM(O142:O166)</f>
        <v>4463948</v>
      </c>
      <c r="P168" s="158" t="e">
        <f>SUM(P142:P166)</f>
        <v>#REF!</v>
      </c>
      <c r="Q168" s="159"/>
      <c r="R168" s="158" t="e">
        <f>SUM(R142:R166)</f>
        <v>#REF!</v>
      </c>
      <c r="S168" s="150"/>
      <c r="T168" s="158">
        <f>SUM(T142:T166)</f>
        <v>29875202.18</v>
      </c>
      <c r="AB168" s="145">
        <v>6873309</v>
      </c>
      <c r="AC168" s="145">
        <f>M168-AB168</f>
        <v>732503</v>
      </c>
    </row>
    <row r="169" spans="1:30" ht="13.5" customHeight="1" thickTop="1">
      <c r="A169" s="673"/>
      <c r="B169" s="678"/>
      <c r="C169" s="212"/>
      <c r="D169" s="266"/>
      <c r="E169" s="266"/>
      <c r="F169" s="212"/>
      <c r="G169" s="212"/>
      <c r="H169" s="266"/>
      <c r="I169" s="266"/>
      <c r="J169" s="266"/>
      <c r="K169" s="266"/>
      <c r="L169" s="266"/>
      <c r="M169" s="720"/>
      <c r="N169" s="714"/>
      <c r="O169" s="720"/>
      <c r="P169" s="159"/>
      <c r="Q169" s="159"/>
      <c r="R169" s="159"/>
      <c r="S169" s="150"/>
      <c r="T169" s="159"/>
    </row>
    <row r="170" spans="1:30" ht="13.5" customHeight="1">
      <c r="A170" s="673"/>
      <c r="B170" s="682">
        <f>+A140+0.1</f>
        <v>12.1</v>
      </c>
      <c r="C170" s="811" t="s">
        <v>2069</v>
      </c>
      <c r="D170" s="811"/>
      <c r="E170" s="811"/>
      <c r="F170" s="811"/>
      <c r="G170" s="811"/>
      <c r="H170" s="811"/>
      <c r="I170" s="811"/>
      <c r="J170" s="811"/>
      <c r="K170" s="811"/>
      <c r="L170" s="811"/>
      <c r="M170" s="811"/>
      <c r="N170" s="811"/>
      <c r="O170" s="811"/>
      <c r="P170" s="159"/>
      <c r="Q170" s="159"/>
      <c r="R170" s="159"/>
      <c r="S170" s="150"/>
      <c r="T170" s="159"/>
    </row>
    <row r="171" spans="1:30" ht="13.5" customHeight="1">
      <c r="A171" s="673"/>
      <c r="B171" s="678"/>
      <c r="C171" s="212"/>
      <c r="D171" s="266"/>
      <c r="E171" s="266"/>
      <c r="F171" s="212"/>
      <c r="G171" s="212"/>
      <c r="H171" s="266"/>
      <c r="I171" s="266"/>
      <c r="J171" s="266"/>
      <c r="K171" s="266"/>
      <c r="L171" s="266"/>
      <c r="M171" s="145"/>
      <c r="N171" s="145"/>
      <c r="O171" s="145"/>
      <c r="P171" s="159"/>
      <c r="Q171" s="159"/>
      <c r="R171" s="159"/>
      <c r="S171" s="150"/>
      <c r="T171" s="159"/>
    </row>
    <row r="172" spans="1:30" ht="13.5" customHeight="1">
      <c r="A172" s="673"/>
      <c r="B172" s="678"/>
      <c r="C172" s="212"/>
      <c r="D172" s="266"/>
      <c r="E172" s="266"/>
      <c r="F172" s="212"/>
      <c r="G172" s="212"/>
      <c r="H172" s="266"/>
      <c r="I172" s="266"/>
      <c r="J172" s="266"/>
      <c r="K172" s="5">
        <v>2026</v>
      </c>
      <c r="L172" s="266"/>
      <c r="M172" s="5">
        <v>2025</v>
      </c>
      <c r="N172" s="5"/>
      <c r="O172" s="5">
        <v>2024</v>
      </c>
      <c r="P172" s="159"/>
      <c r="Q172" s="159"/>
      <c r="R172" s="159"/>
      <c r="S172" s="150"/>
      <c r="T172" s="159"/>
    </row>
    <row r="173" spans="1:30" ht="13.5" customHeight="1">
      <c r="A173" s="673"/>
      <c r="B173" s="682">
        <f>+B170+0.1</f>
        <v>12.2</v>
      </c>
      <c r="C173" s="270" t="s">
        <v>378</v>
      </c>
      <c r="D173" s="266"/>
      <c r="E173" s="266"/>
      <c r="F173" s="212"/>
      <c r="G173" s="212"/>
      <c r="H173" s="266"/>
      <c r="I173" s="266"/>
      <c r="J173" s="266"/>
      <c r="K173" s="148" t="s">
        <v>460</v>
      </c>
      <c r="L173" s="266"/>
      <c r="M173" s="148" t="s">
        <v>460</v>
      </c>
      <c r="N173" s="145"/>
      <c r="O173" s="148" t="s">
        <v>460</v>
      </c>
      <c r="S173" s="172"/>
      <c r="T173" s="149"/>
    </row>
    <row r="174" spans="1:30" ht="13.5" customHeight="1">
      <c r="A174" s="673"/>
      <c r="B174" s="266"/>
      <c r="C174" s="212"/>
      <c r="D174" s="266"/>
      <c r="E174" s="266"/>
      <c r="F174" s="212"/>
      <c r="G174" s="212"/>
      <c r="H174" s="266"/>
      <c r="I174" s="266"/>
      <c r="J174" s="266"/>
      <c r="K174" s="266"/>
      <c r="L174" s="266"/>
      <c r="M174" s="266"/>
      <c r="N174" s="714"/>
      <c r="O174" s="266"/>
      <c r="S174" s="172"/>
      <c r="T174" s="149"/>
    </row>
    <row r="175" spans="1:30" ht="13.5" customHeight="1">
      <c r="A175" s="673"/>
      <c r="B175" s="266"/>
      <c r="C175" s="212" t="s">
        <v>591</v>
      </c>
      <c r="D175" s="266"/>
      <c r="E175" s="266"/>
      <c r="F175" s="212"/>
      <c r="G175" s="212"/>
      <c r="H175" s="266"/>
      <c r="I175" s="266"/>
      <c r="J175" s="266"/>
      <c r="K175" s="266"/>
      <c r="L175" s="266"/>
      <c r="M175" s="716">
        <v>375000</v>
      </c>
      <c r="N175" s="495"/>
      <c r="O175" s="716">
        <v>375000</v>
      </c>
      <c r="P175" s="204">
        <v>500000</v>
      </c>
      <c r="S175" s="172"/>
      <c r="T175" s="149"/>
      <c r="AB175" s="145">
        <f>+O175</f>
        <v>375000</v>
      </c>
    </row>
    <row r="176" spans="1:30" ht="13.5" customHeight="1">
      <c r="A176" s="673"/>
      <c r="B176" s="266"/>
      <c r="C176" s="212" t="s">
        <v>592</v>
      </c>
      <c r="D176" s="266"/>
      <c r="E176" s="266"/>
      <c r="F176" s="212"/>
      <c r="G176" s="212"/>
      <c r="H176" s="266"/>
      <c r="I176" s="266"/>
      <c r="J176" s="266"/>
      <c r="K176" s="266"/>
      <c r="L176" s="266"/>
      <c r="M176" s="716">
        <v>25000</v>
      </c>
      <c r="N176" s="495"/>
      <c r="O176" s="716">
        <v>25000</v>
      </c>
      <c r="P176" s="205">
        <v>70000</v>
      </c>
      <c r="S176" s="172"/>
      <c r="T176" s="149"/>
      <c r="AB176" s="145">
        <f>+O176</f>
        <v>25000</v>
      </c>
    </row>
    <row r="177" spans="1:28" ht="13.5" hidden="1" customHeight="1">
      <c r="A177" s="673"/>
      <c r="B177" s="266"/>
      <c r="C177" s="212"/>
      <c r="D177" s="266"/>
      <c r="E177" s="266"/>
      <c r="F177" s="212"/>
      <c r="G177" s="212"/>
      <c r="H177" s="266"/>
      <c r="I177" s="266"/>
      <c r="J177" s="266"/>
      <c r="K177" s="266"/>
      <c r="L177" s="266"/>
      <c r="M177" s="714">
        <f>+M175+M176</f>
        <v>400000</v>
      </c>
      <c r="N177" s="714"/>
      <c r="O177" s="714">
        <f>+O175+O176</f>
        <v>400000</v>
      </c>
      <c r="P177" s="149">
        <f>+P175+P176</f>
        <v>570000</v>
      </c>
      <c r="S177" s="172"/>
      <c r="T177" s="149"/>
    </row>
    <row r="178" spans="1:28" ht="13.5" hidden="1" customHeight="1">
      <c r="A178" s="673"/>
      <c r="B178" s="266"/>
      <c r="C178" s="212"/>
      <c r="D178" s="266"/>
      <c r="E178" s="266"/>
      <c r="F178" s="212"/>
      <c r="G178" s="212"/>
      <c r="H178" s="266"/>
      <c r="I178" s="266"/>
      <c r="J178" s="266"/>
      <c r="K178" s="266"/>
      <c r="L178" s="266"/>
      <c r="M178" s="266"/>
      <c r="N178" s="714"/>
      <c r="O178" s="714"/>
      <c r="S178" s="172"/>
      <c r="T178" s="149"/>
    </row>
    <row r="179" spans="1:28" ht="13.5" customHeight="1">
      <c r="A179" s="673"/>
      <c r="B179" s="266"/>
      <c r="C179" s="212" t="s">
        <v>2068</v>
      </c>
      <c r="D179" s="266"/>
      <c r="E179" s="266"/>
      <c r="F179" s="212"/>
      <c r="G179" s="212"/>
      <c r="H179" s="266"/>
      <c r="I179" s="266"/>
      <c r="J179" s="266"/>
      <c r="K179" s="266"/>
      <c r="L179" s="266"/>
      <c r="M179" s="716">
        <f>+(M175+M176)*0.08</f>
        <v>32000</v>
      </c>
      <c r="N179" s="714"/>
      <c r="O179" s="714">
        <v>32000</v>
      </c>
      <c r="P179" s="149" t="e">
        <f>+P152-P177</f>
        <v>#REF!</v>
      </c>
      <c r="S179" s="172"/>
      <c r="T179" s="149"/>
    </row>
    <row r="180" spans="1:28" ht="13.5" customHeight="1">
      <c r="A180" s="673"/>
      <c r="B180" s="266"/>
      <c r="C180" s="212"/>
      <c r="D180" s="266"/>
      <c r="E180" s="266"/>
      <c r="F180" s="212"/>
      <c r="G180" s="212"/>
      <c r="H180" s="266"/>
      <c r="I180" s="266"/>
      <c r="J180" s="266"/>
      <c r="K180" s="266"/>
      <c r="L180" s="266"/>
      <c r="M180" s="266"/>
      <c r="N180" s="714"/>
      <c r="O180" s="714"/>
      <c r="S180" s="172"/>
      <c r="T180" s="149"/>
    </row>
    <row r="181" spans="1:28" ht="13.5" customHeight="1" thickBot="1">
      <c r="A181" s="673"/>
      <c r="B181" s="266"/>
      <c r="C181" s="212"/>
      <c r="D181" s="266"/>
      <c r="E181" s="266"/>
      <c r="F181" s="212"/>
      <c r="G181" s="212"/>
      <c r="H181" s="266"/>
      <c r="I181" s="266"/>
      <c r="J181" s="266"/>
      <c r="K181" s="719"/>
      <c r="L181" s="266"/>
      <c r="M181" s="719">
        <f>+M177+M179</f>
        <v>432000</v>
      </c>
      <c r="N181" s="714"/>
      <c r="O181" s="719">
        <f>+O177+O179</f>
        <v>432000</v>
      </c>
      <c r="P181" s="158" t="e">
        <f>+P177+P179</f>
        <v>#REF!</v>
      </c>
      <c r="S181" s="172"/>
      <c r="T181" s="149"/>
      <c r="AB181" s="145">
        <f>+O181-M181</f>
        <v>0</v>
      </c>
    </row>
    <row r="182" spans="1:28" ht="13.5" hidden="1" customHeight="1" thickTop="1">
      <c r="A182" s="673"/>
      <c r="B182" s="266"/>
      <c r="D182" s="163"/>
      <c r="E182" s="163"/>
      <c r="G182" s="145"/>
      <c r="H182" s="163"/>
      <c r="I182" s="163"/>
      <c r="J182" s="163"/>
      <c r="K182" s="163"/>
      <c r="L182" s="163"/>
      <c r="M182" s="159"/>
      <c r="O182" s="159"/>
      <c r="P182" s="159"/>
      <c r="S182" s="172"/>
      <c r="T182" s="149"/>
    </row>
    <row r="183" spans="1:28" ht="13.5" hidden="1" customHeight="1">
      <c r="A183" s="673"/>
      <c r="B183" s="266"/>
      <c r="D183" s="163"/>
      <c r="E183" s="163"/>
      <c r="G183" s="145"/>
      <c r="H183" s="163"/>
      <c r="I183" s="163"/>
      <c r="J183" s="163"/>
      <c r="K183" s="163"/>
      <c r="L183" s="163"/>
      <c r="M183" s="159"/>
      <c r="O183" s="159"/>
      <c r="P183" s="159"/>
      <c r="S183" s="172"/>
      <c r="T183" s="149"/>
    </row>
    <row r="184" spans="1:28" ht="13.5" hidden="1" customHeight="1">
      <c r="A184" s="673"/>
      <c r="B184" s="266"/>
      <c r="D184" s="163"/>
      <c r="E184" s="163"/>
      <c r="G184" s="145"/>
      <c r="H184" s="163"/>
      <c r="I184" s="163"/>
      <c r="J184" s="163"/>
      <c r="K184" s="163"/>
      <c r="L184" s="163"/>
      <c r="M184" s="159"/>
      <c r="O184" s="159"/>
      <c r="P184" s="159"/>
      <c r="S184" s="172"/>
      <c r="T184" s="149"/>
    </row>
    <row r="185" spans="1:28" ht="13.5" hidden="1" customHeight="1">
      <c r="A185" s="673"/>
      <c r="B185" s="266"/>
      <c r="D185" s="163"/>
      <c r="E185" s="163"/>
      <c r="G185" s="145"/>
      <c r="H185" s="163"/>
      <c r="I185" s="163"/>
      <c r="J185" s="163"/>
      <c r="K185" s="163"/>
      <c r="L185" s="163"/>
      <c r="M185" s="159"/>
      <c r="O185" s="159"/>
      <c r="P185" s="159"/>
      <c r="S185" s="172"/>
      <c r="T185" s="149"/>
    </row>
    <row r="186" spans="1:28" ht="13.5" customHeight="1" thickTop="1">
      <c r="A186" s="673"/>
      <c r="B186" s="266"/>
      <c r="D186" s="163"/>
      <c r="E186" s="163"/>
      <c r="G186" s="145"/>
      <c r="H186" s="163"/>
      <c r="I186" s="163"/>
      <c r="J186" s="163"/>
      <c r="K186" s="163"/>
      <c r="L186" s="163"/>
      <c r="M186" s="159"/>
      <c r="O186" s="159"/>
      <c r="P186" s="159"/>
      <c r="S186" s="172"/>
      <c r="T186" s="149"/>
    </row>
    <row r="187" spans="1:28" ht="13.5" customHeight="1">
      <c r="A187" s="673"/>
      <c r="B187" s="266"/>
      <c r="D187" s="163"/>
      <c r="E187" s="163"/>
      <c r="G187" s="145"/>
      <c r="H187" s="163"/>
      <c r="I187" s="163"/>
      <c r="J187" s="163"/>
      <c r="K187" s="5">
        <v>2025</v>
      </c>
      <c r="L187" s="163"/>
      <c r="M187" s="5">
        <v>2025</v>
      </c>
      <c r="N187" s="5"/>
      <c r="O187" s="5">
        <v>2024</v>
      </c>
      <c r="S187" s="172"/>
      <c r="T187" s="149"/>
    </row>
    <row r="188" spans="1:28" ht="13.5" customHeight="1">
      <c r="A188" s="676">
        <f>A140+1</f>
        <v>13</v>
      </c>
      <c r="B188" s="668" t="s">
        <v>594</v>
      </c>
      <c r="D188" s="163"/>
      <c r="E188" s="163"/>
      <c r="G188" s="145"/>
      <c r="H188" s="163"/>
      <c r="I188" s="163"/>
      <c r="J188" s="163"/>
      <c r="K188" s="148" t="s">
        <v>460</v>
      </c>
      <c r="L188" s="163"/>
      <c r="M188" s="148" t="s">
        <v>460</v>
      </c>
      <c r="N188" s="145"/>
      <c r="O188" s="148" t="s">
        <v>460</v>
      </c>
      <c r="P188" s="206"/>
      <c r="Q188" s="207"/>
      <c r="R188" s="206"/>
      <c r="S188" s="206"/>
      <c r="T188" s="206"/>
    </row>
    <row r="189" spans="1:28" ht="13.5" customHeight="1">
      <c r="A189" s="676"/>
      <c r="B189" s="668"/>
      <c r="D189" s="163"/>
      <c r="E189" s="163"/>
      <c r="G189" s="145"/>
      <c r="H189" s="163"/>
      <c r="I189" s="163"/>
      <c r="J189" s="163"/>
      <c r="K189" s="163"/>
      <c r="L189" s="163"/>
      <c r="M189" s="163"/>
      <c r="O189" s="163"/>
      <c r="P189" s="206"/>
      <c r="Q189" s="207"/>
      <c r="R189" s="206"/>
      <c r="S189" s="206"/>
      <c r="T189" s="206"/>
    </row>
    <row r="190" spans="1:28" ht="13.5" hidden="1" customHeight="1">
      <c r="A190" s="673"/>
      <c r="B190" s="678" t="s">
        <v>595</v>
      </c>
      <c r="D190" s="163"/>
      <c r="E190" s="163"/>
      <c r="G190" s="145"/>
      <c r="H190" s="163"/>
      <c r="I190" s="163"/>
      <c r="J190" s="163"/>
      <c r="K190" s="163"/>
      <c r="L190" s="163"/>
      <c r="M190" s="202">
        <v>0</v>
      </c>
      <c r="O190" s="149">
        <v>0</v>
      </c>
      <c r="P190" s="149">
        <v>0</v>
      </c>
      <c r="R190" s="149" t="e">
        <v>#REF!</v>
      </c>
      <c r="T190" s="149">
        <v>1022912.11</v>
      </c>
    </row>
    <row r="191" spans="1:28" ht="13.5" customHeight="1">
      <c r="A191" s="673"/>
      <c r="B191" s="678" t="s">
        <v>363</v>
      </c>
      <c r="D191" s="163"/>
      <c r="E191" s="163"/>
      <c r="G191" s="145"/>
      <c r="H191" s="163"/>
      <c r="I191" s="163"/>
      <c r="J191" s="163"/>
      <c r="K191" s="163"/>
      <c r="L191" s="163"/>
      <c r="M191" s="202">
        <f>-ROUND(GETPIVOTDATA("Sum of Amount",'Pivot 2025'!$A$3,"FSL1","Profit and Loss","FSL2","Other Income ","FSL3","Hostel And Hall Income","FSL 4","Hostel And Hall Income"),0)</f>
        <v>820984</v>
      </c>
      <c r="O191" s="149">
        <v>1564038</v>
      </c>
      <c r="P191" s="149">
        <v>384965</v>
      </c>
      <c r="R191" s="149" t="e">
        <v>#REF!</v>
      </c>
      <c r="T191" s="149">
        <v>341000</v>
      </c>
    </row>
    <row r="192" spans="1:28" ht="13.5" hidden="1" customHeight="1">
      <c r="A192" s="673"/>
      <c r="B192" s="678" t="s">
        <v>1210</v>
      </c>
      <c r="D192" s="163"/>
      <c r="E192" s="163"/>
      <c r="G192" s="145"/>
      <c r="H192" s="163"/>
      <c r="I192" s="163"/>
      <c r="J192" s="163"/>
      <c r="K192" s="163"/>
      <c r="L192" s="163"/>
      <c r="M192" s="202">
        <v>0</v>
      </c>
      <c r="O192" s="149">
        <v>0</v>
      </c>
      <c r="T192" s="149"/>
    </row>
    <row r="193" spans="1:20" ht="13.5" hidden="1" customHeight="1">
      <c r="A193" s="673"/>
      <c r="B193" s="678" t="s">
        <v>1242</v>
      </c>
      <c r="D193" s="163"/>
      <c r="E193" s="163"/>
      <c r="G193" s="145"/>
      <c r="H193" s="163"/>
      <c r="I193" s="163"/>
      <c r="J193" s="163"/>
      <c r="K193" s="163"/>
      <c r="L193" s="163"/>
      <c r="M193" s="202">
        <v>0</v>
      </c>
      <c r="O193" s="149">
        <v>0</v>
      </c>
      <c r="T193" s="149"/>
    </row>
    <row r="194" spans="1:20" ht="13.5" customHeight="1">
      <c r="A194" s="673"/>
      <c r="B194" s="678" t="s">
        <v>593</v>
      </c>
      <c r="D194" s="163"/>
      <c r="E194" s="163"/>
      <c r="G194" s="145"/>
      <c r="H194" s="163"/>
      <c r="I194" s="163"/>
      <c r="J194" s="163"/>
      <c r="K194" s="163"/>
      <c r="L194" s="163"/>
      <c r="M194" s="202">
        <f>-ROUND(GETPIVOTDATA("Sum of Amount",'Pivot 2025'!$A$3,"FSL1","Profit and Loss","FSL2","Other Income ","FSL3","Others","FSL 4","Other Income"),0)</f>
        <v>862</v>
      </c>
      <c r="O194" s="149">
        <v>76050.548500000004</v>
      </c>
      <c r="P194" s="149">
        <v>402011.53</v>
      </c>
      <c r="R194" s="149" t="e">
        <v>#REF!</v>
      </c>
      <c r="T194" s="149">
        <v>0</v>
      </c>
    </row>
    <row r="195" spans="1:20" ht="13.5" customHeight="1">
      <c r="A195" s="673"/>
      <c r="B195" s="679"/>
      <c r="D195" s="163"/>
      <c r="E195" s="163"/>
      <c r="G195" s="145"/>
      <c r="H195" s="163"/>
      <c r="I195" s="163"/>
      <c r="J195" s="163"/>
      <c r="K195" s="163"/>
      <c r="L195" s="163"/>
      <c r="M195" s="203"/>
      <c r="P195" s="150"/>
      <c r="R195" s="150"/>
      <c r="T195" s="150"/>
    </row>
    <row r="196" spans="1:20" ht="13.5" customHeight="1" thickBot="1">
      <c r="A196" s="673"/>
      <c r="B196" s="679"/>
      <c r="C196" s="180"/>
      <c r="D196" s="163"/>
      <c r="E196" s="163"/>
      <c r="G196" s="145"/>
      <c r="H196" s="163"/>
      <c r="I196" s="163"/>
      <c r="J196" s="163"/>
      <c r="K196" s="208">
        <f>SUM(K190:K194)</f>
        <v>0</v>
      </c>
      <c r="L196" s="163"/>
      <c r="M196" s="208">
        <f>SUM(M190:M194)</f>
        <v>821846</v>
      </c>
      <c r="O196" s="171">
        <f>SUM(O190:O194)</f>
        <v>1640088.5485</v>
      </c>
      <c r="P196" s="171">
        <f>SUM(P190:P194)</f>
        <v>786976.53</v>
      </c>
      <c r="Q196" s="172"/>
      <c r="R196" s="171" t="e">
        <f>SUM(R190:R194)</f>
        <v>#REF!</v>
      </c>
      <c r="S196" s="168"/>
      <c r="T196" s="171">
        <f>SUM(T190:T194)</f>
        <v>1363912.1099999999</v>
      </c>
    </row>
    <row r="197" spans="1:20" ht="13.5" customHeight="1" thickTop="1">
      <c r="A197" s="673"/>
      <c r="B197" s="679"/>
      <c r="C197" s="180"/>
      <c r="D197" s="163"/>
      <c r="E197" s="163"/>
      <c r="G197" s="145"/>
      <c r="H197" s="163"/>
      <c r="I197" s="163"/>
      <c r="J197" s="163"/>
      <c r="K197" s="163"/>
      <c r="L197" s="163"/>
      <c r="M197" s="163"/>
      <c r="O197" s="172"/>
      <c r="P197" s="172"/>
      <c r="Q197" s="172"/>
      <c r="R197" s="172"/>
      <c r="S197" s="168"/>
      <c r="T197" s="172"/>
    </row>
    <row r="198" spans="1:20" ht="13.5" hidden="1" customHeight="1">
      <c r="A198" s="673"/>
      <c r="B198" s="679"/>
      <c r="C198" s="180"/>
      <c r="D198" s="163"/>
      <c r="E198" s="163"/>
      <c r="G198" s="145"/>
      <c r="H198" s="163"/>
      <c r="I198" s="163"/>
      <c r="J198" s="163"/>
      <c r="K198" s="163"/>
      <c r="L198" s="163"/>
      <c r="M198" s="163"/>
      <c r="N198" s="172"/>
      <c r="O198" s="172"/>
      <c r="P198" s="172"/>
      <c r="Q198" s="172"/>
      <c r="R198" s="172"/>
      <c r="S198" s="168"/>
      <c r="T198" s="172"/>
    </row>
    <row r="199" spans="1:20" ht="13.5" hidden="1" customHeight="1">
      <c r="A199" s="673"/>
      <c r="B199" s="679"/>
      <c r="C199" s="180"/>
      <c r="D199" s="163"/>
      <c r="E199" s="163"/>
      <c r="G199" s="145"/>
      <c r="H199" s="163"/>
      <c r="I199" s="163"/>
      <c r="J199" s="163"/>
      <c r="K199" s="163"/>
      <c r="L199" s="163"/>
      <c r="M199" s="163"/>
      <c r="N199" s="172"/>
      <c r="O199" s="172"/>
      <c r="P199" s="172"/>
      <c r="Q199" s="172"/>
      <c r="R199" s="172"/>
      <c r="S199" s="168"/>
      <c r="T199" s="172"/>
    </row>
    <row r="200" spans="1:20" ht="13.5" hidden="1" customHeight="1">
      <c r="A200" s="673"/>
      <c r="B200" s="679"/>
      <c r="C200" s="180"/>
      <c r="D200" s="163"/>
      <c r="E200" s="163"/>
      <c r="G200" s="145"/>
      <c r="H200" s="163"/>
      <c r="I200" s="163"/>
      <c r="J200" s="163"/>
      <c r="K200" s="163"/>
      <c r="L200" s="163"/>
      <c r="M200" s="163"/>
      <c r="N200" s="172"/>
      <c r="O200" s="172"/>
      <c r="P200" s="172"/>
      <c r="Q200" s="172"/>
      <c r="R200" s="172"/>
      <c r="S200" s="168"/>
      <c r="T200" s="172"/>
    </row>
    <row r="201" spans="1:20" ht="13.5" hidden="1" customHeight="1">
      <c r="A201" s="673"/>
      <c r="B201" s="679"/>
      <c r="C201" s="180"/>
      <c r="D201" s="163"/>
      <c r="E201" s="163"/>
      <c r="G201" s="145"/>
      <c r="H201" s="163"/>
      <c r="I201" s="163"/>
      <c r="J201" s="163"/>
      <c r="K201" s="163"/>
      <c r="L201" s="163"/>
      <c r="M201" s="163"/>
      <c r="N201" s="172"/>
      <c r="O201" s="172"/>
      <c r="P201" s="172"/>
      <c r="Q201" s="172"/>
      <c r="R201" s="172"/>
      <c r="S201" s="168"/>
      <c r="T201" s="172"/>
    </row>
    <row r="202" spans="1:20" ht="13.5" hidden="1" customHeight="1">
      <c r="A202" s="673"/>
      <c r="B202" s="679"/>
      <c r="C202" s="180"/>
      <c r="D202" s="163"/>
      <c r="E202" s="163"/>
      <c r="G202" s="145"/>
      <c r="H202" s="163"/>
      <c r="I202" s="163"/>
      <c r="J202" s="163"/>
      <c r="K202" s="163"/>
      <c r="L202" s="163"/>
      <c r="M202" s="163"/>
      <c r="N202" s="172"/>
      <c r="O202" s="172"/>
      <c r="P202" s="172"/>
      <c r="Q202" s="172"/>
      <c r="R202" s="172"/>
      <c r="S202" s="168"/>
      <c r="T202" s="172"/>
    </row>
    <row r="203" spans="1:20" ht="13.5" hidden="1" customHeight="1">
      <c r="A203" s="673"/>
      <c r="B203" s="679"/>
      <c r="C203" s="180"/>
      <c r="D203" s="163"/>
      <c r="E203" s="163"/>
      <c r="G203" s="145"/>
      <c r="H203" s="163"/>
      <c r="I203" s="163"/>
      <c r="J203" s="163"/>
      <c r="K203" s="168"/>
      <c r="L203" s="168"/>
      <c r="M203" s="169"/>
      <c r="O203" s="169"/>
      <c r="P203" s="169">
        <v>2017</v>
      </c>
      <c r="Q203" s="172"/>
      <c r="R203" s="172"/>
      <c r="S203" s="168"/>
      <c r="T203" s="172"/>
    </row>
    <row r="204" spans="1:20" ht="13.5" customHeight="1">
      <c r="A204" s="676">
        <f>+A188+1</f>
        <v>14</v>
      </c>
      <c r="B204" s="673" t="str">
        <f>+UPPER('Con I EX'!A18)</f>
        <v>FINANCIAL CHARGES</v>
      </c>
      <c r="C204" s="180"/>
      <c r="D204" s="163"/>
      <c r="E204" s="163"/>
      <c r="G204" s="145"/>
      <c r="H204" s="163"/>
      <c r="I204" s="163"/>
      <c r="J204" s="163"/>
      <c r="K204" s="163"/>
      <c r="L204" s="163"/>
      <c r="M204" s="148"/>
      <c r="O204" s="148"/>
      <c r="P204" s="148" t="s">
        <v>460</v>
      </c>
      <c r="Q204" s="172"/>
      <c r="R204" s="172"/>
      <c r="S204" s="168"/>
      <c r="T204" s="172"/>
    </row>
    <row r="205" spans="1:20" ht="13.5" customHeight="1">
      <c r="A205" s="673"/>
      <c r="B205" s="679"/>
      <c r="C205" s="180"/>
      <c r="D205" s="163"/>
      <c r="E205" s="163"/>
      <c r="G205" s="145"/>
      <c r="H205" s="163"/>
      <c r="I205" s="163"/>
      <c r="J205" s="163"/>
      <c r="K205" s="163"/>
      <c r="L205" s="163"/>
      <c r="M205" s="163"/>
      <c r="O205" s="172"/>
      <c r="P205" s="172"/>
      <c r="Q205" s="172"/>
      <c r="R205" s="172"/>
      <c r="S205" s="168"/>
      <c r="T205" s="172"/>
    </row>
    <row r="206" spans="1:20" ht="13.5" customHeight="1">
      <c r="A206" s="673"/>
      <c r="B206" s="683" t="s">
        <v>1316</v>
      </c>
      <c r="C206" s="180"/>
      <c r="D206" s="163"/>
      <c r="E206" s="163"/>
      <c r="G206" s="145"/>
      <c r="H206" s="163"/>
      <c r="I206" s="163"/>
      <c r="J206" s="163"/>
      <c r="K206" s="163"/>
      <c r="L206" s="163"/>
      <c r="M206" s="202">
        <v>0</v>
      </c>
      <c r="O206" s="209">
        <v>86375</v>
      </c>
      <c r="P206" s="209">
        <v>0</v>
      </c>
      <c r="Q206" s="172"/>
      <c r="R206" s="172"/>
      <c r="S206" s="168"/>
      <c r="T206" s="172"/>
    </row>
    <row r="207" spans="1:20" ht="13.5" customHeight="1">
      <c r="A207" s="673"/>
      <c r="B207" s="683" t="s">
        <v>382</v>
      </c>
      <c r="C207" s="180"/>
      <c r="D207" s="163"/>
      <c r="E207" s="163"/>
      <c r="G207" s="145"/>
      <c r="H207" s="163"/>
      <c r="I207" s="163"/>
      <c r="J207" s="163"/>
      <c r="K207" s="163"/>
      <c r="L207" s="163"/>
      <c r="M207" s="149">
        <f>ROUND(GETPIVOTDATA("Sum of Amount",'Pivot 2025'!$A$3,"FSL1","Profit and Loss","FSL2","Financial Charges","FSL3","Bank Charges","FSL 4","Bank Charges"),0)</f>
        <v>17863</v>
      </c>
      <c r="O207" s="149">
        <v>278812</v>
      </c>
      <c r="P207" s="149" t="e">
        <v>#REF!</v>
      </c>
      <c r="Q207" s="172"/>
      <c r="R207" s="172"/>
      <c r="S207" s="168"/>
      <c r="T207" s="172"/>
    </row>
    <row r="208" spans="1:20" ht="13.5" customHeight="1">
      <c r="A208" s="673"/>
      <c r="B208" s="683"/>
      <c r="C208" s="180"/>
      <c r="D208" s="163"/>
      <c r="E208" s="163"/>
      <c r="G208" s="145"/>
      <c r="H208" s="163"/>
      <c r="I208" s="163"/>
      <c r="J208" s="163"/>
      <c r="K208" s="163"/>
      <c r="L208" s="163"/>
      <c r="M208" s="163"/>
      <c r="O208" s="209"/>
      <c r="P208" s="209"/>
      <c r="Q208" s="172"/>
      <c r="R208" s="172"/>
      <c r="S208" s="168"/>
      <c r="T208" s="172"/>
    </row>
    <row r="209" spans="1:20" ht="13.5" customHeight="1" thickBot="1">
      <c r="A209" s="673"/>
      <c r="B209" s="679"/>
      <c r="C209" s="180"/>
      <c r="D209" s="163"/>
      <c r="E209" s="163"/>
      <c r="G209" s="145"/>
      <c r="H209" s="163"/>
      <c r="I209" s="163"/>
      <c r="J209" s="163"/>
      <c r="K209" s="171">
        <f>+K206+K207</f>
        <v>0</v>
      </c>
      <c r="L209" s="163"/>
      <c r="M209" s="171">
        <f>+M206+M207</f>
        <v>17863</v>
      </c>
      <c r="O209" s="171">
        <f>+O206+O207</f>
        <v>365187</v>
      </c>
      <c r="P209" s="171" t="e">
        <f>+P206+P207</f>
        <v>#REF!</v>
      </c>
      <c r="Q209" s="172"/>
      <c r="R209" s="172"/>
      <c r="S209" s="168"/>
      <c r="T209" s="172"/>
    </row>
    <row r="210" spans="1:20" ht="13.5" customHeight="1" thickTop="1">
      <c r="A210" s="673"/>
      <c r="B210" s="679"/>
      <c r="C210" s="180"/>
      <c r="D210" s="163"/>
      <c r="E210" s="163"/>
      <c r="G210" s="145"/>
      <c r="H210" s="163"/>
      <c r="I210" s="163"/>
      <c r="J210" s="163"/>
      <c r="K210" s="163"/>
      <c r="L210" s="163"/>
      <c r="M210" s="163"/>
      <c r="O210" s="172"/>
      <c r="P210" s="172"/>
      <c r="Q210" s="172"/>
      <c r="R210" s="172"/>
      <c r="S210" s="168"/>
      <c r="T210" s="172"/>
    </row>
    <row r="211" spans="1:20" s="456" customFormat="1" ht="13.5" hidden="1" customHeight="1">
      <c r="A211" s="684">
        <f>+A204+1</f>
        <v>15</v>
      </c>
      <c r="B211" s="685" t="s">
        <v>596</v>
      </c>
      <c r="G211" s="500"/>
      <c r="H211" s="500"/>
      <c r="I211" s="500"/>
      <c r="J211" s="500"/>
      <c r="K211" s="500"/>
      <c r="L211" s="500"/>
      <c r="M211" s="500"/>
      <c r="N211" s="500"/>
      <c r="O211" s="500"/>
      <c r="P211" s="500"/>
      <c r="Q211" s="500"/>
      <c r="R211" s="501"/>
      <c r="S211" s="502"/>
    </row>
    <row r="212" spans="1:20" s="456" customFormat="1" ht="13.5" hidden="1" customHeight="1">
      <c r="A212" s="686"/>
      <c r="B212" s="455"/>
      <c r="G212" s="500"/>
      <c r="H212" s="500"/>
      <c r="I212" s="500"/>
      <c r="J212" s="500"/>
      <c r="K212" s="500"/>
      <c r="L212" s="500"/>
      <c r="M212" s="500"/>
      <c r="N212" s="500"/>
      <c r="O212" s="500"/>
      <c r="P212" s="500"/>
      <c r="Q212" s="500"/>
      <c r="R212" s="501"/>
      <c r="S212" s="502"/>
    </row>
    <row r="213" spans="1:20" s="456" customFormat="1" ht="13.5" hidden="1" customHeight="1">
      <c r="A213" s="455"/>
      <c r="B213" s="807" t="s">
        <v>1245</v>
      </c>
      <c r="C213" s="807"/>
      <c r="D213" s="807"/>
      <c r="E213" s="807"/>
      <c r="F213" s="807"/>
      <c r="G213" s="807"/>
      <c r="H213" s="807"/>
      <c r="I213" s="807"/>
      <c r="J213" s="807"/>
      <c r="K213" s="807"/>
      <c r="L213" s="807"/>
      <c r="M213" s="807"/>
      <c r="N213" s="807"/>
      <c r="O213" s="807"/>
      <c r="P213" s="807"/>
      <c r="Q213" s="807"/>
      <c r="R213" s="807"/>
      <c r="S213" s="502"/>
    </row>
    <row r="214" spans="1:20" ht="13.5" hidden="1" customHeight="1">
      <c r="A214" s="673"/>
      <c r="B214" s="807"/>
      <c r="C214" s="807"/>
      <c r="D214" s="807"/>
      <c r="E214" s="807"/>
      <c r="F214" s="807"/>
      <c r="G214" s="807"/>
      <c r="H214" s="807"/>
      <c r="I214" s="807"/>
      <c r="J214" s="807"/>
      <c r="K214" s="807"/>
      <c r="L214" s="807"/>
      <c r="M214" s="807"/>
      <c r="N214" s="807"/>
      <c r="O214" s="807"/>
      <c r="P214" s="807"/>
      <c r="Q214" s="807"/>
      <c r="R214" s="807"/>
      <c r="S214" s="168"/>
    </row>
    <row r="215" spans="1:20" ht="13.5" customHeight="1">
      <c r="A215" s="676">
        <f>+A204+1</f>
        <v>15</v>
      </c>
      <c r="B215" s="521" t="s">
        <v>596</v>
      </c>
      <c r="C215" s="522"/>
      <c r="D215" s="522"/>
      <c r="E215" s="522"/>
      <c r="F215" s="522"/>
      <c r="G215" s="522"/>
      <c r="H215" s="522"/>
      <c r="I215" s="522"/>
      <c r="J215" s="522"/>
      <c r="K215" s="522"/>
      <c r="L215" s="522"/>
      <c r="M215" s="522"/>
      <c r="N215" s="522"/>
      <c r="O215" s="159"/>
      <c r="P215" s="168"/>
      <c r="Q215" s="159"/>
      <c r="R215" s="172"/>
      <c r="S215" s="168"/>
    </row>
    <row r="216" spans="1:20" ht="13.5" customHeight="1">
      <c r="A216" s="673"/>
      <c r="B216" s="521"/>
      <c r="C216" s="522"/>
      <c r="D216" s="522"/>
      <c r="E216" s="522"/>
      <c r="F216" s="522"/>
      <c r="G216" s="522"/>
      <c r="H216" s="522"/>
      <c r="I216" s="522"/>
      <c r="J216" s="522"/>
      <c r="K216" s="522"/>
      <c r="L216" s="522"/>
      <c r="M216" s="522"/>
      <c r="N216" s="522"/>
      <c r="O216" s="159"/>
      <c r="P216" s="168"/>
      <c r="Q216" s="159"/>
      <c r="R216" s="172"/>
      <c r="S216" s="168"/>
    </row>
    <row r="217" spans="1:20" ht="13.5" customHeight="1">
      <c r="A217" s="673"/>
      <c r="B217" s="810" t="s">
        <v>1412</v>
      </c>
      <c r="C217" s="810"/>
      <c r="D217" s="810"/>
      <c r="E217" s="810"/>
      <c r="F217" s="810"/>
      <c r="G217" s="810"/>
      <c r="H217" s="810"/>
      <c r="I217" s="810"/>
      <c r="J217" s="810"/>
      <c r="K217" s="810"/>
      <c r="L217" s="810"/>
      <c r="M217" s="810"/>
      <c r="N217" s="810"/>
      <c r="O217" s="810"/>
      <c r="P217" s="168"/>
      <c r="Q217" s="159"/>
      <c r="R217" s="172"/>
      <c r="S217" s="168"/>
    </row>
    <row r="218" spans="1:20" ht="13.5" customHeight="1">
      <c r="A218" s="673"/>
      <c r="B218" s="810"/>
      <c r="C218" s="810"/>
      <c r="D218" s="810"/>
      <c r="E218" s="810"/>
      <c r="F218" s="810"/>
      <c r="G218" s="810"/>
      <c r="H218" s="810"/>
      <c r="I218" s="810"/>
      <c r="J218" s="810"/>
      <c r="K218" s="810"/>
      <c r="L218" s="810"/>
      <c r="M218" s="810"/>
      <c r="N218" s="810"/>
      <c r="O218" s="810"/>
      <c r="P218" s="168"/>
      <c r="Q218" s="159"/>
      <c r="R218" s="172"/>
      <c r="S218" s="168"/>
    </row>
    <row r="219" spans="1:20" ht="13.5" customHeight="1">
      <c r="A219" s="673"/>
      <c r="B219" s="810"/>
      <c r="C219" s="810"/>
      <c r="D219" s="810"/>
      <c r="E219" s="810"/>
      <c r="F219" s="810"/>
      <c r="G219" s="810"/>
      <c r="H219" s="810"/>
      <c r="I219" s="810"/>
      <c r="J219" s="810"/>
      <c r="K219" s="810"/>
      <c r="L219" s="810"/>
      <c r="M219" s="810"/>
      <c r="N219" s="810"/>
      <c r="O219" s="810"/>
      <c r="P219" s="168"/>
      <c r="Q219" s="159"/>
      <c r="R219" s="172"/>
      <c r="S219" s="168"/>
    </row>
    <row r="220" spans="1:20" ht="13.5" customHeight="1">
      <c r="A220" s="673"/>
      <c r="B220" s="525"/>
      <c r="C220" s="526"/>
      <c r="D220" s="527"/>
      <c r="E220" s="527"/>
      <c r="F220" s="527"/>
      <c r="G220" s="527"/>
      <c r="H220" s="527"/>
      <c r="I220" s="527"/>
      <c r="J220" s="527"/>
      <c r="K220" s="528"/>
      <c r="L220" s="528"/>
      <c r="M220" s="529"/>
      <c r="N220" s="514"/>
      <c r="O220" s="159"/>
      <c r="P220" s="168"/>
      <c r="Q220" s="159"/>
      <c r="R220" s="172"/>
      <c r="S220" s="168"/>
    </row>
    <row r="221" spans="1:20" s="456" customFormat="1" ht="13.5" hidden="1" customHeight="1">
      <c r="A221" s="686"/>
      <c r="B221" s="569" t="e">
        <f>+#REF!+0.1</f>
        <v>#REF!</v>
      </c>
      <c r="C221" s="809" t="s">
        <v>1384</v>
      </c>
      <c r="D221" s="809"/>
      <c r="E221" s="809"/>
      <c r="F221" s="809"/>
      <c r="G221" s="809"/>
      <c r="H221" s="809"/>
      <c r="I221" s="809"/>
      <c r="J221" s="809"/>
      <c r="K221" s="809"/>
      <c r="L221" s="809"/>
      <c r="M221" s="809"/>
      <c r="N221" s="809"/>
      <c r="O221" s="809"/>
      <c r="P221" s="502"/>
      <c r="Q221" s="571"/>
      <c r="R221" s="572"/>
      <c r="S221" s="502"/>
    </row>
    <row r="222" spans="1:20" s="456" customFormat="1" ht="13.5" hidden="1" customHeight="1">
      <c r="A222" s="686"/>
      <c r="B222" s="569"/>
      <c r="C222" s="809"/>
      <c r="D222" s="809"/>
      <c r="E222" s="809"/>
      <c r="F222" s="809"/>
      <c r="G222" s="809"/>
      <c r="H222" s="809"/>
      <c r="I222" s="809"/>
      <c r="J222" s="809"/>
      <c r="K222" s="809"/>
      <c r="L222" s="809"/>
      <c r="M222" s="809"/>
      <c r="N222" s="809"/>
      <c r="O222" s="809"/>
      <c r="P222" s="502"/>
      <c r="Q222" s="571"/>
      <c r="R222" s="572"/>
      <c r="S222" s="502"/>
    </row>
    <row r="223" spans="1:20" s="456" customFormat="1" ht="13.5" hidden="1" customHeight="1">
      <c r="A223" s="686"/>
      <c r="B223" s="569"/>
      <c r="C223" s="809"/>
      <c r="D223" s="809"/>
      <c r="E223" s="809"/>
      <c r="F223" s="809"/>
      <c r="G223" s="809"/>
      <c r="H223" s="809"/>
      <c r="I223" s="809"/>
      <c r="J223" s="809"/>
      <c r="K223" s="809"/>
      <c r="L223" s="809"/>
      <c r="M223" s="809"/>
      <c r="N223" s="809"/>
      <c r="O223" s="809"/>
      <c r="P223" s="502"/>
      <c r="Q223" s="571"/>
      <c r="R223" s="572"/>
      <c r="S223" s="502"/>
    </row>
    <row r="224" spans="1:20" s="456" customFormat="1" ht="13.5" hidden="1" customHeight="1">
      <c r="A224" s="686"/>
      <c r="B224" s="569"/>
      <c r="C224" s="570"/>
      <c r="D224" s="570"/>
      <c r="E224" s="570"/>
      <c r="F224" s="570"/>
      <c r="G224" s="570"/>
      <c r="H224" s="570"/>
      <c r="I224" s="570"/>
      <c r="J224" s="570"/>
      <c r="K224" s="570"/>
      <c r="L224" s="570"/>
      <c r="M224" s="570"/>
      <c r="N224" s="570"/>
      <c r="O224" s="570"/>
      <c r="P224" s="502"/>
      <c r="Q224" s="571"/>
      <c r="R224" s="572"/>
      <c r="S224" s="502"/>
    </row>
    <row r="225" spans="1:19" s="456" customFormat="1" ht="13.5" hidden="1" customHeight="1">
      <c r="A225" s="686"/>
      <c r="B225" s="569"/>
      <c r="C225" s="570"/>
      <c r="D225" s="570"/>
      <c r="E225" s="570"/>
      <c r="F225" s="570"/>
      <c r="G225" s="570"/>
      <c r="H225" s="570"/>
      <c r="I225" s="570"/>
      <c r="J225" s="570"/>
      <c r="K225" s="570"/>
      <c r="L225" s="570"/>
      <c r="M225" s="570"/>
      <c r="N225" s="570"/>
      <c r="O225" s="570"/>
      <c r="P225" s="502"/>
      <c r="Q225" s="571"/>
      <c r="R225" s="572"/>
      <c r="S225" s="502"/>
    </row>
    <row r="226" spans="1:19" s="456" customFormat="1" ht="13.5" hidden="1" customHeight="1">
      <c r="A226" s="686"/>
      <c r="B226" s="569" t="e">
        <f>+B221+0.1</f>
        <v>#REF!</v>
      </c>
      <c r="C226" s="808" t="s">
        <v>1385</v>
      </c>
      <c r="D226" s="808"/>
      <c r="E226" s="808"/>
      <c r="F226" s="808"/>
      <c r="G226" s="808"/>
      <c r="H226" s="808"/>
      <c r="I226" s="808"/>
      <c r="J226" s="808"/>
      <c r="K226" s="808"/>
      <c r="L226" s="808"/>
      <c r="M226" s="808"/>
      <c r="N226" s="808"/>
      <c r="O226" s="808"/>
      <c r="P226" s="502"/>
      <c r="Q226" s="571"/>
      <c r="R226" s="572"/>
      <c r="S226" s="502"/>
    </row>
    <row r="227" spans="1:19" s="456" customFormat="1" ht="13.5" hidden="1" customHeight="1">
      <c r="A227" s="686"/>
      <c r="B227" s="569"/>
      <c r="C227" s="808"/>
      <c r="D227" s="808"/>
      <c r="E227" s="808"/>
      <c r="F227" s="808"/>
      <c r="G227" s="808"/>
      <c r="H227" s="808"/>
      <c r="I227" s="808"/>
      <c r="J227" s="808"/>
      <c r="K227" s="808"/>
      <c r="L227" s="808"/>
      <c r="M227" s="808"/>
      <c r="N227" s="808"/>
      <c r="O227" s="808"/>
      <c r="P227" s="502"/>
      <c r="Q227" s="571"/>
      <c r="R227" s="572"/>
      <c r="S227" s="502"/>
    </row>
    <row r="228" spans="1:19" s="456" customFormat="1" ht="13.5" hidden="1" customHeight="1">
      <c r="A228" s="686"/>
      <c r="B228" s="569"/>
      <c r="C228" s="573"/>
      <c r="D228" s="574"/>
      <c r="E228" s="574"/>
      <c r="F228" s="575"/>
      <c r="G228" s="575"/>
      <c r="H228" s="575"/>
      <c r="I228" s="575"/>
      <c r="J228" s="575"/>
      <c r="K228" s="575"/>
      <c r="L228" s="575"/>
      <c r="M228" s="575"/>
      <c r="N228" s="575"/>
      <c r="O228" s="571"/>
      <c r="P228" s="502"/>
      <c r="Q228" s="571"/>
      <c r="R228" s="572"/>
      <c r="S228" s="502"/>
    </row>
    <row r="229" spans="1:19" s="456" customFormat="1" ht="13.5" hidden="1" customHeight="1">
      <c r="A229" s="686"/>
      <c r="B229" s="569" t="e">
        <f>+B226+0.1</f>
        <v>#REF!</v>
      </c>
      <c r="C229" s="808" t="s">
        <v>1386</v>
      </c>
      <c r="D229" s="808"/>
      <c r="E229" s="808"/>
      <c r="F229" s="808"/>
      <c r="G229" s="808"/>
      <c r="H229" s="808"/>
      <c r="I229" s="808"/>
      <c r="J229" s="808"/>
      <c r="K229" s="808"/>
      <c r="L229" s="808"/>
      <c r="M229" s="808"/>
      <c r="N229" s="808"/>
      <c r="O229" s="808"/>
      <c r="P229" s="502"/>
      <c r="Q229" s="571"/>
      <c r="R229" s="572"/>
      <c r="S229" s="502"/>
    </row>
    <row r="230" spans="1:19" s="456" customFormat="1" ht="13.5" hidden="1" customHeight="1">
      <c r="A230" s="686"/>
      <c r="B230" s="569"/>
      <c r="C230" s="808"/>
      <c r="D230" s="808"/>
      <c r="E230" s="808"/>
      <c r="F230" s="808"/>
      <c r="G230" s="808"/>
      <c r="H230" s="808"/>
      <c r="I230" s="808"/>
      <c r="J230" s="808"/>
      <c r="K230" s="808"/>
      <c r="L230" s="808"/>
      <c r="M230" s="808"/>
      <c r="N230" s="808"/>
      <c r="O230" s="808"/>
      <c r="P230" s="502"/>
      <c r="Q230" s="571"/>
      <c r="R230" s="572"/>
      <c r="S230" s="502"/>
    </row>
    <row r="231" spans="1:19" ht="13.5" customHeight="1">
      <c r="A231" s="676">
        <f>+A215+1</f>
        <v>16</v>
      </c>
      <c r="B231" s="673" t="s">
        <v>597</v>
      </c>
      <c r="C231" s="180"/>
      <c r="D231" s="163"/>
      <c r="E231" s="163"/>
      <c r="F231" s="163"/>
      <c r="G231" s="172"/>
      <c r="H231" s="159"/>
      <c r="I231" s="159"/>
      <c r="J231" s="159"/>
      <c r="K231" s="168"/>
      <c r="L231" s="168"/>
      <c r="M231" s="168"/>
      <c r="N231" s="168"/>
      <c r="O231" s="159"/>
      <c r="P231" s="168"/>
      <c r="Q231" s="159"/>
      <c r="R231" s="172"/>
      <c r="S231" s="168"/>
    </row>
    <row r="232" spans="1:19" ht="13.5" customHeight="1" thickBot="1">
      <c r="A232" s="673"/>
      <c r="B232" s="679"/>
      <c r="C232" s="180"/>
      <c r="D232" s="163"/>
      <c r="E232" s="163"/>
      <c r="F232" s="163"/>
      <c r="G232" s="172"/>
      <c r="H232" s="159"/>
      <c r="I232" s="159"/>
      <c r="J232" s="159"/>
      <c r="K232" s="168"/>
      <c r="L232" s="168"/>
      <c r="M232" s="168"/>
      <c r="N232" s="168"/>
      <c r="O232" s="159"/>
      <c r="P232" s="168"/>
      <c r="Q232" s="159"/>
      <c r="R232" s="172"/>
      <c r="S232" s="168"/>
    </row>
    <row r="233" spans="1:19" ht="13.5" customHeight="1" thickBot="1">
      <c r="A233" s="673"/>
      <c r="B233" s="679"/>
      <c r="C233" s="180"/>
      <c r="D233" s="163"/>
      <c r="E233" s="163"/>
      <c r="F233" s="163"/>
      <c r="G233" s="172"/>
      <c r="H233" s="159"/>
      <c r="I233" s="159"/>
      <c r="J233" s="159"/>
      <c r="K233" s="153" t="s">
        <v>1216</v>
      </c>
      <c r="L233" s="168"/>
      <c r="M233" s="816" t="s">
        <v>1216</v>
      </c>
      <c r="N233" s="817"/>
      <c r="O233" s="818"/>
      <c r="P233" s="485"/>
      <c r="Q233" s="159"/>
      <c r="R233" s="172"/>
      <c r="S233" s="168"/>
    </row>
    <row r="234" spans="1:19" ht="13.5" customHeight="1" thickBot="1">
      <c r="A234" s="673"/>
      <c r="B234" s="679"/>
      <c r="C234" s="180"/>
      <c r="D234" s="163"/>
      <c r="E234" s="163"/>
      <c r="F234" s="163"/>
      <c r="G234" s="172"/>
      <c r="H234" s="159"/>
      <c r="I234" s="159"/>
      <c r="J234" s="159"/>
      <c r="K234" s="486">
        <v>2026</v>
      </c>
      <c r="L234" s="168"/>
      <c r="M234" s="486">
        <v>2025</v>
      </c>
      <c r="N234" s="487"/>
      <c r="O234" s="488">
        <v>2024</v>
      </c>
      <c r="P234" s="489" t="s">
        <v>598</v>
      </c>
      <c r="Q234" s="159"/>
      <c r="R234" s="172"/>
      <c r="S234" s="168"/>
    </row>
    <row r="235" spans="1:19" ht="13.5" customHeight="1" thickBot="1">
      <c r="A235" s="673"/>
      <c r="B235" s="679"/>
      <c r="C235" s="180"/>
      <c r="D235" s="163"/>
      <c r="E235" s="163"/>
      <c r="F235" s="163"/>
      <c r="G235" s="172"/>
      <c r="H235" s="159"/>
      <c r="I235" s="159"/>
      <c r="J235" s="159"/>
      <c r="K235" s="168"/>
      <c r="L235" s="168"/>
      <c r="M235" s="813" t="s">
        <v>1217</v>
      </c>
      <c r="N235" s="814"/>
      <c r="O235" s="815"/>
      <c r="P235" s="490"/>
      <c r="Q235" s="159"/>
      <c r="R235" s="172"/>
      <c r="S235" s="168"/>
    </row>
    <row r="236" spans="1:19" ht="13.5" customHeight="1">
      <c r="A236" s="673"/>
      <c r="B236" s="679"/>
      <c r="C236" s="180"/>
      <c r="D236" s="163"/>
      <c r="E236" s="163"/>
      <c r="F236" s="163"/>
      <c r="G236" s="172"/>
      <c r="H236" s="159"/>
      <c r="I236" s="159"/>
      <c r="J236" s="159"/>
      <c r="K236" s="168"/>
      <c r="L236" s="168"/>
      <c r="M236" s="168"/>
      <c r="N236" s="491"/>
      <c r="O236" s="153"/>
      <c r="P236" s="153"/>
      <c r="Q236" s="159"/>
      <c r="R236" s="172"/>
      <c r="S236" s="168"/>
    </row>
    <row r="237" spans="1:19" ht="13.5" customHeight="1">
      <c r="A237" s="673"/>
      <c r="B237" s="683" t="s">
        <v>599</v>
      </c>
      <c r="C237" s="180"/>
      <c r="D237" s="163"/>
      <c r="E237" s="163"/>
      <c r="F237" s="163"/>
      <c r="G237" s="172"/>
      <c r="H237" s="159"/>
      <c r="I237" s="159"/>
      <c r="J237" s="159"/>
      <c r="K237" s="168"/>
      <c r="L237" s="168"/>
      <c r="M237" s="149">
        <v>2809344</v>
      </c>
      <c r="O237" s="149">
        <v>1371426</v>
      </c>
      <c r="P237" s="149">
        <f>+(125440*12)+(144209*12)++(71500*12)</f>
        <v>4093788</v>
      </c>
      <c r="Q237" s="159"/>
      <c r="R237" s="172"/>
      <c r="S237" s="168"/>
    </row>
    <row r="238" spans="1:19" ht="13.5" customHeight="1">
      <c r="A238" s="673"/>
      <c r="B238" s="683" t="s">
        <v>600</v>
      </c>
      <c r="C238" s="180"/>
      <c r="D238" s="163"/>
      <c r="E238" s="163"/>
      <c r="F238" s="163"/>
      <c r="G238" s="172"/>
      <c r="H238" s="159"/>
      <c r="I238" s="159"/>
      <c r="J238" s="159"/>
      <c r="K238" s="492"/>
      <c r="L238" s="492"/>
      <c r="M238" s="149">
        <v>814058</v>
      </c>
      <c r="O238" s="149">
        <v>548574</v>
      </c>
      <c r="P238" s="149">
        <f>+(22000*12)+(6500)++(20000*12)++(31000*12)</f>
        <v>882500</v>
      </c>
      <c r="Q238" s="159"/>
      <c r="R238" s="172"/>
      <c r="S238" s="168"/>
    </row>
    <row r="239" spans="1:19" ht="13.5" customHeight="1">
      <c r="A239" s="673"/>
      <c r="B239" s="679"/>
      <c r="C239" s="180"/>
      <c r="D239" s="163"/>
      <c r="E239" s="163"/>
      <c r="F239" s="163"/>
      <c r="G239" s="172"/>
      <c r="H239" s="159"/>
      <c r="I239" s="159"/>
      <c r="J239" s="159"/>
      <c r="K239" s="168"/>
      <c r="L239" s="168"/>
      <c r="M239" s="168"/>
      <c r="O239" s="168"/>
      <c r="P239" s="168"/>
      <c r="Q239" s="159"/>
      <c r="R239" s="172"/>
      <c r="S239" s="168"/>
    </row>
    <row r="240" spans="1:19" ht="13.5" customHeight="1" thickBot="1">
      <c r="A240" s="673"/>
      <c r="B240" s="679"/>
      <c r="C240" s="180"/>
      <c r="D240" s="163"/>
      <c r="E240" s="163"/>
      <c r="F240" s="163"/>
      <c r="G240" s="172"/>
      <c r="H240" s="159"/>
      <c r="I240" s="159"/>
      <c r="J240" s="159"/>
      <c r="K240" s="158"/>
      <c r="L240" s="168"/>
      <c r="M240" s="158">
        <f>+M237+M238</f>
        <v>3623402</v>
      </c>
      <c r="O240" s="158">
        <v>1920000</v>
      </c>
      <c r="P240" s="158">
        <f>+P237+P238</f>
        <v>4976288</v>
      </c>
      <c r="Q240" s="159"/>
      <c r="R240" s="172"/>
      <c r="S240" s="168"/>
    </row>
    <row r="241" spans="1:30" ht="13.5" customHeight="1" thickTop="1">
      <c r="A241" s="673"/>
      <c r="B241" s="679"/>
      <c r="C241" s="180"/>
      <c r="D241" s="163"/>
      <c r="E241" s="163"/>
      <c r="F241" s="163"/>
      <c r="G241" s="172"/>
      <c r="H241" s="159"/>
      <c r="I241" s="159"/>
      <c r="J241" s="159"/>
      <c r="K241" s="168"/>
      <c r="L241" s="168"/>
      <c r="M241" s="159"/>
      <c r="O241" s="159"/>
      <c r="P241" s="159"/>
      <c r="Q241" s="159"/>
      <c r="R241" s="172"/>
      <c r="S241" s="168"/>
    </row>
    <row r="242" spans="1:30" ht="13.5" customHeight="1" thickBot="1">
      <c r="A242" s="673"/>
      <c r="B242" s="673" t="s">
        <v>601</v>
      </c>
      <c r="C242" s="180"/>
      <c r="D242" s="163"/>
      <c r="E242" s="163"/>
      <c r="F242" s="163"/>
      <c r="G242" s="172"/>
      <c r="H242" s="159"/>
      <c r="I242" s="159"/>
      <c r="J242" s="159"/>
      <c r="K242" s="158">
        <v>2</v>
      </c>
      <c r="L242" s="168"/>
      <c r="M242" s="170">
        <v>2</v>
      </c>
      <c r="O242" s="170">
        <v>1</v>
      </c>
      <c r="P242" s="170">
        <v>3</v>
      </c>
      <c r="Q242" s="159"/>
      <c r="R242" s="172"/>
      <c r="S242" s="168"/>
    </row>
    <row r="243" spans="1:30" ht="13.5" customHeight="1" thickTop="1">
      <c r="A243" s="673"/>
      <c r="B243" s="673"/>
      <c r="C243" s="180"/>
      <c r="D243" s="163"/>
      <c r="E243" s="163"/>
      <c r="F243" s="163"/>
      <c r="G243" s="172"/>
      <c r="H243" s="159"/>
      <c r="I243" s="159"/>
      <c r="J243" s="159"/>
      <c r="K243" s="168"/>
      <c r="L243" s="168"/>
      <c r="M243" s="168"/>
      <c r="N243" s="159"/>
      <c r="O243" s="159"/>
      <c r="P243" s="159"/>
      <c r="Q243" s="159"/>
      <c r="R243" s="172"/>
      <c r="S243" s="168"/>
    </row>
    <row r="244" spans="1:30" ht="13.5" customHeight="1">
      <c r="A244" s="673"/>
      <c r="B244" s="493">
        <f>+A231+0.1</f>
        <v>16.100000000000001</v>
      </c>
      <c r="C244" s="812" t="s">
        <v>1308</v>
      </c>
      <c r="D244" s="812"/>
      <c r="E244" s="812"/>
      <c r="F244" s="812"/>
      <c r="G244" s="812"/>
      <c r="H244" s="812"/>
      <c r="I244" s="812"/>
      <c r="J244" s="812"/>
      <c r="K244" s="812"/>
      <c r="L244" s="812"/>
      <c r="M244" s="812"/>
      <c r="N244" s="812"/>
      <c r="O244" s="812"/>
      <c r="P244" s="812"/>
      <c r="Q244" s="159"/>
      <c r="R244" s="172"/>
      <c r="S244" s="168"/>
    </row>
    <row r="245" spans="1:30" ht="13.5" customHeight="1">
      <c r="A245" s="687"/>
      <c r="B245" s="688"/>
      <c r="C245" s="375"/>
      <c r="D245" s="375"/>
      <c r="E245" s="375"/>
      <c r="F245" s="375"/>
      <c r="G245" s="375"/>
      <c r="H245" s="375"/>
      <c r="I245" s="375"/>
      <c r="J245" s="375"/>
      <c r="K245" s="375"/>
      <c r="L245" s="375"/>
      <c r="M245" s="375"/>
      <c r="N245" s="375"/>
      <c r="O245" s="375"/>
      <c r="P245" s="375"/>
      <c r="Q245" s="375"/>
      <c r="R245" s="375"/>
      <c r="S245" s="213"/>
      <c r="T245" s="213"/>
      <c r="U245" s="212"/>
      <c r="V245" s="212"/>
    </row>
    <row r="246" spans="1:30" s="456" customFormat="1" ht="13.5" hidden="1" customHeight="1">
      <c r="A246" s="689"/>
      <c r="B246" s="690" t="e">
        <f>+#REF!+0.1</f>
        <v>#REF!</v>
      </c>
      <c r="C246" s="450" t="s">
        <v>602</v>
      </c>
      <c r="D246" s="451"/>
      <c r="E246" s="451"/>
      <c r="F246" s="451"/>
      <c r="G246" s="451"/>
      <c r="H246" s="451"/>
      <c r="I246" s="451"/>
      <c r="J246" s="451"/>
      <c r="K246" s="451"/>
      <c r="L246" s="451"/>
      <c r="M246" s="452"/>
      <c r="N246" s="452"/>
      <c r="O246" s="452"/>
      <c r="P246" s="453"/>
      <c r="Q246" s="454"/>
      <c r="R246" s="454"/>
      <c r="S246" s="454"/>
      <c r="T246" s="454"/>
      <c r="U246" s="455"/>
      <c r="V246" s="455"/>
    </row>
    <row r="247" spans="1:30" s="456" customFormat="1" ht="13.5" hidden="1" customHeight="1">
      <c r="A247" s="689"/>
      <c r="B247" s="691"/>
      <c r="C247" s="451"/>
      <c r="D247" s="451"/>
      <c r="E247" s="451"/>
      <c r="F247" s="451"/>
      <c r="G247" s="451"/>
      <c r="H247" s="451"/>
      <c r="I247" s="451"/>
      <c r="J247" s="451"/>
      <c r="K247" s="451"/>
      <c r="L247" s="451"/>
      <c r="M247" s="452"/>
      <c r="N247" s="452"/>
      <c r="O247" s="452"/>
      <c r="P247" s="453"/>
      <c r="Q247" s="454"/>
      <c r="R247" s="454"/>
      <c r="S247" s="454"/>
      <c r="T247" s="454"/>
      <c r="U247" s="455"/>
      <c r="V247" s="455"/>
    </row>
    <row r="248" spans="1:30" s="456" customFormat="1" ht="13.5" hidden="1" customHeight="1">
      <c r="A248" s="689"/>
      <c r="B248" s="691"/>
      <c r="C248" s="819" t="s">
        <v>603</v>
      </c>
      <c r="D248" s="820"/>
      <c r="E248" s="820"/>
      <c r="F248" s="820"/>
      <c r="G248" s="820"/>
      <c r="H248" s="820"/>
      <c r="I248" s="820"/>
      <c r="J248" s="820"/>
      <c r="K248" s="820"/>
      <c r="L248" s="820"/>
      <c r="M248" s="820"/>
      <c r="N248" s="820"/>
      <c r="O248" s="820"/>
      <c r="P248" s="820"/>
      <c r="Q248" s="454"/>
      <c r="R248" s="454"/>
      <c r="S248" s="454"/>
      <c r="T248" s="454"/>
      <c r="U248" s="455"/>
      <c r="V248" s="455"/>
    </row>
    <row r="249" spans="1:30" s="456" customFormat="1" ht="13.5" hidden="1" customHeight="1">
      <c r="A249" s="689"/>
      <c r="B249" s="691"/>
      <c r="C249" s="820"/>
      <c r="D249" s="820"/>
      <c r="E249" s="820"/>
      <c r="F249" s="820"/>
      <c r="G249" s="820"/>
      <c r="H249" s="820"/>
      <c r="I249" s="820"/>
      <c r="J249" s="820"/>
      <c r="K249" s="820"/>
      <c r="L249" s="820"/>
      <c r="M249" s="820"/>
      <c r="N249" s="820"/>
      <c r="O249" s="820"/>
      <c r="P249" s="820"/>
      <c r="Q249" s="454"/>
      <c r="R249" s="454"/>
      <c r="S249" s="454"/>
      <c r="T249" s="454"/>
      <c r="U249" s="455"/>
      <c r="V249" s="455"/>
    </row>
    <row r="250" spans="1:30" s="456" customFormat="1" ht="13.5" hidden="1" customHeight="1">
      <c r="A250" s="689"/>
      <c r="B250" s="691"/>
      <c r="C250" s="451"/>
      <c r="D250" s="451"/>
      <c r="E250" s="451"/>
      <c r="F250" s="451"/>
      <c r="G250" s="451"/>
      <c r="H250" s="451"/>
      <c r="I250" s="451"/>
      <c r="J250" s="451"/>
      <c r="K250" s="451"/>
      <c r="L250" s="451"/>
      <c r="M250" s="452"/>
      <c r="N250" s="452"/>
      <c r="O250" s="452"/>
      <c r="P250" s="457"/>
      <c r="Q250" s="454"/>
      <c r="R250" s="454"/>
      <c r="S250" s="454"/>
      <c r="T250" s="454"/>
      <c r="U250" s="455"/>
      <c r="V250" s="455"/>
      <c r="AC250" s="458"/>
      <c r="AD250" s="458"/>
    </row>
    <row r="251" spans="1:30" s="456" customFormat="1" ht="13.5" hidden="1" customHeight="1">
      <c r="A251" s="689"/>
      <c r="B251" s="691"/>
      <c r="C251" s="822" t="s">
        <v>604</v>
      </c>
      <c r="D251" s="822"/>
      <c r="E251" s="822"/>
      <c r="F251" s="822"/>
      <c r="G251" s="822"/>
      <c r="H251" s="822"/>
      <c r="I251" s="822"/>
      <c r="J251" s="822"/>
      <c r="K251" s="822"/>
      <c r="L251" s="822"/>
      <c r="M251" s="822"/>
      <c r="N251" s="822"/>
      <c r="O251" s="822"/>
      <c r="P251" s="822"/>
      <c r="Q251" s="454"/>
      <c r="R251" s="454"/>
      <c r="S251" s="454"/>
      <c r="T251" s="454"/>
      <c r="U251" s="455"/>
      <c r="V251" s="455"/>
      <c r="AC251" s="458"/>
      <c r="AD251" s="458"/>
    </row>
    <row r="252" spans="1:30" s="456" customFormat="1" ht="13.5" hidden="1" customHeight="1">
      <c r="A252" s="689"/>
      <c r="B252" s="691"/>
      <c r="C252" s="822"/>
      <c r="D252" s="822"/>
      <c r="E252" s="822"/>
      <c r="F252" s="822"/>
      <c r="G252" s="822"/>
      <c r="H252" s="822"/>
      <c r="I252" s="822"/>
      <c r="J252" s="822"/>
      <c r="K252" s="822"/>
      <c r="L252" s="822"/>
      <c r="M252" s="822"/>
      <c r="N252" s="822"/>
      <c r="O252" s="822"/>
      <c r="P252" s="822"/>
      <c r="Q252" s="454"/>
      <c r="R252" s="454"/>
      <c r="S252" s="454"/>
      <c r="T252" s="454"/>
      <c r="U252" s="455"/>
      <c r="V252" s="455"/>
      <c r="AC252" s="458"/>
      <c r="AD252" s="458"/>
    </row>
    <row r="253" spans="1:30" s="456" customFormat="1" ht="13.5" hidden="1" customHeight="1">
      <c r="A253" s="689"/>
      <c r="B253" s="691"/>
      <c r="C253" s="451"/>
      <c r="D253" s="451"/>
      <c r="E253" s="451"/>
      <c r="F253" s="451"/>
      <c r="G253" s="451"/>
      <c r="H253" s="451"/>
      <c r="I253" s="451"/>
      <c r="J253" s="451"/>
      <c r="K253" s="451"/>
      <c r="L253" s="451"/>
      <c r="M253" s="452"/>
      <c r="N253" s="452"/>
      <c r="O253" s="452"/>
      <c r="P253" s="457"/>
      <c r="Q253" s="454"/>
      <c r="R253" s="454"/>
      <c r="S253" s="454"/>
      <c r="T253" s="454"/>
      <c r="U253" s="455"/>
      <c r="V253" s="455"/>
      <c r="AC253" s="458"/>
      <c r="AD253" s="458"/>
    </row>
    <row r="254" spans="1:30" s="456" customFormat="1" ht="13.5" hidden="1" customHeight="1">
      <c r="A254" s="689"/>
      <c r="B254" s="691"/>
      <c r="C254" s="819" t="s">
        <v>605</v>
      </c>
      <c r="D254" s="820"/>
      <c r="E254" s="820"/>
      <c r="F254" s="820"/>
      <c r="G254" s="820"/>
      <c r="H254" s="820"/>
      <c r="I254" s="820"/>
      <c r="J254" s="820"/>
      <c r="K254" s="820"/>
      <c r="L254" s="820"/>
      <c r="M254" s="820"/>
      <c r="N254" s="820"/>
      <c r="O254" s="820"/>
      <c r="P254" s="820"/>
      <c r="Q254" s="454"/>
      <c r="R254" s="454"/>
      <c r="S254" s="454"/>
      <c r="T254" s="454"/>
      <c r="U254" s="455"/>
      <c r="V254" s="455"/>
      <c r="AC254" s="458"/>
      <c r="AD254" s="458"/>
    </row>
    <row r="255" spans="1:30" s="456" customFormat="1" ht="13.5" hidden="1" customHeight="1">
      <c r="A255" s="689"/>
      <c r="B255" s="691"/>
      <c r="C255" s="820"/>
      <c r="D255" s="820"/>
      <c r="E255" s="820"/>
      <c r="F255" s="820"/>
      <c r="G255" s="820"/>
      <c r="H255" s="820"/>
      <c r="I255" s="820"/>
      <c r="J255" s="820"/>
      <c r="K255" s="820"/>
      <c r="L255" s="820"/>
      <c r="M255" s="820"/>
      <c r="N255" s="820"/>
      <c r="O255" s="820"/>
      <c r="P255" s="820"/>
      <c r="Q255" s="454"/>
      <c r="R255" s="454"/>
      <c r="S255" s="454"/>
      <c r="T255" s="454"/>
      <c r="U255" s="455"/>
      <c r="V255" s="455"/>
      <c r="AC255" s="458"/>
      <c r="AD255" s="458"/>
    </row>
    <row r="256" spans="1:30" s="456" customFormat="1" ht="13.5" hidden="1" customHeight="1">
      <c r="A256" s="689"/>
      <c r="B256" s="691"/>
      <c r="C256" s="451"/>
      <c r="D256" s="451"/>
      <c r="E256" s="451"/>
      <c r="F256" s="451"/>
      <c r="G256" s="451"/>
      <c r="H256" s="451"/>
      <c r="I256" s="451"/>
      <c r="J256" s="451"/>
      <c r="K256" s="451"/>
      <c r="L256" s="451"/>
      <c r="M256" s="452"/>
      <c r="N256" s="452"/>
      <c r="O256" s="452"/>
      <c r="P256" s="457"/>
      <c r="Q256" s="454"/>
      <c r="R256" s="454"/>
      <c r="S256" s="454"/>
      <c r="T256" s="454"/>
      <c r="U256" s="455"/>
      <c r="V256" s="455"/>
      <c r="AC256" s="458"/>
      <c r="AD256" s="458"/>
    </row>
    <row r="257" spans="1:30" s="456" customFormat="1" ht="13.5" hidden="1" customHeight="1">
      <c r="A257" s="689"/>
      <c r="B257" s="691"/>
      <c r="C257" s="819" t="s">
        <v>606</v>
      </c>
      <c r="D257" s="820"/>
      <c r="E257" s="820"/>
      <c r="F257" s="820"/>
      <c r="G257" s="820"/>
      <c r="H257" s="820"/>
      <c r="I257" s="820"/>
      <c r="J257" s="820"/>
      <c r="K257" s="820"/>
      <c r="L257" s="820"/>
      <c r="M257" s="820"/>
      <c r="N257" s="820"/>
      <c r="O257" s="820"/>
      <c r="P257" s="820"/>
      <c r="Q257" s="454"/>
      <c r="R257" s="454"/>
      <c r="S257" s="454"/>
      <c r="T257" s="454"/>
      <c r="U257" s="455"/>
      <c r="V257" s="455"/>
      <c r="AC257" s="458"/>
      <c r="AD257" s="458"/>
    </row>
    <row r="258" spans="1:30" s="456" customFormat="1" ht="13.5" hidden="1" customHeight="1">
      <c r="A258" s="689"/>
      <c r="B258" s="691"/>
      <c r="C258" s="820"/>
      <c r="D258" s="820"/>
      <c r="E258" s="820"/>
      <c r="F258" s="820"/>
      <c r="G258" s="820"/>
      <c r="H258" s="820"/>
      <c r="I258" s="820"/>
      <c r="J258" s="820"/>
      <c r="K258" s="820"/>
      <c r="L258" s="820"/>
      <c r="M258" s="820"/>
      <c r="N258" s="820"/>
      <c r="O258" s="820"/>
      <c r="P258" s="820"/>
      <c r="Q258" s="454"/>
      <c r="R258" s="454"/>
      <c r="S258" s="454"/>
      <c r="T258" s="454"/>
      <c r="U258" s="455"/>
      <c r="V258" s="455"/>
      <c r="AC258" s="458"/>
      <c r="AD258" s="458"/>
    </row>
    <row r="259" spans="1:30" s="456" customFormat="1" ht="13.5" hidden="1" customHeight="1">
      <c r="A259" s="689"/>
      <c r="B259" s="691"/>
      <c r="C259" s="458"/>
      <c r="D259" s="458"/>
      <c r="E259" s="458"/>
      <c r="F259" s="458"/>
      <c r="G259" s="458"/>
      <c r="H259" s="458"/>
      <c r="I259" s="458"/>
      <c r="J259" s="458"/>
      <c r="K259" s="458"/>
      <c r="L259" s="458"/>
      <c r="M259" s="458"/>
      <c r="N259" s="458"/>
      <c r="O259" s="458"/>
      <c r="P259" s="458"/>
      <c r="Q259" s="454"/>
      <c r="R259" s="454"/>
      <c r="S259" s="454"/>
      <c r="T259" s="454"/>
      <c r="U259" s="455"/>
      <c r="V259" s="455"/>
      <c r="AC259" s="458"/>
      <c r="AD259" s="458"/>
    </row>
    <row r="260" spans="1:30" s="456" customFormat="1" ht="13.5" hidden="1" customHeight="1">
      <c r="A260" s="689"/>
      <c r="B260" s="691"/>
      <c r="C260" s="821" t="s">
        <v>607</v>
      </c>
      <c r="D260" s="820"/>
      <c r="E260" s="820"/>
      <c r="F260" s="820"/>
      <c r="G260" s="820"/>
      <c r="H260" s="820"/>
      <c r="I260" s="820"/>
      <c r="J260" s="820"/>
      <c r="K260" s="820"/>
      <c r="L260" s="820"/>
      <c r="M260" s="820"/>
      <c r="N260" s="820"/>
      <c r="O260" s="820"/>
      <c r="P260" s="820"/>
      <c r="Q260" s="454"/>
      <c r="R260" s="454"/>
      <c r="S260" s="454"/>
      <c r="T260" s="454"/>
      <c r="U260" s="455"/>
      <c r="V260" s="455"/>
      <c r="AC260" s="458"/>
      <c r="AD260" s="458"/>
    </row>
    <row r="261" spans="1:30" s="456" customFormat="1" ht="13.5" hidden="1" customHeight="1">
      <c r="A261" s="689"/>
      <c r="B261" s="691"/>
      <c r="C261" s="820"/>
      <c r="D261" s="820"/>
      <c r="E261" s="820"/>
      <c r="F261" s="820"/>
      <c r="G261" s="820"/>
      <c r="H261" s="820"/>
      <c r="I261" s="820"/>
      <c r="J261" s="820"/>
      <c r="K261" s="820"/>
      <c r="L261" s="820"/>
      <c r="M261" s="820"/>
      <c r="N261" s="820"/>
      <c r="O261" s="820"/>
      <c r="P261" s="820"/>
      <c r="Q261" s="454"/>
      <c r="R261" s="454"/>
      <c r="S261" s="454"/>
      <c r="T261" s="454"/>
      <c r="U261" s="455"/>
      <c r="V261" s="455"/>
      <c r="AC261" s="458"/>
      <c r="AD261" s="458"/>
    </row>
    <row r="262" spans="1:30" s="456" customFormat="1" ht="13.5" hidden="1" customHeight="1">
      <c r="A262" s="689"/>
      <c r="B262" s="691"/>
      <c r="C262" s="454"/>
      <c r="D262" s="454"/>
      <c r="E262" s="454"/>
      <c r="F262" s="454"/>
      <c r="G262" s="454"/>
      <c r="H262" s="454"/>
      <c r="I262" s="454"/>
      <c r="J262" s="454"/>
      <c r="K262" s="454"/>
      <c r="L262" s="454"/>
      <c r="M262" s="454"/>
      <c r="N262" s="454"/>
      <c r="O262" s="454"/>
      <c r="P262" s="454"/>
      <c r="Q262" s="454"/>
      <c r="R262" s="454"/>
      <c r="S262" s="454"/>
      <c r="T262" s="454"/>
      <c r="U262" s="455"/>
      <c r="V262" s="455"/>
      <c r="AC262" s="458"/>
      <c r="AD262" s="458"/>
    </row>
    <row r="263" spans="1:30" ht="13.5" customHeight="1">
      <c r="A263" s="687"/>
      <c r="B263" s="688"/>
      <c r="C263" s="189"/>
      <c r="D263" s="189"/>
      <c r="E263" s="189"/>
      <c r="F263" s="189"/>
      <c r="G263" s="189"/>
      <c r="H263" s="189"/>
      <c r="I263" s="189"/>
      <c r="J263" s="189"/>
      <c r="K263" s="5">
        <v>2026</v>
      </c>
      <c r="L263" s="189"/>
      <c r="M263" s="5">
        <v>2025</v>
      </c>
      <c r="N263" s="5"/>
      <c r="O263" s="5">
        <v>2024</v>
      </c>
      <c r="P263" s="189"/>
      <c r="Q263" s="189"/>
      <c r="R263" s="189"/>
      <c r="S263" s="189"/>
      <c r="T263" s="189"/>
      <c r="U263" s="212"/>
      <c r="V263" s="212"/>
      <c r="AC263" s="376"/>
      <c r="AD263" s="376"/>
    </row>
    <row r="264" spans="1:30" ht="13.5" customHeight="1">
      <c r="A264" s="687">
        <f>+A231+1</f>
        <v>17</v>
      </c>
      <c r="B264" s="494" t="s">
        <v>608</v>
      </c>
      <c r="C264" s="494"/>
      <c r="D264" s="494"/>
      <c r="E264" s="494"/>
      <c r="F264" s="494"/>
      <c r="G264" s="495"/>
      <c r="H264" s="495"/>
      <c r="I264" s="495"/>
      <c r="J264" s="495"/>
      <c r="K264" s="163" t="s">
        <v>609</v>
      </c>
      <c r="L264" s="495"/>
      <c r="M264" s="163" t="s">
        <v>609</v>
      </c>
      <c r="N264" s="163"/>
      <c r="O264" s="163" t="s">
        <v>609</v>
      </c>
      <c r="P264" s="216">
        <v>2017</v>
      </c>
      <c r="Q264" s="216"/>
      <c r="R264" s="216">
        <v>2016</v>
      </c>
      <c r="S264" s="189"/>
      <c r="T264" s="189"/>
      <c r="U264" s="212"/>
      <c r="V264" s="212"/>
      <c r="AC264" s="211"/>
      <c r="AD264" s="215"/>
    </row>
    <row r="265" spans="1:30" ht="13.5" customHeight="1">
      <c r="A265" s="687"/>
      <c r="B265" s="494"/>
      <c r="C265" s="494"/>
      <c r="D265" s="494"/>
      <c r="E265" s="494"/>
      <c r="F265" s="494"/>
      <c r="G265" s="495"/>
      <c r="H265" s="495"/>
      <c r="I265" s="495"/>
      <c r="J265" s="495"/>
      <c r="K265" s="495"/>
      <c r="L265" s="495"/>
      <c r="M265" s="495"/>
      <c r="N265" s="217"/>
      <c r="O265" s="495"/>
      <c r="P265" s="217"/>
      <c r="Q265" s="217"/>
      <c r="R265" s="217"/>
      <c r="S265" s="189"/>
      <c r="T265" s="189"/>
      <c r="U265" s="212"/>
      <c r="V265" s="212"/>
    </row>
    <row r="266" spans="1:30" ht="13.5" customHeight="1" thickBot="1">
      <c r="A266" s="687"/>
      <c r="B266" s="217" t="s">
        <v>610</v>
      </c>
      <c r="C266" s="152"/>
      <c r="D266" s="152"/>
      <c r="E266" s="152"/>
      <c r="F266" s="152"/>
      <c r="G266" s="152"/>
      <c r="H266" s="152"/>
      <c r="I266" s="152"/>
      <c r="J266" s="152"/>
      <c r="K266" s="218">
        <v>10</v>
      </c>
      <c r="L266" s="147"/>
      <c r="M266" s="218">
        <v>10</v>
      </c>
      <c r="O266" s="218">
        <v>10</v>
      </c>
      <c r="P266" s="218">
        <v>24</v>
      </c>
      <c r="Q266" s="152"/>
      <c r="R266" s="218">
        <v>34</v>
      </c>
      <c r="S266" s="189"/>
      <c r="T266" s="189"/>
      <c r="U266" s="212"/>
      <c r="V266" s="212"/>
    </row>
    <row r="267" spans="1:30" ht="13.5" customHeight="1" thickTop="1">
      <c r="A267" s="687"/>
      <c r="B267" s="217"/>
      <c r="C267" s="152"/>
      <c r="D267" s="152"/>
      <c r="E267" s="152"/>
      <c r="F267" s="152"/>
      <c r="G267" s="152"/>
      <c r="H267" s="152"/>
      <c r="I267" s="152"/>
      <c r="J267" s="152"/>
      <c r="K267" s="147"/>
      <c r="L267" s="147"/>
      <c r="M267" s="152"/>
      <c r="O267" s="152"/>
      <c r="P267" s="152"/>
      <c r="Q267" s="152"/>
      <c r="R267" s="152"/>
      <c r="S267" s="189"/>
      <c r="T267" s="189"/>
      <c r="U267" s="212"/>
      <c r="V267" s="212"/>
    </row>
    <row r="268" spans="1:30" ht="13.5" customHeight="1" thickBot="1">
      <c r="A268" s="687"/>
      <c r="B268" s="155" t="s">
        <v>611</v>
      </c>
      <c r="C268" s="496"/>
      <c r="D268" s="496"/>
      <c r="E268" s="496"/>
      <c r="F268" s="496"/>
      <c r="G268" s="497"/>
      <c r="H268" s="152"/>
      <c r="I268" s="152"/>
      <c r="J268" s="152"/>
      <c r="K268" s="218">
        <v>10</v>
      </c>
      <c r="L268" s="147"/>
      <c r="M268" s="218">
        <v>10</v>
      </c>
      <c r="O268" s="218">
        <v>10</v>
      </c>
      <c r="P268" s="218">
        <v>27</v>
      </c>
      <c r="Q268" s="152"/>
      <c r="R268" s="218">
        <v>37</v>
      </c>
      <c r="S268" s="189"/>
      <c r="T268" s="189"/>
      <c r="U268" s="212"/>
      <c r="V268" s="212"/>
    </row>
    <row r="269" spans="1:30" ht="13.5" customHeight="1" thickTop="1">
      <c r="A269" s="687"/>
      <c r="B269" s="155"/>
      <c r="C269" s="496"/>
      <c r="D269" s="496"/>
      <c r="E269" s="496"/>
      <c r="F269" s="496"/>
      <c r="G269" s="497"/>
      <c r="H269" s="152"/>
      <c r="I269" s="152"/>
      <c r="J269" s="152"/>
      <c r="K269" s="147"/>
      <c r="L269" s="147"/>
      <c r="M269" s="172"/>
      <c r="O269" s="172"/>
      <c r="P269" s="172"/>
      <c r="Q269" s="152"/>
      <c r="R269" s="172"/>
      <c r="S269" s="189"/>
      <c r="T269" s="189"/>
      <c r="U269" s="212"/>
      <c r="V269" s="212"/>
    </row>
    <row r="270" spans="1:30" ht="13.5" customHeight="1">
      <c r="A270" s="687">
        <f>A264+1</f>
        <v>18</v>
      </c>
      <c r="B270" s="692" t="s">
        <v>1318</v>
      </c>
      <c r="C270" s="496"/>
      <c r="D270" s="496"/>
      <c r="E270" s="496"/>
      <c r="F270" s="496"/>
      <c r="G270" s="497"/>
      <c r="H270" s="152"/>
      <c r="I270" s="152"/>
      <c r="J270" s="152"/>
      <c r="K270" s="147"/>
      <c r="L270" s="147"/>
      <c r="M270" s="172"/>
      <c r="O270" s="172"/>
      <c r="P270" s="172"/>
      <c r="Q270" s="152"/>
      <c r="R270" s="172"/>
      <c r="S270" s="189"/>
      <c r="T270" s="189"/>
      <c r="U270" s="212"/>
      <c r="V270" s="212"/>
    </row>
    <row r="271" spans="1:30" ht="13.5" customHeight="1">
      <c r="A271" s="687"/>
      <c r="B271" s="155"/>
      <c r="C271" s="496"/>
      <c r="D271" s="496"/>
      <c r="E271" s="496"/>
      <c r="F271" s="496"/>
      <c r="G271" s="497"/>
      <c r="H271" s="152"/>
      <c r="I271" s="152"/>
      <c r="J271" s="152"/>
      <c r="K271" s="147"/>
      <c r="L271" s="147"/>
      <c r="M271" s="172"/>
      <c r="O271" s="172"/>
      <c r="P271" s="172"/>
      <c r="Q271" s="152"/>
      <c r="R271" s="172"/>
      <c r="S271" s="189"/>
      <c r="T271" s="189"/>
      <c r="U271" s="212"/>
      <c r="V271" s="212"/>
    </row>
    <row r="272" spans="1:30" ht="13.5" customHeight="1">
      <c r="A272" s="687"/>
      <c r="B272" s="777" t="s">
        <v>1319</v>
      </c>
      <c r="C272" s="777"/>
      <c r="D272" s="777"/>
      <c r="E272" s="777"/>
      <c r="F272" s="777"/>
      <c r="G272" s="777"/>
      <c r="H272" s="777"/>
      <c r="I272" s="777"/>
      <c r="J272" s="777"/>
      <c r="K272" s="777"/>
      <c r="L272" s="777"/>
      <c r="M272" s="777"/>
      <c r="N272" s="777"/>
      <c r="O272" s="777"/>
      <c r="P272" s="172"/>
      <c r="Q272" s="152"/>
      <c r="R272" s="172"/>
      <c r="S272" s="189"/>
      <c r="T272" s="189"/>
      <c r="U272" s="212"/>
      <c r="V272" s="212"/>
    </row>
    <row r="273" spans="1:28" ht="13.5" customHeight="1">
      <c r="A273" s="687"/>
      <c r="B273" s="777"/>
      <c r="C273" s="777"/>
      <c r="D273" s="777"/>
      <c r="E273" s="777"/>
      <c r="F273" s="777"/>
      <c r="G273" s="777"/>
      <c r="H273" s="777"/>
      <c r="I273" s="777"/>
      <c r="J273" s="777"/>
      <c r="K273" s="777"/>
      <c r="L273" s="777"/>
      <c r="M273" s="777"/>
      <c r="N273" s="777"/>
      <c r="O273" s="777"/>
      <c r="P273" s="172"/>
      <c r="Q273" s="152"/>
      <c r="R273" s="172"/>
      <c r="S273" s="189"/>
      <c r="T273" s="189"/>
      <c r="U273" s="212"/>
      <c r="V273" s="212"/>
    </row>
    <row r="274" spans="1:28" ht="13.5" customHeight="1">
      <c r="A274" s="687"/>
      <c r="B274" s="777"/>
      <c r="C274" s="777"/>
      <c r="D274" s="777"/>
      <c r="E274" s="777"/>
      <c r="F274" s="777"/>
      <c r="G274" s="777"/>
      <c r="H274" s="777"/>
      <c r="I274" s="777"/>
      <c r="J274" s="777"/>
      <c r="K274" s="777"/>
      <c r="L274" s="777"/>
      <c r="M274" s="777"/>
      <c r="N274" s="777"/>
      <c r="O274" s="777"/>
      <c r="P274" s="172"/>
      <c r="Q274" s="152"/>
      <c r="R274" s="172"/>
      <c r="S274" s="189"/>
      <c r="T274" s="189"/>
      <c r="U274" s="212"/>
      <c r="V274" s="212"/>
    </row>
    <row r="275" spans="1:28" ht="13.5" customHeight="1" thickBot="1">
      <c r="A275" s="687"/>
      <c r="B275" s="155"/>
      <c r="C275" s="496"/>
      <c r="D275" s="496"/>
      <c r="E275" s="496"/>
      <c r="F275" s="496"/>
      <c r="G275" s="497"/>
      <c r="H275" s="152"/>
      <c r="I275" s="152"/>
      <c r="J275" s="152"/>
      <c r="K275" s="147"/>
      <c r="L275" s="147"/>
      <c r="M275" s="172"/>
      <c r="O275" s="172"/>
      <c r="P275" s="172"/>
      <c r="Q275" s="152"/>
      <c r="R275" s="172"/>
      <c r="S275" s="189"/>
      <c r="T275" s="189"/>
      <c r="U275" s="212"/>
      <c r="V275" s="212"/>
    </row>
    <row r="276" spans="1:28" ht="45" customHeight="1">
      <c r="A276" s="687"/>
      <c r="B276" s="826" t="s">
        <v>1325</v>
      </c>
      <c r="C276" s="827"/>
      <c r="D276" s="828"/>
      <c r="E276" s="832" t="s">
        <v>1320</v>
      </c>
      <c r="F276" s="833"/>
      <c r="G276" s="753" t="s">
        <v>1321</v>
      </c>
      <c r="H276" s="754"/>
      <c r="I276" s="754"/>
      <c r="J276" s="754"/>
      <c r="K276" s="505">
        <v>2026</v>
      </c>
      <c r="L276" s="737"/>
      <c r="M276" s="505">
        <v>2025</v>
      </c>
      <c r="O276" s="505">
        <v>2024</v>
      </c>
      <c r="P276" s="172"/>
      <c r="Q276" s="152"/>
      <c r="R276" s="172"/>
      <c r="S276" s="189"/>
      <c r="T276" s="189"/>
      <c r="U276" s="212"/>
      <c r="V276" s="212"/>
    </row>
    <row r="277" spans="1:28" ht="24" customHeight="1" thickBot="1">
      <c r="A277" s="687"/>
      <c r="B277" s="829"/>
      <c r="C277" s="830"/>
      <c r="D277" s="831"/>
      <c r="E277" s="834"/>
      <c r="F277" s="835"/>
      <c r="G277" s="755"/>
      <c r="H277" s="756"/>
      <c r="I277" s="756"/>
      <c r="J277" s="756"/>
      <c r="K277" s="506" t="s">
        <v>460</v>
      </c>
      <c r="L277" s="738"/>
      <c r="M277" s="506" t="s">
        <v>460</v>
      </c>
      <c r="O277" s="506" t="s">
        <v>460</v>
      </c>
      <c r="P277" s="172"/>
      <c r="Q277" s="152"/>
      <c r="R277" s="172"/>
      <c r="S277" s="189"/>
      <c r="T277" s="189"/>
      <c r="U277" s="212"/>
      <c r="V277" s="212"/>
    </row>
    <row r="278" spans="1:28" ht="13.5" customHeight="1">
      <c r="A278" s="687"/>
      <c r="B278" s="155"/>
      <c r="C278" s="496"/>
      <c r="D278" s="496"/>
      <c r="E278" s="496"/>
      <c r="F278" s="496"/>
      <c r="G278" s="497"/>
      <c r="H278" s="152"/>
      <c r="I278" s="152"/>
      <c r="J278" s="152"/>
      <c r="K278" s="147"/>
      <c r="L278" s="147"/>
      <c r="M278" s="172"/>
      <c r="O278" s="172"/>
      <c r="P278" s="172"/>
      <c r="Q278" s="152"/>
      <c r="R278" s="172"/>
      <c r="S278" s="189"/>
      <c r="T278" s="189"/>
      <c r="U278" s="212"/>
      <c r="V278" s="212"/>
    </row>
    <row r="279" spans="1:28" ht="13.5" customHeight="1" thickBot="1">
      <c r="A279" s="687"/>
      <c r="B279" s="837" t="s">
        <v>332</v>
      </c>
      <c r="C279" s="837"/>
      <c r="D279" s="837"/>
      <c r="E279" s="496" t="s">
        <v>1324</v>
      </c>
      <c r="F279" s="496"/>
      <c r="G279" s="757" t="s">
        <v>1323</v>
      </c>
      <c r="H279" s="757"/>
      <c r="I279" s="757"/>
      <c r="J279" s="757"/>
      <c r="K279" s="507">
        <f>'Con 5-18'!K82</f>
        <v>0</v>
      </c>
      <c r="L279" s="664"/>
      <c r="M279" s="507" t="e">
        <f>'Con 5-18'!M82</f>
        <v>#REF!</v>
      </c>
      <c r="O279" s="507">
        <v>40791015</v>
      </c>
      <c r="P279" s="172"/>
      <c r="Q279" s="152"/>
      <c r="R279" s="172"/>
      <c r="S279" s="189"/>
      <c r="T279" s="189"/>
      <c r="U279" s="212"/>
      <c r="V279" s="212"/>
    </row>
    <row r="280" spans="1:28" ht="13.5" customHeight="1" thickTop="1">
      <c r="A280" s="687"/>
      <c r="B280" s="837"/>
      <c r="C280" s="837"/>
      <c r="D280" s="837"/>
      <c r="E280" s="496"/>
      <c r="F280" s="496"/>
      <c r="G280" s="757"/>
      <c r="H280" s="757"/>
      <c r="I280" s="757"/>
      <c r="J280" s="757"/>
      <c r="K280" s="757"/>
      <c r="L280" s="664"/>
      <c r="M280" s="172"/>
      <c r="O280" s="172"/>
      <c r="P280" s="172"/>
      <c r="Q280" s="152"/>
      <c r="R280" s="172"/>
      <c r="S280" s="189"/>
      <c r="T280" s="189"/>
      <c r="U280" s="212"/>
      <c r="V280" s="212"/>
    </row>
    <row r="281" spans="1:28" ht="13.5" customHeight="1" thickBot="1">
      <c r="A281" s="687"/>
      <c r="B281" s="155"/>
      <c r="C281" s="496"/>
      <c r="D281" s="496"/>
      <c r="E281" s="496"/>
      <c r="F281" s="496"/>
      <c r="G281" s="757" t="s">
        <v>1322</v>
      </c>
      <c r="H281" s="757"/>
      <c r="I281" s="757"/>
      <c r="J281" s="757"/>
      <c r="K281" s="507">
        <v>0</v>
      </c>
      <c r="L281" s="664"/>
      <c r="M281" s="507">
        <v>0</v>
      </c>
      <c r="O281" s="507">
        <v>1000000</v>
      </c>
      <c r="P281" s="172"/>
      <c r="Q281" s="152"/>
      <c r="R281" s="172"/>
      <c r="S281" s="189"/>
      <c r="T281" s="189"/>
      <c r="U281" s="212"/>
      <c r="V281" s="212"/>
      <c r="AB281" s="145">
        <f>O279+M281</f>
        <v>40791015</v>
      </c>
    </row>
    <row r="282" spans="1:28" ht="13.5" customHeight="1" thickTop="1">
      <c r="A282" s="687"/>
      <c r="B282" s="155"/>
      <c r="C282" s="496"/>
      <c r="D282" s="496"/>
      <c r="E282" s="496"/>
      <c r="F282" s="496"/>
      <c r="G282" s="757"/>
      <c r="H282" s="757"/>
      <c r="I282" s="757"/>
      <c r="J282" s="757"/>
      <c r="K282" s="757"/>
      <c r="L282" s="664"/>
      <c r="M282" s="172"/>
      <c r="O282" s="172"/>
      <c r="P282" s="172"/>
      <c r="Q282" s="152"/>
      <c r="R282" s="172"/>
      <c r="S282" s="189"/>
      <c r="T282" s="189"/>
      <c r="U282" s="212"/>
      <c r="V282" s="212"/>
    </row>
    <row r="283" spans="1:28" ht="13.5" customHeight="1">
      <c r="A283" s="687"/>
      <c r="B283" s="155"/>
      <c r="C283" s="496"/>
      <c r="D283" s="496"/>
      <c r="E283" s="496"/>
      <c r="F283" s="496"/>
      <c r="G283" s="664"/>
      <c r="H283" s="664"/>
      <c r="I283" s="664"/>
      <c r="J283" s="664"/>
      <c r="K283" s="664"/>
      <c r="L283" s="664"/>
      <c r="M283" s="172"/>
      <c r="O283" s="172"/>
      <c r="P283" s="172"/>
      <c r="Q283" s="152"/>
      <c r="R283" s="172"/>
      <c r="S283" s="189"/>
      <c r="T283" s="189"/>
      <c r="U283" s="212"/>
      <c r="V283" s="212"/>
    </row>
    <row r="284" spans="1:28" ht="13.5" customHeight="1">
      <c r="A284" s="687"/>
      <c r="B284" s="155"/>
      <c r="C284" s="496"/>
      <c r="D284" s="496"/>
      <c r="E284" s="496"/>
      <c r="F284" s="496"/>
      <c r="G284" s="664"/>
      <c r="H284" s="664"/>
      <c r="I284" s="664"/>
      <c r="J284" s="664"/>
      <c r="K284" s="664"/>
      <c r="L284" s="664"/>
      <c r="M284" s="172"/>
      <c r="O284" s="172"/>
      <c r="P284" s="172"/>
      <c r="Q284" s="152"/>
      <c r="R284" s="172"/>
      <c r="S284" s="189"/>
      <c r="T284" s="189"/>
      <c r="U284" s="212"/>
      <c r="V284" s="212"/>
    </row>
    <row r="285" spans="1:28" ht="13.5" customHeight="1">
      <c r="A285" s="687"/>
      <c r="B285" s="155"/>
      <c r="C285" s="496"/>
      <c r="D285" s="496"/>
      <c r="E285" s="496"/>
      <c r="F285" s="496"/>
      <c r="G285" s="664"/>
      <c r="H285" s="664"/>
      <c r="I285" s="664"/>
      <c r="J285" s="664"/>
      <c r="K285" s="664"/>
      <c r="L285" s="664"/>
      <c r="M285" s="172"/>
      <c r="O285" s="172"/>
      <c r="P285" s="172"/>
      <c r="Q285" s="152"/>
      <c r="R285" s="172"/>
      <c r="S285" s="189"/>
      <c r="T285" s="189"/>
      <c r="U285" s="212"/>
      <c r="V285" s="212"/>
    </row>
    <row r="286" spans="1:28" ht="13.5" customHeight="1">
      <c r="A286" s="687"/>
      <c r="B286" s="155"/>
      <c r="C286" s="496"/>
      <c r="D286" s="496"/>
      <c r="E286" s="496"/>
      <c r="F286" s="496"/>
      <c r="G286" s="664"/>
      <c r="H286" s="664"/>
      <c r="I286" s="664"/>
      <c r="J286" s="664"/>
      <c r="K286" s="664"/>
      <c r="L286" s="664"/>
      <c r="M286" s="172"/>
      <c r="O286" s="172"/>
      <c r="P286" s="172"/>
      <c r="Q286" s="152"/>
      <c r="R286" s="172"/>
      <c r="S286" s="189"/>
      <c r="T286" s="189"/>
      <c r="U286" s="212"/>
      <c r="V286" s="212"/>
    </row>
    <row r="287" spans="1:28" ht="13.5" customHeight="1">
      <c r="A287" s="687"/>
      <c r="B287" s="155"/>
      <c r="C287" s="496"/>
      <c r="D287" s="496"/>
      <c r="E287" s="496"/>
      <c r="F287" s="496"/>
      <c r="G287" s="664"/>
      <c r="H287" s="664"/>
      <c r="I287" s="664"/>
      <c r="J287" s="664"/>
      <c r="K287" s="664"/>
      <c r="L287" s="664"/>
      <c r="M287" s="172"/>
      <c r="O287" s="172"/>
      <c r="P287" s="172"/>
      <c r="Q287" s="152"/>
      <c r="R287" s="172"/>
      <c r="S287" s="189"/>
      <c r="T287" s="189"/>
      <c r="U287" s="212"/>
      <c r="V287" s="212"/>
    </row>
    <row r="288" spans="1:28" ht="13.5" customHeight="1">
      <c r="A288" s="693">
        <f>A270+1</f>
        <v>19</v>
      </c>
      <c r="B288" s="214" t="s">
        <v>612</v>
      </c>
      <c r="C288" s="165"/>
      <c r="D288" s="165"/>
      <c r="E288" s="196"/>
      <c r="F288" s="196"/>
      <c r="G288" s="196"/>
      <c r="H288" s="165"/>
      <c r="I288" s="165"/>
      <c r="J288" s="165"/>
      <c r="K288" s="165"/>
      <c r="L288" s="165"/>
      <c r="M288" s="165"/>
      <c r="N288" s="165"/>
      <c r="O288" s="165"/>
      <c r="P288" s="165"/>
      <c r="Q288" s="165"/>
      <c r="R288" s="165"/>
      <c r="S288" s="165"/>
      <c r="T288" s="165"/>
      <c r="U288" s="212"/>
      <c r="V288" s="212"/>
    </row>
    <row r="289" spans="1:22" ht="13.5" customHeight="1">
      <c r="A289" s="687"/>
      <c r="B289" s="671"/>
      <c r="C289" s="165"/>
      <c r="D289" s="165"/>
      <c r="E289" s="165"/>
      <c r="F289" s="165"/>
      <c r="G289" s="165"/>
      <c r="H289" s="165"/>
      <c r="I289" s="165"/>
      <c r="J289" s="165"/>
      <c r="K289" s="165"/>
      <c r="L289" s="165"/>
      <c r="M289" s="165"/>
      <c r="N289" s="165"/>
      <c r="O289" s="165"/>
      <c r="P289" s="165"/>
      <c r="Q289" s="165"/>
      <c r="R289" s="165"/>
      <c r="S289" s="165"/>
      <c r="T289" s="165"/>
      <c r="U289" s="212"/>
      <c r="V289" s="212"/>
    </row>
    <row r="290" spans="1:22" ht="13.5" customHeight="1">
      <c r="A290" s="687"/>
      <c r="B290" s="777" t="s">
        <v>613</v>
      </c>
      <c r="C290" s="777"/>
      <c r="D290" s="777"/>
      <c r="E290" s="777"/>
      <c r="F290" s="777"/>
      <c r="G290" s="777"/>
      <c r="H290" s="777"/>
      <c r="I290" s="777"/>
      <c r="J290" s="777"/>
      <c r="K290" s="777"/>
      <c r="L290" s="777"/>
      <c r="M290" s="777"/>
      <c r="N290" s="777"/>
      <c r="O290" s="777"/>
      <c r="P290" s="777"/>
      <c r="Q290" s="777"/>
      <c r="R290" s="777"/>
      <c r="S290" s="213"/>
      <c r="T290" s="213"/>
      <c r="U290" s="212"/>
      <c r="V290" s="212"/>
    </row>
    <row r="291" spans="1:22" ht="13.5" customHeight="1">
      <c r="A291" s="687"/>
      <c r="B291" s="777"/>
      <c r="C291" s="777"/>
      <c r="D291" s="777"/>
      <c r="E291" s="777"/>
      <c r="F291" s="777"/>
      <c r="G291" s="777"/>
      <c r="H291" s="777"/>
      <c r="I291" s="777"/>
      <c r="J291" s="777"/>
      <c r="K291" s="777"/>
      <c r="L291" s="777"/>
      <c r="M291" s="777"/>
      <c r="N291" s="777"/>
      <c r="O291" s="777"/>
      <c r="P291" s="777"/>
      <c r="Q291" s="777"/>
      <c r="R291" s="777"/>
      <c r="S291" s="213"/>
      <c r="T291" s="213"/>
      <c r="U291" s="212"/>
      <c r="V291" s="212"/>
    </row>
    <row r="292" spans="1:22" ht="13.5" customHeight="1">
      <c r="A292" s="687"/>
      <c r="B292" s="671"/>
      <c r="C292" s="165"/>
      <c r="D292" s="165"/>
      <c r="E292" s="165"/>
      <c r="F292" s="165"/>
      <c r="G292" s="165"/>
      <c r="H292" s="165"/>
      <c r="I292" s="165"/>
      <c r="J292" s="165"/>
      <c r="K292" s="165"/>
      <c r="L292" s="165"/>
      <c r="M292" s="165"/>
      <c r="N292" s="165"/>
      <c r="O292" s="165"/>
      <c r="P292" s="165"/>
      <c r="Q292" s="165"/>
      <c r="R292" s="165"/>
      <c r="S292" s="165"/>
      <c r="T292" s="165"/>
      <c r="U292" s="212"/>
      <c r="V292" s="212"/>
    </row>
    <row r="293" spans="1:22" ht="13.5" customHeight="1">
      <c r="A293" s="693">
        <f>+A288+1</f>
        <v>20</v>
      </c>
      <c r="B293" s="824" t="s">
        <v>614</v>
      </c>
      <c r="C293" s="824"/>
      <c r="D293" s="824"/>
      <c r="E293" s="824"/>
      <c r="F293" s="162"/>
      <c r="G293" s="162"/>
      <c r="H293" s="162"/>
      <c r="I293" s="162"/>
      <c r="J293" s="162"/>
      <c r="K293" s="162"/>
      <c r="L293" s="162"/>
      <c r="M293" s="162"/>
      <c r="N293" s="162"/>
      <c r="O293" s="162"/>
      <c r="P293" s="162"/>
      <c r="Q293" s="162"/>
      <c r="R293" s="162"/>
      <c r="S293" s="162"/>
      <c r="T293" s="165"/>
      <c r="U293" s="212"/>
      <c r="V293" s="212"/>
    </row>
    <row r="294" spans="1:22" ht="13.5" customHeight="1">
      <c r="A294" s="687"/>
      <c r="B294" s="671"/>
      <c r="C294" s="165"/>
      <c r="D294" s="165"/>
      <c r="E294" s="165"/>
      <c r="F294" s="165"/>
      <c r="G294" s="165"/>
      <c r="H294" s="165"/>
      <c r="I294" s="165"/>
      <c r="J294" s="165"/>
      <c r="K294" s="165"/>
      <c r="L294" s="165"/>
      <c r="M294" s="165"/>
      <c r="N294" s="165"/>
      <c r="O294" s="165"/>
      <c r="P294" s="165"/>
      <c r="Q294" s="165"/>
      <c r="R294" s="165"/>
      <c r="S294" s="165"/>
      <c r="T294" s="165"/>
      <c r="U294" s="212"/>
      <c r="V294" s="212"/>
    </row>
    <row r="295" spans="1:22" ht="13.5" customHeight="1">
      <c r="A295" s="687"/>
      <c r="B295" s="776" t="s">
        <v>1317</v>
      </c>
      <c r="C295" s="776"/>
      <c r="D295" s="776"/>
      <c r="E295" s="776"/>
      <c r="F295" s="776"/>
      <c r="G295" s="776"/>
      <c r="H295" s="776"/>
      <c r="I295" s="776"/>
      <c r="J295" s="776"/>
      <c r="K295" s="776"/>
      <c r="L295" s="776"/>
      <c r="M295" s="776"/>
      <c r="N295" s="776"/>
      <c r="O295" s="776"/>
      <c r="P295" s="407"/>
      <c r="Q295" s="407"/>
      <c r="R295" s="407"/>
      <c r="S295" s="407"/>
      <c r="T295" s="407"/>
      <c r="U295" s="212"/>
      <c r="V295" s="212"/>
    </row>
    <row r="296" spans="1:22" ht="13.5" customHeight="1">
      <c r="A296" s="687"/>
      <c r="B296" s="776"/>
      <c r="C296" s="776"/>
      <c r="D296" s="776"/>
      <c r="E296" s="776"/>
      <c r="F296" s="776"/>
      <c r="G296" s="776"/>
      <c r="H296" s="776"/>
      <c r="I296" s="776"/>
      <c r="J296" s="776"/>
      <c r="K296" s="776"/>
      <c r="L296" s="776"/>
      <c r="M296" s="776"/>
      <c r="N296" s="776"/>
      <c r="O296" s="776"/>
      <c r="P296" s="407"/>
      <c r="Q296" s="407"/>
      <c r="R296" s="407"/>
      <c r="S296" s="407"/>
      <c r="T296" s="407"/>
      <c r="U296" s="212"/>
      <c r="V296" s="212"/>
    </row>
    <row r="297" spans="1:22" ht="13.5" hidden="1" customHeight="1" thickBot="1">
      <c r="A297" s="687"/>
      <c r="B297" s="213"/>
      <c r="C297" s="213"/>
      <c r="D297" s="213"/>
      <c r="E297" s="213"/>
      <c r="F297" s="213"/>
      <c r="G297" s="213"/>
      <c r="H297" s="213"/>
      <c r="I297" s="213"/>
      <c r="J297" s="213"/>
      <c r="K297" s="213"/>
      <c r="L297" s="213"/>
      <c r="M297" s="213"/>
      <c r="N297" s="213"/>
      <c r="O297" s="213"/>
      <c r="P297" s="213"/>
      <c r="Q297" s="213"/>
      <c r="R297" s="213"/>
      <c r="S297" s="213"/>
      <c r="T297" s="213"/>
      <c r="U297" s="212"/>
      <c r="V297" s="212"/>
    </row>
    <row r="298" spans="1:22" ht="13.5" hidden="1" customHeight="1">
      <c r="A298" s="687"/>
      <c r="B298" s="825" t="s">
        <v>615</v>
      </c>
      <c r="C298" s="825"/>
      <c r="D298" s="825"/>
      <c r="E298" s="825"/>
      <c r="F298" s="825"/>
      <c r="G298" s="825"/>
      <c r="H298" s="825"/>
      <c r="I298" s="825"/>
      <c r="J298" s="825"/>
      <c r="K298" s="825"/>
      <c r="L298" s="825"/>
      <c r="M298" s="825"/>
      <c r="N298" s="825"/>
      <c r="O298" s="825"/>
      <c r="P298" s="825"/>
      <c r="Q298" s="825"/>
      <c r="R298" s="825"/>
      <c r="S298" s="825"/>
      <c r="T298" s="825"/>
      <c r="U298" s="212"/>
      <c r="V298" s="212"/>
    </row>
    <row r="299" spans="1:22" ht="13.5" hidden="1" customHeight="1">
      <c r="A299" s="687"/>
      <c r="B299" s="213"/>
      <c r="C299" s="213"/>
      <c r="D299" s="213"/>
      <c r="E299" s="213"/>
      <c r="F299" s="213"/>
      <c r="G299" s="213"/>
      <c r="H299" s="213"/>
      <c r="I299" s="213"/>
      <c r="J299" s="213"/>
      <c r="K299" s="213"/>
      <c r="L299" s="213"/>
      <c r="M299" s="213"/>
      <c r="N299" s="213"/>
      <c r="O299" s="213"/>
      <c r="P299" s="213"/>
      <c r="Q299" s="213"/>
      <c r="R299" s="213"/>
      <c r="S299" s="213"/>
      <c r="T299" s="213"/>
      <c r="U299" s="212"/>
      <c r="V299" s="212"/>
    </row>
    <row r="300" spans="1:22" ht="13.5" hidden="1" customHeight="1">
      <c r="A300" s="687"/>
      <c r="B300" s="836" t="s">
        <v>616</v>
      </c>
      <c r="C300" s="836"/>
      <c r="D300" s="836"/>
      <c r="E300" s="836"/>
      <c r="G300" s="219" t="s">
        <v>617</v>
      </c>
      <c r="H300" s="220"/>
      <c r="I300" s="145"/>
      <c r="J300" s="145"/>
      <c r="P300" s="221" t="s">
        <v>618</v>
      </c>
      <c r="Q300" s="213"/>
      <c r="S300" s="213"/>
      <c r="T300" s="213"/>
      <c r="U300" s="212"/>
      <c r="V300" s="212"/>
    </row>
    <row r="301" spans="1:22" ht="13.5" hidden="1" customHeight="1">
      <c r="A301" s="687"/>
      <c r="B301" s="213"/>
      <c r="C301" s="213"/>
      <c r="D301" s="213"/>
      <c r="E301" s="213"/>
      <c r="G301" s="213"/>
      <c r="H301" s="145"/>
      <c r="I301" s="145"/>
      <c r="J301" s="145"/>
      <c r="P301" s="213"/>
      <c r="Q301" s="213"/>
      <c r="S301" s="213"/>
      <c r="T301" s="213"/>
      <c r="U301" s="212"/>
      <c r="V301" s="212"/>
    </row>
    <row r="302" spans="1:22" ht="13.5" hidden="1" customHeight="1">
      <c r="A302" s="687"/>
      <c r="B302" s="823" t="s">
        <v>564</v>
      </c>
      <c r="C302" s="823"/>
      <c r="D302" s="823"/>
      <c r="E302" s="823"/>
      <c r="G302" s="217" t="s">
        <v>565</v>
      </c>
      <c r="H302" s="145"/>
      <c r="I302" s="145"/>
      <c r="J302" s="145"/>
      <c r="P302" s="222">
        <v>25440</v>
      </c>
      <c r="Q302" s="213"/>
      <c r="S302" s="213"/>
      <c r="T302" s="213"/>
      <c r="U302" s="212"/>
      <c r="V302" s="212"/>
    </row>
    <row r="303" spans="1:22" ht="13.5" hidden="1" customHeight="1">
      <c r="A303" s="687"/>
      <c r="B303" s="823" t="s">
        <v>564</v>
      </c>
      <c r="C303" s="823"/>
      <c r="D303" s="823"/>
      <c r="E303" s="823"/>
      <c r="G303" s="217" t="s">
        <v>619</v>
      </c>
      <c r="H303" s="145"/>
      <c r="I303" s="145"/>
      <c r="J303" s="145"/>
      <c r="P303" s="222">
        <v>360000</v>
      </c>
      <c r="Q303" s="213"/>
      <c r="S303" s="213"/>
      <c r="T303" s="213"/>
      <c r="U303" s="212"/>
      <c r="V303" s="212"/>
    </row>
    <row r="304" spans="1:22" ht="13.5" hidden="1" customHeight="1">
      <c r="A304" s="687"/>
      <c r="B304" s="837" t="s">
        <v>360</v>
      </c>
      <c r="C304" s="837"/>
      <c r="D304" s="837"/>
      <c r="E304" s="837"/>
      <c r="G304" s="837" t="s">
        <v>474</v>
      </c>
      <c r="H304" s="837"/>
      <c r="I304" s="739"/>
      <c r="J304" s="739"/>
      <c r="P304" s="145"/>
      <c r="Q304" s="213"/>
      <c r="S304" s="213"/>
      <c r="T304" s="213"/>
      <c r="U304" s="212"/>
      <c r="V304" s="212"/>
    </row>
    <row r="305" spans="1:22" ht="13.5" hidden="1" customHeight="1">
      <c r="A305" s="687"/>
      <c r="B305" s="837"/>
      <c r="C305" s="837"/>
      <c r="D305" s="837"/>
      <c r="E305" s="837"/>
      <c r="G305" s="837"/>
      <c r="H305" s="837"/>
      <c r="I305" s="739"/>
      <c r="J305" s="739"/>
      <c r="P305" s="222">
        <v>419500</v>
      </c>
      <c r="Q305" s="213"/>
      <c r="R305" s="213"/>
      <c r="S305" s="213"/>
      <c r="T305" s="213"/>
      <c r="U305" s="212"/>
      <c r="V305" s="212"/>
    </row>
    <row r="306" spans="1:22" ht="13.5" hidden="1" customHeight="1">
      <c r="A306" s="687"/>
      <c r="B306" s="213"/>
      <c r="C306" s="213"/>
      <c r="D306" s="213"/>
      <c r="E306" s="213"/>
      <c r="F306" s="213"/>
      <c r="G306" s="213"/>
      <c r="H306" s="213"/>
      <c r="I306" s="213"/>
      <c r="J306" s="213"/>
      <c r="K306" s="213"/>
      <c r="L306" s="213"/>
      <c r="M306" s="213"/>
      <c r="N306" s="213"/>
      <c r="O306" s="213"/>
      <c r="P306" s="213"/>
      <c r="Q306" s="213"/>
      <c r="R306" s="213"/>
      <c r="S306" s="213"/>
      <c r="T306" s="213"/>
      <c r="U306" s="212"/>
      <c r="V306" s="212"/>
    </row>
    <row r="307" spans="1:22" ht="13.5" customHeight="1">
      <c r="A307" s="687"/>
      <c r="B307" s="213"/>
      <c r="C307" s="213"/>
      <c r="D307" s="213"/>
      <c r="E307" s="213"/>
      <c r="F307" s="213"/>
      <c r="G307" s="213"/>
      <c r="H307" s="213"/>
      <c r="I307" s="213"/>
      <c r="J307" s="213"/>
      <c r="K307" s="213"/>
      <c r="L307" s="213"/>
      <c r="M307" s="213"/>
      <c r="N307" s="213"/>
      <c r="O307" s="213"/>
      <c r="P307" s="213"/>
      <c r="Q307" s="213"/>
      <c r="R307" s="213"/>
      <c r="S307" s="213"/>
      <c r="T307" s="213"/>
      <c r="U307" s="212"/>
      <c r="V307" s="212"/>
    </row>
    <row r="308" spans="1:22" ht="13.5" customHeight="1">
      <c r="A308" s="693">
        <f>+A293+1</f>
        <v>21</v>
      </c>
      <c r="B308" s="214" t="s">
        <v>620</v>
      </c>
      <c r="C308" s="165"/>
      <c r="D308" s="165"/>
      <c r="E308" s="165"/>
      <c r="F308" s="165"/>
      <c r="G308" s="165"/>
      <c r="H308" s="165"/>
      <c r="I308" s="165"/>
      <c r="J308" s="165"/>
      <c r="K308" s="165"/>
      <c r="L308" s="165"/>
      <c r="M308" s="165"/>
      <c r="N308" s="165"/>
      <c r="O308" s="165"/>
      <c r="P308" s="165"/>
      <c r="Q308" s="165"/>
      <c r="R308" s="165"/>
      <c r="S308" s="165"/>
      <c r="T308" s="165"/>
    </row>
    <row r="309" spans="1:22" ht="13.5" customHeight="1">
      <c r="A309" s="687"/>
      <c r="B309" s="688"/>
      <c r="C309" s="165"/>
      <c r="D309" s="165"/>
      <c r="E309" s="165"/>
      <c r="F309" s="165"/>
      <c r="G309" s="165"/>
      <c r="H309" s="165"/>
      <c r="I309" s="165"/>
      <c r="J309" s="165"/>
      <c r="K309" s="165"/>
      <c r="L309" s="165"/>
      <c r="M309" s="165"/>
      <c r="N309" s="165"/>
      <c r="O309" s="165"/>
      <c r="P309" s="165"/>
      <c r="Q309" s="165"/>
      <c r="R309" s="165"/>
      <c r="S309" s="165"/>
      <c r="T309" s="165"/>
    </row>
    <row r="310" spans="1:22" ht="13.5" customHeight="1">
      <c r="A310" s="687"/>
      <c r="B310" s="217" t="s">
        <v>621</v>
      </c>
      <c r="C310" s="165"/>
      <c r="D310" s="165"/>
      <c r="E310" s="165"/>
      <c r="F310" s="165"/>
      <c r="G310" s="165"/>
      <c r="H310" s="165"/>
      <c r="I310" s="165"/>
      <c r="J310" s="165"/>
      <c r="K310" s="165"/>
      <c r="L310" s="165"/>
      <c r="M310" s="165"/>
      <c r="N310" s="165"/>
      <c r="O310" s="165"/>
      <c r="P310" s="165"/>
      <c r="Q310" s="165"/>
      <c r="R310" s="165"/>
      <c r="S310" s="165"/>
      <c r="T310" s="165"/>
    </row>
    <row r="357" spans="2:15" ht="13.5" customHeight="1" thickBot="1">
      <c r="B357" s="694"/>
      <c r="C357" s="365"/>
      <c r="D357" s="365"/>
      <c r="E357" s="365"/>
      <c r="H357" s="182"/>
      <c r="I357" s="182"/>
      <c r="J357" s="182"/>
      <c r="K357" s="182"/>
      <c r="L357" s="182"/>
      <c r="M357" s="182"/>
      <c r="N357" s="182"/>
    </row>
    <row r="358" spans="2:15" ht="13.5" customHeight="1">
      <c r="B358" s="838" t="s">
        <v>477</v>
      </c>
      <c r="C358" s="838"/>
      <c r="D358" s="838"/>
      <c r="E358" s="838"/>
      <c r="F358" s="224"/>
      <c r="G358" s="224"/>
      <c r="H358" s="838" t="s">
        <v>478</v>
      </c>
      <c r="I358" s="838"/>
      <c r="J358" s="838"/>
      <c r="K358" s="838"/>
      <c r="L358" s="838"/>
      <c r="M358" s="838"/>
      <c r="N358" s="838"/>
      <c r="O358" s="225"/>
    </row>
    <row r="373" spans="1:20" ht="13.5" customHeight="1">
      <c r="A373" s="695"/>
      <c r="B373" s="696"/>
      <c r="C373" s="224"/>
      <c r="D373" s="224"/>
      <c r="E373" s="224"/>
      <c r="F373" s="224"/>
      <c r="G373" s="224"/>
      <c r="H373" s="224"/>
      <c r="I373" s="224"/>
      <c r="J373" s="224"/>
      <c r="K373" s="224"/>
      <c r="L373" s="224"/>
      <c r="M373" s="224"/>
      <c r="N373" s="224"/>
      <c r="O373" s="224"/>
      <c r="P373" s="224"/>
      <c r="Q373" s="224"/>
      <c r="R373" s="224"/>
      <c r="S373" s="224"/>
      <c r="T373" s="224"/>
    </row>
    <row r="374" spans="1:20" ht="13.5" customHeight="1">
      <c r="A374" s="695"/>
      <c r="P374" s="225"/>
      <c r="Q374" s="225"/>
      <c r="R374" s="225"/>
      <c r="S374" s="226"/>
      <c r="T374" s="224"/>
    </row>
    <row r="375" spans="1:20" ht="13.5" hidden="1" customHeight="1">
      <c r="K375" s="150"/>
      <c r="L375" s="150"/>
      <c r="M375" s="150"/>
      <c r="N375" s="150"/>
      <c r="P375" s="150"/>
    </row>
    <row r="376" spans="1:20" s="165" customFormat="1" ht="13.5" hidden="1" customHeight="1">
      <c r="A376" s="672"/>
      <c r="B376" s="688"/>
      <c r="G376" s="150"/>
      <c r="H376" s="150"/>
      <c r="I376" s="150"/>
      <c r="J376" s="150"/>
      <c r="K376" s="150"/>
      <c r="L376" s="150"/>
      <c r="M376" s="150"/>
      <c r="N376" s="150"/>
      <c r="O376" s="150"/>
      <c r="P376" s="150"/>
      <c r="Q376" s="150"/>
      <c r="R376" s="149"/>
      <c r="S376" s="149"/>
    </row>
    <row r="377" spans="1:20" ht="13.5" hidden="1" customHeight="1">
      <c r="C377" s="166"/>
      <c r="D377" s="166"/>
      <c r="E377" s="166"/>
      <c r="F377" s="166"/>
      <c r="G377" s="227"/>
      <c r="H377" s="227"/>
      <c r="I377" s="227"/>
      <c r="J377" s="227"/>
      <c r="K377" s="227"/>
      <c r="L377" s="227"/>
      <c r="M377" s="227"/>
      <c r="N377" s="227"/>
      <c r="O377" s="227"/>
      <c r="P377" s="227"/>
      <c r="Q377" s="227"/>
    </row>
    <row r="378" spans="1:20" ht="13.5" hidden="1" customHeight="1">
      <c r="D378" s="145" t="s">
        <v>622</v>
      </c>
      <c r="G378" s="150"/>
      <c r="K378" s="150"/>
      <c r="L378" s="150"/>
      <c r="M378" s="150"/>
      <c r="N378" s="150"/>
      <c r="P378" s="150"/>
    </row>
    <row r="383" spans="1:20" ht="13.5" customHeight="1">
      <c r="G383" s="150"/>
      <c r="K383" s="150"/>
      <c r="L383" s="150"/>
      <c r="M383" s="150"/>
      <c r="N383" s="150"/>
      <c r="P383" s="150"/>
      <c r="R383" s="145"/>
      <c r="S383" s="145"/>
    </row>
  </sheetData>
  <mergeCells count="32">
    <mergeCell ref="B303:E303"/>
    <mergeCell ref="B358:E358"/>
    <mergeCell ref="H358:N358"/>
    <mergeCell ref="B304:E305"/>
    <mergeCell ref="G304:H305"/>
    <mergeCell ref="B302:E302"/>
    <mergeCell ref="B293:E293"/>
    <mergeCell ref="B298:T298"/>
    <mergeCell ref="C254:P255"/>
    <mergeCell ref="C257:P258"/>
    <mergeCell ref="B295:O296"/>
    <mergeCell ref="B272:O274"/>
    <mergeCell ref="B276:D277"/>
    <mergeCell ref="E276:F277"/>
    <mergeCell ref="B300:E300"/>
    <mergeCell ref="B290:R291"/>
    <mergeCell ref="B279:D280"/>
    <mergeCell ref="C244:P244"/>
    <mergeCell ref="M235:O235"/>
    <mergeCell ref="M233:O233"/>
    <mergeCell ref="C248:P249"/>
    <mergeCell ref="C260:P261"/>
    <mergeCell ref="C251:P252"/>
    <mergeCell ref="C56:R60"/>
    <mergeCell ref="C84:T84"/>
    <mergeCell ref="C32:R33"/>
    <mergeCell ref="B213:R214"/>
    <mergeCell ref="C229:O230"/>
    <mergeCell ref="C226:O227"/>
    <mergeCell ref="C221:O223"/>
    <mergeCell ref="B217:O219"/>
    <mergeCell ref="C170:O170"/>
  </mergeCells>
  <pageMargins left="0.9" right="0.4" top="0.75" bottom="0.25" header="0.21" footer="0.5"/>
  <pageSetup paperSize="9" scale="63" orientation="portrait" r:id="rId1"/>
  <headerFooter alignWithMargins="0"/>
  <rowBreaks count="1" manualBreakCount="1">
    <brk id="139"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AE91"/>
  <sheetViews>
    <sheetView workbookViewId="0">
      <selection activeCell="C1" sqref="C1"/>
    </sheetView>
  </sheetViews>
  <sheetFormatPr defaultColWidth="9.1796875" defaultRowHeight="13.5" customHeight="1"/>
  <cols>
    <col min="1" max="1" width="4.1796875" style="165" customWidth="1"/>
    <col min="2" max="2" width="3.7265625" style="165" customWidth="1"/>
    <col min="3" max="3" width="7" style="165" customWidth="1"/>
    <col min="4" max="4" width="23.81640625" style="165" customWidth="1"/>
    <col min="5" max="7" width="10.7265625" style="165" customWidth="1"/>
    <col min="8" max="9" width="11.26953125" style="165" customWidth="1"/>
    <col min="10" max="10" width="11" style="165" bestFit="1" customWidth="1"/>
    <col min="11" max="11" width="11.26953125" style="165" customWidth="1"/>
    <col min="12" max="12" width="1" style="165" customWidth="1"/>
    <col min="13" max="13" width="11.7265625" style="165" customWidth="1"/>
    <col min="14" max="16384" width="9.1796875" style="165"/>
  </cols>
  <sheetData>
    <row r="1" spans="1:31" ht="13.5" customHeight="1">
      <c r="A1" s="181">
        <v>16</v>
      </c>
      <c r="B1" s="228" t="s">
        <v>623</v>
      </c>
      <c r="E1" s="229"/>
      <c r="F1" s="229"/>
      <c r="G1" s="229"/>
      <c r="H1" s="229"/>
      <c r="I1" s="229"/>
      <c r="J1" s="229"/>
      <c r="K1" s="229"/>
      <c r="L1" s="230"/>
    </row>
    <row r="2" spans="1:31" ht="13.5" customHeight="1" thickBot="1">
      <c r="A2" s="231"/>
      <c r="B2" s="229"/>
      <c r="C2" s="228"/>
      <c r="D2" s="228"/>
      <c r="E2" s="145"/>
      <c r="F2" s="145"/>
      <c r="G2" s="145"/>
      <c r="H2" s="125"/>
      <c r="I2" s="125"/>
      <c r="J2" s="125"/>
      <c r="K2" s="125"/>
      <c r="L2" s="125"/>
      <c r="M2" s="125"/>
      <c r="N2" s="125"/>
      <c r="O2" s="125"/>
      <c r="P2" s="125"/>
      <c r="Q2" s="125"/>
      <c r="R2" s="125"/>
      <c r="S2" s="125"/>
      <c r="T2" s="125"/>
      <c r="U2" s="125"/>
      <c r="V2" s="125"/>
      <c r="W2" s="125"/>
      <c r="X2" s="125"/>
      <c r="Y2" s="125"/>
      <c r="Z2" s="125"/>
      <c r="AA2" s="125"/>
      <c r="AB2" s="125"/>
      <c r="AC2" s="125"/>
      <c r="AD2" s="125"/>
      <c r="AE2" s="125"/>
    </row>
    <row r="3" spans="1:31" ht="13.5" customHeight="1" thickBot="1">
      <c r="A3" s="232"/>
      <c r="B3" s="229"/>
      <c r="C3" s="233"/>
      <c r="D3" s="233"/>
      <c r="E3" s="234" t="s">
        <v>624</v>
      </c>
      <c r="F3" s="235"/>
      <c r="G3" s="236"/>
      <c r="H3" s="237" t="s">
        <v>625</v>
      </c>
      <c r="I3" s="238"/>
      <c r="J3" s="239"/>
      <c r="K3" s="839">
        <v>2015</v>
      </c>
      <c r="L3" s="136"/>
      <c r="M3" s="839">
        <v>2014</v>
      </c>
      <c r="N3" s="125"/>
      <c r="O3" s="125"/>
      <c r="P3" s="125"/>
      <c r="Q3" s="125"/>
      <c r="R3" s="125"/>
      <c r="S3" s="125"/>
      <c r="T3" s="125"/>
      <c r="U3" s="125"/>
      <c r="V3" s="125"/>
      <c r="W3" s="125"/>
      <c r="X3" s="125"/>
      <c r="Y3" s="125"/>
      <c r="Z3" s="125"/>
      <c r="AA3" s="125"/>
      <c r="AB3" s="125"/>
      <c r="AC3" s="125"/>
      <c r="AD3" s="125"/>
      <c r="AE3" s="125"/>
    </row>
    <row r="4" spans="1:31" ht="13.5" customHeight="1">
      <c r="A4" s="232"/>
      <c r="B4" s="240"/>
      <c r="C4" s="233"/>
      <c r="D4" s="233"/>
      <c r="E4" s="241" t="s">
        <v>626</v>
      </c>
      <c r="F4" s="241" t="s">
        <v>626</v>
      </c>
      <c r="G4" s="842" t="s">
        <v>627</v>
      </c>
      <c r="H4" s="241" t="s">
        <v>450</v>
      </c>
      <c r="I4" s="241" t="s">
        <v>626</v>
      </c>
      <c r="J4" s="842" t="s">
        <v>627</v>
      </c>
      <c r="K4" s="840"/>
      <c r="L4" s="242"/>
      <c r="M4" s="840"/>
    </row>
    <row r="5" spans="1:31" ht="13.5" customHeight="1" thickBot="1">
      <c r="A5" s="232"/>
      <c r="B5" s="229"/>
      <c r="C5" s="233"/>
      <c r="D5" s="233"/>
      <c r="E5" s="243" t="s">
        <v>628</v>
      </c>
      <c r="F5" s="243" t="s">
        <v>629</v>
      </c>
      <c r="G5" s="843"/>
      <c r="H5" s="243" t="s">
        <v>628</v>
      </c>
      <c r="I5" s="243" t="s">
        <v>629</v>
      </c>
      <c r="J5" s="843"/>
      <c r="K5" s="841"/>
      <c r="L5" s="242"/>
      <c r="M5" s="841"/>
    </row>
    <row r="6" spans="1:31" ht="13.5" customHeight="1" thickBot="1">
      <c r="A6" s="232"/>
      <c r="B6" s="229"/>
      <c r="C6" s="233"/>
      <c r="D6" s="233"/>
      <c r="E6" s="243" t="s">
        <v>630</v>
      </c>
      <c r="F6" s="243" t="s">
        <v>630</v>
      </c>
      <c r="G6" s="844"/>
      <c r="H6" s="243" t="s">
        <v>630</v>
      </c>
      <c r="I6" s="243" t="s">
        <v>630</v>
      </c>
      <c r="J6" s="844"/>
      <c r="K6" s="243" t="s">
        <v>569</v>
      </c>
      <c r="L6" s="242"/>
      <c r="M6" s="241" t="s">
        <v>569</v>
      </c>
    </row>
    <row r="7" spans="1:31" ht="13.5" customHeight="1" thickBot="1">
      <c r="A7" s="232"/>
      <c r="B7" s="229"/>
      <c r="C7" s="233"/>
      <c r="D7" s="233"/>
      <c r="E7" s="244" t="s">
        <v>631</v>
      </c>
      <c r="F7" s="239"/>
      <c r="G7" s="239"/>
      <c r="H7" s="239"/>
      <c r="I7" s="239"/>
      <c r="J7" s="239"/>
      <c r="K7" s="239"/>
      <c r="L7" s="239"/>
      <c r="M7" s="245"/>
    </row>
    <row r="8" spans="1:31" ht="13.5" customHeight="1">
      <c r="A8" s="246"/>
      <c r="B8" s="247"/>
      <c r="E8" s="248"/>
      <c r="F8" s="248"/>
      <c r="G8" s="248"/>
      <c r="H8" s="248"/>
      <c r="I8" s="248"/>
      <c r="J8" s="248"/>
      <c r="K8" s="248"/>
      <c r="L8" s="248"/>
      <c r="M8" s="248"/>
    </row>
    <row r="9" spans="1:31" ht="13.5" customHeight="1">
      <c r="B9" s="246" t="s">
        <v>632</v>
      </c>
    </row>
    <row r="10" spans="1:31" ht="13.5" customHeight="1">
      <c r="B10" s="249" t="s">
        <v>633</v>
      </c>
      <c r="E10" s="229">
        <v>6000000</v>
      </c>
      <c r="F10" s="229">
        <v>850000</v>
      </c>
      <c r="G10" s="229">
        <f>SUM(E10:F10)</f>
        <v>6850000</v>
      </c>
      <c r="H10" s="250">
        <v>0</v>
      </c>
      <c r="I10" s="229">
        <v>0</v>
      </c>
      <c r="J10" s="229">
        <f>SUM(H10:I10)</f>
        <v>0</v>
      </c>
      <c r="K10" s="251">
        <f>(G10+J10)</f>
        <v>6850000</v>
      </c>
      <c r="L10" s="252"/>
      <c r="M10" s="253">
        <v>6850000</v>
      </c>
    </row>
    <row r="11" spans="1:31" ht="13.5" customHeight="1">
      <c r="B11" s="254" t="s">
        <v>634</v>
      </c>
      <c r="E11" s="250">
        <v>0</v>
      </c>
      <c r="F11" s="229">
        <f>SUM(E11:E11)</f>
        <v>0</v>
      </c>
      <c r="G11" s="229">
        <f>SUM(E11:F11)</f>
        <v>0</v>
      </c>
      <c r="H11" s="145">
        <v>5523923.7599999998</v>
      </c>
      <c r="I11" s="250">
        <v>0</v>
      </c>
      <c r="J11" s="229">
        <f>SUM(H11:I11)</f>
        <v>5523923.7599999998</v>
      </c>
      <c r="K11" s="251">
        <f>(G11+J11)</f>
        <v>5523923.7599999998</v>
      </c>
      <c r="L11" s="255"/>
      <c r="M11" s="253">
        <v>6162964.7599999998</v>
      </c>
    </row>
    <row r="12" spans="1:31" ht="13.5" customHeight="1">
      <c r="B12" s="249" t="s">
        <v>467</v>
      </c>
      <c r="E12" s="250">
        <v>0</v>
      </c>
      <c r="F12" s="229">
        <f>SUM(E12:E12)</f>
        <v>0</v>
      </c>
      <c r="G12" s="229">
        <f>SUM(E12:F12)</f>
        <v>0</v>
      </c>
      <c r="H12" s="250">
        <v>16227738.27</v>
      </c>
      <c r="I12" s="229">
        <v>0</v>
      </c>
      <c r="J12" s="229">
        <f>SUM(H12:I12)</f>
        <v>16227738.27</v>
      </c>
      <c r="K12" s="251">
        <f>(G12+J12)</f>
        <v>16227738.27</v>
      </c>
      <c r="L12" s="252"/>
      <c r="M12" s="253">
        <v>16227738.27</v>
      </c>
    </row>
    <row r="13" spans="1:31" ht="13.5" customHeight="1">
      <c r="B13" s="249"/>
      <c r="E13" s="229"/>
      <c r="F13" s="229"/>
      <c r="G13" s="229"/>
      <c r="H13" s="229"/>
      <c r="I13" s="229"/>
      <c r="J13" s="229"/>
      <c r="K13" s="251"/>
      <c r="L13" s="252"/>
      <c r="M13" s="253"/>
    </row>
    <row r="14" spans="1:31" ht="13.5" customHeight="1" thickBot="1">
      <c r="B14" s="249"/>
      <c r="E14" s="256">
        <f>+SUM(E10:E13)</f>
        <v>6000000</v>
      </c>
      <c r="F14" s="256">
        <f>+SUM(F10:F13)</f>
        <v>850000</v>
      </c>
      <c r="G14" s="256">
        <f>+SUM(G10:G13)</f>
        <v>6850000</v>
      </c>
      <c r="H14" s="256">
        <f>+SUM(H10:H13)</f>
        <v>21751662.030000001</v>
      </c>
      <c r="I14" s="256">
        <f>+SUM(I10:I13)</f>
        <v>0</v>
      </c>
      <c r="J14" s="256">
        <f>+J10+J11+J12</f>
        <v>21751662.030000001</v>
      </c>
      <c r="K14" s="257">
        <f>SUM(K10:K12)</f>
        <v>28601662.030000001</v>
      </c>
      <c r="L14" s="252"/>
      <c r="M14" s="258">
        <f>SUM(M10:M12)</f>
        <v>29240703.030000001</v>
      </c>
    </row>
    <row r="15" spans="1:31" ht="13.5" customHeight="1" thickTop="1">
      <c r="B15" s="259"/>
      <c r="E15" s="252"/>
      <c r="F15" s="252"/>
      <c r="G15" s="252"/>
      <c r="H15" s="252"/>
      <c r="I15" s="252"/>
      <c r="J15" s="252"/>
      <c r="K15" s="200"/>
      <c r="L15" s="252"/>
      <c r="M15" s="230"/>
    </row>
    <row r="16" spans="1:31" ht="13.5" customHeight="1">
      <c r="B16" s="259" t="s">
        <v>635</v>
      </c>
      <c r="E16" s="229"/>
      <c r="F16" s="229"/>
      <c r="G16" s="229"/>
      <c r="H16" s="229"/>
      <c r="I16" s="229"/>
      <c r="J16" s="229"/>
      <c r="K16" s="200"/>
      <c r="L16" s="229"/>
      <c r="M16" s="230"/>
    </row>
    <row r="17" spans="1:13" ht="13.5" customHeight="1">
      <c r="B17" s="260" t="s">
        <v>360</v>
      </c>
      <c r="C17" s="261"/>
      <c r="D17" s="261"/>
      <c r="E17" s="229">
        <v>0</v>
      </c>
      <c r="F17" s="229">
        <v>0</v>
      </c>
      <c r="G17" s="229">
        <v>0</v>
      </c>
      <c r="H17" s="229">
        <v>0</v>
      </c>
      <c r="I17" s="262">
        <v>16377485</v>
      </c>
      <c r="J17" s="262">
        <f>SUM(H17:I17)</f>
        <v>16377485</v>
      </c>
      <c r="K17" s="263">
        <f>(G17+J17)</f>
        <v>16377485</v>
      </c>
      <c r="L17" s="262"/>
      <c r="M17" s="264">
        <v>11681206</v>
      </c>
    </row>
    <row r="18" spans="1:13" ht="13.5" customHeight="1">
      <c r="B18" s="260" t="s">
        <v>474</v>
      </c>
      <c r="C18" s="173"/>
      <c r="D18" s="173"/>
      <c r="E18" s="250">
        <v>0</v>
      </c>
      <c r="F18" s="229">
        <v>0</v>
      </c>
      <c r="G18" s="229">
        <f>SUM(E18:F18)</f>
        <v>0</v>
      </c>
      <c r="H18" s="229">
        <v>1211394</v>
      </c>
      <c r="I18" s="229">
        <v>0</v>
      </c>
      <c r="J18" s="229">
        <f>SUM(H18:I18)</f>
        <v>1211394</v>
      </c>
      <c r="K18" s="251">
        <f>(G18+J18)</f>
        <v>1211394</v>
      </c>
      <c r="L18" s="252"/>
      <c r="M18" s="253">
        <v>1111394</v>
      </c>
    </row>
    <row r="19" spans="1:13" ht="13.5" customHeight="1">
      <c r="B19" s="260" t="s">
        <v>475</v>
      </c>
      <c r="E19" s="229">
        <v>0</v>
      </c>
      <c r="F19" s="229">
        <v>0</v>
      </c>
      <c r="G19" s="229">
        <f>SUM(E19:F19)</f>
        <v>0</v>
      </c>
      <c r="H19" s="229">
        <v>8838057.7699999996</v>
      </c>
      <c r="I19" s="229">
        <v>0</v>
      </c>
      <c r="J19" s="229">
        <f>SUM(H19:I19)</f>
        <v>8838057.7699999996</v>
      </c>
      <c r="K19" s="251">
        <f>(G19+J19)</f>
        <v>8838057.7699999996</v>
      </c>
      <c r="L19" s="252"/>
      <c r="M19" s="253">
        <v>8838057.7699999996</v>
      </c>
    </row>
    <row r="20" spans="1:13" ht="13.5" customHeight="1">
      <c r="A20" s="260"/>
      <c r="B20" s="229" t="s">
        <v>636</v>
      </c>
      <c r="E20" s="229">
        <v>600004</v>
      </c>
      <c r="F20" s="229"/>
      <c r="G20" s="229"/>
      <c r="H20" s="229">
        <v>600004</v>
      </c>
      <c r="I20" s="229">
        <v>0</v>
      </c>
      <c r="J20" s="229">
        <f>SUM(H20:I20)</f>
        <v>600004</v>
      </c>
      <c r="K20" s="251">
        <f>(G20+J20)</f>
        <v>600004</v>
      </c>
      <c r="L20" s="252"/>
      <c r="M20" s="253">
        <v>0</v>
      </c>
    </row>
    <row r="21" spans="1:13" ht="13.5" customHeight="1" thickBot="1">
      <c r="A21" s="232"/>
      <c r="B21" s="229"/>
      <c r="E21" s="258">
        <f>SUM(E17:E20)</f>
        <v>600004</v>
      </c>
      <c r="F21" s="258">
        <f t="shared" ref="F21:K21" si="0">SUM(F17:F19)</f>
        <v>0</v>
      </c>
      <c r="G21" s="258">
        <f t="shared" si="0"/>
        <v>0</v>
      </c>
      <c r="H21" s="258">
        <f t="shared" si="0"/>
        <v>10049451.77</v>
      </c>
      <c r="I21" s="258">
        <f t="shared" si="0"/>
        <v>16377485</v>
      </c>
      <c r="J21" s="258">
        <f t="shared" si="0"/>
        <v>26426936.77</v>
      </c>
      <c r="K21" s="258">
        <f t="shared" si="0"/>
        <v>26426936.77</v>
      </c>
      <c r="L21" s="252"/>
      <c r="M21" s="258">
        <f>SUM(M17:M20)</f>
        <v>21630657.77</v>
      </c>
    </row>
    <row r="22" spans="1:13" ht="13.5" customHeight="1" thickTop="1">
      <c r="A22" s="232"/>
      <c r="B22" s="229"/>
      <c r="E22" s="252"/>
      <c r="F22" s="252"/>
      <c r="G22" s="252"/>
      <c r="H22" s="252"/>
      <c r="I22" s="252"/>
      <c r="J22" s="252"/>
      <c r="K22" s="252"/>
      <c r="L22" s="230"/>
    </row>
    <row r="23" spans="1:13" ht="13.5" customHeight="1">
      <c r="L23" s="230"/>
    </row>
    <row r="24" spans="1:13" ht="13.5" customHeight="1">
      <c r="L24" s="230"/>
    </row>
    <row r="25" spans="1:13" ht="13.5" customHeight="1">
      <c r="L25" s="230"/>
    </row>
    <row r="26" spans="1:13" ht="13.5" customHeight="1">
      <c r="L26" s="230"/>
    </row>
    <row r="27" spans="1:13" ht="13.5" customHeight="1">
      <c r="L27" s="230"/>
    </row>
    <row r="28" spans="1:13" ht="13.5" customHeight="1">
      <c r="L28" s="230"/>
    </row>
    <row r="29" spans="1:13" ht="13.5" customHeight="1">
      <c r="L29" s="230"/>
    </row>
    <row r="30" spans="1:13" ht="13.5" customHeight="1">
      <c r="L30" s="230"/>
    </row>
    <row r="31" spans="1:13" ht="13.5" customHeight="1">
      <c r="L31" s="230"/>
    </row>
    <row r="32" spans="1:13" ht="13.5" customHeight="1">
      <c r="L32" s="230"/>
    </row>
    <row r="33" spans="12:12" ht="13.5" customHeight="1">
      <c r="L33" s="230"/>
    </row>
    <row r="34" spans="12:12" ht="13.5" customHeight="1">
      <c r="L34" s="230"/>
    </row>
    <row r="35" spans="12:12" ht="13.5" customHeight="1">
      <c r="L35" s="230"/>
    </row>
    <row r="36" spans="12:12" ht="13.5" customHeight="1">
      <c r="L36" s="230"/>
    </row>
    <row r="37" spans="12:12" ht="13.5" customHeight="1">
      <c r="L37" s="230"/>
    </row>
    <row r="38" spans="12:12" ht="13.5" customHeight="1">
      <c r="L38" s="230"/>
    </row>
    <row r="39" spans="12:12" ht="13.5" customHeight="1">
      <c r="L39" s="230"/>
    </row>
    <row r="40" spans="12:12" ht="13.5" customHeight="1">
      <c r="L40" s="230"/>
    </row>
    <row r="41" spans="12:12" ht="13.5" customHeight="1">
      <c r="L41" s="230"/>
    </row>
    <row r="42" spans="12:12" ht="13.5" customHeight="1">
      <c r="L42" s="230"/>
    </row>
    <row r="43" spans="12:12" ht="13.5" customHeight="1">
      <c r="L43" s="230"/>
    </row>
    <row r="44" spans="12:12" ht="13.5" customHeight="1">
      <c r="L44" s="230"/>
    </row>
    <row r="45" spans="12:12" ht="13.5" customHeight="1">
      <c r="L45" s="230"/>
    </row>
    <row r="46" spans="12:12" ht="13.5" customHeight="1">
      <c r="L46" s="230"/>
    </row>
    <row r="47" spans="12:12" ht="13.5" customHeight="1">
      <c r="L47" s="230"/>
    </row>
    <row r="48" spans="12:12" ht="13.5" customHeight="1">
      <c r="L48" s="230"/>
    </row>
    <row r="49" spans="12:12" ht="13.5" customHeight="1">
      <c r="L49" s="230"/>
    </row>
    <row r="50" spans="12:12" ht="13.5" customHeight="1">
      <c r="L50" s="230"/>
    </row>
    <row r="51" spans="12:12" ht="13.5" customHeight="1">
      <c r="L51" s="230"/>
    </row>
    <row r="52" spans="12:12" ht="13.5" customHeight="1">
      <c r="L52" s="230"/>
    </row>
    <row r="53" spans="12:12" ht="13.5" customHeight="1">
      <c r="L53" s="149"/>
    </row>
    <row r="54" spans="12:12" ht="13.5" customHeight="1">
      <c r="L54" s="265"/>
    </row>
    <row r="55" spans="12:12" ht="13.5" customHeight="1">
      <c r="L55" s="149"/>
    </row>
    <row r="56" spans="12:12" ht="13.5" customHeight="1">
      <c r="L56" s="149"/>
    </row>
    <row r="57" spans="12:12" ht="13.5" customHeight="1">
      <c r="L57" s="149"/>
    </row>
    <row r="58" spans="12:12" ht="13.5" customHeight="1">
      <c r="L58" s="149"/>
    </row>
    <row r="59" spans="12:12" ht="13.5" customHeight="1">
      <c r="L59" s="149"/>
    </row>
    <row r="60" spans="12:12" ht="13.5" customHeight="1">
      <c r="L60" s="149"/>
    </row>
    <row r="61" spans="12:12" ht="13.5" customHeight="1">
      <c r="L61" s="149"/>
    </row>
    <row r="62" spans="12:12" ht="13.5" customHeight="1">
      <c r="L62" s="149"/>
    </row>
    <row r="63" spans="12:12" ht="13.5" customHeight="1">
      <c r="L63" s="149"/>
    </row>
    <row r="64" spans="12:12" ht="13.5" customHeight="1">
      <c r="L64" s="149"/>
    </row>
    <row r="65" spans="1:12" ht="13.5" customHeight="1">
      <c r="L65" s="149"/>
    </row>
    <row r="66" spans="1:12" ht="13.5" customHeight="1">
      <c r="L66" s="149"/>
    </row>
    <row r="67" spans="1:12" ht="13.5" customHeight="1">
      <c r="L67" s="149"/>
    </row>
    <row r="68" spans="1:12" ht="13.5" customHeight="1">
      <c r="L68" s="149"/>
    </row>
    <row r="69" spans="1:12" ht="13.5" customHeight="1">
      <c r="L69" s="149"/>
    </row>
    <row r="70" spans="1:12" ht="13.5" customHeight="1">
      <c r="L70" s="149"/>
    </row>
    <row r="71" spans="1:12" ht="13.5" customHeight="1">
      <c r="L71" s="149"/>
    </row>
    <row r="72" spans="1:12" ht="13.5" customHeight="1">
      <c r="L72" s="149"/>
    </row>
    <row r="73" spans="1:12" ht="13.5" customHeight="1">
      <c r="L73" s="149"/>
    </row>
    <row r="74" spans="1:12" ht="13.5" customHeight="1">
      <c r="L74" s="149"/>
    </row>
    <row r="75" spans="1:12" ht="13.5" customHeight="1">
      <c r="L75" s="149"/>
    </row>
    <row r="76" spans="1:12" ht="13.5" customHeight="1">
      <c r="A76" s="180"/>
      <c r="B76" s="180"/>
      <c r="C76" s="145"/>
      <c r="D76" s="145"/>
      <c r="E76" s="145"/>
      <c r="F76" s="149"/>
      <c r="G76" s="149"/>
      <c r="H76" s="149"/>
      <c r="I76" s="149"/>
      <c r="J76" s="149"/>
      <c r="K76" s="149"/>
      <c r="L76" s="149"/>
    </row>
    <row r="77" spans="1:12" ht="13.5" customHeight="1">
      <c r="A77" s="180"/>
      <c r="B77" s="180"/>
      <c r="C77" s="145"/>
      <c r="D77" s="145"/>
      <c r="E77" s="145"/>
      <c r="F77" s="149"/>
      <c r="G77" s="149"/>
      <c r="H77" s="149"/>
      <c r="I77" s="149"/>
      <c r="J77" s="149"/>
      <c r="K77" s="149"/>
      <c r="L77" s="149"/>
    </row>
    <row r="78" spans="1:12" ht="13.5" customHeight="1">
      <c r="A78" s="180"/>
      <c r="B78" s="180"/>
      <c r="C78" s="145"/>
      <c r="D78" s="145"/>
      <c r="E78" s="145"/>
      <c r="F78" s="149"/>
      <c r="G78" s="149"/>
      <c r="H78" s="149"/>
      <c r="I78" s="149"/>
      <c r="J78" s="149"/>
      <c r="K78" s="149"/>
      <c r="L78" s="149"/>
    </row>
    <row r="79" spans="1:12" ht="13.5" customHeight="1">
      <c r="A79" s="180"/>
      <c r="B79" s="180"/>
      <c r="C79" s="145"/>
      <c r="D79" s="145"/>
      <c r="E79" s="145"/>
      <c r="F79" s="149"/>
      <c r="G79" s="149"/>
      <c r="H79" s="149"/>
      <c r="I79" s="149"/>
      <c r="J79" s="149"/>
      <c r="K79" s="149"/>
      <c r="L79" s="149"/>
    </row>
    <row r="80" spans="1:12" ht="13.5" customHeight="1">
      <c r="A80" s="180"/>
      <c r="B80" s="180"/>
      <c r="C80" s="145"/>
      <c r="D80" s="145"/>
      <c r="E80" s="145"/>
      <c r="F80" s="149"/>
      <c r="G80" s="149"/>
      <c r="H80" s="149"/>
      <c r="I80" s="149"/>
      <c r="J80" s="149"/>
      <c r="K80" s="149"/>
      <c r="L80" s="149"/>
    </row>
    <row r="81" spans="1:12" ht="13.5" customHeight="1">
      <c r="A81" s="180"/>
      <c r="B81" s="180"/>
      <c r="C81" s="145"/>
      <c r="D81" s="145"/>
      <c r="E81" s="145"/>
      <c r="F81" s="149"/>
      <c r="G81" s="149"/>
      <c r="H81" s="149"/>
      <c r="I81" s="149"/>
      <c r="J81" s="149"/>
      <c r="K81" s="149"/>
      <c r="L81" s="149"/>
    </row>
    <row r="82" spans="1:12" ht="13.5" customHeight="1">
      <c r="A82" s="180"/>
      <c r="B82" s="180"/>
      <c r="C82" s="145"/>
      <c r="D82" s="145"/>
      <c r="E82" s="145"/>
      <c r="F82" s="149"/>
      <c r="G82" s="149"/>
      <c r="H82" s="149"/>
      <c r="I82" s="149"/>
      <c r="J82" s="149"/>
      <c r="K82" s="149"/>
      <c r="L82" s="149"/>
    </row>
    <row r="83" spans="1:12" ht="13.5" customHeight="1">
      <c r="A83" s="180"/>
      <c r="B83" s="180"/>
      <c r="C83" s="145"/>
      <c r="D83" s="145"/>
      <c r="E83" s="145"/>
      <c r="F83" s="149"/>
      <c r="G83" s="149"/>
      <c r="H83" s="149"/>
      <c r="I83" s="149"/>
      <c r="J83" s="149"/>
      <c r="K83" s="149"/>
      <c r="L83" s="149"/>
    </row>
    <row r="84" spans="1:12" ht="13.5" customHeight="1">
      <c r="A84" s="180"/>
      <c r="B84" s="180"/>
      <c r="C84" s="145"/>
      <c r="D84" s="145"/>
      <c r="E84" s="145"/>
      <c r="F84" s="149"/>
      <c r="G84" s="149"/>
      <c r="H84" s="149"/>
      <c r="I84" s="149"/>
      <c r="J84" s="149"/>
      <c r="K84" s="149"/>
      <c r="L84" s="149"/>
    </row>
    <row r="85" spans="1:12" s="224" customFormat="1" ht="13.5" customHeight="1"/>
    <row r="86" spans="1:12" s="224" customFormat="1" ht="13.5" customHeight="1" thickBot="1">
      <c r="A86" s="212"/>
      <c r="C86" s="223"/>
      <c r="D86" s="223"/>
      <c r="E86" s="223"/>
      <c r="G86" s="266"/>
      <c r="H86" s="267"/>
      <c r="I86" s="223"/>
      <c r="J86" s="223"/>
    </row>
    <row r="87" spans="1:12" s="224" customFormat="1" ht="13.5" customHeight="1">
      <c r="A87" s="212"/>
      <c r="C87" s="268" t="s">
        <v>477</v>
      </c>
      <c r="D87" s="268"/>
      <c r="E87" s="268"/>
      <c r="F87" s="266"/>
      <c r="G87" s="212"/>
      <c r="H87" s="269" t="s">
        <v>478</v>
      </c>
      <c r="I87" s="269"/>
      <c r="J87" s="269"/>
      <c r="K87" s="270"/>
    </row>
    <row r="88" spans="1:12" s="224" customFormat="1" ht="13.5" customHeight="1"/>
    <row r="89" spans="1:12" ht="13.5" customHeight="1">
      <c r="A89" s="180"/>
      <c r="B89" s="180"/>
      <c r="C89" s="145"/>
      <c r="D89" s="145"/>
      <c r="E89" s="145"/>
      <c r="F89" s="149"/>
      <c r="G89" s="149"/>
      <c r="H89" s="149"/>
      <c r="I89" s="149"/>
      <c r="J89" s="149"/>
      <c r="K89" s="149"/>
      <c r="L89" s="149"/>
    </row>
    <row r="90" spans="1:12" ht="13.5" customHeight="1">
      <c r="A90" s="180"/>
      <c r="B90" s="180"/>
      <c r="C90" s="145"/>
      <c r="D90" s="145"/>
      <c r="E90" s="145"/>
      <c r="F90" s="149"/>
      <c r="G90" s="149"/>
      <c r="H90" s="149"/>
      <c r="I90" s="149"/>
      <c r="J90" s="149"/>
      <c r="K90" s="149"/>
      <c r="L90" s="149"/>
    </row>
    <row r="91" spans="1:12" ht="13.5" customHeight="1">
      <c r="A91" s="180"/>
      <c r="B91" s="180"/>
      <c r="C91" s="145"/>
      <c r="D91" s="145"/>
      <c r="E91" s="145"/>
      <c r="F91" s="149"/>
      <c r="G91" s="149"/>
      <c r="H91" s="149"/>
      <c r="I91" s="149"/>
      <c r="J91" s="149"/>
      <c r="K91" s="149"/>
      <c r="L91" s="149"/>
    </row>
  </sheetData>
  <mergeCells count="4">
    <mergeCell ref="K3:K5"/>
    <mergeCell ref="M3:M5"/>
    <mergeCell ref="G4:G6"/>
    <mergeCell ref="J4:J6"/>
  </mergeCells>
  <pageMargins left="1.25" right="0.5" top="1" bottom="0.5" header="0.3" footer="0.3"/>
  <pageSetup paperSize="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31"/>
  <sheetViews>
    <sheetView workbookViewId="0">
      <selection sqref="A1:S231"/>
    </sheetView>
  </sheetViews>
  <sheetFormatPr defaultRowHeight="14.5"/>
  <cols>
    <col min="1" max="1" width="15.26953125" customWidth="1"/>
    <col min="2" max="2" width="20.81640625" customWidth="1"/>
    <col min="8" max="8" width="13.1796875" customWidth="1"/>
    <col min="12" max="12" width="9.54296875" customWidth="1"/>
    <col min="14" max="14" width="9.54296875" customWidth="1"/>
    <col min="16" max="16" width="9.54296875" customWidth="1"/>
    <col min="18" max="18" width="9.54296875" customWidth="1"/>
    <col min="19" max="19" width="10.26953125" customWidth="1"/>
  </cols>
  <sheetData>
    <row r="1" spans="1:19">
      <c r="A1" t="s">
        <v>948</v>
      </c>
      <c r="B1" t="s">
        <v>1045</v>
      </c>
      <c r="C1" t="s">
        <v>941</v>
      </c>
      <c r="D1" t="s">
        <v>945</v>
      </c>
      <c r="E1" t="s">
        <v>946</v>
      </c>
      <c r="F1" t="s">
        <v>947</v>
      </c>
      <c r="G1" t="s">
        <v>1046</v>
      </c>
      <c r="H1" t="s">
        <v>1047</v>
      </c>
      <c r="I1" t="s">
        <v>455</v>
      </c>
      <c r="J1" t="s">
        <v>456</v>
      </c>
      <c r="K1" t="s">
        <v>2172</v>
      </c>
      <c r="L1" t="s">
        <v>2173</v>
      </c>
      <c r="M1" t="s">
        <v>2174</v>
      </c>
      <c r="N1" t="s">
        <v>2175</v>
      </c>
      <c r="O1" t="s">
        <v>2176</v>
      </c>
      <c r="P1" t="s">
        <v>2177</v>
      </c>
      <c r="Q1" t="s">
        <v>2178</v>
      </c>
      <c r="R1" t="s">
        <v>2179</v>
      </c>
      <c r="S1" t="s">
        <v>1240</v>
      </c>
    </row>
    <row r="2" spans="1:19">
      <c r="A2" t="s">
        <v>795</v>
      </c>
      <c r="B2" t="s">
        <v>1649</v>
      </c>
      <c r="C2" t="s">
        <v>181</v>
      </c>
      <c r="D2" t="s">
        <v>1051</v>
      </c>
      <c r="E2" t="s">
        <v>637</v>
      </c>
      <c r="F2" t="s">
        <v>638</v>
      </c>
      <c r="G2" t="s">
        <v>357</v>
      </c>
      <c r="H2" t="s">
        <v>974</v>
      </c>
      <c r="I2">
        <v>0</v>
      </c>
      <c r="J2">
        <v>308439</v>
      </c>
      <c r="K2">
        <v>0</v>
      </c>
      <c r="L2">
        <v>0</v>
      </c>
      <c r="M2">
        <v>0</v>
      </c>
      <c r="N2">
        <v>308439</v>
      </c>
      <c r="Q2">
        <v>0</v>
      </c>
      <c r="R2">
        <v>308439</v>
      </c>
      <c r="S2">
        <v>-308439</v>
      </c>
    </row>
    <row r="3" spans="1:19">
      <c r="A3" t="s">
        <v>779</v>
      </c>
      <c r="B3" t="s">
        <v>1633</v>
      </c>
      <c r="C3" t="s">
        <v>165</v>
      </c>
      <c r="D3" t="s">
        <v>1051</v>
      </c>
      <c r="E3" t="s">
        <v>637</v>
      </c>
      <c r="F3" t="s">
        <v>638</v>
      </c>
      <c r="G3" t="s">
        <v>1124</v>
      </c>
      <c r="H3" t="s">
        <v>974</v>
      </c>
      <c r="I3">
        <v>0</v>
      </c>
      <c r="J3">
        <v>9631348</v>
      </c>
      <c r="K3">
        <v>0</v>
      </c>
      <c r="L3">
        <v>455276</v>
      </c>
      <c r="M3">
        <v>0</v>
      </c>
      <c r="N3">
        <v>10086624</v>
      </c>
      <c r="Q3">
        <v>0</v>
      </c>
      <c r="R3">
        <v>10086624</v>
      </c>
      <c r="S3">
        <v>-10086624</v>
      </c>
    </row>
    <row r="4" spans="1:19">
      <c r="A4" t="s">
        <v>789</v>
      </c>
      <c r="B4" t="s">
        <v>1643</v>
      </c>
      <c r="C4" t="s">
        <v>175</v>
      </c>
      <c r="D4" t="s">
        <v>1051</v>
      </c>
      <c r="E4" t="s">
        <v>637</v>
      </c>
      <c r="F4" t="s">
        <v>638</v>
      </c>
      <c r="G4" t="s">
        <v>1131</v>
      </c>
      <c r="H4" t="s">
        <v>974</v>
      </c>
      <c r="I4">
        <v>5854</v>
      </c>
      <c r="J4">
        <v>2909388</v>
      </c>
      <c r="K4">
        <v>0</v>
      </c>
      <c r="L4">
        <v>0</v>
      </c>
      <c r="M4">
        <v>5854</v>
      </c>
      <c r="N4">
        <v>2909388</v>
      </c>
      <c r="P4">
        <v>0</v>
      </c>
      <c r="Q4">
        <v>5854</v>
      </c>
      <c r="R4">
        <v>2909388</v>
      </c>
      <c r="S4">
        <v>-2903534</v>
      </c>
    </row>
    <row r="5" spans="1:19">
      <c r="A5" t="s">
        <v>783</v>
      </c>
      <c r="B5" t="s">
        <v>1637</v>
      </c>
      <c r="C5" t="s">
        <v>169</v>
      </c>
      <c r="D5" t="s">
        <v>1051</v>
      </c>
      <c r="E5" t="s">
        <v>637</v>
      </c>
      <c r="F5" t="s">
        <v>638</v>
      </c>
      <c r="G5" t="s">
        <v>1125</v>
      </c>
      <c r="H5" t="s">
        <v>974</v>
      </c>
      <c r="I5">
        <v>68126</v>
      </c>
      <c r="J5">
        <v>3848932</v>
      </c>
      <c r="K5">
        <v>0</v>
      </c>
      <c r="L5">
        <v>355637</v>
      </c>
      <c r="M5">
        <v>68126</v>
      </c>
      <c r="N5">
        <v>4204569</v>
      </c>
      <c r="Q5">
        <v>68126</v>
      </c>
      <c r="R5">
        <v>4204569</v>
      </c>
      <c r="S5">
        <v>-4136443</v>
      </c>
    </row>
    <row r="6" spans="1:19">
      <c r="A6" t="s">
        <v>787</v>
      </c>
      <c r="B6" t="s">
        <v>1641</v>
      </c>
      <c r="C6" t="s">
        <v>173</v>
      </c>
      <c r="D6" t="s">
        <v>1051</v>
      </c>
      <c r="E6" t="s">
        <v>637</v>
      </c>
      <c r="F6" t="s">
        <v>638</v>
      </c>
      <c r="G6" t="s">
        <v>1129</v>
      </c>
      <c r="H6" t="s">
        <v>974</v>
      </c>
      <c r="I6">
        <v>45012</v>
      </c>
      <c r="J6">
        <v>882613</v>
      </c>
      <c r="K6">
        <v>0</v>
      </c>
      <c r="L6">
        <v>9680</v>
      </c>
      <c r="M6">
        <v>45012</v>
      </c>
      <c r="N6">
        <v>892293</v>
      </c>
      <c r="Q6">
        <v>45012</v>
      </c>
      <c r="R6">
        <v>892293</v>
      </c>
      <c r="S6">
        <v>-847281</v>
      </c>
    </row>
    <row r="7" spans="1:19">
      <c r="A7" t="s">
        <v>781</v>
      </c>
      <c r="B7" t="s">
        <v>1635</v>
      </c>
      <c r="C7" t="s">
        <v>167</v>
      </c>
      <c r="D7" t="s">
        <v>1051</v>
      </c>
      <c r="E7" t="s">
        <v>637</v>
      </c>
      <c r="F7" t="s">
        <v>638</v>
      </c>
      <c r="G7" t="s">
        <v>343</v>
      </c>
      <c r="H7" t="s">
        <v>974</v>
      </c>
      <c r="I7">
        <v>10368</v>
      </c>
      <c r="J7">
        <v>1193771</v>
      </c>
      <c r="K7">
        <v>0</v>
      </c>
      <c r="L7">
        <v>62204</v>
      </c>
      <c r="M7">
        <v>10368</v>
      </c>
      <c r="N7">
        <v>1255975</v>
      </c>
      <c r="O7">
        <v>19881</v>
      </c>
      <c r="Q7">
        <v>30249</v>
      </c>
      <c r="R7">
        <v>1255975</v>
      </c>
      <c r="S7">
        <v>-1225726</v>
      </c>
    </row>
    <row r="8" spans="1:19">
      <c r="A8" t="s">
        <v>785</v>
      </c>
      <c r="B8" t="s">
        <v>1639</v>
      </c>
      <c r="C8" t="s">
        <v>171</v>
      </c>
      <c r="D8" t="s">
        <v>1051</v>
      </c>
      <c r="E8" t="s">
        <v>637</v>
      </c>
      <c r="F8" t="s">
        <v>638</v>
      </c>
      <c r="G8" t="s">
        <v>1126</v>
      </c>
      <c r="H8" t="s">
        <v>974</v>
      </c>
      <c r="I8">
        <v>77185</v>
      </c>
      <c r="J8">
        <v>958595</v>
      </c>
      <c r="K8">
        <v>0</v>
      </c>
      <c r="L8">
        <v>7068</v>
      </c>
      <c r="M8">
        <v>77185</v>
      </c>
      <c r="N8">
        <v>965663</v>
      </c>
      <c r="Q8">
        <v>77185</v>
      </c>
      <c r="R8">
        <v>965663</v>
      </c>
      <c r="S8">
        <v>-888478</v>
      </c>
    </row>
    <row r="9" spans="1:19">
      <c r="A9" t="s">
        <v>793</v>
      </c>
      <c r="B9" t="s">
        <v>1647</v>
      </c>
      <c r="C9" t="s">
        <v>179</v>
      </c>
      <c r="D9" t="s">
        <v>1051</v>
      </c>
      <c r="E9" t="s">
        <v>637</v>
      </c>
      <c r="F9" t="s">
        <v>638</v>
      </c>
      <c r="G9" t="s">
        <v>355</v>
      </c>
      <c r="H9" t="s">
        <v>974</v>
      </c>
      <c r="I9">
        <v>1384994</v>
      </c>
      <c r="J9">
        <v>2493599</v>
      </c>
      <c r="K9">
        <v>0</v>
      </c>
      <c r="L9">
        <v>0</v>
      </c>
      <c r="M9">
        <v>1384994</v>
      </c>
      <c r="N9">
        <v>2493599</v>
      </c>
      <c r="Q9">
        <v>1384994</v>
      </c>
      <c r="R9">
        <v>2493599</v>
      </c>
      <c r="S9">
        <v>-1108605</v>
      </c>
    </row>
    <row r="10" spans="1:19">
      <c r="A10" t="s">
        <v>796</v>
      </c>
      <c r="B10" t="s">
        <v>1650</v>
      </c>
      <c r="C10" t="s">
        <v>182</v>
      </c>
      <c r="D10" t="s">
        <v>1051</v>
      </c>
      <c r="E10" t="s">
        <v>473</v>
      </c>
      <c r="F10" t="s">
        <v>1134</v>
      </c>
      <c r="G10" t="s">
        <v>1135</v>
      </c>
      <c r="H10" t="s">
        <v>974</v>
      </c>
      <c r="I10">
        <v>2133440</v>
      </c>
      <c r="J10">
        <v>2825362</v>
      </c>
      <c r="K10">
        <v>432000</v>
      </c>
      <c r="L10">
        <v>432000</v>
      </c>
      <c r="M10">
        <v>2565440</v>
      </c>
      <c r="N10">
        <v>3257362</v>
      </c>
      <c r="Q10">
        <v>2565440</v>
      </c>
      <c r="R10">
        <v>3257362</v>
      </c>
      <c r="S10">
        <v>-691922</v>
      </c>
    </row>
    <row r="11" spans="1:19">
      <c r="A11" t="s">
        <v>823</v>
      </c>
      <c r="B11" t="s">
        <v>1007</v>
      </c>
      <c r="C11" t="s">
        <v>234</v>
      </c>
      <c r="D11" t="s">
        <v>1051</v>
      </c>
      <c r="E11" t="s">
        <v>473</v>
      </c>
      <c r="F11" t="s">
        <v>1134</v>
      </c>
      <c r="G11" t="s">
        <v>1135</v>
      </c>
      <c r="H11" t="s">
        <v>974</v>
      </c>
      <c r="I11">
        <v>19048421</v>
      </c>
      <c r="J11">
        <v>18997551</v>
      </c>
      <c r="K11">
        <v>3551215</v>
      </c>
      <c r="L11">
        <v>3548477</v>
      </c>
      <c r="M11">
        <v>22599636</v>
      </c>
      <c r="N11">
        <v>22546028</v>
      </c>
      <c r="Q11">
        <v>22599636</v>
      </c>
      <c r="R11">
        <v>22546028</v>
      </c>
      <c r="S11">
        <v>53608</v>
      </c>
    </row>
    <row r="12" spans="1:19">
      <c r="A12" t="s">
        <v>823</v>
      </c>
      <c r="B12" t="s">
        <v>1007</v>
      </c>
      <c r="C12" t="s">
        <v>235</v>
      </c>
      <c r="D12" t="s">
        <v>1051</v>
      </c>
      <c r="E12" t="s">
        <v>473</v>
      </c>
      <c r="F12" t="s">
        <v>1134</v>
      </c>
      <c r="G12" t="s">
        <v>1135</v>
      </c>
      <c r="H12" t="s">
        <v>1025</v>
      </c>
      <c r="I12">
        <v>0</v>
      </c>
      <c r="J12">
        <v>3</v>
      </c>
      <c r="K12">
        <v>0</v>
      </c>
      <c r="L12">
        <v>0</v>
      </c>
      <c r="M12">
        <v>0</v>
      </c>
      <c r="N12">
        <v>3</v>
      </c>
      <c r="Q12">
        <v>0</v>
      </c>
      <c r="R12">
        <v>3</v>
      </c>
      <c r="S12">
        <v>-3</v>
      </c>
    </row>
    <row r="13" spans="1:19">
      <c r="A13" t="s">
        <v>823</v>
      </c>
      <c r="B13" t="s">
        <v>1007</v>
      </c>
      <c r="C13" t="s">
        <v>232</v>
      </c>
      <c r="D13" t="s">
        <v>1051</v>
      </c>
      <c r="E13" t="s">
        <v>473</v>
      </c>
      <c r="F13" t="s">
        <v>1134</v>
      </c>
      <c r="G13" t="s">
        <v>1135</v>
      </c>
      <c r="H13" t="s">
        <v>992</v>
      </c>
      <c r="I13">
        <v>3</v>
      </c>
      <c r="J13">
        <v>0</v>
      </c>
      <c r="K13">
        <v>0</v>
      </c>
      <c r="L13">
        <v>0</v>
      </c>
      <c r="M13">
        <v>3</v>
      </c>
      <c r="N13">
        <v>0</v>
      </c>
      <c r="Q13">
        <v>3</v>
      </c>
      <c r="R13">
        <v>0</v>
      </c>
      <c r="S13">
        <v>3</v>
      </c>
    </row>
    <row r="14" spans="1:19">
      <c r="A14" t="s">
        <v>823</v>
      </c>
      <c r="B14" t="s">
        <v>1007</v>
      </c>
      <c r="C14" t="s">
        <v>1752</v>
      </c>
      <c r="D14" t="s">
        <v>1051</v>
      </c>
      <c r="E14" t="s">
        <v>473</v>
      </c>
      <c r="F14" t="s">
        <v>1134</v>
      </c>
      <c r="G14" t="s">
        <v>1135</v>
      </c>
      <c r="H14" t="s">
        <v>1275</v>
      </c>
      <c r="I14">
        <v>818916</v>
      </c>
      <c r="J14">
        <v>819916</v>
      </c>
      <c r="K14">
        <v>4805155</v>
      </c>
      <c r="L14">
        <v>4952509</v>
      </c>
      <c r="M14">
        <v>5624071</v>
      </c>
      <c r="N14">
        <v>5772425</v>
      </c>
      <c r="Q14">
        <v>5624071</v>
      </c>
      <c r="R14">
        <v>5772425</v>
      </c>
      <c r="S14">
        <v>-148354</v>
      </c>
    </row>
    <row r="15" spans="1:19">
      <c r="A15" t="s">
        <v>1226</v>
      </c>
      <c r="B15" t="s">
        <v>1667</v>
      </c>
      <c r="C15" t="s">
        <v>1753</v>
      </c>
      <c r="D15" t="s">
        <v>1051</v>
      </c>
      <c r="E15" t="s">
        <v>473</v>
      </c>
      <c r="F15" t="s">
        <v>1134</v>
      </c>
      <c r="G15" t="s">
        <v>1135</v>
      </c>
      <c r="H15" t="s">
        <v>974</v>
      </c>
      <c r="I15">
        <v>0</v>
      </c>
      <c r="J15">
        <v>0</v>
      </c>
      <c r="K15">
        <v>0</v>
      </c>
      <c r="L15">
        <v>0</v>
      </c>
      <c r="M15">
        <v>0</v>
      </c>
      <c r="N15">
        <v>0</v>
      </c>
      <c r="Q15">
        <v>0</v>
      </c>
      <c r="R15">
        <v>0</v>
      </c>
      <c r="S15">
        <v>0</v>
      </c>
    </row>
    <row r="16" spans="1:19">
      <c r="A16" t="s">
        <v>826</v>
      </c>
      <c r="B16" t="s">
        <v>976</v>
      </c>
      <c r="C16" t="s">
        <v>242</v>
      </c>
      <c r="D16" t="s">
        <v>1051</v>
      </c>
      <c r="E16" t="s">
        <v>473</v>
      </c>
      <c r="F16" t="s">
        <v>1134</v>
      </c>
      <c r="G16" t="s">
        <v>1135</v>
      </c>
      <c r="H16" t="s">
        <v>1013</v>
      </c>
      <c r="I16">
        <v>5519251</v>
      </c>
      <c r="J16">
        <v>4760392.2966282675</v>
      </c>
      <c r="K16">
        <v>0</v>
      </c>
      <c r="L16">
        <v>0</v>
      </c>
      <c r="M16">
        <v>5519251</v>
      </c>
      <c r="N16">
        <v>4760392.2966282675</v>
      </c>
      <c r="Q16">
        <v>5519251</v>
      </c>
      <c r="R16">
        <v>4760392.2966282675</v>
      </c>
      <c r="S16">
        <v>758858.7033717325</v>
      </c>
    </row>
    <row r="17" spans="1:19">
      <c r="A17" t="s">
        <v>826</v>
      </c>
      <c r="B17" t="s">
        <v>976</v>
      </c>
      <c r="C17" t="s">
        <v>241</v>
      </c>
      <c r="D17" t="s">
        <v>1051</v>
      </c>
      <c r="E17" t="s">
        <v>473</v>
      </c>
      <c r="F17" t="s">
        <v>1134</v>
      </c>
      <c r="G17" t="s">
        <v>1135</v>
      </c>
      <c r="H17" t="s">
        <v>974</v>
      </c>
      <c r="I17">
        <v>365378</v>
      </c>
      <c r="J17">
        <v>3507751.9150929004</v>
      </c>
      <c r="K17">
        <v>0</v>
      </c>
      <c r="L17">
        <v>0</v>
      </c>
      <c r="M17">
        <v>365378</v>
      </c>
      <c r="N17">
        <v>3507751.9150929004</v>
      </c>
      <c r="Q17">
        <v>365378</v>
      </c>
      <c r="R17">
        <v>3507751.9150929004</v>
      </c>
      <c r="S17">
        <v>-3142373.9150929004</v>
      </c>
    </row>
    <row r="18" spans="1:19">
      <c r="A18" t="s">
        <v>826</v>
      </c>
      <c r="B18" t="s">
        <v>976</v>
      </c>
      <c r="C18" t="s">
        <v>238</v>
      </c>
      <c r="D18" t="s">
        <v>1051</v>
      </c>
      <c r="E18" t="s">
        <v>473</v>
      </c>
      <c r="F18" t="s">
        <v>1134</v>
      </c>
      <c r="G18" t="s">
        <v>1135</v>
      </c>
      <c r="H18" t="s">
        <v>992</v>
      </c>
      <c r="I18">
        <v>16420</v>
      </c>
      <c r="J18">
        <v>16420</v>
      </c>
      <c r="K18">
        <v>0</v>
      </c>
      <c r="L18">
        <v>0</v>
      </c>
      <c r="M18">
        <v>16420</v>
      </c>
      <c r="N18">
        <v>16420</v>
      </c>
      <c r="Q18">
        <v>16420</v>
      </c>
      <c r="R18">
        <v>16420</v>
      </c>
      <c r="S18">
        <v>0</v>
      </c>
    </row>
    <row r="19" spans="1:19">
      <c r="A19" t="s">
        <v>826</v>
      </c>
      <c r="B19" t="s">
        <v>976</v>
      </c>
      <c r="C19" t="s">
        <v>1754</v>
      </c>
      <c r="D19" t="s">
        <v>1051</v>
      </c>
      <c r="E19" t="s">
        <v>473</v>
      </c>
      <c r="F19" t="s">
        <v>1134</v>
      </c>
      <c r="G19" t="s">
        <v>1135</v>
      </c>
      <c r="H19" t="s">
        <v>1055</v>
      </c>
      <c r="I19">
        <v>200000</v>
      </c>
      <c r="J19">
        <v>740665.4</v>
      </c>
      <c r="K19">
        <v>0</v>
      </c>
      <c r="L19">
        <v>0</v>
      </c>
      <c r="M19">
        <v>200000</v>
      </c>
      <c r="N19">
        <v>740665.4</v>
      </c>
      <c r="Q19">
        <v>200000</v>
      </c>
      <c r="R19">
        <v>740665.4</v>
      </c>
      <c r="S19">
        <v>-540665.4</v>
      </c>
    </row>
    <row r="20" spans="1:19">
      <c r="A20" t="s">
        <v>826</v>
      </c>
      <c r="B20" t="s">
        <v>976</v>
      </c>
      <c r="C20" t="s">
        <v>243</v>
      </c>
      <c r="D20" t="s">
        <v>1051</v>
      </c>
      <c r="E20" t="s">
        <v>473</v>
      </c>
      <c r="F20" t="s">
        <v>1134</v>
      </c>
      <c r="G20" t="s">
        <v>1135</v>
      </c>
      <c r="H20" t="s">
        <v>1021</v>
      </c>
      <c r="I20">
        <v>0</v>
      </c>
      <c r="J20">
        <v>20912</v>
      </c>
      <c r="K20">
        <v>0</v>
      </c>
      <c r="L20">
        <v>0</v>
      </c>
      <c r="M20">
        <v>0</v>
      </c>
      <c r="N20">
        <v>20912</v>
      </c>
      <c r="Q20">
        <v>0</v>
      </c>
      <c r="R20">
        <v>20912</v>
      </c>
      <c r="S20">
        <v>-20912</v>
      </c>
    </row>
    <row r="21" spans="1:19">
      <c r="A21" t="s">
        <v>826</v>
      </c>
      <c r="B21" t="s">
        <v>976</v>
      </c>
      <c r="C21" t="s">
        <v>240</v>
      </c>
      <c r="D21" t="s">
        <v>1051</v>
      </c>
      <c r="E21" t="s">
        <v>473</v>
      </c>
      <c r="F21" t="s">
        <v>1134</v>
      </c>
      <c r="G21" t="s">
        <v>1135</v>
      </c>
      <c r="H21" t="s">
        <v>1022</v>
      </c>
      <c r="I21">
        <v>387834</v>
      </c>
      <c r="J21">
        <v>1587834</v>
      </c>
      <c r="K21">
        <v>0</v>
      </c>
      <c r="L21">
        <v>0</v>
      </c>
      <c r="M21">
        <v>387834</v>
      </c>
      <c r="N21">
        <v>1587834</v>
      </c>
      <c r="Q21">
        <v>387834</v>
      </c>
      <c r="R21">
        <v>1587834</v>
      </c>
      <c r="S21">
        <v>-1200000</v>
      </c>
    </row>
    <row r="22" spans="1:19">
      <c r="A22" t="s">
        <v>826</v>
      </c>
      <c r="B22" t="s">
        <v>976</v>
      </c>
      <c r="C22" t="s">
        <v>239</v>
      </c>
      <c r="D22" t="s">
        <v>1051</v>
      </c>
      <c r="E22" t="s">
        <v>473</v>
      </c>
      <c r="F22" t="s">
        <v>1134</v>
      </c>
      <c r="G22" t="s">
        <v>1135</v>
      </c>
      <c r="H22" t="s">
        <v>1019</v>
      </c>
      <c r="I22">
        <v>0</v>
      </c>
      <c r="J22">
        <v>0</v>
      </c>
      <c r="K22">
        <v>0</v>
      </c>
      <c r="L22">
        <v>0</v>
      </c>
      <c r="M22">
        <v>0</v>
      </c>
      <c r="N22">
        <v>0</v>
      </c>
      <c r="Q22">
        <v>0</v>
      </c>
      <c r="R22">
        <v>0</v>
      </c>
      <c r="S22">
        <v>0</v>
      </c>
    </row>
    <row r="23" spans="1:19">
      <c r="A23" t="s">
        <v>1339</v>
      </c>
      <c r="B23" t="s">
        <v>1340</v>
      </c>
      <c r="C23" t="s">
        <v>1755</v>
      </c>
      <c r="D23" t="s">
        <v>1051</v>
      </c>
      <c r="E23" t="s">
        <v>473</v>
      </c>
      <c r="F23" t="s">
        <v>1134</v>
      </c>
      <c r="G23" t="s">
        <v>1135</v>
      </c>
      <c r="I23">
        <v>45000</v>
      </c>
      <c r="J23">
        <v>45000</v>
      </c>
      <c r="M23">
        <v>45000</v>
      </c>
      <c r="N23">
        <v>45000</v>
      </c>
      <c r="Q23">
        <v>45000</v>
      </c>
      <c r="R23">
        <v>45000</v>
      </c>
      <c r="S23">
        <v>0</v>
      </c>
    </row>
    <row r="24" spans="1:19">
      <c r="A24" t="s">
        <v>826</v>
      </c>
      <c r="B24" t="s">
        <v>976</v>
      </c>
      <c r="C24" t="s">
        <v>1756</v>
      </c>
      <c r="D24" t="s">
        <v>1051</v>
      </c>
      <c r="E24" t="s">
        <v>473</v>
      </c>
      <c r="F24" t="s">
        <v>1134</v>
      </c>
      <c r="G24" t="s">
        <v>1135</v>
      </c>
      <c r="H24" t="s">
        <v>1275</v>
      </c>
      <c r="I24">
        <v>0</v>
      </c>
      <c r="J24">
        <v>1735920</v>
      </c>
      <c r="K24">
        <v>566028</v>
      </c>
      <c r="L24">
        <v>0</v>
      </c>
      <c r="M24">
        <v>566028</v>
      </c>
      <c r="N24">
        <v>1735920</v>
      </c>
      <c r="Q24">
        <v>566028</v>
      </c>
      <c r="R24">
        <v>1735920</v>
      </c>
      <c r="S24">
        <v>-1169892</v>
      </c>
    </row>
    <row r="25" spans="1:19">
      <c r="A25" t="s">
        <v>791</v>
      </c>
      <c r="B25" t="s">
        <v>1645</v>
      </c>
      <c r="C25" t="s">
        <v>177</v>
      </c>
      <c r="D25" t="s">
        <v>1051</v>
      </c>
      <c r="E25" t="s">
        <v>637</v>
      </c>
      <c r="F25" t="s">
        <v>639</v>
      </c>
      <c r="G25" t="s">
        <v>1133</v>
      </c>
      <c r="H25" t="s">
        <v>974</v>
      </c>
      <c r="I25">
        <v>7487</v>
      </c>
      <c r="J25">
        <v>458860.66666666669</v>
      </c>
      <c r="K25">
        <v>0</v>
      </c>
      <c r="L25">
        <v>115326</v>
      </c>
      <c r="M25">
        <v>7487</v>
      </c>
      <c r="N25">
        <v>574186.66666666674</v>
      </c>
      <c r="O25">
        <v>115326</v>
      </c>
      <c r="Q25">
        <v>122813</v>
      </c>
      <c r="R25">
        <v>574186.66666666674</v>
      </c>
      <c r="S25">
        <v>-451373.66666666674</v>
      </c>
    </row>
    <row r="26" spans="1:19">
      <c r="A26" t="s">
        <v>791</v>
      </c>
      <c r="B26" t="s">
        <v>1645</v>
      </c>
      <c r="C26" t="s">
        <v>1132</v>
      </c>
      <c r="D26" t="s">
        <v>1051</v>
      </c>
      <c r="E26" t="s">
        <v>637</v>
      </c>
      <c r="F26" t="s">
        <v>639</v>
      </c>
      <c r="G26" t="s">
        <v>1133</v>
      </c>
      <c r="H26" t="s">
        <v>1019</v>
      </c>
      <c r="I26">
        <v>0</v>
      </c>
      <c r="J26">
        <v>0</v>
      </c>
      <c r="K26">
        <v>0</v>
      </c>
      <c r="L26">
        <v>0</v>
      </c>
      <c r="M26">
        <v>0</v>
      </c>
      <c r="N26">
        <v>0</v>
      </c>
      <c r="Q26">
        <v>0</v>
      </c>
      <c r="R26">
        <v>0</v>
      </c>
      <c r="S26">
        <v>0</v>
      </c>
    </row>
    <row r="27" spans="1:19">
      <c r="A27" t="s">
        <v>762</v>
      </c>
      <c r="B27" t="s">
        <v>1622</v>
      </c>
      <c r="C27" t="s">
        <v>141</v>
      </c>
      <c r="D27" t="s">
        <v>1051</v>
      </c>
      <c r="E27" t="s">
        <v>466</v>
      </c>
      <c r="F27" t="s">
        <v>1057</v>
      </c>
      <c r="G27" t="s">
        <v>1112</v>
      </c>
      <c r="H27" t="s">
        <v>974</v>
      </c>
      <c r="I27">
        <v>2450</v>
      </c>
      <c r="J27">
        <v>0</v>
      </c>
      <c r="K27">
        <v>0</v>
      </c>
      <c r="L27">
        <v>0</v>
      </c>
      <c r="M27">
        <v>2450</v>
      </c>
      <c r="N27">
        <v>0</v>
      </c>
      <c r="Q27">
        <v>2450</v>
      </c>
      <c r="R27">
        <v>0</v>
      </c>
      <c r="S27">
        <v>2450</v>
      </c>
    </row>
    <row r="28" spans="1:19">
      <c r="A28" t="s">
        <v>762</v>
      </c>
      <c r="B28" t="s">
        <v>1622</v>
      </c>
      <c r="C28" t="s">
        <v>142</v>
      </c>
      <c r="D28" t="s">
        <v>1051</v>
      </c>
      <c r="E28" t="s">
        <v>466</v>
      </c>
      <c r="F28" t="s">
        <v>1057</v>
      </c>
      <c r="G28" t="s">
        <v>1112</v>
      </c>
      <c r="H28" t="s">
        <v>1020</v>
      </c>
      <c r="I28">
        <v>0</v>
      </c>
      <c r="J28">
        <v>2450</v>
      </c>
      <c r="K28">
        <v>0</v>
      </c>
      <c r="L28">
        <v>0</v>
      </c>
      <c r="M28">
        <v>0</v>
      </c>
      <c r="N28">
        <v>2450</v>
      </c>
      <c r="Q28">
        <v>0</v>
      </c>
      <c r="R28">
        <v>2450</v>
      </c>
      <c r="S28">
        <v>-2450</v>
      </c>
    </row>
    <row r="29" spans="1:19">
      <c r="A29" t="s">
        <v>763</v>
      </c>
      <c r="B29" t="s">
        <v>1623</v>
      </c>
      <c r="C29" t="s">
        <v>145</v>
      </c>
      <c r="D29" t="s">
        <v>1051</v>
      </c>
      <c r="E29" t="s">
        <v>466</v>
      </c>
      <c r="F29" t="s">
        <v>1057</v>
      </c>
      <c r="G29" t="s">
        <v>1112</v>
      </c>
      <c r="H29" t="s">
        <v>974</v>
      </c>
      <c r="I29">
        <v>2406928</v>
      </c>
      <c r="J29">
        <v>2436928</v>
      </c>
      <c r="K29">
        <v>2317470</v>
      </c>
      <c r="L29">
        <v>2317470</v>
      </c>
      <c r="M29">
        <v>4724398</v>
      </c>
      <c r="N29">
        <v>4754398</v>
      </c>
      <c r="O29">
        <v>30000</v>
      </c>
      <c r="Q29">
        <v>4754398</v>
      </c>
      <c r="R29">
        <v>4754398</v>
      </c>
      <c r="S29">
        <v>0</v>
      </c>
    </row>
    <row r="30" spans="1:19">
      <c r="A30" t="s">
        <v>763</v>
      </c>
      <c r="B30" t="s">
        <v>1623</v>
      </c>
      <c r="C30" t="s">
        <v>144</v>
      </c>
      <c r="D30" t="s">
        <v>1051</v>
      </c>
      <c r="E30" t="s">
        <v>466</v>
      </c>
      <c r="F30" t="s">
        <v>1057</v>
      </c>
      <c r="G30" t="s">
        <v>1112</v>
      </c>
      <c r="H30" t="s">
        <v>1023</v>
      </c>
      <c r="I30">
        <v>50200</v>
      </c>
      <c r="J30">
        <v>0</v>
      </c>
      <c r="K30">
        <v>0</v>
      </c>
      <c r="L30">
        <v>0</v>
      </c>
      <c r="M30">
        <v>50200</v>
      </c>
      <c r="N30">
        <v>0</v>
      </c>
      <c r="P30">
        <v>50200</v>
      </c>
      <c r="Q30">
        <v>50200</v>
      </c>
      <c r="R30">
        <v>50200</v>
      </c>
      <c r="S30">
        <v>0</v>
      </c>
    </row>
    <row r="31" spans="1:19">
      <c r="A31" t="s">
        <v>763</v>
      </c>
      <c r="B31" t="s">
        <v>1623</v>
      </c>
      <c r="C31" t="s">
        <v>1735</v>
      </c>
      <c r="D31" t="s">
        <v>1051</v>
      </c>
      <c r="E31" t="s">
        <v>466</v>
      </c>
      <c r="F31" t="s">
        <v>1057</v>
      </c>
      <c r="G31" t="s">
        <v>1112</v>
      </c>
      <c r="H31" t="s">
        <v>1055</v>
      </c>
      <c r="I31">
        <v>303365</v>
      </c>
      <c r="J31">
        <v>227500</v>
      </c>
      <c r="K31">
        <v>0</v>
      </c>
      <c r="L31">
        <v>0</v>
      </c>
      <c r="M31">
        <v>303365</v>
      </c>
      <c r="N31">
        <v>227500</v>
      </c>
      <c r="P31">
        <v>75865</v>
      </c>
      <c r="Q31">
        <v>303365</v>
      </c>
      <c r="R31">
        <v>303365</v>
      </c>
      <c r="S31">
        <v>0</v>
      </c>
    </row>
    <row r="32" spans="1:19">
      <c r="A32" t="s">
        <v>763</v>
      </c>
      <c r="B32" t="s">
        <v>1113</v>
      </c>
      <c r="C32" t="s">
        <v>1736</v>
      </c>
      <c r="D32" t="s">
        <v>1051</v>
      </c>
      <c r="E32" t="s">
        <v>466</v>
      </c>
      <c r="F32" t="s">
        <v>1057</v>
      </c>
      <c r="G32" t="s">
        <v>1112</v>
      </c>
      <c r="H32" t="s">
        <v>1022</v>
      </c>
      <c r="I32">
        <v>98530</v>
      </c>
      <c r="J32">
        <v>98530</v>
      </c>
      <c r="M32">
        <v>98530</v>
      </c>
      <c r="N32">
        <v>98530</v>
      </c>
      <c r="Q32">
        <v>98530</v>
      </c>
      <c r="R32">
        <v>98530</v>
      </c>
      <c r="S32">
        <v>0</v>
      </c>
    </row>
    <row r="33" spans="1:19">
      <c r="A33" t="s">
        <v>763</v>
      </c>
      <c r="B33" t="s">
        <v>1623</v>
      </c>
      <c r="C33" t="s">
        <v>1737</v>
      </c>
      <c r="D33" t="s">
        <v>1051</v>
      </c>
      <c r="E33" t="s">
        <v>466</v>
      </c>
      <c r="F33" t="s">
        <v>1057</v>
      </c>
      <c r="G33" t="s">
        <v>1112</v>
      </c>
      <c r="H33" t="s">
        <v>992</v>
      </c>
      <c r="I33">
        <v>15150</v>
      </c>
      <c r="J33">
        <v>6000</v>
      </c>
      <c r="K33">
        <v>0</v>
      </c>
      <c r="L33">
        <v>0</v>
      </c>
      <c r="M33">
        <v>15150</v>
      </c>
      <c r="N33">
        <v>6000</v>
      </c>
      <c r="P33">
        <v>9150</v>
      </c>
      <c r="Q33">
        <v>15150</v>
      </c>
      <c r="R33">
        <v>15150</v>
      </c>
      <c r="S33">
        <v>0</v>
      </c>
    </row>
    <row r="34" spans="1:19">
      <c r="A34" t="s">
        <v>763</v>
      </c>
      <c r="B34" t="s">
        <v>1623</v>
      </c>
      <c r="C34" t="s">
        <v>1738</v>
      </c>
      <c r="D34" t="s">
        <v>1051</v>
      </c>
      <c r="E34" t="s">
        <v>466</v>
      </c>
      <c r="F34" t="s">
        <v>1057</v>
      </c>
      <c r="G34" t="s">
        <v>1112</v>
      </c>
      <c r="H34" t="s">
        <v>1275</v>
      </c>
      <c r="I34">
        <v>350100</v>
      </c>
      <c r="J34">
        <v>350100</v>
      </c>
      <c r="K34">
        <v>330000</v>
      </c>
      <c r="L34">
        <v>310000</v>
      </c>
      <c r="M34">
        <v>680100</v>
      </c>
      <c r="N34">
        <v>660100</v>
      </c>
      <c r="P34">
        <v>20000</v>
      </c>
      <c r="Q34">
        <v>680100</v>
      </c>
      <c r="R34">
        <v>680100</v>
      </c>
      <c r="S34">
        <v>0</v>
      </c>
    </row>
    <row r="35" spans="1:19">
      <c r="A35" t="s">
        <v>763</v>
      </c>
      <c r="B35" t="s">
        <v>1623</v>
      </c>
      <c r="C35" t="s">
        <v>1739</v>
      </c>
      <c r="D35" t="s">
        <v>1051</v>
      </c>
      <c r="E35" t="s">
        <v>466</v>
      </c>
      <c r="F35" t="s">
        <v>1057</v>
      </c>
      <c r="G35" t="s">
        <v>1112</v>
      </c>
      <c r="H35" t="s">
        <v>1723</v>
      </c>
      <c r="I35">
        <v>0</v>
      </c>
      <c r="J35">
        <v>0</v>
      </c>
      <c r="K35">
        <v>186000</v>
      </c>
      <c r="L35">
        <v>0</v>
      </c>
      <c r="M35">
        <v>186000</v>
      </c>
      <c r="N35">
        <v>0</v>
      </c>
      <c r="Q35">
        <v>186000</v>
      </c>
      <c r="R35">
        <v>0</v>
      </c>
      <c r="S35">
        <v>186000</v>
      </c>
    </row>
    <row r="36" spans="1:19">
      <c r="A36" t="s">
        <v>768</v>
      </c>
      <c r="B36" t="s">
        <v>1624</v>
      </c>
      <c r="C36" t="s">
        <v>153</v>
      </c>
      <c r="D36" t="s">
        <v>1051</v>
      </c>
      <c r="E36" t="s">
        <v>466</v>
      </c>
      <c r="F36" t="s">
        <v>1057</v>
      </c>
      <c r="G36" t="s">
        <v>1112</v>
      </c>
      <c r="H36" t="s">
        <v>974</v>
      </c>
      <c r="I36">
        <v>564350</v>
      </c>
      <c r="J36">
        <v>477300</v>
      </c>
      <c r="K36">
        <v>42000</v>
      </c>
      <c r="L36">
        <v>0</v>
      </c>
      <c r="M36">
        <v>606350</v>
      </c>
      <c r="N36">
        <v>477300</v>
      </c>
      <c r="P36">
        <v>87050</v>
      </c>
      <c r="Q36">
        <v>606350</v>
      </c>
      <c r="R36">
        <v>564350</v>
      </c>
      <c r="S36">
        <v>42000</v>
      </c>
    </row>
    <row r="37" spans="1:19">
      <c r="A37" t="s">
        <v>768</v>
      </c>
      <c r="B37" t="s">
        <v>1624</v>
      </c>
      <c r="C37" t="s">
        <v>1740</v>
      </c>
      <c r="D37" t="s">
        <v>1051</v>
      </c>
      <c r="E37" t="s">
        <v>466</v>
      </c>
      <c r="F37" t="s">
        <v>1057</v>
      </c>
      <c r="G37" t="s">
        <v>1112</v>
      </c>
      <c r="H37" t="s">
        <v>1055</v>
      </c>
      <c r="I37">
        <v>647000</v>
      </c>
      <c r="J37">
        <v>697000</v>
      </c>
      <c r="K37">
        <v>0</v>
      </c>
      <c r="L37">
        <v>0</v>
      </c>
      <c r="M37">
        <v>647000</v>
      </c>
      <c r="N37">
        <v>697000</v>
      </c>
      <c r="O37">
        <v>50000</v>
      </c>
      <c r="Q37">
        <v>697000</v>
      </c>
      <c r="R37">
        <v>697000</v>
      </c>
      <c r="S37">
        <v>0</v>
      </c>
    </row>
    <row r="38" spans="1:19">
      <c r="A38" t="s">
        <v>768</v>
      </c>
      <c r="B38" t="s">
        <v>1624</v>
      </c>
      <c r="C38" t="s">
        <v>154</v>
      </c>
      <c r="D38" t="s">
        <v>1051</v>
      </c>
      <c r="E38" t="s">
        <v>466</v>
      </c>
      <c r="F38" t="s">
        <v>1057</v>
      </c>
      <c r="G38" t="s">
        <v>1112</v>
      </c>
      <c r="H38" t="s">
        <v>1024</v>
      </c>
      <c r="I38">
        <v>4000</v>
      </c>
      <c r="J38">
        <v>0</v>
      </c>
      <c r="K38">
        <v>0</v>
      </c>
      <c r="L38">
        <v>0</v>
      </c>
      <c r="M38">
        <v>4000</v>
      </c>
      <c r="N38">
        <v>0</v>
      </c>
      <c r="P38">
        <v>4000</v>
      </c>
      <c r="Q38">
        <v>4000</v>
      </c>
      <c r="R38">
        <v>4000</v>
      </c>
      <c r="S38">
        <v>0</v>
      </c>
    </row>
    <row r="39" spans="1:19">
      <c r="A39" t="s">
        <v>771</v>
      </c>
      <c r="B39" t="s">
        <v>1625</v>
      </c>
      <c r="C39" t="s">
        <v>157</v>
      </c>
      <c r="D39" t="s">
        <v>1051</v>
      </c>
      <c r="E39" t="s">
        <v>466</v>
      </c>
      <c r="F39" t="s">
        <v>1057</v>
      </c>
      <c r="G39" t="s">
        <v>1112</v>
      </c>
      <c r="H39" t="s">
        <v>1011</v>
      </c>
      <c r="I39">
        <v>300000</v>
      </c>
      <c r="J39">
        <v>5050</v>
      </c>
      <c r="K39">
        <v>0</v>
      </c>
      <c r="L39">
        <v>300000</v>
      </c>
      <c r="M39">
        <v>300000</v>
      </c>
      <c r="N39">
        <v>305050</v>
      </c>
      <c r="O39">
        <v>5050</v>
      </c>
      <c r="Q39">
        <v>305050</v>
      </c>
      <c r="R39">
        <v>305050</v>
      </c>
      <c r="S39">
        <v>0</v>
      </c>
    </row>
    <row r="40" spans="1:19">
      <c r="A40" t="s">
        <v>773</v>
      </c>
      <c r="B40" t="s">
        <v>1626</v>
      </c>
      <c r="C40" t="s">
        <v>1741</v>
      </c>
      <c r="D40" t="s">
        <v>1051</v>
      </c>
      <c r="E40" t="s">
        <v>466</v>
      </c>
      <c r="F40" t="s">
        <v>1057</v>
      </c>
      <c r="G40" t="s">
        <v>1112</v>
      </c>
      <c r="H40" t="s">
        <v>974</v>
      </c>
      <c r="I40">
        <v>70000</v>
      </c>
      <c r="J40">
        <v>70000</v>
      </c>
      <c r="K40">
        <v>321000</v>
      </c>
      <c r="L40">
        <v>321000</v>
      </c>
      <c r="M40">
        <v>391000</v>
      </c>
      <c r="N40">
        <v>391000</v>
      </c>
      <c r="Q40">
        <v>391000</v>
      </c>
      <c r="R40">
        <v>391000</v>
      </c>
      <c r="S40">
        <v>0</v>
      </c>
    </row>
    <row r="41" spans="1:19">
      <c r="A41" t="s">
        <v>1334</v>
      </c>
      <c r="B41" t="s">
        <v>1335</v>
      </c>
      <c r="C41" t="s">
        <v>1336</v>
      </c>
      <c r="D41" t="s">
        <v>1051</v>
      </c>
      <c r="E41" t="s">
        <v>466</v>
      </c>
      <c r="F41" t="s">
        <v>1057</v>
      </c>
      <c r="G41" t="s">
        <v>1112</v>
      </c>
      <c r="H41" t="s">
        <v>974</v>
      </c>
      <c r="I41">
        <v>231282</v>
      </c>
      <c r="J41">
        <v>70000</v>
      </c>
      <c r="K41">
        <v>560500</v>
      </c>
      <c r="L41">
        <v>670500</v>
      </c>
      <c r="M41">
        <v>791782</v>
      </c>
      <c r="N41">
        <v>740500</v>
      </c>
      <c r="Q41">
        <v>791782</v>
      </c>
      <c r="R41">
        <v>740500</v>
      </c>
      <c r="S41">
        <v>51282</v>
      </c>
    </row>
    <row r="42" spans="1:19">
      <c r="A42" t="s">
        <v>1334</v>
      </c>
      <c r="B42" t="s">
        <v>1335</v>
      </c>
      <c r="C42" t="s">
        <v>1742</v>
      </c>
      <c r="D42" t="s">
        <v>1051</v>
      </c>
      <c r="E42" t="s">
        <v>466</v>
      </c>
      <c r="F42" t="s">
        <v>1057</v>
      </c>
      <c r="G42" t="s">
        <v>1112</v>
      </c>
      <c r="H42" t="s">
        <v>1275</v>
      </c>
      <c r="I42">
        <v>0</v>
      </c>
      <c r="J42">
        <v>0</v>
      </c>
      <c r="K42">
        <v>134750</v>
      </c>
      <c r="L42">
        <v>186032</v>
      </c>
      <c r="M42">
        <v>134750</v>
      </c>
      <c r="N42">
        <v>186032</v>
      </c>
      <c r="Q42">
        <v>134750</v>
      </c>
      <c r="R42">
        <v>186032</v>
      </c>
      <c r="S42">
        <v>-51282</v>
      </c>
    </row>
    <row r="43" spans="1:19">
      <c r="A43" t="s">
        <v>1334</v>
      </c>
      <c r="B43" t="s">
        <v>1335</v>
      </c>
      <c r="C43" t="s">
        <v>1743</v>
      </c>
      <c r="D43" t="s">
        <v>1051</v>
      </c>
      <c r="E43" t="s">
        <v>466</v>
      </c>
      <c r="F43" t="s">
        <v>1057</v>
      </c>
      <c r="G43" t="s">
        <v>1112</v>
      </c>
      <c r="H43" t="s">
        <v>1723</v>
      </c>
      <c r="I43">
        <v>0</v>
      </c>
      <c r="J43">
        <v>0</v>
      </c>
      <c r="K43">
        <v>10000</v>
      </c>
      <c r="L43">
        <v>10000</v>
      </c>
      <c r="M43">
        <v>10000</v>
      </c>
      <c r="N43">
        <v>10000</v>
      </c>
      <c r="Q43">
        <v>10000</v>
      </c>
      <c r="R43">
        <v>10000</v>
      </c>
      <c r="S43">
        <v>0</v>
      </c>
    </row>
    <row r="44" spans="1:19">
      <c r="A44" t="s">
        <v>1120</v>
      </c>
      <c r="B44" t="s">
        <v>1628</v>
      </c>
      <c r="C44" t="s">
        <v>1747</v>
      </c>
      <c r="D44" t="s">
        <v>1051</v>
      </c>
      <c r="E44" t="s">
        <v>466</v>
      </c>
      <c r="F44" t="s">
        <v>1057</v>
      </c>
      <c r="G44" t="s">
        <v>1112</v>
      </c>
      <c r="H44" t="s">
        <v>974</v>
      </c>
      <c r="I44">
        <v>111000</v>
      </c>
      <c r="J44">
        <v>111000</v>
      </c>
      <c r="K44">
        <v>5000</v>
      </c>
      <c r="L44">
        <v>5000</v>
      </c>
      <c r="M44">
        <v>116000</v>
      </c>
      <c r="N44">
        <v>116000</v>
      </c>
      <c r="Q44">
        <v>116000</v>
      </c>
      <c r="R44">
        <v>116000</v>
      </c>
      <c r="S44">
        <v>0</v>
      </c>
    </row>
    <row r="45" spans="1:19">
      <c r="A45" t="s">
        <v>1337</v>
      </c>
      <c r="B45" t="s">
        <v>1338</v>
      </c>
      <c r="C45" t="s">
        <v>1847</v>
      </c>
      <c r="D45" t="s">
        <v>1051</v>
      </c>
      <c r="E45" t="s">
        <v>466</v>
      </c>
      <c r="F45" t="s">
        <v>1057</v>
      </c>
      <c r="G45" t="s">
        <v>1112</v>
      </c>
      <c r="I45">
        <v>58000</v>
      </c>
      <c r="J45">
        <v>58000</v>
      </c>
      <c r="M45">
        <v>58000</v>
      </c>
      <c r="N45">
        <v>58000</v>
      </c>
      <c r="Q45">
        <v>58000</v>
      </c>
      <c r="R45">
        <v>58000</v>
      </c>
      <c r="S45">
        <v>0</v>
      </c>
    </row>
    <row r="46" spans="1:19">
      <c r="A46" t="s">
        <v>1332</v>
      </c>
      <c r="B46" t="s">
        <v>1333</v>
      </c>
      <c r="C46" t="s">
        <v>1846</v>
      </c>
      <c r="D46" t="s">
        <v>1051</v>
      </c>
      <c r="E46" t="s">
        <v>466</v>
      </c>
      <c r="F46" t="s">
        <v>1057</v>
      </c>
      <c r="G46" t="s">
        <v>1112</v>
      </c>
      <c r="I46">
        <v>273000</v>
      </c>
      <c r="J46">
        <v>273000</v>
      </c>
      <c r="M46">
        <v>273000</v>
      </c>
      <c r="N46">
        <v>273000</v>
      </c>
      <c r="Q46">
        <v>273000</v>
      </c>
      <c r="R46">
        <v>273000</v>
      </c>
      <c r="S46">
        <v>0</v>
      </c>
    </row>
    <row r="47" spans="1:19">
      <c r="A47" t="s">
        <v>1249</v>
      </c>
      <c r="B47" t="s">
        <v>1262</v>
      </c>
      <c r="C47" t="s">
        <v>1845</v>
      </c>
      <c r="D47" t="s">
        <v>1051</v>
      </c>
      <c r="E47" t="s">
        <v>466</v>
      </c>
      <c r="F47" t="s">
        <v>1057</v>
      </c>
      <c r="G47" t="s">
        <v>1112</v>
      </c>
      <c r="H47" t="s">
        <v>1276</v>
      </c>
      <c r="I47">
        <v>344800</v>
      </c>
      <c r="J47">
        <v>344800</v>
      </c>
      <c r="M47">
        <v>344800</v>
      </c>
      <c r="N47">
        <v>344800</v>
      </c>
      <c r="Q47">
        <v>344800</v>
      </c>
      <c r="R47">
        <v>344800</v>
      </c>
      <c r="S47">
        <v>0</v>
      </c>
    </row>
    <row r="48" spans="1:19">
      <c r="A48" t="s">
        <v>1249</v>
      </c>
      <c r="B48" t="s">
        <v>1262</v>
      </c>
      <c r="C48" t="s">
        <v>1844</v>
      </c>
      <c r="D48" t="s">
        <v>1051</v>
      </c>
      <c r="E48" t="s">
        <v>466</v>
      </c>
      <c r="F48" t="s">
        <v>1057</v>
      </c>
      <c r="G48" t="s">
        <v>1112</v>
      </c>
      <c r="H48" t="s">
        <v>974</v>
      </c>
      <c r="I48">
        <v>131000</v>
      </c>
      <c r="J48">
        <v>131000</v>
      </c>
      <c r="M48">
        <v>131000</v>
      </c>
      <c r="N48">
        <v>131000</v>
      </c>
      <c r="Q48">
        <v>131000</v>
      </c>
      <c r="R48">
        <v>131000</v>
      </c>
      <c r="S48">
        <v>0</v>
      </c>
    </row>
    <row r="49" spans="1:19">
      <c r="A49" t="s">
        <v>765</v>
      </c>
      <c r="B49" t="s">
        <v>1261</v>
      </c>
      <c r="C49" t="s">
        <v>148</v>
      </c>
      <c r="D49" t="s">
        <v>1051</v>
      </c>
      <c r="E49" t="s">
        <v>466</v>
      </c>
      <c r="F49" t="s">
        <v>1057</v>
      </c>
      <c r="G49" t="s">
        <v>1112</v>
      </c>
      <c r="H49" t="s">
        <v>974</v>
      </c>
      <c r="I49">
        <v>200000</v>
      </c>
      <c r="J49">
        <v>200000</v>
      </c>
      <c r="M49">
        <v>200000</v>
      </c>
      <c r="N49">
        <v>200000</v>
      </c>
      <c r="Q49">
        <v>200000</v>
      </c>
      <c r="R49">
        <v>200000</v>
      </c>
      <c r="S49">
        <v>0</v>
      </c>
    </row>
    <row r="50" spans="1:19">
      <c r="A50" t="s">
        <v>1120</v>
      </c>
      <c r="B50" t="s">
        <v>1121</v>
      </c>
      <c r="C50" t="s">
        <v>1843</v>
      </c>
      <c r="D50" t="s">
        <v>1051</v>
      </c>
      <c r="E50" t="s">
        <v>466</v>
      </c>
      <c r="F50" t="s">
        <v>1057</v>
      </c>
      <c r="G50" t="s">
        <v>1112</v>
      </c>
      <c r="H50" t="s">
        <v>1022</v>
      </c>
      <c r="I50">
        <v>15000</v>
      </c>
      <c r="J50">
        <v>15000</v>
      </c>
      <c r="M50">
        <v>15000</v>
      </c>
      <c r="N50">
        <v>15000</v>
      </c>
      <c r="Q50">
        <v>15000</v>
      </c>
      <c r="R50">
        <v>15000</v>
      </c>
      <c r="S50">
        <v>0</v>
      </c>
    </row>
    <row r="51" spans="1:19">
      <c r="A51" t="s">
        <v>773</v>
      </c>
      <c r="B51" t="s">
        <v>1117</v>
      </c>
      <c r="C51" t="s">
        <v>1842</v>
      </c>
      <c r="D51" t="s">
        <v>1051</v>
      </c>
      <c r="E51" t="s">
        <v>466</v>
      </c>
      <c r="F51" t="s">
        <v>1057</v>
      </c>
      <c r="G51" t="s">
        <v>1112</v>
      </c>
      <c r="H51" t="s">
        <v>1055</v>
      </c>
      <c r="I51">
        <v>225589</v>
      </c>
      <c r="J51">
        <v>225589</v>
      </c>
      <c r="M51">
        <v>225589</v>
      </c>
      <c r="N51">
        <v>225589</v>
      </c>
      <c r="Q51">
        <v>225589</v>
      </c>
      <c r="R51">
        <v>225589</v>
      </c>
      <c r="S51">
        <v>0</v>
      </c>
    </row>
    <row r="52" spans="1:19">
      <c r="A52" t="s">
        <v>768</v>
      </c>
      <c r="B52" t="s">
        <v>1116</v>
      </c>
      <c r="C52" t="s">
        <v>1841</v>
      </c>
      <c r="D52" t="s">
        <v>1051</v>
      </c>
      <c r="E52" t="s">
        <v>466</v>
      </c>
      <c r="F52" t="s">
        <v>1057</v>
      </c>
      <c r="G52" t="s">
        <v>1112</v>
      </c>
      <c r="H52" t="s">
        <v>1275</v>
      </c>
      <c r="I52">
        <v>156000</v>
      </c>
      <c r="J52">
        <v>156000</v>
      </c>
      <c r="M52">
        <v>156000</v>
      </c>
      <c r="N52">
        <v>156000</v>
      </c>
      <c r="Q52">
        <v>156000</v>
      </c>
      <c r="R52">
        <v>156000</v>
      </c>
      <c r="S52">
        <v>0</v>
      </c>
    </row>
    <row r="53" spans="1:19">
      <c r="A53" t="s">
        <v>767</v>
      </c>
      <c r="B53" t="s">
        <v>1115</v>
      </c>
      <c r="C53" t="s">
        <v>1840</v>
      </c>
      <c r="D53" t="s">
        <v>1051</v>
      </c>
      <c r="E53" t="s">
        <v>466</v>
      </c>
      <c r="F53" t="s">
        <v>1057</v>
      </c>
      <c r="G53" t="s">
        <v>1112</v>
      </c>
      <c r="H53" t="s">
        <v>992</v>
      </c>
      <c r="I53">
        <v>769000</v>
      </c>
      <c r="J53">
        <v>769000</v>
      </c>
      <c r="M53">
        <v>769000</v>
      </c>
      <c r="N53">
        <v>769000</v>
      </c>
      <c r="Q53">
        <v>769000</v>
      </c>
      <c r="R53">
        <v>769000</v>
      </c>
      <c r="S53">
        <v>0</v>
      </c>
    </row>
    <row r="54" spans="1:19">
      <c r="A54" t="s">
        <v>766</v>
      </c>
      <c r="B54" t="s">
        <v>1114</v>
      </c>
      <c r="C54" t="s">
        <v>1839</v>
      </c>
      <c r="D54" t="s">
        <v>1051</v>
      </c>
      <c r="E54" t="s">
        <v>466</v>
      </c>
      <c r="F54" t="s">
        <v>1057</v>
      </c>
      <c r="G54" t="s">
        <v>1112</v>
      </c>
      <c r="H54" t="s">
        <v>992</v>
      </c>
      <c r="I54">
        <v>1374205</v>
      </c>
      <c r="J54">
        <v>1374205</v>
      </c>
      <c r="M54">
        <v>1374205</v>
      </c>
      <c r="N54">
        <v>1374205</v>
      </c>
      <c r="Q54">
        <v>1374205</v>
      </c>
      <c r="R54">
        <v>1374205</v>
      </c>
      <c r="S54">
        <v>0</v>
      </c>
    </row>
    <row r="55" spans="1:19">
      <c r="A55" t="s">
        <v>774</v>
      </c>
      <c r="B55" t="s">
        <v>335</v>
      </c>
      <c r="C55" t="s">
        <v>160</v>
      </c>
      <c r="D55" t="s">
        <v>1051</v>
      </c>
      <c r="E55" t="s">
        <v>466</v>
      </c>
      <c r="F55" t="s">
        <v>1057</v>
      </c>
      <c r="G55" t="s">
        <v>1118</v>
      </c>
      <c r="H55" t="s">
        <v>974</v>
      </c>
      <c r="I55">
        <v>2732235</v>
      </c>
      <c r="J55">
        <v>2702235</v>
      </c>
      <c r="K55">
        <v>193947</v>
      </c>
      <c r="L55">
        <v>183947</v>
      </c>
      <c r="M55">
        <v>2926182</v>
      </c>
      <c r="N55">
        <v>2886182</v>
      </c>
      <c r="Q55">
        <v>2926182</v>
      </c>
      <c r="R55">
        <v>2886182</v>
      </c>
      <c r="S55">
        <v>40000</v>
      </c>
    </row>
    <row r="56" spans="1:19">
      <c r="A56" t="s">
        <v>774</v>
      </c>
      <c r="B56" t="s">
        <v>335</v>
      </c>
      <c r="C56" t="s">
        <v>1744</v>
      </c>
      <c r="D56" t="s">
        <v>1051</v>
      </c>
      <c r="E56" t="s">
        <v>466</v>
      </c>
      <c r="F56" t="s">
        <v>1057</v>
      </c>
      <c r="G56" t="s">
        <v>1118</v>
      </c>
      <c r="H56" t="s">
        <v>1055</v>
      </c>
      <c r="I56">
        <v>0</v>
      </c>
      <c r="J56">
        <v>0</v>
      </c>
      <c r="K56">
        <v>0</v>
      </c>
      <c r="L56">
        <v>0</v>
      </c>
      <c r="M56">
        <v>0</v>
      </c>
      <c r="N56">
        <v>0</v>
      </c>
      <c r="Q56">
        <v>0</v>
      </c>
      <c r="R56">
        <v>0</v>
      </c>
      <c r="S56">
        <v>0</v>
      </c>
    </row>
    <row r="57" spans="1:19">
      <c r="A57" t="s">
        <v>774</v>
      </c>
      <c r="B57" t="s">
        <v>335</v>
      </c>
      <c r="C57" t="s">
        <v>1118</v>
      </c>
      <c r="D57" t="s">
        <v>1051</v>
      </c>
      <c r="E57" t="s">
        <v>466</v>
      </c>
      <c r="F57" t="s">
        <v>1057</v>
      </c>
      <c r="G57" t="s">
        <v>1118</v>
      </c>
      <c r="H57" t="s">
        <v>1275</v>
      </c>
      <c r="I57">
        <v>95000</v>
      </c>
      <c r="J57">
        <v>95000</v>
      </c>
      <c r="K57">
        <v>40000</v>
      </c>
      <c r="L57">
        <v>40000</v>
      </c>
      <c r="M57">
        <v>135000</v>
      </c>
      <c r="N57">
        <v>135000</v>
      </c>
      <c r="Q57">
        <v>135000</v>
      </c>
      <c r="R57">
        <v>135000</v>
      </c>
      <c r="S57">
        <v>0</v>
      </c>
    </row>
    <row r="58" spans="1:19">
      <c r="A58" t="s">
        <v>774</v>
      </c>
      <c r="B58" t="s">
        <v>335</v>
      </c>
      <c r="C58" t="s">
        <v>1745</v>
      </c>
      <c r="D58" t="s">
        <v>1051</v>
      </c>
      <c r="E58" t="s">
        <v>466</v>
      </c>
      <c r="F58" t="s">
        <v>1057</v>
      </c>
      <c r="G58" t="s">
        <v>1118</v>
      </c>
      <c r="H58" t="s">
        <v>1723</v>
      </c>
      <c r="I58">
        <v>0</v>
      </c>
      <c r="J58">
        <v>0</v>
      </c>
      <c r="K58">
        <v>80000</v>
      </c>
      <c r="L58">
        <v>30000</v>
      </c>
      <c r="M58">
        <v>80000</v>
      </c>
      <c r="N58">
        <v>30000</v>
      </c>
      <c r="Q58">
        <v>80000</v>
      </c>
      <c r="R58">
        <v>30000</v>
      </c>
      <c r="S58">
        <v>50000</v>
      </c>
    </row>
    <row r="59" spans="1:19">
      <c r="A59" t="s">
        <v>794</v>
      </c>
      <c r="B59" t="s">
        <v>1648</v>
      </c>
      <c r="C59" t="s">
        <v>180</v>
      </c>
      <c r="D59" t="s">
        <v>1051</v>
      </c>
      <c r="E59" t="s">
        <v>637</v>
      </c>
      <c r="F59" t="s">
        <v>638</v>
      </c>
      <c r="G59" t="s">
        <v>356</v>
      </c>
      <c r="H59" t="s">
        <v>974</v>
      </c>
      <c r="I59">
        <v>308439</v>
      </c>
      <c r="J59">
        <v>0</v>
      </c>
      <c r="K59">
        <v>0</v>
      </c>
      <c r="L59">
        <v>0</v>
      </c>
      <c r="M59">
        <v>308439</v>
      </c>
      <c r="N59">
        <v>0</v>
      </c>
      <c r="Q59">
        <v>308439</v>
      </c>
      <c r="R59">
        <v>0</v>
      </c>
      <c r="S59">
        <v>308439</v>
      </c>
    </row>
    <row r="60" spans="1:19">
      <c r="A60" t="s">
        <v>778</v>
      </c>
      <c r="B60" t="s">
        <v>1632</v>
      </c>
      <c r="C60" t="s">
        <v>164</v>
      </c>
      <c r="D60" t="s">
        <v>1051</v>
      </c>
      <c r="E60" t="s">
        <v>637</v>
      </c>
      <c r="F60" t="s">
        <v>638</v>
      </c>
      <c r="G60" t="s">
        <v>1123</v>
      </c>
      <c r="H60" t="s">
        <v>974</v>
      </c>
      <c r="I60">
        <v>22763814</v>
      </c>
      <c r="J60">
        <v>0</v>
      </c>
      <c r="K60">
        <v>0</v>
      </c>
      <c r="L60">
        <v>0</v>
      </c>
      <c r="M60">
        <v>22763814</v>
      </c>
      <c r="N60">
        <v>0</v>
      </c>
      <c r="Q60">
        <v>22763814</v>
      </c>
      <c r="R60">
        <v>0</v>
      </c>
      <c r="S60">
        <v>22763814</v>
      </c>
    </row>
    <row r="61" spans="1:19">
      <c r="A61" t="s">
        <v>679</v>
      </c>
      <c r="B61" t="s">
        <v>1580</v>
      </c>
      <c r="C61" t="s">
        <v>0</v>
      </c>
      <c r="D61" t="s">
        <v>1051</v>
      </c>
      <c r="E61" t="s">
        <v>466</v>
      </c>
      <c r="F61" t="s">
        <v>1052</v>
      </c>
      <c r="G61" t="s">
        <v>1053</v>
      </c>
      <c r="H61" t="s">
        <v>974</v>
      </c>
      <c r="I61">
        <v>3</v>
      </c>
      <c r="K61">
        <v>0</v>
      </c>
      <c r="L61">
        <v>0</v>
      </c>
      <c r="M61">
        <v>3</v>
      </c>
      <c r="N61">
        <v>0</v>
      </c>
      <c r="Q61">
        <v>3</v>
      </c>
      <c r="R61">
        <v>0</v>
      </c>
      <c r="S61">
        <v>3</v>
      </c>
    </row>
    <row r="62" spans="1:19">
      <c r="A62" t="s">
        <v>679</v>
      </c>
      <c r="B62" t="s">
        <v>1580</v>
      </c>
      <c r="C62" t="s">
        <v>1724</v>
      </c>
      <c r="D62" t="s">
        <v>1051</v>
      </c>
      <c r="E62" t="s">
        <v>466</v>
      </c>
      <c r="F62" t="s">
        <v>1052</v>
      </c>
      <c r="G62" t="s">
        <v>1053</v>
      </c>
      <c r="H62" t="s">
        <v>1722</v>
      </c>
      <c r="I62">
        <v>0</v>
      </c>
      <c r="J62">
        <v>0</v>
      </c>
      <c r="K62">
        <v>0</v>
      </c>
      <c r="L62">
        <v>0</v>
      </c>
      <c r="M62">
        <v>0</v>
      </c>
      <c r="N62">
        <v>0</v>
      </c>
      <c r="Q62">
        <v>0</v>
      </c>
      <c r="R62">
        <v>0</v>
      </c>
      <c r="S62">
        <v>0</v>
      </c>
    </row>
    <row r="63" spans="1:19">
      <c r="A63" t="s">
        <v>680</v>
      </c>
      <c r="B63" t="s">
        <v>1581</v>
      </c>
      <c r="C63" t="s">
        <v>1</v>
      </c>
      <c r="D63" t="s">
        <v>1051</v>
      </c>
      <c r="E63" t="s">
        <v>466</v>
      </c>
      <c r="F63" t="s">
        <v>1052</v>
      </c>
      <c r="G63" t="s">
        <v>1053</v>
      </c>
      <c r="H63" t="s">
        <v>974</v>
      </c>
      <c r="I63">
        <v>143120</v>
      </c>
      <c r="J63">
        <v>0</v>
      </c>
      <c r="K63">
        <v>0</v>
      </c>
      <c r="L63">
        <v>0</v>
      </c>
      <c r="M63">
        <v>143120</v>
      </c>
      <c r="N63">
        <v>0</v>
      </c>
      <c r="Q63">
        <v>143120</v>
      </c>
      <c r="R63">
        <v>0</v>
      </c>
      <c r="S63">
        <v>143120</v>
      </c>
    </row>
    <row r="64" spans="1:19">
      <c r="A64" t="s">
        <v>681</v>
      </c>
      <c r="B64" t="s">
        <v>1582</v>
      </c>
      <c r="C64" t="s">
        <v>3</v>
      </c>
      <c r="D64" t="s">
        <v>1051</v>
      </c>
      <c r="E64" t="s">
        <v>466</v>
      </c>
      <c r="F64" t="s">
        <v>1052</v>
      </c>
      <c r="G64" t="s">
        <v>1053</v>
      </c>
      <c r="H64" t="s">
        <v>1011</v>
      </c>
      <c r="I64">
        <v>0</v>
      </c>
      <c r="J64">
        <v>809205</v>
      </c>
      <c r="K64">
        <v>0</v>
      </c>
      <c r="L64">
        <v>0</v>
      </c>
      <c r="M64">
        <v>0</v>
      </c>
      <c r="N64">
        <v>809205</v>
      </c>
      <c r="Q64">
        <v>0</v>
      </c>
      <c r="R64">
        <v>809205</v>
      </c>
      <c r="S64">
        <v>-809205</v>
      </c>
    </row>
    <row r="65" spans="1:19">
      <c r="A65" t="s">
        <v>681</v>
      </c>
      <c r="B65" t="s">
        <v>1582</v>
      </c>
      <c r="C65" t="s">
        <v>2</v>
      </c>
      <c r="D65" t="s">
        <v>1051</v>
      </c>
      <c r="E65" t="s">
        <v>466</v>
      </c>
      <c r="F65" t="s">
        <v>1052</v>
      </c>
      <c r="G65" t="s">
        <v>1053</v>
      </c>
      <c r="H65" t="s">
        <v>1020</v>
      </c>
      <c r="I65">
        <v>581067</v>
      </c>
      <c r="J65">
        <v>0</v>
      </c>
      <c r="K65">
        <v>0</v>
      </c>
      <c r="L65">
        <v>0</v>
      </c>
      <c r="M65">
        <v>581067</v>
      </c>
      <c r="N65">
        <v>0</v>
      </c>
      <c r="Q65">
        <v>581067</v>
      </c>
      <c r="R65">
        <v>0</v>
      </c>
      <c r="S65">
        <v>581067</v>
      </c>
    </row>
    <row r="66" spans="1:19">
      <c r="A66" t="s">
        <v>682</v>
      </c>
      <c r="B66" t="s">
        <v>1583</v>
      </c>
      <c r="C66" t="s">
        <v>4</v>
      </c>
      <c r="D66" t="s">
        <v>1051</v>
      </c>
      <c r="E66" t="s">
        <v>466</v>
      </c>
      <c r="F66" t="s">
        <v>1052</v>
      </c>
      <c r="G66" t="s">
        <v>1053</v>
      </c>
      <c r="H66" t="s">
        <v>974</v>
      </c>
      <c r="I66">
        <v>62500</v>
      </c>
      <c r="J66">
        <v>0</v>
      </c>
      <c r="K66">
        <v>0</v>
      </c>
      <c r="L66">
        <v>0</v>
      </c>
      <c r="M66">
        <v>62500</v>
      </c>
      <c r="N66">
        <v>0</v>
      </c>
      <c r="Q66">
        <v>62500</v>
      </c>
      <c r="R66">
        <v>0</v>
      </c>
      <c r="S66">
        <v>62500</v>
      </c>
    </row>
    <row r="67" spans="1:19">
      <c r="A67" t="s">
        <v>683</v>
      </c>
      <c r="B67" t="s">
        <v>1584</v>
      </c>
      <c r="C67" t="s">
        <v>5</v>
      </c>
      <c r="D67" t="s">
        <v>1051</v>
      </c>
      <c r="E67" t="s">
        <v>466</v>
      </c>
      <c r="F67" t="s">
        <v>1052</v>
      </c>
      <c r="G67" t="s">
        <v>1053</v>
      </c>
      <c r="H67" t="s">
        <v>974</v>
      </c>
      <c r="I67">
        <v>51853</v>
      </c>
      <c r="J67">
        <v>0</v>
      </c>
      <c r="K67">
        <v>0</v>
      </c>
      <c r="L67">
        <v>0</v>
      </c>
      <c r="M67">
        <v>51853</v>
      </c>
      <c r="N67">
        <v>0</v>
      </c>
      <c r="Q67">
        <v>51853</v>
      </c>
      <c r="R67">
        <v>0</v>
      </c>
      <c r="S67">
        <v>51853</v>
      </c>
    </row>
    <row r="68" spans="1:19">
      <c r="A68" t="s">
        <v>684</v>
      </c>
      <c r="B68" t="s">
        <v>1585</v>
      </c>
      <c r="C68" t="s">
        <v>6</v>
      </c>
      <c r="D68" t="s">
        <v>1051</v>
      </c>
      <c r="E68" t="s">
        <v>466</v>
      </c>
      <c r="F68" t="s">
        <v>1052</v>
      </c>
      <c r="G68" t="s">
        <v>1053</v>
      </c>
      <c r="H68" t="s">
        <v>974</v>
      </c>
      <c r="I68">
        <v>15489</v>
      </c>
      <c r="J68">
        <v>0</v>
      </c>
      <c r="K68">
        <v>0</v>
      </c>
      <c r="L68">
        <v>0</v>
      </c>
      <c r="M68">
        <v>15489</v>
      </c>
      <c r="N68">
        <v>0</v>
      </c>
      <c r="Q68">
        <v>15489</v>
      </c>
      <c r="R68">
        <v>0</v>
      </c>
      <c r="S68">
        <v>15489</v>
      </c>
    </row>
    <row r="69" spans="1:19">
      <c r="A69" t="s">
        <v>685</v>
      </c>
      <c r="B69" t="s">
        <v>1586</v>
      </c>
      <c r="C69" t="s">
        <v>7</v>
      </c>
      <c r="D69" t="s">
        <v>1051</v>
      </c>
      <c r="E69" t="s">
        <v>466</v>
      </c>
      <c r="F69" t="s">
        <v>1052</v>
      </c>
      <c r="G69" t="s">
        <v>1053</v>
      </c>
      <c r="H69" t="s">
        <v>974</v>
      </c>
      <c r="I69">
        <v>29198</v>
      </c>
      <c r="J69">
        <v>0</v>
      </c>
      <c r="K69">
        <v>0</v>
      </c>
      <c r="L69">
        <v>0</v>
      </c>
      <c r="M69">
        <v>29198</v>
      </c>
      <c r="N69">
        <v>0</v>
      </c>
      <c r="Q69">
        <v>29198</v>
      </c>
      <c r="R69">
        <v>0</v>
      </c>
      <c r="S69">
        <v>29198</v>
      </c>
    </row>
    <row r="70" spans="1:19">
      <c r="A70" t="s">
        <v>686</v>
      </c>
      <c r="B70" t="s">
        <v>1587</v>
      </c>
      <c r="C70" t="s">
        <v>8</v>
      </c>
      <c r="D70" t="s">
        <v>1051</v>
      </c>
      <c r="E70" t="s">
        <v>466</v>
      </c>
      <c r="F70" t="s">
        <v>1052</v>
      </c>
      <c r="G70" t="s">
        <v>1053</v>
      </c>
      <c r="H70" t="s">
        <v>974</v>
      </c>
      <c r="I70">
        <v>42086428.939999998</v>
      </c>
      <c r="J70">
        <v>40166117.770000003</v>
      </c>
      <c r="K70">
        <v>24208665.719999999</v>
      </c>
      <c r="L70">
        <v>20796992.870000001</v>
      </c>
      <c r="M70">
        <v>66295094.659999996</v>
      </c>
      <c r="N70">
        <v>60963110.640000001</v>
      </c>
      <c r="Q70">
        <v>66295094.659999996</v>
      </c>
      <c r="R70">
        <v>60963110.640000001</v>
      </c>
      <c r="S70">
        <v>5331984.0199999958</v>
      </c>
    </row>
    <row r="71" spans="1:19">
      <c r="A71" t="s">
        <v>687</v>
      </c>
      <c r="B71" t="s">
        <v>1588</v>
      </c>
      <c r="C71" t="s">
        <v>10</v>
      </c>
      <c r="D71" t="s">
        <v>1051</v>
      </c>
      <c r="E71" t="s">
        <v>466</v>
      </c>
      <c r="F71" t="s">
        <v>1052</v>
      </c>
      <c r="G71" t="s">
        <v>1053</v>
      </c>
      <c r="H71" t="s">
        <v>1012</v>
      </c>
      <c r="I71">
        <v>381581.2</v>
      </c>
      <c r="J71">
        <v>79.099999999999994</v>
      </c>
      <c r="K71">
        <v>0</v>
      </c>
      <c r="L71">
        <v>0</v>
      </c>
      <c r="M71">
        <v>381581.2</v>
      </c>
      <c r="N71">
        <v>79.099999999999994</v>
      </c>
      <c r="Q71">
        <v>381581.2</v>
      </c>
      <c r="R71">
        <v>79.099999999999994</v>
      </c>
      <c r="S71">
        <v>381502.10000000003</v>
      </c>
    </row>
    <row r="72" spans="1:19">
      <c r="A72" t="s">
        <v>687</v>
      </c>
      <c r="B72" t="s">
        <v>1588</v>
      </c>
      <c r="C72" t="s">
        <v>9</v>
      </c>
      <c r="D72" t="s">
        <v>1051</v>
      </c>
      <c r="E72" t="s">
        <v>466</v>
      </c>
      <c r="F72" t="s">
        <v>1052</v>
      </c>
      <c r="G72" t="s">
        <v>1053</v>
      </c>
      <c r="H72" t="s">
        <v>1019</v>
      </c>
      <c r="I72">
        <v>239707</v>
      </c>
      <c r="J72">
        <v>621187.48</v>
      </c>
      <c r="K72">
        <v>0</v>
      </c>
      <c r="L72">
        <v>21.62</v>
      </c>
      <c r="M72">
        <v>239707</v>
      </c>
      <c r="N72">
        <v>621209.1</v>
      </c>
      <c r="Q72">
        <v>239707</v>
      </c>
      <c r="R72">
        <v>621209.1</v>
      </c>
      <c r="S72">
        <v>-381502.1</v>
      </c>
    </row>
    <row r="73" spans="1:19">
      <c r="A73" t="s">
        <v>688</v>
      </c>
      <c r="B73" t="s">
        <v>1589</v>
      </c>
      <c r="C73" t="s">
        <v>11</v>
      </c>
      <c r="D73" t="s">
        <v>1051</v>
      </c>
      <c r="E73" t="s">
        <v>466</v>
      </c>
      <c r="F73" t="s">
        <v>1052</v>
      </c>
      <c r="G73" t="s">
        <v>1053</v>
      </c>
      <c r="H73" t="s">
        <v>974</v>
      </c>
      <c r="I73">
        <v>351956.05</v>
      </c>
      <c r="J73">
        <v>347588.39999999997</v>
      </c>
      <c r="K73">
        <v>0</v>
      </c>
      <c r="L73">
        <v>0</v>
      </c>
      <c r="M73">
        <v>351956.05</v>
      </c>
      <c r="N73">
        <v>347588.39999999997</v>
      </c>
      <c r="Q73">
        <v>351956.05</v>
      </c>
      <c r="R73">
        <v>347588.39999999997</v>
      </c>
      <c r="S73">
        <v>4367.6500000000233</v>
      </c>
    </row>
    <row r="74" spans="1:19">
      <c r="A74" t="s">
        <v>688</v>
      </c>
      <c r="B74" t="s">
        <v>1589</v>
      </c>
      <c r="C74" t="s">
        <v>12</v>
      </c>
      <c r="D74" t="s">
        <v>1051</v>
      </c>
      <c r="E74" t="s">
        <v>466</v>
      </c>
      <c r="F74" t="s">
        <v>1052</v>
      </c>
      <c r="G74" t="s">
        <v>1053</v>
      </c>
      <c r="H74" t="s">
        <v>1021</v>
      </c>
      <c r="I74">
        <v>73944.37</v>
      </c>
      <c r="J74">
        <v>0</v>
      </c>
      <c r="K74">
        <v>0</v>
      </c>
      <c r="L74">
        <v>0</v>
      </c>
      <c r="M74">
        <v>73944.37</v>
      </c>
      <c r="N74">
        <v>0</v>
      </c>
      <c r="Q74">
        <v>73944.37</v>
      </c>
      <c r="R74">
        <v>0</v>
      </c>
      <c r="S74">
        <v>73944.37</v>
      </c>
    </row>
    <row r="75" spans="1:19">
      <c r="A75" t="s">
        <v>688</v>
      </c>
      <c r="B75" t="s">
        <v>1589</v>
      </c>
      <c r="C75" t="s">
        <v>13</v>
      </c>
      <c r="D75" t="s">
        <v>1051</v>
      </c>
      <c r="E75" t="s">
        <v>466</v>
      </c>
      <c r="F75" t="s">
        <v>1052</v>
      </c>
      <c r="G75" t="s">
        <v>1053</v>
      </c>
      <c r="H75" t="s">
        <v>1025</v>
      </c>
      <c r="I75">
        <v>0</v>
      </c>
      <c r="J75">
        <v>73924.7</v>
      </c>
      <c r="K75">
        <v>0</v>
      </c>
      <c r="L75">
        <v>0</v>
      </c>
      <c r="M75">
        <v>0</v>
      </c>
      <c r="N75">
        <v>73924.7</v>
      </c>
      <c r="Q75">
        <v>0</v>
      </c>
      <c r="R75">
        <v>73924.7</v>
      </c>
      <c r="S75">
        <v>-73924.7</v>
      </c>
    </row>
    <row r="76" spans="1:19">
      <c r="A76" t="s">
        <v>689</v>
      </c>
      <c r="B76" t="s">
        <v>1590</v>
      </c>
      <c r="C76" t="s">
        <v>16</v>
      </c>
      <c r="D76" t="s">
        <v>1051</v>
      </c>
      <c r="E76" t="s">
        <v>466</v>
      </c>
      <c r="F76" t="s">
        <v>1052</v>
      </c>
      <c r="G76" t="s">
        <v>1053</v>
      </c>
      <c r="H76" t="s">
        <v>1013</v>
      </c>
      <c r="I76">
        <v>100.6</v>
      </c>
      <c r="J76">
        <v>79.099999999999994</v>
      </c>
      <c r="K76">
        <v>0</v>
      </c>
      <c r="L76">
        <v>0</v>
      </c>
      <c r="M76">
        <v>100.6</v>
      </c>
      <c r="N76">
        <v>79.099999999999994</v>
      </c>
      <c r="Q76">
        <v>100.6</v>
      </c>
      <c r="R76">
        <v>79.099999999999994</v>
      </c>
      <c r="S76">
        <v>21.5</v>
      </c>
    </row>
    <row r="77" spans="1:19">
      <c r="A77" t="s">
        <v>689</v>
      </c>
      <c r="B77" t="s">
        <v>1590</v>
      </c>
      <c r="C77" t="s">
        <v>393</v>
      </c>
      <c r="D77" t="s">
        <v>1051</v>
      </c>
      <c r="E77" t="s">
        <v>466</v>
      </c>
      <c r="F77" t="s">
        <v>1052</v>
      </c>
      <c r="G77" t="s">
        <v>1053</v>
      </c>
      <c r="H77" t="s">
        <v>974</v>
      </c>
      <c r="I77">
        <v>780447.25</v>
      </c>
      <c r="J77">
        <v>0</v>
      </c>
      <c r="K77">
        <v>0</v>
      </c>
      <c r="L77">
        <v>20.99</v>
      </c>
      <c r="M77">
        <v>780447.25</v>
      </c>
      <c r="N77">
        <v>20.99</v>
      </c>
      <c r="Q77">
        <v>780447.25</v>
      </c>
      <c r="R77">
        <v>20.99</v>
      </c>
      <c r="S77">
        <v>780426.26</v>
      </c>
    </row>
    <row r="78" spans="1:19">
      <c r="A78" t="s">
        <v>689</v>
      </c>
      <c r="B78" t="s">
        <v>1590</v>
      </c>
      <c r="C78" t="s">
        <v>15</v>
      </c>
      <c r="D78" t="s">
        <v>1051</v>
      </c>
      <c r="E78" t="s">
        <v>466</v>
      </c>
      <c r="F78" t="s">
        <v>1052</v>
      </c>
      <c r="G78" t="s">
        <v>1053</v>
      </c>
      <c r="H78" t="s">
        <v>1026</v>
      </c>
      <c r="I78">
        <v>19147.189999999999</v>
      </c>
      <c r="J78">
        <v>0</v>
      </c>
      <c r="K78">
        <v>0</v>
      </c>
      <c r="L78">
        <v>0</v>
      </c>
      <c r="M78">
        <v>19147.189999999999</v>
      </c>
      <c r="N78">
        <v>0</v>
      </c>
      <c r="Q78">
        <v>19147.189999999999</v>
      </c>
      <c r="R78">
        <v>0</v>
      </c>
      <c r="S78">
        <v>19147.189999999999</v>
      </c>
    </row>
    <row r="79" spans="1:19">
      <c r="A79" t="s">
        <v>689</v>
      </c>
      <c r="B79" t="s">
        <v>1590</v>
      </c>
      <c r="C79" t="s">
        <v>14</v>
      </c>
      <c r="D79" t="s">
        <v>1051</v>
      </c>
      <c r="E79" t="s">
        <v>466</v>
      </c>
      <c r="F79" t="s">
        <v>1052</v>
      </c>
      <c r="G79" t="s">
        <v>1053</v>
      </c>
      <c r="H79" t="s">
        <v>992</v>
      </c>
      <c r="I79">
        <v>5686929</v>
      </c>
      <c r="J79">
        <v>6486523.9500000002</v>
      </c>
      <c r="K79">
        <v>0</v>
      </c>
      <c r="L79">
        <v>0</v>
      </c>
      <c r="M79">
        <v>5686929</v>
      </c>
      <c r="N79">
        <v>6486523.9500000002</v>
      </c>
      <c r="Q79">
        <v>5686929</v>
      </c>
      <c r="R79">
        <v>6486523.9500000002</v>
      </c>
      <c r="S79">
        <v>-799594.95000000019</v>
      </c>
    </row>
    <row r="80" spans="1:19">
      <c r="A80" t="s">
        <v>690</v>
      </c>
      <c r="B80" t="s">
        <v>1591</v>
      </c>
      <c r="C80" t="s">
        <v>17</v>
      </c>
      <c r="D80" t="s">
        <v>1051</v>
      </c>
      <c r="E80" t="s">
        <v>466</v>
      </c>
      <c r="F80" t="s">
        <v>1052</v>
      </c>
      <c r="G80" t="s">
        <v>1053</v>
      </c>
      <c r="H80" t="s">
        <v>1014</v>
      </c>
      <c r="I80">
        <v>100</v>
      </c>
      <c r="J80">
        <v>1024795.76</v>
      </c>
      <c r="K80">
        <v>0</v>
      </c>
      <c r="L80">
        <v>0</v>
      </c>
      <c r="M80">
        <v>100</v>
      </c>
      <c r="N80">
        <v>1024795.76</v>
      </c>
      <c r="Q80">
        <v>100</v>
      </c>
      <c r="R80">
        <v>1024795.76</v>
      </c>
      <c r="S80">
        <v>-1024695.76</v>
      </c>
    </row>
    <row r="81" spans="1:19">
      <c r="A81" t="s">
        <v>690</v>
      </c>
      <c r="B81" t="s">
        <v>1591</v>
      </c>
      <c r="C81" t="s">
        <v>1725</v>
      </c>
      <c r="D81" t="s">
        <v>1051</v>
      </c>
      <c r="E81" t="s">
        <v>466</v>
      </c>
      <c r="F81" t="s">
        <v>1052</v>
      </c>
      <c r="G81" t="s">
        <v>1053</v>
      </c>
      <c r="H81" t="s">
        <v>974</v>
      </c>
      <c r="I81">
        <v>0</v>
      </c>
      <c r="J81">
        <v>118.65</v>
      </c>
      <c r="K81">
        <v>0</v>
      </c>
      <c r="L81">
        <v>21.06</v>
      </c>
      <c r="M81">
        <v>0</v>
      </c>
      <c r="N81">
        <v>139.71</v>
      </c>
      <c r="Q81">
        <v>0</v>
      </c>
      <c r="R81">
        <v>139.71</v>
      </c>
      <c r="S81">
        <v>-139.71</v>
      </c>
    </row>
    <row r="82" spans="1:19">
      <c r="A82" t="s">
        <v>690</v>
      </c>
      <c r="B82" t="s">
        <v>1591</v>
      </c>
      <c r="C82" t="s">
        <v>19</v>
      </c>
      <c r="D82" t="s">
        <v>1051</v>
      </c>
      <c r="E82" t="s">
        <v>466</v>
      </c>
      <c r="F82" t="s">
        <v>1052</v>
      </c>
      <c r="G82" t="s">
        <v>1053</v>
      </c>
      <c r="H82" t="s">
        <v>1020</v>
      </c>
      <c r="I82">
        <v>40198.14</v>
      </c>
      <c r="J82">
        <v>0</v>
      </c>
      <c r="K82">
        <v>0</v>
      </c>
      <c r="L82">
        <v>0</v>
      </c>
      <c r="M82">
        <v>40198.14</v>
      </c>
      <c r="N82">
        <v>0</v>
      </c>
      <c r="Q82">
        <v>40198.14</v>
      </c>
      <c r="R82">
        <v>0</v>
      </c>
      <c r="S82">
        <v>40198.14</v>
      </c>
    </row>
    <row r="83" spans="1:19">
      <c r="A83" t="s">
        <v>690</v>
      </c>
      <c r="B83" t="s">
        <v>1591</v>
      </c>
      <c r="C83" t="s">
        <v>18</v>
      </c>
      <c r="D83" t="s">
        <v>1051</v>
      </c>
      <c r="E83" t="s">
        <v>466</v>
      </c>
      <c r="F83" t="s">
        <v>1052</v>
      </c>
      <c r="G83" t="s">
        <v>1053</v>
      </c>
      <c r="H83" t="s">
        <v>1027</v>
      </c>
      <c r="I83">
        <v>1024932.63</v>
      </c>
      <c r="J83">
        <v>40295.300000000003</v>
      </c>
      <c r="K83">
        <v>0</v>
      </c>
      <c r="L83">
        <v>0</v>
      </c>
      <c r="M83">
        <v>1024932.63</v>
      </c>
      <c r="N83">
        <v>40295.300000000003</v>
      </c>
      <c r="Q83">
        <v>1024932.63</v>
      </c>
      <c r="R83">
        <v>40295.300000000003</v>
      </c>
      <c r="S83">
        <v>984637.33</v>
      </c>
    </row>
    <row r="84" spans="1:19">
      <c r="A84" t="s">
        <v>691</v>
      </c>
      <c r="B84" t="s">
        <v>1592</v>
      </c>
      <c r="C84" t="s">
        <v>20</v>
      </c>
      <c r="D84" t="s">
        <v>1051</v>
      </c>
      <c r="E84" t="s">
        <v>466</v>
      </c>
      <c r="F84" t="s">
        <v>1052</v>
      </c>
      <c r="G84" t="s">
        <v>1053</v>
      </c>
      <c r="H84" t="s">
        <v>974</v>
      </c>
      <c r="I84">
        <v>22826301.579999998</v>
      </c>
      <c r="J84">
        <v>23721004.059999999</v>
      </c>
      <c r="K84">
        <v>0</v>
      </c>
      <c r="L84">
        <v>0</v>
      </c>
      <c r="M84">
        <v>22826301.579999998</v>
      </c>
      <c r="N84">
        <v>23721004.059999999</v>
      </c>
      <c r="Q84">
        <v>22826301.579999998</v>
      </c>
      <c r="R84">
        <v>23721004.059999999</v>
      </c>
      <c r="S84">
        <v>-894702.48000000045</v>
      </c>
    </row>
    <row r="85" spans="1:19">
      <c r="A85" t="s">
        <v>691</v>
      </c>
      <c r="B85" t="s">
        <v>1592</v>
      </c>
      <c r="C85" t="s">
        <v>1726</v>
      </c>
      <c r="D85" t="s">
        <v>1051</v>
      </c>
      <c r="E85" t="s">
        <v>466</v>
      </c>
      <c r="F85" t="s">
        <v>1052</v>
      </c>
      <c r="G85" t="s">
        <v>1053</v>
      </c>
      <c r="H85" t="s">
        <v>1276</v>
      </c>
      <c r="I85">
        <v>714000</v>
      </c>
      <c r="J85">
        <v>0</v>
      </c>
      <c r="K85">
        <v>0</v>
      </c>
      <c r="L85">
        <v>0</v>
      </c>
      <c r="M85">
        <v>714000</v>
      </c>
      <c r="N85">
        <v>0</v>
      </c>
      <c r="Q85">
        <v>714000</v>
      </c>
      <c r="R85">
        <v>0</v>
      </c>
      <c r="S85">
        <v>714000</v>
      </c>
    </row>
    <row r="86" spans="1:19">
      <c r="A86" t="s">
        <v>691</v>
      </c>
      <c r="B86" t="s">
        <v>1592</v>
      </c>
      <c r="C86" t="s">
        <v>1727</v>
      </c>
      <c r="D86" t="s">
        <v>1051</v>
      </c>
      <c r="E86" t="s">
        <v>466</v>
      </c>
      <c r="F86" t="s">
        <v>1052</v>
      </c>
      <c r="G86" t="s">
        <v>1053</v>
      </c>
      <c r="H86" t="s">
        <v>1275</v>
      </c>
      <c r="I86">
        <v>10118959.199999999</v>
      </c>
      <c r="J86">
        <v>9249677.6500000004</v>
      </c>
      <c r="K86">
        <v>13903195.390000001</v>
      </c>
      <c r="L86">
        <v>13259959.16</v>
      </c>
      <c r="M86">
        <v>24022154.59</v>
      </c>
      <c r="N86">
        <v>22509636.810000002</v>
      </c>
      <c r="Q86">
        <v>24022154.59</v>
      </c>
      <c r="R86">
        <v>22509636.810000002</v>
      </c>
      <c r="S86">
        <v>1512517.7799999975</v>
      </c>
    </row>
    <row r="87" spans="1:19">
      <c r="A87" t="s">
        <v>691</v>
      </c>
      <c r="B87" t="s">
        <v>1592</v>
      </c>
      <c r="C87" t="s">
        <v>1728</v>
      </c>
      <c r="D87" t="s">
        <v>1051</v>
      </c>
      <c r="E87" t="s">
        <v>466</v>
      </c>
      <c r="F87" t="s">
        <v>1052</v>
      </c>
      <c r="G87" t="s">
        <v>1053</v>
      </c>
      <c r="H87" t="s">
        <v>1723</v>
      </c>
      <c r="I87">
        <v>0</v>
      </c>
      <c r="J87">
        <v>0</v>
      </c>
      <c r="K87">
        <v>9430038.5999999996</v>
      </c>
      <c r="L87">
        <v>9551036.7100000009</v>
      </c>
      <c r="M87">
        <v>9430038.5999999996</v>
      </c>
      <c r="N87">
        <v>9551036.7100000009</v>
      </c>
      <c r="Q87">
        <v>9430038.5999999996</v>
      </c>
      <c r="R87">
        <v>9551036.7100000009</v>
      </c>
      <c r="S87">
        <v>-120998.11000000127</v>
      </c>
    </row>
    <row r="88" spans="1:19">
      <c r="A88" t="s">
        <v>692</v>
      </c>
      <c r="B88" t="s">
        <v>1593</v>
      </c>
      <c r="C88" t="s">
        <v>21</v>
      </c>
      <c r="D88" t="s">
        <v>1051</v>
      </c>
      <c r="E88" t="s">
        <v>466</v>
      </c>
      <c r="F88" t="s">
        <v>1052</v>
      </c>
      <c r="G88" t="s">
        <v>1053</v>
      </c>
      <c r="H88" t="s">
        <v>974</v>
      </c>
      <c r="I88">
        <v>6261.86</v>
      </c>
      <c r="J88">
        <v>0</v>
      </c>
      <c r="K88">
        <v>0</v>
      </c>
      <c r="L88">
        <v>0</v>
      </c>
      <c r="M88">
        <v>6261.86</v>
      </c>
      <c r="N88">
        <v>0</v>
      </c>
      <c r="Q88">
        <v>6261.86</v>
      </c>
      <c r="R88">
        <v>0</v>
      </c>
      <c r="S88">
        <v>6261.86</v>
      </c>
    </row>
    <row r="89" spans="1:19">
      <c r="A89" t="s">
        <v>693</v>
      </c>
      <c r="B89" t="s">
        <v>1594</v>
      </c>
      <c r="C89" t="s">
        <v>22</v>
      </c>
      <c r="D89" t="s">
        <v>1051</v>
      </c>
      <c r="E89" t="s">
        <v>466</v>
      </c>
      <c r="F89" t="s">
        <v>1052</v>
      </c>
      <c r="G89" t="s">
        <v>1053</v>
      </c>
      <c r="H89" t="s">
        <v>1015</v>
      </c>
      <c r="I89">
        <v>70646.14</v>
      </c>
      <c r="J89">
        <v>79.099999999999994</v>
      </c>
      <c r="K89">
        <v>0</v>
      </c>
      <c r="L89">
        <v>0</v>
      </c>
      <c r="M89">
        <v>70646.14</v>
      </c>
      <c r="N89">
        <v>79.099999999999994</v>
      </c>
      <c r="Q89">
        <v>70646.14</v>
      </c>
      <c r="R89">
        <v>79.099999999999994</v>
      </c>
      <c r="S89">
        <v>70567.039999999994</v>
      </c>
    </row>
    <row r="90" spans="1:19">
      <c r="A90" t="s">
        <v>693</v>
      </c>
      <c r="B90" t="s">
        <v>1594</v>
      </c>
      <c r="C90" t="s">
        <v>23</v>
      </c>
      <c r="D90" t="s">
        <v>1051</v>
      </c>
      <c r="E90" t="s">
        <v>466</v>
      </c>
      <c r="F90" t="s">
        <v>1052</v>
      </c>
      <c r="G90" t="s">
        <v>1053</v>
      </c>
      <c r="H90" t="s">
        <v>1022</v>
      </c>
      <c r="I90">
        <v>12334249.59</v>
      </c>
      <c r="J90">
        <v>12403022.299999999</v>
      </c>
      <c r="K90">
        <v>0</v>
      </c>
      <c r="L90">
        <v>0</v>
      </c>
      <c r="M90">
        <v>12334249.59</v>
      </c>
      <c r="N90">
        <v>12403022.299999999</v>
      </c>
      <c r="Q90">
        <v>12334249.59</v>
      </c>
      <c r="R90">
        <v>12403022.299999999</v>
      </c>
      <c r="S90">
        <v>-68772.709999999031</v>
      </c>
    </row>
    <row r="91" spans="1:19">
      <c r="A91" t="s">
        <v>694</v>
      </c>
      <c r="B91" t="s">
        <v>1595</v>
      </c>
      <c r="C91" t="s">
        <v>25</v>
      </c>
      <c r="D91" t="s">
        <v>1051</v>
      </c>
      <c r="E91" t="s">
        <v>466</v>
      </c>
      <c r="F91" t="s">
        <v>1052</v>
      </c>
      <c r="G91" t="s">
        <v>1053</v>
      </c>
      <c r="H91" t="s">
        <v>1016</v>
      </c>
      <c r="I91">
        <v>260.10000000000002</v>
      </c>
      <c r="J91">
        <v>0</v>
      </c>
      <c r="K91">
        <v>0</v>
      </c>
      <c r="L91">
        <v>0</v>
      </c>
      <c r="M91">
        <v>260.10000000000002</v>
      </c>
      <c r="N91">
        <v>0</v>
      </c>
      <c r="Q91">
        <v>260.10000000000002</v>
      </c>
      <c r="R91">
        <v>0</v>
      </c>
      <c r="S91">
        <v>260.10000000000002</v>
      </c>
    </row>
    <row r="92" spans="1:19">
      <c r="A92" t="s">
        <v>694</v>
      </c>
      <c r="B92" t="s">
        <v>1595</v>
      </c>
      <c r="C92" t="s">
        <v>24</v>
      </c>
      <c r="D92" t="s">
        <v>1051</v>
      </c>
      <c r="E92" t="s">
        <v>466</v>
      </c>
      <c r="F92" t="s">
        <v>1052</v>
      </c>
      <c r="G92" t="s">
        <v>1053</v>
      </c>
      <c r="H92" t="s">
        <v>1024</v>
      </c>
      <c r="I92">
        <v>0</v>
      </c>
      <c r="J92">
        <v>133.94999999999999</v>
      </c>
      <c r="K92">
        <v>0</v>
      </c>
      <c r="L92">
        <v>0</v>
      </c>
      <c r="M92">
        <v>0</v>
      </c>
      <c r="N92">
        <v>133.94999999999999</v>
      </c>
      <c r="Q92">
        <v>0</v>
      </c>
      <c r="R92">
        <v>133.94999999999999</v>
      </c>
      <c r="S92">
        <v>-133.94999999999999</v>
      </c>
    </row>
    <row r="93" spans="1:19">
      <c r="A93" t="s">
        <v>695</v>
      </c>
      <c r="B93" t="s">
        <v>1596</v>
      </c>
      <c r="C93" t="s">
        <v>1729</v>
      </c>
      <c r="D93" t="s">
        <v>1051</v>
      </c>
      <c r="E93" t="s">
        <v>466</v>
      </c>
      <c r="F93" t="s">
        <v>1052</v>
      </c>
      <c r="G93" t="s">
        <v>1053</v>
      </c>
      <c r="H93" t="s">
        <v>1055</v>
      </c>
      <c r="I93">
        <v>13399790.25</v>
      </c>
      <c r="J93">
        <v>13189765.82</v>
      </c>
      <c r="K93">
        <v>0</v>
      </c>
      <c r="L93">
        <v>0</v>
      </c>
      <c r="M93">
        <v>13399790.25</v>
      </c>
      <c r="N93">
        <v>13189765.82</v>
      </c>
      <c r="Q93">
        <v>13399790.25</v>
      </c>
      <c r="R93">
        <v>13189765.82</v>
      </c>
      <c r="S93">
        <v>210024.4299999997</v>
      </c>
    </row>
    <row r="94" spans="1:19">
      <c r="A94" t="s">
        <v>695</v>
      </c>
      <c r="B94" t="s">
        <v>1596</v>
      </c>
      <c r="C94" t="s">
        <v>1054</v>
      </c>
      <c r="D94" t="s">
        <v>1051</v>
      </c>
      <c r="E94" t="s">
        <v>466</v>
      </c>
      <c r="F94" t="s">
        <v>1052</v>
      </c>
      <c r="G94" t="s">
        <v>1053</v>
      </c>
      <c r="H94" t="s">
        <v>992</v>
      </c>
      <c r="I94">
        <v>0</v>
      </c>
      <c r="J94">
        <v>180000</v>
      </c>
      <c r="K94">
        <v>0</v>
      </c>
      <c r="L94">
        <v>0</v>
      </c>
      <c r="M94">
        <v>0</v>
      </c>
      <c r="N94">
        <v>180000</v>
      </c>
      <c r="Q94">
        <v>0</v>
      </c>
      <c r="R94">
        <v>180000</v>
      </c>
      <c r="S94">
        <v>-180000</v>
      </c>
    </row>
    <row r="95" spans="1:19">
      <c r="A95" t="s">
        <v>788</v>
      </c>
      <c r="B95" t="s">
        <v>1642</v>
      </c>
      <c r="C95" t="s">
        <v>174</v>
      </c>
      <c r="D95" t="s">
        <v>1051</v>
      </c>
      <c r="E95" t="s">
        <v>637</v>
      </c>
      <c r="F95" t="s">
        <v>638</v>
      </c>
      <c r="G95" t="s">
        <v>1130</v>
      </c>
      <c r="H95" t="s">
        <v>974</v>
      </c>
      <c r="I95">
        <v>2903533</v>
      </c>
      <c r="J95">
        <v>0</v>
      </c>
      <c r="K95">
        <v>0</v>
      </c>
      <c r="L95">
        <v>0</v>
      </c>
      <c r="M95">
        <v>2903533</v>
      </c>
      <c r="N95">
        <v>0</v>
      </c>
      <c r="O95">
        <v>0</v>
      </c>
      <c r="Q95">
        <v>2903533</v>
      </c>
      <c r="R95">
        <v>0</v>
      </c>
      <c r="S95">
        <v>2903533</v>
      </c>
    </row>
    <row r="96" spans="1:19">
      <c r="A96" t="s">
        <v>790</v>
      </c>
      <c r="B96" t="s">
        <v>1644</v>
      </c>
      <c r="C96" t="s">
        <v>176</v>
      </c>
      <c r="D96" t="s">
        <v>1051</v>
      </c>
      <c r="E96" t="s">
        <v>637</v>
      </c>
      <c r="F96" t="s">
        <v>639</v>
      </c>
      <c r="G96" t="s">
        <v>352</v>
      </c>
      <c r="H96" t="s">
        <v>974</v>
      </c>
      <c r="I96">
        <v>549421</v>
      </c>
      <c r="J96">
        <v>89325</v>
      </c>
      <c r="K96">
        <v>337290</v>
      </c>
      <c r="L96">
        <v>0</v>
      </c>
      <c r="M96">
        <v>886711</v>
      </c>
      <c r="N96">
        <v>89325</v>
      </c>
      <c r="P96">
        <v>340197</v>
      </c>
      <c r="Q96">
        <v>886711</v>
      </c>
      <c r="R96">
        <v>429522</v>
      </c>
      <c r="S96">
        <v>457189</v>
      </c>
    </row>
    <row r="97" spans="1:19">
      <c r="A97" t="s">
        <v>782</v>
      </c>
      <c r="B97" t="s">
        <v>1636</v>
      </c>
      <c r="C97" t="s">
        <v>168</v>
      </c>
      <c r="D97" t="s">
        <v>1051</v>
      </c>
      <c r="E97" t="s">
        <v>637</v>
      </c>
      <c r="F97" t="s">
        <v>638</v>
      </c>
      <c r="G97" t="s">
        <v>524</v>
      </c>
      <c r="H97" t="s">
        <v>974</v>
      </c>
      <c r="I97">
        <v>4945458</v>
      </c>
      <c r="J97">
        <v>0</v>
      </c>
      <c r="K97">
        <v>25000</v>
      </c>
      <c r="L97">
        <v>0</v>
      </c>
      <c r="M97">
        <v>4970458</v>
      </c>
      <c r="N97">
        <v>0</v>
      </c>
      <c r="Q97">
        <v>4970458</v>
      </c>
      <c r="R97">
        <v>0</v>
      </c>
      <c r="S97">
        <v>4970458</v>
      </c>
    </row>
    <row r="98" spans="1:19">
      <c r="A98" t="s">
        <v>782</v>
      </c>
      <c r="B98" t="s">
        <v>524</v>
      </c>
      <c r="C98" t="s">
        <v>1749</v>
      </c>
      <c r="D98" t="s">
        <v>1051</v>
      </c>
      <c r="E98" t="s">
        <v>637</v>
      </c>
      <c r="F98" t="s">
        <v>638</v>
      </c>
      <c r="G98" t="s">
        <v>524</v>
      </c>
      <c r="H98" t="s">
        <v>1275</v>
      </c>
      <c r="I98">
        <v>147330</v>
      </c>
      <c r="J98">
        <v>147330</v>
      </c>
      <c r="M98">
        <v>147330</v>
      </c>
      <c r="N98">
        <v>147330</v>
      </c>
      <c r="Q98">
        <v>147330</v>
      </c>
      <c r="R98">
        <v>147330</v>
      </c>
      <c r="S98">
        <v>0</v>
      </c>
    </row>
    <row r="99" spans="1:19">
      <c r="A99" t="s">
        <v>835</v>
      </c>
      <c r="B99" t="s">
        <v>1673</v>
      </c>
      <c r="C99" t="s">
        <v>256</v>
      </c>
      <c r="D99" t="s">
        <v>1051</v>
      </c>
      <c r="E99" t="s">
        <v>1153</v>
      </c>
      <c r="F99" t="s">
        <v>1153</v>
      </c>
      <c r="G99" t="s">
        <v>1153</v>
      </c>
      <c r="H99" t="s">
        <v>974</v>
      </c>
      <c r="I99">
        <v>73356131.310025007</v>
      </c>
      <c r="J99">
        <v>0</v>
      </c>
      <c r="K99">
        <v>0</v>
      </c>
      <c r="L99">
        <v>0</v>
      </c>
      <c r="M99">
        <v>73356131.310025007</v>
      </c>
      <c r="N99">
        <v>0</v>
      </c>
      <c r="Q99">
        <v>73356131.310025007</v>
      </c>
      <c r="R99">
        <v>0</v>
      </c>
      <c r="S99">
        <v>73356131.310025007</v>
      </c>
    </row>
    <row r="100" spans="1:19">
      <c r="A100" t="s">
        <v>843</v>
      </c>
      <c r="B100" t="s">
        <v>1674</v>
      </c>
      <c r="C100" t="s">
        <v>255</v>
      </c>
      <c r="D100" t="s">
        <v>1051</v>
      </c>
      <c r="E100" t="s">
        <v>1153</v>
      </c>
      <c r="F100" t="s">
        <v>1153</v>
      </c>
      <c r="G100" t="s">
        <v>1153</v>
      </c>
      <c r="H100" t="s">
        <v>1014</v>
      </c>
      <c r="I100">
        <v>0</v>
      </c>
      <c r="J100">
        <v>1641568</v>
      </c>
      <c r="K100">
        <v>0</v>
      </c>
      <c r="L100">
        <v>0</v>
      </c>
      <c r="M100">
        <v>0</v>
      </c>
      <c r="N100">
        <v>1641568</v>
      </c>
      <c r="Q100">
        <v>0</v>
      </c>
      <c r="R100">
        <v>1641568</v>
      </c>
      <c r="S100">
        <v>-1641568</v>
      </c>
    </row>
    <row r="101" spans="1:19">
      <c r="A101" t="s">
        <v>1343</v>
      </c>
      <c r="B101" t="s">
        <v>1344</v>
      </c>
      <c r="C101" t="s">
        <v>1761</v>
      </c>
      <c r="D101" t="s">
        <v>1051</v>
      </c>
      <c r="E101" t="s">
        <v>1153</v>
      </c>
      <c r="F101" t="s">
        <v>1153</v>
      </c>
      <c r="G101" t="s">
        <v>1153</v>
      </c>
      <c r="I101">
        <v>0</v>
      </c>
      <c r="J101">
        <v>0</v>
      </c>
      <c r="K101">
        <v>0</v>
      </c>
      <c r="L101">
        <v>0</v>
      </c>
      <c r="M101">
        <v>0</v>
      </c>
      <c r="N101">
        <v>0</v>
      </c>
      <c r="Q101">
        <v>0</v>
      </c>
      <c r="R101">
        <v>0</v>
      </c>
      <c r="S101">
        <v>0</v>
      </c>
    </row>
    <row r="102" spans="1:19">
      <c r="A102" t="s">
        <v>846</v>
      </c>
      <c r="B102" t="s">
        <v>1163</v>
      </c>
      <c r="C102" t="s">
        <v>1838</v>
      </c>
      <c r="D102" t="s">
        <v>1051</v>
      </c>
      <c r="E102" t="s">
        <v>1153</v>
      </c>
      <c r="F102" t="s">
        <v>1153</v>
      </c>
      <c r="G102" t="s">
        <v>1153</v>
      </c>
      <c r="H102" t="s">
        <v>1022</v>
      </c>
      <c r="I102">
        <v>13192587</v>
      </c>
      <c r="J102">
        <v>39801207.060000002</v>
      </c>
      <c r="M102">
        <v>13192587</v>
      </c>
      <c r="N102">
        <v>39801207.060000002</v>
      </c>
      <c r="Q102">
        <v>13192587</v>
      </c>
      <c r="R102">
        <v>39801207.060000002</v>
      </c>
      <c r="S102">
        <v>-26608620.060000002</v>
      </c>
    </row>
    <row r="103" spans="1:19">
      <c r="A103" t="s">
        <v>845</v>
      </c>
      <c r="B103" t="s">
        <v>1162</v>
      </c>
      <c r="C103" t="s">
        <v>1837</v>
      </c>
      <c r="D103" t="s">
        <v>1051</v>
      </c>
      <c r="E103" t="s">
        <v>1153</v>
      </c>
      <c r="F103" t="s">
        <v>1153</v>
      </c>
      <c r="G103" t="s">
        <v>1153</v>
      </c>
      <c r="H103" t="s">
        <v>1020</v>
      </c>
      <c r="I103">
        <v>0</v>
      </c>
      <c r="J103">
        <v>197501</v>
      </c>
      <c r="M103">
        <v>0</v>
      </c>
      <c r="N103">
        <v>197501</v>
      </c>
      <c r="Q103">
        <v>0</v>
      </c>
      <c r="R103">
        <v>197501</v>
      </c>
      <c r="S103">
        <v>-197501</v>
      </c>
    </row>
    <row r="104" spans="1:19">
      <c r="A104" t="s">
        <v>844</v>
      </c>
      <c r="B104" t="s">
        <v>1161</v>
      </c>
      <c r="C104" t="s">
        <v>1836</v>
      </c>
      <c r="D104" t="s">
        <v>1051</v>
      </c>
      <c r="E104" t="s">
        <v>1153</v>
      </c>
      <c r="F104" t="s">
        <v>1153</v>
      </c>
      <c r="G104" t="s">
        <v>1153</v>
      </c>
      <c r="H104" t="s">
        <v>1055</v>
      </c>
      <c r="I104">
        <v>0</v>
      </c>
      <c r="J104">
        <v>7009823.8399999999</v>
      </c>
      <c r="M104">
        <v>0</v>
      </c>
      <c r="N104">
        <v>7009823.8399999999</v>
      </c>
      <c r="Q104">
        <v>0</v>
      </c>
      <c r="R104">
        <v>7009823.8399999999</v>
      </c>
      <c r="S104">
        <v>-7009823.8399999999</v>
      </c>
    </row>
    <row r="105" spans="1:19">
      <c r="A105" t="s">
        <v>842</v>
      </c>
      <c r="B105" t="s">
        <v>1160</v>
      </c>
      <c r="C105" t="s">
        <v>1835</v>
      </c>
      <c r="D105" t="s">
        <v>1051</v>
      </c>
      <c r="E105" t="s">
        <v>1153</v>
      </c>
      <c r="F105" t="s">
        <v>1153</v>
      </c>
      <c r="G105" t="s">
        <v>1153</v>
      </c>
      <c r="H105" t="s">
        <v>1023</v>
      </c>
      <c r="I105">
        <v>40031.769999999997</v>
      </c>
      <c r="J105">
        <v>0</v>
      </c>
      <c r="M105">
        <v>40031.769999999997</v>
      </c>
      <c r="N105">
        <v>0</v>
      </c>
      <c r="Q105">
        <v>40031.769999999997</v>
      </c>
      <c r="R105">
        <v>0</v>
      </c>
      <c r="S105">
        <v>40031.769999999997</v>
      </c>
    </row>
    <row r="106" spans="1:19">
      <c r="A106" t="s">
        <v>841</v>
      </c>
      <c r="B106" t="s">
        <v>1159</v>
      </c>
      <c r="C106" t="s">
        <v>1834</v>
      </c>
      <c r="D106" t="s">
        <v>1051</v>
      </c>
      <c r="E106" t="s">
        <v>1153</v>
      </c>
      <c r="F106" t="s">
        <v>1153</v>
      </c>
      <c r="G106" t="s">
        <v>1153</v>
      </c>
      <c r="H106" t="s">
        <v>1012</v>
      </c>
      <c r="I106">
        <v>0</v>
      </c>
      <c r="J106">
        <v>143742</v>
      </c>
      <c r="M106">
        <v>0</v>
      </c>
      <c r="N106">
        <v>143742</v>
      </c>
      <c r="Q106">
        <v>0</v>
      </c>
      <c r="R106">
        <v>143742</v>
      </c>
      <c r="S106">
        <v>-143742</v>
      </c>
    </row>
    <row r="107" spans="1:19">
      <c r="A107" t="s">
        <v>840</v>
      </c>
      <c r="B107" t="s">
        <v>1158</v>
      </c>
      <c r="C107" t="s">
        <v>1833</v>
      </c>
      <c r="D107" t="s">
        <v>1051</v>
      </c>
      <c r="E107" t="s">
        <v>1153</v>
      </c>
      <c r="F107" t="s">
        <v>1153</v>
      </c>
      <c r="G107" t="s">
        <v>1153</v>
      </c>
      <c r="H107" t="s">
        <v>1015</v>
      </c>
      <c r="I107">
        <v>0</v>
      </c>
      <c r="J107">
        <v>232</v>
      </c>
      <c r="M107">
        <v>0</v>
      </c>
      <c r="N107">
        <v>232</v>
      </c>
      <c r="Q107">
        <v>0</v>
      </c>
      <c r="R107">
        <v>232</v>
      </c>
      <c r="S107">
        <v>-232</v>
      </c>
    </row>
    <row r="108" spans="1:19">
      <c r="A108" t="s">
        <v>839</v>
      </c>
      <c r="B108" t="s">
        <v>1157</v>
      </c>
      <c r="C108" t="s">
        <v>1832</v>
      </c>
      <c r="D108" t="s">
        <v>1051</v>
      </c>
      <c r="E108" t="s">
        <v>1153</v>
      </c>
      <c r="F108" t="s">
        <v>1153</v>
      </c>
      <c r="G108" t="s">
        <v>1153</v>
      </c>
      <c r="H108" t="s">
        <v>1016</v>
      </c>
      <c r="I108">
        <v>0</v>
      </c>
      <c r="J108">
        <v>160</v>
      </c>
      <c r="M108">
        <v>0</v>
      </c>
      <c r="N108">
        <v>160</v>
      </c>
      <c r="Q108">
        <v>0</v>
      </c>
      <c r="R108">
        <v>160</v>
      </c>
      <c r="S108">
        <v>-160</v>
      </c>
    </row>
    <row r="109" spans="1:19">
      <c r="A109" t="s">
        <v>838</v>
      </c>
      <c r="B109" t="s">
        <v>1156</v>
      </c>
      <c r="C109" t="s">
        <v>1831</v>
      </c>
      <c r="D109" t="s">
        <v>1051</v>
      </c>
      <c r="E109" t="s">
        <v>1153</v>
      </c>
      <c r="F109" t="s">
        <v>1153</v>
      </c>
      <c r="G109" t="s">
        <v>1153</v>
      </c>
      <c r="H109" t="s">
        <v>1013</v>
      </c>
      <c r="I109">
        <v>131573.38</v>
      </c>
      <c r="M109">
        <v>131573.38</v>
      </c>
      <c r="N109">
        <v>0</v>
      </c>
      <c r="Q109">
        <v>131573.38</v>
      </c>
      <c r="R109">
        <v>0</v>
      </c>
      <c r="S109">
        <v>131573.38</v>
      </c>
    </row>
    <row r="110" spans="1:19">
      <c r="A110" t="s">
        <v>837</v>
      </c>
      <c r="B110" t="s">
        <v>1155</v>
      </c>
      <c r="C110" t="s">
        <v>1830</v>
      </c>
      <c r="D110" t="s">
        <v>1051</v>
      </c>
      <c r="E110" t="s">
        <v>1153</v>
      </c>
      <c r="F110" t="s">
        <v>1153</v>
      </c>
      <c r="G110" t="s">
        <v>1153</v>
      </c>
      <c r="H110" t="s">
        <v>1011</v>
      </c>
      <c r="J110">
        <v>1059128.96</v>
      </c>
      <c r="M110">
        <v>0</v>
      </c>
      <c r="N110">
        <v>1059128.96</v>
      </c>
      <c r="Q110">
        <v>0</v>
      </c>
      <c r="R110">
        <v>1059128.96</v>
      </c>
      <c r="S110">
        <v>-1059128.96</v>
      </c>
    </row>
    <row r="111" spans="1:19">
      <c r="A111" t="s">
        <v>836</v>
      </c>
      <c r="B111" t="s">
        <v>1154</v>
      </c>
      <c r="C111" t="s">
        <v>1829</v>
      </c>
      <c r="D111" t="s">
        <v>1051</v>
      </c>
      <c r="E111" t="s">
        <v>1153</v>
      </c>
      <c r="F111" t="s">
        <v>1153</v>
      </c>
      <c r="G111" t="s">
        <v>1153</v>
      </c>
      <c r="H111" t="s">
        <v>1024</v>
      </c>
      <c r="I111">
        <v>15118.65</v>
      </c>
      <c r="J111">
        <v>18934.349999999999</v>
      </c>
      <c r="M111">
        <v>15118.65</v>
      </c>
      <c r="N111">
        <v>18934.349999999999</v>
      </c>
      <c r="Q111">
        <v>15118.65</v>
      </c>
      <c r="R111">
        <v>18934.349999999999</v>
      </c>
      <c r="S111">
        <v>-3815.6999999999989</v>
      </c>
    </row>
    <row r="112" spans="1:19">
      <c r="A112" t="s">
        <v>836</v>
      </c>
      <c r="B112" t="s">
        <v>1154</v>
      </c>
      <c r="C112" t="s">
        <v>1828</v>
      </c>
      <c r="D112" t="s">
        <v>1051</v>
      </c>
      <c r="E112" t="s">
        <v>1153</v>
      </c>
      <c r="F112" t="s">
        <v>1153</v>
      </c>
      <c r="G112" t="s">
        <v>1153</v>
      </c>
      <c r="H112" t="s">
        <v>1025</v>
      </c>
      <c r="I112">
        <v>0</v>
      </c>
      <c r="J112">
        <v>113902</v>
      </c>
      <c r="M112">
        <v>0</v>
      </c>
      <c r="N112">
        <v>113902</v>
      </c>
      <c r="Q112">
        <v>0</v>
      </c>
      <c r="R112">
        <v>113902</v>
      </c>
      <c r="S112">
        <v>-113902</v>
      </c>
    </row>
    <row r="113" spans="1:19">
      <c r="A113" t="s">
        <v>836</v>
      </c>
      <c r="B113" t="s">
        <v>1154</v>
      </c>
      <c r="C113" t="s">
        <v>1827</v>
      </c>
      <c r="D113" t="s">
        <v>1051</v>
      </c>
      <c r="E113" t="s">
        <v>1153</v>
      </c>
      <c r="F113" t="s">
        <v>1153</v>
      </c>
      <c r="G113" t="s">
        <v>1153</v>
      </c>
      <c r="H113" t="s">
        <v>1021</v>
      </c>
      <c r="I113">
        <v>0</v>
      </c>
      <c r="J113">
        <v>19686</v>
      </c>
      <c r="M113">
        <v>0</v>
      </c>
      <c r="N113">
        <v>19686</v>
      </c>
      <c r="Q113">
        <v>0</v>
      </c>
      <c r="R113">
        <v>19686</v>
      </c>
      <c r="S113">
        <v>-19686</v>
      </c>
    </row>
    <row r="114" spans="1:19">
      <c r="A114" t="s">
        <v>836</v>
      </c>
      <c r="B114" t="s">
        <v>1154</v>
      </c>
      <c r="C114" t="s">
        <v>1826</v>
      </c>
      <c r="D114" t="s">
        <v>1051</v>
      </c>
      <c r="E114" t="s">
        <v>1153</v>
      </c>
      <c r="F114" t="s">
        <v>1153</v>
      </c>
      <c r="G114" t="s">
        <v>1153</v>
      </c>
      <c r="H114" t="s">
        <v>1018</v>
      </c>
      <c r="I114">
        <v>340760</v>
      </c>
      <c r="J114">
        <v>0</v>
      </c>
      <c r="M114">
        <v>340760</v>
      </c>
      <c r="N114">
        <v>0</v>
      </c>
      <c r="Q114">
        <v>340760</v>
      </c>
      <c r="R114">
        <v>0</v>
      </c>
      <c r="S114">
        <v>340760</v>
      </c>
    </row>
    <row r="115" spans="1:19">
      <c r="A115" t="s">
        <v>835</v>
      </c>
      <c r="B115" t="s">
        <v>1153</v>
      </c>
      <c r="C115" t="s">
        <v>1825</v>
      </c>
      <c r="D115" t="s">
        <v>1051</v>
      </c>
      <c r="E115" t="s">
        <v>1153</v>
      </c>
      <c r="F115" t="s">
        <v>1153</v>
      </c>
      <c r="G115" t="s">
        <v>1153</v>
      </c>
      <c r="H115" t="s">
        <v>992</v>
      </c>
      <c r="I115">
        <v>63863.550000000047</v>
      </c>
      <c r="J115">
        <v>3539881.45</v>
      </c>
      <c r="M115">
        <v>63863.550000000047</v>
      </c>
      <c r="N115">
        <v>3539881.45</v>
      </c>
      <c r="Q115">
        <v>63863.550000000047</v>
      </c>
      <c r="R115">
        <v>3539881.45</v>
      </c>
      <c r="S115">
        <v>-3476017.9000000004</v>
      </c>
    </row>
    <row r="116" spans="1:19">
      <c r="A116" t="s">
        <v>835</v>
      </c>
      <c r="B116" t="s">
        <v>1153</v>
      </c>
      <c r="C116" t="s">
        <v>1823</v>
      </c>
      <c r="D116" t="s">
        <v>1051</v>
      </c>
      <c r="E116" t="s">
        <v>1153</v>
      </c>
      <c r="F116" t="s">
        <v>1153</v>
      </c>
      <c r="G116" t="s">
        <v>1153</v>
      </c>
      <c r="H116" t="s">
        <v>1026</v>
      </c>
      <c r="I116">
        <v>0</v>
      </c>
      <c r="J116">
        <v>1</v>
      </c>
      <c r="M116">
        <v>0</v>
      </c>
      <c r="N116">
        <v>1</v>
      </c>
      <c r="Q116">
        <v>0</v>
      </c>
      <c r="R116">
        <v>1</v>
      </c>
      <c r="S116">
        <v>-1</v>
      </c>
    </row>
    <row r="117" spans="1:19">
      <c r="A117" t="s">
        <v>835</v>
      </c>
      <c r="B117" t="s">
        <v>1153</v>
      </c>
      <c r="C117" t="s">
        <v>1822</v>
      </c>
      <c r="D117" t="s">
        <v>1051</v>
      </c>
      <c r="E117" t="s">
        <v>1153</v>
      </c>
      <c r="F117" t="s">
        <v>1153</v>
      </c>
      <c r="G117" t="s">
        <v>1153</v>
      </c>
      <c r="H117" t="s">
        <v>1027</v>
      </c>
      <c r="I117">
        <v>0</v>
      </c>
      <c r="J117">
        <v>1321436.3999999999</v>
      </c>
      <c r="M117">
        <v>0</v>
      </c>
      <c r="N117">
        <v>1321436.3999999999</v>
      </c>
      <c r="Q117">
        <v>0</v>
      </c>
      <c r="R117">
        <v>1321436.3999999999</v>
      </c>
      <c r="S117">
        <v>-1321436.3999999999</v>
      </c>
    </row>
    <row r="118" spans="1:19">
      <c r="A118" t="s">
        <v>835</v>
      </c>
      <c r="B118" t="s">
        <v>1153</v>
      </c>
      <c r="C118" t="s">
        <v>1821</v>
      </c>
      <c r="D118" t="s">
        <v>1051</v>
      </c>
      <c r="E118" t="s">
        <v>1153</v>
      </c>
      <c r="F118" t="s">
        <v>1153</v>
      </c>
      <c r="G118" t="s">
        <v>1153</v>
      </c>
      <c r="H118" t="s">
        <v>1019</v>
      </c>
      <c r="I118">
        <v>0</v>
      </c>
      <c r="J118">
        <v>1847601.54</v>
      </c>
      <c r="M118">
        <v>0</v>
      </c>
      <c r="N118">
        <v>1847601.54</v>
      </c>
      <c r="Q118">
        <v>0</v>
      </c>
      <c r="R118">
        <v>1847601.54</v>
      </c>
      <c r="S118">
        <v>-1847601.54</v>
      </c>
    </row>
    <row r="119" spans="1:19">
      <c r="A119" t="s">
        <v>786</v>
      </c>
      <c r="B119" t="s">
        <v>1127</v>
      </c>
      <c r="C119" t="s">
        <v>1748</v>
      </c>
      <c r="D119" t="s">
        <v>1051</v>
      </c>
      <c r="E119" t="s">
        <v>637</v>
      </c>
      <c r="F119" t="s">
        <v>638</v>
      </c>
      <c r="G119" t="s">
        <v>1128</v>
      </c>
      <c r="H119" t="s">
        <v>1275</v>
      </c>
      <c r="I119">
        <v>170000</v>
      </c>
      <c r="J119">
        <v>170000</v>
      </c>
      <c r="M119">
        <v>170000</v>
      </c>
      <c r="N119">
        <v>170000</v>
      </c>
      <c r="Q119">
        <v>170000</v>
      </c>
      <c r="R119">
        <v>170000</v>
      </c>
      <c r="S119">
        <v>0</v>
      </c>
    </row>
    <row r="120" spans="1:19">
      <c r="A120" t="s">
        <v>786</v>
      </c>
      <c r="B120" t="s">
        <v>1640</v>
      </c>
      <c r="C120" t="s">
        <v>172</v>
      </c>
      <c r="D120" t="s">
        <v>1051</v>
      </c>
      <c r="E120" t="s">
        <v>637</v>
      </c>
      <c r="F120" t="s">
        <v>638</v>
      </c>
      <c r="G120" t="s">
        <v>1128</v>
      </c>
      <c r="H120" t="s">
        <v>974</v>
      </c>
      <c r="I120">
        <v>868377</v>
      </c>
      <c r="J120">
        <v>0</v>
      </c>
      <c r="K120">
        <v>0</v>
      </c>
      <c r="L120">
        <v>0</v>
      </c>
      <c r="M120">
        <v>868377</v>
      </c>
      <c r="N120">
        <v>0</v>
      </c>
      <c r="Q120">
        <v>868377</v>
      </c>
      <c r="R120">
        <v>0</v>
      </c>
      <c r="S120">
        <v>868377</v>
      </c>
    </row>
    <row r="121" spans="1:19">
      <c r="A121" t="s">
        <v>780</v>
      </c>
      <c r="B121" t="s">
        <v>1634</v>
      </c>
      <c r="C121" t="s">
        <v>166</v>
      </c>
      <c r="D121" t="s">
        <v>1051</v>
      </c>
      <c r="E121" t="s">
        <v>637</v>
      </c>
      <c r="F121" t="s">
        <v>638</v>
      </c>
      <c r="G121" t="s">
        <v>342</v>
      </c>
      <c r="H121" t="s">
        <v>974</v>
      </c>
      <c r="I121">
        <v>1244075</v>
      </c>
      <c r="J121">
        <v>0</v>
      </c>
      <c r="K121">
        <v>0</v>
      </c>
      <c r="L121">
        <v>0</v>
      </c>
      <c r="M121">
        <v>1244075</v>
      </c>
      <c r="N121">
        <v>0</v>
      </c>
      <c r="Q121">
        <v>1244075</v>
      </c>
      <c r="R121">
        <v>0</v>
      </c>
      <c r="S121">
        <v>1244075</v>
      </c>
    </row>
    <row r="122" spans="1:19">
      <c r="A122" t="s">
        <v>834</v>
      </c>
      <c r="B122" t="s">
        <v>1672</v>
      </c>
      <c r="C122" t="s">
        <v>252</v>
      </c>
      <c r="D122" t="s">
        <v>1051</v>
      </c>
      <c r="E122" t="s">
        <v>640</v>
      </c>
      <c r="F122" t="s">
        <v>1151</v>
      </c>
      <c r="G122" t="s">
        <v>1152</v>
      </c>
      <c r="H122" t="s">
        <v>974</v>
      </c>
      <c r="I122">
        <v>105750</v>
      </c>
      <c r="J122">
        <v>615750</v>
      </c>
      <c r="K122">
        <v>0</v>
      </c>
      <c r="L122">
        <v>0</v>
      </c>
      <c r="M122">
        <v>105750</v>
      </c>
      <c r="N122">
        <v>615750</v>
      </c>
      <c r="Q122">
        <v>105750</v>
      </c>
      <c r="R122">
        <v>615750</v>
      </c>
      <c r="S122">
        <v>-510000</v>
      </c>
    </row>
    <row r="123" spans="1:19">
      <c r="A123" t="s">
        <v>777</v>
      </c>
      <c r="B123" t="s">
        <v>1631</v>
      </c>
      <c r="C123" t="s">
        <v>163</v>
      </c>
      <c r="D123" t="s">
        <v>1051</v>
      </c>
      <c r="E123" t="s">
        <v>637</v>
      </c>
      <c r="F123" t="s">
        <v>638</v>
      </c>
      <c r="G123" t="s">
        <v>1122</v>
      </c>
      <c r="H123" t="s">
        <v>974</v>
      </c>
      <c r="I123">
        <v>1721000</v>
      </c>
      <c r="J123">
        <v>0</v>
      </c>
      <c r="K123">
        <v>0</v>
      </c>
      <c r="L123">
        <v>0</v>
      </c>
      <c r="M123">
        <v>1721000</v>
      </c>
      <c r="N123">
        <v>0</v>
      </c>
      <c r="Q123">
        <v>1721000</v>
      </c>
      <c r="R123">
        <v>0</v>
      </c>
      <c r="S123">
        <v>1721000</v>
      </c>
    </row>
    <row r="124" spans="1:19">
      <c r="A124" t="s">
        <v>784</v>
      </c>
      <c r="B124" t="s">
        <v>1638</v>
      </c>
      <c r="C124" t="s">
        <v>170</v>
      </c>
      <c r="D124" t="s">
        <v>1051</v>
      </c>
      <c r="E124" t="s">
        <v>637</v>
      </c>
      <c r="F124" t="s">
        <v>638</v>
      </c>
      <c r="G124" t="s">
        <v>525</v>
      </c>
      <c r="H124" t="s">
        <v>974</v>
      </c>
      <c r="I124">
        <v>911914</v>
      </c>
      <c r="J124">
        <v>0</v>
      </c>
      <c r="K124">
        <v>0</v>
      </c>
      <c r="L124">
        <v>0</v>
      </c>
      <c r="M124">
        <v>911914</v>
      </c>
      <c r="N124">
        <v>0</v>
      </c>
      <c r="Q124">
        <v>911914</v>
      </c>
      <c r="R124">
        <v>0</v>
      </c>
      <c r="S124">
        <v>911914</v>
      </c>
    </row>
    <row r="125" spans="1:19">
      <c r="A125" t="s">
        <v>798</v>
      </c>
      <c r="B125" t="s">
        <v>1651</v>
      </c>
      <c r="C125" t="s">
        <v>184</v>
      </c>
      <c r="D125" t="s">
        <v>1051</v>
      </c>
      <c r="E125" t="s">
        <v>473</v>
      </c>
      <c r="F125" t="s">
        <v>1134</v>
      </c>
      <c r="G125" t="s">
        <v>1137</v>
      </c>
      <c r="H125" t="s">
        <v>974</v>
      </c>
      <c r="I125">
        <v>0</v>
      </c>
      <c r="J125">
        <v>177</v>
      </c>
      <c r="K125">
        <v>0</v>
      </c>
      <c r="L125">
        <v>0</v>
      </c>
      <c r="M125">
        <v>0</v>
      </c>
      <c r="N125">
        <v>177</v>
      </c>
      <c r="Q125">
        <v>0</v>
      </c>
      <c r="R125">
        <v>177</v>
      </c>
      <c r="S125">
        <v>-177</v>
      </c>
    </row>
    <row r="126" spans="1:19">
      <c r="A126" t="s">
        <v>800</v>
      </c>
      <c r="B126" t="s">
        <v>1652</v>
      </c>
      <c r="C126" t="s">
        <v>187</v>
      </c>
      <c r="D126" t="s">
        <v>1051</v>
      </c>
      <c r="E126" t="s">
        <v>473</v>
      </c>
      <c r="F126" t="s">
        <v>1134</v>
      </c>
      <c r="G126" t="s">
        <v>1137</v>
      </c>
      <c r="H126" t="s">
        <v>1013</v>
      </c>
      <c r="I126">
        <v>0</v>
      </c>
      <c r="J126">
        <v>50</v>
      </c>
      <c r="K126">
        <v>0</v>
      </c>
      <c r="L126">
        <v>0</v>
      </c>
      <c r="M126">
        <v>0</v>
      </c>
      <c r="N126">
        <v>50</v>
      </c>
      <c r="Q126">
        <v>0</v>
      </c>
      <c r="R126">
        <v>50</v>
      </c>
      <c r="S126">
        <v>-50</v>
      </c>
    </row>
    <row r="127" spans="1:19">
      <c r="A127" t="s">
        <v>800</v>
      </c>
      <c r="B127" t="s">
        <v>1652</v>
      </c>
      <c r="C127" t="s">
        <v>186</v>
      </c>
      <c r="D127" t="s">
        <v>1051</v>
      </c>
      <c r="E127" t="s">
        <v>473</v>
      </c>
      <c r="F127" t="s">
        <v>1134</v>
      </c>
      <c r="G127" t="s">
        <v>1137</v>
      </c>
      <c r="H127" t="s">
        <v>1022</v>
      </c>
      <c r="I127">
        <v>159420</v>
      </c>
      <c r="J127">
        <v>159423</v>
      </c>
      <c r="K127">
        <v>0</v>
      </c>
      <c r="L127">
        <v>0</v>
      </c>
      <c r="M127">
        <v>159420</v>
      </c>
      <c r="N127">
        <v>159423</v>
      </c>
      <c r="Q127">
        <v>159420</v>
      </c>
      <c r="R127">
        <v>159423</v>
      </c>
      <c r="S127">
        <v>-3</v>
      </c>
    </row>
    <row r="128" spans="1:19">
      <c r="A128" t="s">
        <v>801</v>
      </c>
      <c r="B128" t="s">
        <v>1653</v>
      </c>
      <c r="C128" t="s">
        <v>188</v>
      </c>
      <c r="D128" t="s">
        <v>1051</v>
      </c>
      <c r="E128" t="s">
        <v>473</v>
      </c>
      <c r="F128" t="s">
        <v>1134</v>
      </c>
      <c r="G128" t="s">
        <v>1137</v>
      </c>
      <c r="H128" t="s">
        <v>974</v>
      </c>
      <c r="I128">
        <v>0</v>
      </c>
      <c r="J128">
        <v>75698</v>
      </c>
      <c r="K128">
        <v>0</v>
      </c>
      <c r="L128">
        <v>0</v>
      </c>
      <c r="M128">
        <v>0</v>
      </c>
      <c r="N128">
        <v>75698</v>
      </c>
      <c r="Q128">
        <v>0</v>
      </c>
      <c r="R128">
        <v>75698</v>
      </c>
      <c r="S128">
        <v>-75698</v>
      </c>
    </row>
    <row r="129" spans="1:19">
      <c r="A129" t="s">
        <v>802</v>
      </c>
      <c r="B129" t="s">
        <v>1654</v>
      </c>
      <c r="C129" t="s">
        <v>189</v>
      </c>
      <c r="D129" t="s">
        <v>1051</v>
      </c>
      <c r="E129" t="s">
        <v>473</v>
      </c>
      <c r="F129" t="s">
        <v>1134</v>
      </c>
      <c r="G129" t="s">
        <v>1137</v>
      </c>
      <c r="H129" t="s">
        <v>1012</v>
      </c>
      <c r="I129">
        <v>0</v>
      </c>
      <c r="J129">
        <v>464</v>
      </c>
      <c r="K129">
        <v>0</v>
      </c>
      <c r="L129">
        <v>0</v>
      </c>
      <c r="M129">
        <v>0</v>
      </c>
      <c r="N129">
        <v>464</v>
      </c>
      <c r="Q129">
        <v>0</v>
      </c>
      <c r="R129">
        <v>464</v>
      </c>
      <c r="S129">
        <v>-464</v>
      </c>
    </row>
    <row r="130" spans="1:19">
      <c r="A130" t="s">
        <v>803</v>
      </c>
      <c r="B130" t="s">
        <v>1655</v>
      </c>
      <c r="C130" t="s">
        <v>190</v>
      </c>
      <c r="D130" t="s">
        <v>1051</v>
      </c>
      <c r="E130" t="s">
        <v>473</v>
      </c>
      <c r="F130" t="s">
        <v>1134</v>
      </c>
      <c r="G130" t="s">
        <v>1137</v>
      </c>
      <c r="H130" t="s">
        <v>974</v>
      </c>
      <c r="I130">
        <v>0</v>
      </c>
      <c r="J130">
        <v>500</v>
      </c>
      <c r="K130">
        <v>0</v>
      </c>
      <c r="L130">
        <v>0</v>
      </c>
      <c r="M130">
        <v>0</v>
      </c>
      <c r="N130">
        <v>500</v>
      </c>
      <c r="Q130">
        <v>0</v>
      </c>
      <c r="R130">
        <v>500</v>
      </c>
      <c r="S130">
        <v>-500</v>
      </c>
    </row>
    <row r="131" spans="1:19">
      <c r="A131" t="s">
        <v>804</v>
      </c>
      <c r="B131" t="s">
        <v>1656</v>
      </c>
      <c r="C131" t="s">
        <v>191</v>
      </c>
      <c r="D131" t="s">
        <v>1051</v>
      </c>
      <c r="E131" t="s">
        <v>473</v>
      </c>
      <c r="F131" t="s">
        <v>1134</v>
      </c>
      <c r="G131" t="s">
        <v>1137</v>
      </c>
      <c r="H131" t="s">
        <v>1021</v>
      </c>
      <c r="I131">
        <v>0</v>
      </c>
      <c r="J131">
        <v>35940</v>
      </c>
      <c r="K131">
        <v>0</v>
      </c>
      <c r="L131">
        <v>0</v>
      </c>
      <c r="M131">
        <v>0</v>
      </c>
      <c r="N131">
        <v>35940</v>
      </c>
      <c r="Q131">
        <v>0</v>
      </c>
      <c r="R131">
        <v>35940</v>
      </c>
      <c r="S131">
        <v>-35940</v>
      </c>
    </row>
    <row r="132" spans="1:19">
      <c r="A132" t="s">
        <v>805</v>
      </c>
      <c r="B132" t="s">
        <v>1657</v>
      </c>
      <c r="C132" t="s">
        <v>192</v>
      </c>
      <c r="D132" t="s">
        <v>1051</v>
      </c>
      <c r="E132" t="s">
        <v>473</v>
      </c>
      <c r="F132" t="s">
        <v>1134</v>
      </c>
      <c r="G132" t="s">
        <v>1137</v>
      </c>
      <c r="H132" t="s">
        <v>974</v>
      </c>
      <c r="I132">
        <v>0</v>
      </c>
      <c r="J132">
        <v>68623</v>
      </c>
      <c r="K132">
        <v>0</v>
      </c>
      <c r="L132">
        <v>0</v>
      </c>
      <c r="M132">
        <v>0</v>
      </c>
      <c r="N132">
        <v>68623</v>
      </c>
      <c r="Q132">
        <v>0</v>
      </c>
      <c r="R132">
        <v>68623</v>
      </c>
      <c r="S132">
        <v>-68623</v>
      </c>
    </row>
    <row r="133" spans="1:19">
      <c r="A133" t="s">
        <v>806</v>
      </c>
      <c r="B133" t="s">
        <v>1658</v>
      </c>
      <c r="C133" t="s">
        <v>193</v>
      </c>
      <c r="D133" t="s">
        <v>1051</v>
      </c>
      <c r="E133" t="s">
        <v>473</v>
      </c>
      <c r="F133" t="s">
        <v>1134</v>
      </c>
      <c r="G133" t="s">
        <v>1137</v>
      </c>
      <c r="H133" t="s">
        <v>992</v>
      </c>
      <c r="I133">
        <v>0</v>
      </c>
      <c r="J133">
        <v>275</v>
      </c>
      <c r="K133">
        <v>0</v>
      </c>
      <c r="L133">
        <v>0</v>
      </c>
      <c r="M133">
        <v>0</v>
      </c>
      <c r="N133">
        <v>275</v>
      </c>
      <c r="Q133">
        <v>0</v>
      </c>
      <c r="R133">
        <v>275</v>
      </c>
      <c r="S133">
        <v>-275</v>
      </c>
    </row>
    <row r="134" spans="1:19">
      <c r="A134" t="s">
        <v>807</v>
      </c>
      <c r="B134" t="s">
        <v>1659</v>
      </c>
      <c r="C134" t="s">
        <v>410</v>
      </c>
      <c r="D134" t="s">
        <v>1051</v>
      </c>
      <c r="E134" t="s">
        <v>473</v>
      </c>
      <c r="F134" t="s">
        <v>1134</v>
      </c>
      <c r="G134" t="s">
        <v>1137</v>
      </c>
      <c r="H134" t="s">
        <v>1022</v>
      </c>
      <c r="I134">
        <v>0</v>
      </c>
      <c r="J134">
        <v>370</v>
      </c>
      <c r="K134">
        <v>0</v>
      </c>
      <c r="L134">
        <v>0</v>
      </c>
      <c r="M134">
        <v>0</v>
      </c>
      <c r="N134">
        <v>370</v>
      </c>
      <c r="Q134">
        <v>0</v>
      </c>
      <c r="R134">
        <v>370</v>
      </c>
      <c r="S134">
        <v>-370</v>
      </c>
    </row>
    <row r="135" spans="1:19">
      <c r="A135" t="s">
        <v>815</v>
      </c>
      <c r="B135" t="s">
        <v>1661</v>
      </c>
      <c r="C135" t="s">
        <v>218</v>
      </c>
      <c r="D135" t="s">
        <v>1051</v>
      </c>
      <c r="E135" t="s">
        <v>473</v>
      </c>
      <c r="F135" t="s">
        <v>1134</v>
      </c>
      <c r="G135" t="s">
        <v>1137</v>
      </c>
      <c r="H135" t="s">
        <v>974</v>
      </c>
      <c r="I135">
        <v>0</v>
      </c>
      <c r="J135">
        <v>131479</v>
      </c>
      <c r="K135">
        <v>0</v>
      </c>
      <c r="L135">
        <v>0</v>
      </c>
      <c r="M135">
        <v>0</v>
      </c>
      <c r="N135">
        <v>131479</v>
      </c>
      <c r="Q135">
        <v>0</v>
      </c>
      <c r="R135">
        <v>131479</v>
      </c>
      <c r="S135">
        <v>-131479</v>
      </c>
    </row>
    <row r="136" spans="1:19">
      <c r="A136" t="s">
        <v>815</v>
      </c>
      <c r="B136" t="s">
        <v>1661</v>
      </c>
      <c r="C136" t="s">
        <v>1750</v>
      </c>
      <c r="D136" t="s">
        <v>1051</v>
      </c>
      <c r="E136" t="s">
        <v>473</v>
      </c>
      <c r="F136" t="s">
        <v>1134</v>
      </c>
      <c r="G136" t="s">
        <v>1137</v>
      </c>
      <c r="H136" t="s">
        <v>1055</v>
      </c>
      <c r="I136">
        <v>0</v>
      </c>
      <c r="J136">
        <v>322</v>
      </c>
      <c r="K136">
        <v>0</v>
      </c>
      <c r="L136">
        <v>0</v>
      </c>
      <c r="M136">
        <v>0</v>
      </c>
      <c r="N136">
        <v>322</v>
      </c>
      <c r="Q136">
        <v>0</v>
      </c>
      <c r="R136">
        <v>322</v>
      </c>
      <c r="S136">
        <v>-322</v>
      </c>
    </row>
    <row r="137" spans="1:19">
      <c r="A137" t="s">
        <v>817</v>
      </c>
      <c r="B137" t="s">
        <v>1662</v>
      </c>
      <c r="C137" t="s">
        <v>224</v>
      </c>
      <c r="D137" t="s">
        <v>1051</v>
      </c>
      <c r="E137" t="s">
        <v>473</v>
      </c>
      <c r="F137" t="s">
        <v>1134</v>
      </c>
      <c r="G137" t="s">
        <v>1137</v>
      </c>
      <c r="H137" t="s">
        <v>1018</v>
      </c>
      <c r="I137">
        <v>0</v>
      </c>
      <c r="J137">
        <v>2020</v>
      </c>
      <c r="K137">
        <v>0</v>
      </c>
      <c r="L137">
        <v>0</v>
      </c>
      <c r="M137">
        <v>0</v>
      </c>
      <c r="N137">
        <v>2020</v>
      </c>
      <c r="Q137">
        <v>0</v>
      </c>
      <c r="R137">
        <v>2020</v>
      </c>
      <c r="S137">
        <v>-2020</v>
      </c>
    </row>
    <row r="138" spans="1:19">
      <c r="A138" t="s">
        <v>817</v>
      </c>
      <c r="B138" t="s">
        <v>1662</v>
      </c>
      <c r="C138" t="s">
        <v>222</v>
      </c>
      <c r="D138" t="s">
        <v>1051</v>
      </c>
      <c r="E138" t="s">
        <v>473</v>
      </c>
      <c r="F138" t="s">
        <v>1134</v>
      </c>
      <c r="G138" t="s">
        <v>1137</v>
      </c>
      <c r="H138" t="s">
        <v>1014</v>
      </c>
      <c r="I138">
        <v>0</v>
      </c>
      <c r="J138">
        <v>1810</v>
      </c>
      <c r="K138">
        <v>0</v>
      </c>
      <c r="L138">
        <v>0</v>
      </c>
      <c r="M138">
        <v>0</v>
      </c>
      <c r="N138">
        <v>1810</v>
      </c>
      <c r="Q138">
        <v>0</v>
      </c>
      <c r="R138">
        <v>1810</v>
      </c>
      <c r="S138">
        <v>-1810</v>
      </c>
    </row>
    <row r="139" spans="1:19">
      <c r="A139" t="s">
        <v>817</v>
      </c>
      <c r="B139" t="s">
        <v>1662</v>
      </c>
      <c r="C139" t="s">
        <v>223</v>
      </c>
      <c r="D139" t="s">
        <v>1051</v>
      </c>
      <c r="E139" t="s">
        <v>473</v>
      </c>
      <c r="F139" t="s">
        <v>1134</v>
      </c>
      <c r="G139" t="s">
        <v>1137</v>
      </c>
      <c r="H139" t="s">
        <v>974</v>
      </c>
      <c r="I139">
        <v>0</v>
      </c>
      <c r="J139">
        <v>6300</v>
      </c>
      <c r="K139">
        <v>0</v>
      </c>
      <c r="L139">
        <v>0</v>
      </c>
      <c r="M139">
        <v>0</v>
      </c>
      <c r="N139">
        <v>6300</v>
      </c>
      <c r="Q139">
        <v>0</v>
      </c>
      <c r="R139">
        <v>6300</v>
      </c>
      <c r="S139">
        <v>-6300</v>
      </c>
    </row>
    <row r="140" spans="1:19">
      <c r="A140" t="s">
        <v>817</v>
      </c>
      <c r="B140" t="s">
        <v>1662</v>
      </c>
      <c r="C140" t="s">
        <v>1751</v>
      </c>
      <c r="D140" t="s">
        <v>1051</v>
      </c>
      <c r="E140" t="s">
        <v>473</v>
      </c>
      <c r="F140" t="s">
        <v>1134</v>
      </c>
      <c r="G140" t="s">
        <v>1137</v>
      </c>
      <c r="H140" t="s">
        <v>1055</v>
      </c>
      <c r="I140">
        <v>0</v>
      </c>
      <c r="J140">
        <v>10250</v>
      </c>
      <c r="K140">
        <v>0</v>
      </c>
      <c r="L140">
        <v>0</v>
      </c>
      <c r="M140">
        <v>0</v>
      </c>
      <c r="N140">
        <v>10250</v>
      </c>
      <c r="Q140">
        <v>0</v>
      </c>
      <c r="R140">
        <v>10250</v>
      </c>
      <c r="S140">
        <v>-10250</v>
      </c>
    </row>
    <row r="141" spans="1:19">
      <c r="A141" t="s">
        <v>817</v>
      </c>
      <c r="B141" t="s">
        <v>1662</v>
      </c>
      <c r="C141" t="s">
        <v>225</v>
      </c>
      <c r="D141" t="s">
        <v>1051</v>
      </c>
      <c r="E141" t="s">
        <v>473</v>
      </c>
      <c r="F141" t="s">
        <v>1134</v>
      </c>
      <c r="G141" t="s">
        <v>1137</v>
      </c>
      <c r="H141" t="s">
        <v>1021</v>
      </c>
      <c r="I141">
        <v>0</v>
      </c>
      <c r="J141">
        <v>132</v>
      </c>
      <c r="K141">
        <v>0</v>
      </c>
      <c r="L141">
        <v>0</v>
      </c>
      <c r="M141">
        <v>0</v>
      </c>
      <c r="N141">
        <v>132</v>
      </c>
      <c r="Q141">
        <v>0</v>
      </c>
      <c r="R141">
        <v>132</v>
      </c>
      <c r="S141">
        <v>-132</v>
      </c>
    </row>
    <row r="142" spans="1:19">
      <c r="A142" t="s">
        <v>817</v>
      </c>
      <c r="B142" t="s">
        <v>1662</v>
      </c>
      <c r="C142" t="s">
        <v>221</v>
      </c>
      <c r="D142" t="s">
        <v>1051</v>
      </c>
      <c r="E142" t="s">
        <v>473</v>
      </c>
      <c r="F142" t="s">
        <v>1134</v>
      </c>
      <c r="G142" t="s">
        <v>1137</v>
      </c>
      <c r="H142" t="s">
        <v>992</v>
      </c>
      <c r="I142">
        <v>0</v>
      </c>
      <c r="J142">
        <v>33400</v>
      </c>
      <c r="K142">
        <v>0</v>
      </c>
      <c r="L142">
        <v>0</v>
      </c>
      <c r="M142">
        <v>0</v>
      </c>
      <c r="N142">
        <v>33400</v>
      </c>
      <c r="Q142">
        <v>0</v>
      </c>
      <c r="R142">
        <v>33400</v>
      </c>
      <c r="S142">
        <v>-33400</v>
      </c>
    </row>
    <row r="143" spans="1:19">
      <c r="A143" t="s">
        <v>821</v>
      </c>
      <c r="B143" t="s">
        <v>1664</v>
      </c>
      <c r="C143" t="s">
        <v>230</v>
      </c>
      <c r="D143" t="s">
        <v>1051</v>
      </c>
      <c r="E143" t="s">
        <v>473</v>
      </c>
      <c r="F143" t="s">
        <v>1134</v>
      </c>
      <c r="G143" t="s">
        <v>1137</v>
      </c>
      <c r="H143" t="s">
        <v>974</v>
      </c>
      <c r="I143">
        <v>0</v>
      </c>
      <c r="J143">
        <v>96906</v>
      </c>
      <c r="K143">
        <v>0</v>
      </c>
      <c r="L143">
        <v>0</v>
      </c>
      <c r="M143">
        <v>0</v>
      </c>
      <c r="N143">
        <v>96906</v>
      </c>
      <c r="Q143">
        <v>0</v>
      </c>
      <c r="R143">
        <v>96906</v>
      </c>
      <c r="S143">
        <v>-96906</v>
      </c>
    </row>
    <row r="144" spans="1:19">
      <c r="A144" t="s">
        <v>822</v>
      </c>
      <c r="B144" t="s">
        <v>1665</v>
      </c>
      <c r="C144" t="s">
        <v>231</v>
      </c>
      <c r="D144" t="s">
        <v>1051</v>
      </c>
      <c r="E144" t="s">
        <v>473</v>
      </c>
      <c r="F144" t="s">
        <v>1134</v>
      </c>
      <c r="G144" t="s">
        <v>1137</v>
      </c>
      <c r="H144" t="s">
        <v>1022</v>
      </c>
      <c r="I144">
        <v>0</v>
      </c>
      <c r="J144">
        <v>2</v>
      </c>
      <c r="K144">
        <v>0</v>
      </c>
      <c r="L144">
        <v>0</v>
      </c>
      <c r="M144">
        <v>0</v>
      </c>
      <c r="N144">
        <v>2</v>
      </c>
      <c r="Q144">
        <v>0</v>
      </c>
      <c r="R144">
        <v>2</v>
      </c>
      <c r="S144">
        <v>-2</v>
      </c>
    </row>
    <row r="145" spans="1:19">
      <c r="A145" t="s">
        <v>824</v>
      </c>
      <c r="B145" t="s">
        <v>1666</v>
      </c>
      <c r="C145" t="s">
        <v>236</v>
      </c>
      <c r="D145" t="s">
        <v>1051</v>
      </c>
      <c r="E145" t="s">
        <v>473</v>
      </c>
      <c r="F145" t="s">
        <v>1134</v>
      </c>
      <c r="G145" t="s">
        <v>1137</v>
      </c>
      <c r="H145" t="s">
        <v>974</v>
      </c>
      <c r="I145">
        <v>0</v>
      </c>
      <c r="J145">
        <v>0</v>
      </c>
      <c r="K145">
        <v>0</v>
      </c>
      <c r="L145">
        <v>0</v>
      </c>
      <c r="M145">
        <v>0</v>
      </c>
      <c r="N145">
        <v>0</v>
      </c>
      <c r="Q145">
        <v>0</v>
      </c>
      <c r="R145">
        <v>0</v>
      </c>
      <c r="S145">
        <v>0</v>
      </c>
    </row>
    <row r="146" spans="1:19">
      <c r="A146" t="s">
        <v>825</v>
      </c>
      <c r="B146" t="s">
        <v>1005</v>
      </c>
      <c r="C146" t="s">
        <v>237</v>
      </c>
      <c r="D146" t="s">
        <v>1051</v>
      </c>
      <c r="E146" t="s">
        <v>473</v>
      </c>
      <c r="F146" t="s">
        <v>1134</v>
      </c>
      <c r="G146" t="s">
        <v>1137</v>
      </c>
      <c r="H146" t="s">
        <v>974</v>
      </c>
      <c r="I146">
        <v>55500</v>
      </c>
      <c r="J146">
        <v>57900</v>
      </c>
      <c r="K146">
        <v>0</v>
      </c>
      <c r="L146">
        <v>0</v>
      </c>
      <c r="M146">
        <v>55500</v>
      </c>
      <c r="N146">
        <v>57900</v>
      </c>
      <c r="Q146">
        <v>55500</v>
      </c>
      <c r="R146">
        <v>57900</v>
      </c>
      <c r="S146">
        <v>-2400</v>
      </c>
    </row>
    <row r="147" spans="1:19">
      <c r="A147" t="s">
        <v>827</v>
      </c>
      <c r="B147" t="s">
        <v>1004</v>
      </c>
      <c r="C147" t="s">
        <v>244</v>
      </c>
      <c r="D147" t="s">
        <v>1051</v>
      </c>
      <c r="E147" t="s">
        <v>473</v>
      </c>
      <c r="F147" t="s">
        <v>1134</v>
      </c>
      <c r="G147" t="s">
        <v>1137</v>
      </c>
      <c r="H147" t="s">
        <v>974</v>
      </c>
      <c r="I147">
        <v>443775</v>
      </c>
      <c r="J147">
        <v>432930</v>
      </c>
      <c r="K147">
        <v>224640</v>
      </c>
      <c r="L147">
        <v>224640</v>
      </c>
      <c r="M147">
        <v>668415</v>
      </c>
      <c r="N147">
        <v>657570</v>
      </c>
      <c r="Q147">
        <v>668415</v>
      </c>
      <c r="R147">
        <v>657570</v>
      </c>
      <c r="S147">
        <v>10845</v>
      </c>
    </row>
    <row r="148" spans="1:19">
      <c r="A148" t="s">
        <v>827</v>
      </c>
      <c r="B148" t="s">
        <v>1004</v>
      </c>
      <c r="C148" t="s">
        <v>1278</v>
      </c>
      <c r="D148" t="s">
        <v>1051</v>
      </c>
      <c r="E148" t="s">
        <v>473</v>
      </c>
      <c r="F148" t="s">
        <v>1134</v>
      </c>
      <c r="G148" t="s">
        <v>1137</v>
      </c>
      <c r="H148" t="s">
        <v>1055</v>
      </c>
      <c r="I148">
        <v>10500</v>
      </c>
      <c r="J148">
        <v>0</v>
      </c>
      <c r="K148">
        <v>0</v>
      </c>
      <c r="L148">
        <v>0</v>
      </c>
      <c r="M148">
        <v>10500</v>
      </c>
      <c r="N148">
        <v>0</v>
      </c>
      <c r="Q148">
        <v>10500</v>
      </c>
      <c r="R148">
        <v>0</v>
      </c>
      <c r="S148">
        <v>10500</v>
      </c>
    </row>
    <row r="149" spans="1:19">
      <c r="A149" t="s">
        <v>828</v>
      </c>
      <c r="B149" t="s">
        <v>1668</v>
      </c>
      <c r="C149" t="s">
        <v>245</v>
      </c>
      <c r="D149" t="s">
        <v>1051</v>
      </c>
      <c r="E149" t="s">
        <v>473</v>
      </c>
      <c r="F149" t="s">
        <v>1134</v>
      </c>
      <c r="G149" t="s">
        <v>1137</v>
      </c>
      <c r="H149" t="s">
        <v>974</v>
      </c>
      <c r="I149">
        <v>9936</v>
      </c>
      <c r="J149">
        <v>14100</v>
      </c>
      <c r="K149">
        <v>13960</v>
      </c>
      <c r="L149">
        <v>0</v>
      </c>
      <c r="M149">
        <v>23896</v>
      </c>
      <c r="N149">
        <v>14100</v>
      </c>
      <c r="Q149">
        <v>23896</v>
      </c>
      <c r="R149">
        <v>14100</v>
      </c>
      <c r="S149">
        <v>9796</v>
      </c>
    </row>
    <row r="150" spans="1:19">
      <c r="A150" t="s">
        <v>829</v>
      </c>
      <c r="B150" t="s">
        <v>1669</v>
      </c>
      <c r="C150" t="s">
        <v>246</v>
      </c>
      <c r="D150" t="s">
        <v>1051</v>
      </c>
      <c r="E150" t="s">
        <v>473</v>
      </c>
      <c r="F150" t="s">
        <v>1134</v>
      </c>
      <c r="G150" t="s">
        <v>1137</v>
      </c>
      <c r="H150" t="s">
        <v>974</v>
      </c>
      <c r="I150">
        <v>1111115</v>
      </c>
      <c r="J150">
        <v>1294204</v>
      </c>
      <c r="K150">
        <v>578695</v>
      </c>
      <c r="L150">
        <v>565543</v>
      </c>
      <c r="M150">
        <v>1689810</v>
      </c>
      <c r="N150">
        <v>1859747</v>
      </c>
      <c r="Q150">
        <v>1689810</v>
      </c>
      <c r="R150">
        <v>1859747</v>
      </c>
      <c r="S150">
        <v>-169937</v>
      </c>
    </row>
    <row r="151" spans="1:19">
      <c r="A151" t="s">
        <v>829</v>
      </c>
      <c r="B151" t="s">
        <v>1669</v>
      </c>
      <c r="C151" t="s">
        <v>1757</v>
      </c>
      <c r="D151" t="s">
        <v>1051</v>
      </c>
      <c r="E151" t="s">
        <v>473</v>
      </c>
      <c r="F151" t="s">
        <v>1134</v>
      </c>
      <c r="G151" t="s">
        <v>1137</v>
      </c>
      <c r="H151" t="s">
        <v>1275</v>
      </c>
      <c r="I151">
        <v>0</v>
      </c>
      <c r="J151">
        <v>0</v>
      </c>
      <c r="K151">
        <v>0</v>
      </c>
      <c r="L151">
        <v>0</v>
      </c>
      <c r="M151">
        <v>0</v>
      </c>
      <c r="N151">
        <v>0</v>
      </c>
      <c r="Q151">
        <v>0</v>
      </c>
      <c r="R151">
        <v>0</v>
      </c>
      <c r="S151">
        <v>0</v>
      </c>
    </row>
    <row r="152" spans="1:19">
      <c r="A152" t="s">
        <v>829</v>
      </c>
      <c r="B152" t="s">
        <v>1669</v>
      </c>
      <c r="C152" t="s">
        <v>1758</v>
      </c>
      <c r="D152" t="s">
        <v>1051</v>
      </c>
      <c r="E152" t="s">
        <v>473</v>
      </c>
      <c r="F152" t="s">
        <v>1134</v>
      </c>
      <c r="G152" t="s">
        <v>1137</v>
      </c>
      <c r="H152" t="s">
        <v>1723</v>
      </c>
      <c r="I152">
        <v>0</v>
      </c>
      <c r="J152">
        <v>0</v>
      </c>
      <c r="K152">
        <v>0</v>
      </c>
      <c r="L152">
        <v>0</v>
      </c>
      <c r="M152">
        <v>0</v>
      </c>
      <c r="N152">
        <v>0</v>
      </c>
      <c r="Q152">
        <v>0</v>
      </c>
      <c r="R152">
        <v>0</v>
      </c>
      <c r="S152">
        <v>0</v>
      </c>
    </row>
    <row r="153" spans="1:19">
      <c r="A153" t="s">
        <v>830</v>
      </c>
      <c r="B153" t="s">
        <v>1003</v>
      </c>
      <c r="C153" t="s">
        <v>247</v>
      </c>
      <c r="D153" t="s">
        <v>1051</v>
      </c>
      <c r="E153" t="s">
        <v>473</v>
      </c>
      <c r="F153" t="s">
        <v>1134</v>
      </c>
      <c r="G153" t="s">
        <v>1137</v>
      </c>
      <c r="H153" t="s">
        <v>974</v>
      </c>
      <c r="I153">
        <v>487691</v>
      </c>
      <c r="J153">
        <v>505179</v>
      </c>
      <c r="K153">
        <v>350787</v>
      </c>
      <c r="L153">
        <v>383779</v>
      </c>
      <c r="M153">
        <v>838478</v>
      </c>
      <c r="N153">
        <v>888958</v>
      </c>
      <c r="Q153">
        <v>838478</v>
      </c>
      <c r="R153">
        <v>888958</v>
      </c>
      <c r="S153">
        <v>-50480</v>
      </c>
    </row>
    <row r="154" spans="1:19">
      <c r="A154" t="s">
        <v>830</v>
      </c>
      <c r="B154" t="s">
        <v>1003</v>
      </c>
      <c r="C154" t="s">
        <v>1759</v>
      </c>
      <c r="D154" t="s">
        <v>1051</v>
      </c>
      <c r="E154" t="s">
        <v>473</v>
      </c>
      <c r="F154" t="s">
        <v>1134</v>
      </c>
      <c r="G154" t="s">
        <v>1137</v>
      </c>
      <c r="H154" t="s">
        <v>1723</v>
      </c>
      <c r="I154">
        <v>0</v>
      </c>
      <c r="J154">
        <v>0</v>
      </c>
      <c r="K154">
        <v>0</v>
      </c>
      <c r="L154">
        <v>859</v>
      </c>
      <c r="M154">
        <v>0</v>
      </c>
      <c r="N154">
        <v>859</v>
      </c>
      <c r="Q154">
        <v>0</v>
      </c>
      <c r="R154">
        <v>859</v>
      </c>
      <c r="S154">
        <v>-859</v>
      </c>
    </row>
    <row r="155" spans="1:19">
      <c r="A155" t="s">
        <v>831</v>
      </c>
      <c r="B155" t="s">
        <v>1670</v>
      </c>
      <c r="C155" t="s">
        <v>248</v>
      </c>
      <c r="D155" t="s">
        <v>1051</v>
      </c>
      <c r="E155" t="s">
        <v>473</v>
      </c>
      <c r="F155" t="s">
        <v>1134</v>
      </c>
      <c r="G155" t="s">
        <v>1137</v>
      </c>
      <c r="H155" t="s">
        <v>974</v>
      </c>
      <c r="I155">
        <v>0</v>
      </c>
      <c r="J155">
        <v>3106</v>
      </c>
      <c r="K155">
        <v>0</v>
      </c>
      <c r="L155">
        <v>0</v>
      </c>
      <c r="M155">
        <v>0</v>
      </c>
      <c r="N155">
        <v>3106</v>
      </c>
      <c r="Q155">
        <v>0</v>
      </c>
      <c r="R155">
        <v>3106</v>
      </c>
      <c r="S155">
        <v>-3106</v>
      </c>
    </row>
    <row r="156" spans="1:19">
      <c r="A156" t="s">
        <v>832</v>
      </c>
      <c r="B156" t="s">
        <v>1137</v>
      </c>
      <c r="C156" t="s">
        <v>249</v>
      </c>
      <c r="D156" t="s">
        <v>1051</v>
      </c>
      <c r="E156" t="s">
        <v>473</v>
      </c>
      <c r="F156" t="s">
        <v>1134</v>
      </c>
      <c r="G156" t="s">
        <v>1137</v>
      </c>
      <c r="H156" t="s">
        <v>974</v>
      </c>
      <c r="I156">
        <v>194400</v>
      </c>
      <c r="J156">
        <v>383288</v>
      </c>
      <c r="K156">
        <v>0</v>
      </c>
      <c r="L156">
        <v>0</v>
      </c>
      <c r="M156">
        <v>194400</v>
      </c>
      <c r="N156">
        <v>383288</v>
      </c>
      <c r="Q156">
        <v>194400</v>
      </c>
      <c r="R156">
        <v>383288</v>
      </c>
      <c r="S156">
        <v>-188888</v>
      </c>
    </row>
    <row r="157" spans="1:19">
      <c r="A157" t="s">
        <v>832</v>
      </c>
      <c r="B157" t="s">
        <v>1137</v>
      </c>
      <c r="C157" t="s">
        <v>250</v>
      </c>
      <c r="D157" t="s">
        <v>1051</v>
      </c>
      <c r="E157" t="s">
        <v>473</v>
      </c>
      <c r="F157" t="s">
        <v>1134</v>
      </c>
      <c r="G157" t="s">
        <v>1137</v>
      </c>
      <c r="H157" t="s">
        <v>1012</v>
      </c>
      <c r="I157">
        <v>0</v>
      </c>
      <c r="J157">
        <v>9710</v>
      </c>
      <c r="K157">
        <v>0</v>
      </c>
      <c r="L157">
        <v>0</v>
      </c>
      <c r="M157">
        <v>0</v>
      </c>
      <c r="N157">
        <v>9710</v>
      </c>
      <c r="Q157">
        <v>0</v>
      </c>
      <c r="R157">
        <v>9710</v>
      </c>
      <c r="S157">
        <v>-9710</v>
      </c>
    </row>
    <row r="158" spans="1:19">
      <c r="A158" t="s">
        <v>832</v>
      </c>
      <c r="B158" t="s">
        <v>1137</v>
      </c>
      <c r="C158" t="s">
        <v>1137</v>
      </c>
      <c r="D158" t="s">
        <v>1051</v>
      </c>
      <c r="E158" t="s">
        <v>473</v>
      </c>
      <c r="F158" t="s">
        <v>1134</v>
      </c>
      <c r="G158" t="s">
        <v>1137</v>
      </c>
      <c r="H158" t="s">
        <v>974</v>
      </c>
      <c r="I158">
        <v>207000</v>
      </c>
      <c r="J158">
        <v>329130</v>
      </c>
      <c r="K158">
        <v>0</v>
      </c>
      <c r="L158">
        <v>0</v>
      </c>
      <c r="M158">
        <v>207000</v>
      </c>
      <c r="N158">
        <v>329130</v>
      </c>
      <c r="Q158">
        <v>207000</v>
      </c>
      <c r="R158">
        <v>329130</v>
      </c>
      <c r="S158">
        <v>-122130</v>
      </c>
    </row>
    <row r="159" spans="1:19">
      <c r="A159" t="s">
        <v>833</v>
      </c>
      <c r="B159" t="s">
        <v>1671</v>
      </c>
      <c r="C159" t="s">
        <v>251</v>
      </c>
      <c r="D159" t="s">
        <v>1051</v>
      </c>
      <c r="E159" t="s">
        <v>473</v>
      </c>
      <c r="F159" t="s">
        <v>1134</v>
      </c>
      <c r="G159" t="s">
        <v>1137</v>
      </c>
      <c r="H159" t="s">
        <v>974</v>
      </c>
      <c r="I159">
        <v>0</v>
      </c>
      <c r="J159">
        <v>1940564</v>
      </c>
      <c r="K159">
        <v>0</v>
      </c>
      <c r="L159">
        <v>0</v>
      </c>
      <c r="M159">
        <v>0</v>
      </c>
      <c r="N159">
        <v>1940564</v>
      </c>
      <c r="Q159">
        <v>0</v>
      </c>
      <c r="R159">
        <v>1940564</v>
      </c>
      <c r="S159">
        <v>-1940564</v>
      </c>
    </row>
    <row r="160" spans="1:19">
      <c r="B160" t="s">
        <v>1283</v>
      </c>
      <c r="C160" t="s">
        <v>1283</v>
      </c>
      <c r="D160" t="s">
        <v>1051</v>
      </c>
      <c r="E160" t="s">
        <v>473</v>
      </c>
      <c r="F160" t="s">
        <v>1134</v>
      </c>
      <c r="G160" t="s">
        <v>1137</v>
      </c>
      <c r="H160" t="s">
        <v>1283</v>
      </c>
      <c r="J160">
        <v>1997055.26</v>
      </c>
      <c r="M160">
        <v>0</v>
      </c>
      <c r="N160">
        <v>1997055.26</v>
      </c>
      <c r="Q160">
        <v>0</v>
      </c>
      <c r="R160">
        <v>1997055.26</v>
      </c>
      <c r="S160">
        <v>-1997055.26</v>
      </c>
    </row>
    <row r="161" spans="1:19">
      <c r="A161" t="s">
        <v>809</v>
      </c>
      <c r="B161" t="s">
        <v>1139</v>
      </c>
      <c r="C161" t="s">
        <v>1140</v>
      </c>
      <c r="D161" t="s">
        <v>1051</v>
      </c>
      <c r="E161" t="s">
        <v>473</v>
      </c>
      <c r="F161" t="s">
        <v>1134</v>
      </c>
      <c r="G161" t="s">
        <v>1137</v>
      </c>
      <c r="H161" t="s">
        <v>974</v>
      </c>
      <c r="I161">
        <v>1740</v>
      </c>
      <c r="M161">
        <v>1740</v>
      </c>
      <c r="N161">
        <v>0</v>
      </c>
      <c r="Q161">
        <v>1740</v>
      </c>
      <c r="R161">
        <v>0</v>
      </c>
      <c r="S161">
        <v>1740</v>
      </c>
    </row>
    <row r="162" spans="1:19">
      <c r="A162" t="s">
        <v>815</v>
      </c>
      <c r="B162" t="s">
        <v>1146</v>
      </c>
      <c r="C162" t="s">
        <v>1146</v>
      </c>
      <c r="D162" t="s">
        <v>1051</v>
      </c>
      <c r="E162" t="s">
        <v>473</v>
      </c>
      <c r="F162" t="s">
        <v>1134</v>
      </c>
      <c r="G162" t="s">
        <v>1137</v>
      </c>
      <c r="H162" t="s">
        <v>1022</v>
      </c>
      <c r="I162">
        <v>70</v>
      </c>
      <c r="J162">
        <v>70</v>
      </c>
      <c r="M162">
        <v>70</v>
      </c>
      <c r="N162">
        <v>70</v>
      </c>
      <c r="Q162">
        <v>70</v>
      </c>
      <c r="R162">
        <v>70</v>
      </c>
      <c r="S162">
        <v>0</v>
      </c>
    </row>
    <row r="163" spans="1:19">
      <c r="A163" t="s">
        <v>831</v>
      </c>
      <c r="B163" t="s">
        <v>1150</v>
      </c>
      <c r="C163" t="s">
        <v>1150</v>
      </c>
      <c r="D163" t="s">
        <v>1051</v>
      </c>
      <c r="E163" t="s">
        <v>473</v>
      </c>
      <c r="F163" t="s">
        <v>1134</v>
      </c>
      <c r="G163" t="s">
        <v>1137</v>
      </c>
      <c r="H163" t="s">
        <v>974</v>
      </c>
      <c r="I163">
        <v>1724099</v>
      </c>
      <c r="J163">
        <v>1724099</v>
      </c>
      <c r="M163">
        <v>1724099</v>
      </c>
      <c r="N163">
        <v>1724099</v>
      </c>
      <c r="Q163">
        <v>1724099</v>
      </c>
      <c r="R163">
        <v>1724099</v>
      </c>
      <c r="S163">
        <v>0</v>
      </c>
    </row>
    <row r="164" spans="1:19">
      <c r="A164" t="s">
        <v>832</v>
      </c>
      <c r="B164" t="s">
        <v>1137</v>
      </c>
      <c r="C164" t="s">
        <v>1137</v>
      </c>
      <c r="D164" t="s">
        <v>1051</v>
      </c>
      <c r="E164" t="s">
        <v>473</v>
      </c>
      <c r="F164" t="s">
        <v>1134</v>
      </c>
      <c r="G164" t="s">
        <v>1137</v>
      </c>
      <c r="H164" t="s">
        <v>1022</v>
      </c>
      <c r="I164">
        <v>1724099</v>
      </c>
      <c r="J164">
        <v>0</v>
      </c>
      <c r="M164">
        <v>1724099</v>
      </c>
      <c r="N164">
        <v>0</v>
      </c>
      <c r="Q164">
        <v>1724099</v>
      </c>
      <c r="R164">
        <v>0</v>
      </c>
      <c r="S164">
        <v>1724099</v>
      </c>
    </row>
    <row r="165" spans="1:19">
      <c r="A165" t="s">
        <v>830</v>
      </c>
      <c r="B165" t="s">
        <v>1149</v>
      </c>
      <c r="C165" t="s">
        <v>1824</v>
      </c>
      <c r="D165" t="s">
        <v>1051</v>
      </c>
      <c r="E165" t="s">
        <v>473</v>
      </c>
      <c r="F165" t="s">
        <v>1134</v>
      </c>
      <c r="G165" t="s">
        <v>1137</v>
      </c>
      <c r="H165" t="s">
        <v>1275</v>
      </c>
      <c r="I165">
        <v>0</v>
      </c>
      <c r="J165">
        <v>0</v>
      </c>
      <c r="M165">
        <v>0</v>
      </c>
      <c r="N165">
        <v>0</v>
      </c>
      <c r="Q165">
        <v>0</v>
      </c>
      <c r="R165">
        <v>0</v>
      </c>
      <c r="S165">
        <v>0</v>
      </c>
    </row>
    <row r="166" spans="1:19">
      <c r="A166" t="s">
        <v>697</v>
      </c>
      <c r="B166" t="s">
        <v>1597</v>
      </c>
      <c r="C166" t="s">
        <v>27</v>
      </c>
      <c r="D166" t="s">
        <v>1051</v>
      </c>
      <c r="E166" t="s">
        <v>466</v>
      </c>
      <c r="F166" t="s">
        <v>1057</v>
      </c>
      <c r="G166" t="s">
        <v>1058</v>
      </c>
      <c r="H166" t="s">
        <v>1014</v>
      </c>
      <c r="I166">
        <v>7638</v>
      </c>
      <c r="J166">
        <v>0</v>
      </c>
      <c r="K166">
        <v>0</v>
      </c>
      <c r="L166">
        <v>0</v>
      </c>
      <c r="M166">
        <v>7638</v>
      </c>
      <c r="N166">
        <v>0</v>
      </c>
      <c r="Q166">
        <v>7638</v>
      </c>
      <c r="R166">
        <v>0</v>
      </c>
      <c r="S166">
        <v>7638</v>
      </c>
    </row>
    <row r="167" spans="1:19">
      <c r="A167" t="s">
        <v>697</v>
      </c>
      <c r="B167" t="s">
        <v>1597</v>
      </c>
      <c r="C167" t="s">
        <v>28</v>
      </c>
      <c r="D167" t="s">
        <v>1051</v>
      </c>
      <c r="E167" t="s">
        <v>466</v>
      </c>
      <c r="F167" t="s">
        <v>1057</v>
      </c>
      <c r="G167" t="s">
        <v>1058</v>
      </c>
      <c r="H167" t="s">
        <v>974</v>
      </c>
      <c r="I167">
        <v>32238</v>
      </c>
      <c r="J167">
        <v>0</v>
      </c>
      <c r="K167">
        <v>0</v>
      </c>
      <c r="L167">
        <v>0</v>
      </c>
      <c r="M167">
        <v>32238</v>
      </c>
      <c r="N167">
        <v>0</v>
      </c>
      <c r="Q167">
        <v>32238</v>
      </c>
      <c r="R167">
        <v>0</v>
      </c>
      <c r="S167">
        <v>32238</v>
      </c>
    </row>
    <row r="168" spans="1:19">
      <c r="A168" t="s">
        <v>700</v>
      </c>
      <c r="B168" t="s">
        <v>1598</v>
      </c>
      <c r="C168" t="s">
        <v>32</v>
      </c>
      <c r="D168" t="s">
        <v>1051</v>
      </c>
      <c r="E168" t="s">
        <v>466</v>
      </c>
      <c r="F168" t="s">
        <v>1057</v>
      </c>
      <c r="G168" t="s">
        <v>1058</v>
      </c>
      <c r="H168" t="s">
        <v>974</v>
      </c>
      <c r="I168">
        <v>8160</v>
      </c>
      <c r="J168">
        <v>0</v>
      </c>
      <c r="K168">
        <v>0</v>
      </c>
      <c r="L168">
        <v>0</v>
      </c>
      <c r="M168">
        <v>8160</v>
      </c>
      <c r="N168">
        <v>0</v>
      </c>
      <c r="Q168">
        <v>8160</v>
      </c>
      <c r="R168">
        <v>0</v>
      </c>
      <c r="S168">
        <v>8160</v>
      </c>
    </row>
    <row r="169" spans="1:19">
      <c r="A169" t="s">
        <v>701</v>
      </c>
      <c r="B169" t="s">
        <v>1599</v>
      </c>
      <c r="C169" t="s">
        <v>1730</v>
      </c>
      <c r="D169" t="s">
        <v>1051</v>
      </c>
      <c r="E169" t="s">
        <v>466</v>
      </c>
      <c r="F169" t="s">
        <v>1057</v>
      </c>
      <c r="G169" t="s">
        <v>1058</v>
      </c>
      <c r="H169" t="s">
        <v>1055</v>
      </c>
      <c r="I169">
        <v>0</v>
      </c>
      <c r="J169">
        <v>8065</v>
      </c>
      <c r="K169">
        <v>0</v>
      </c>
      <c r="L169">
        <v>0</v>
      </c>
      <c r="M169">
        <v>0</v>
      </c>
      <c r="N169">
        <v>8065</v>
      </c>
      <c r="Q169">
        <v>0</v>
      </c>
      <c r="R169">
        <v>8065</v>
      </c>
      <c r="S169">
        <v>-8065</v>
      </c>
    </row>
    <row r="170" spans="1:19">
      <c r="A170" t="s">
        <v>705</v>
      </c>
      <c r="B170" t="s">
        <v>1601</v>
      </c>
      <c r="C170" t="s">
        <v>40</v>
      </c>
      <c r="D170" t="s">
        <v>1051</v>
      </c>
      <c r="E170" t="s">
        <v>466</v>
      </c>
      <c r="F170" t="s">
        <v>1057</v>
      </c>
      <c r="G170" t="s">
        <v>1058</v>
      </c>
      <c r="H170" t="s">
        <v>1014</v>
      </c>
      <c r="I170">
        <v>12147.56</v>
      </c>
      <c r="J170">
        <v>0</v>
      </c>
      <c r="K170">
        <v>0</v>
      </c>
      <c r="L170">
        <v>0</v>
      </c>
      <c r="M170">
        <v>12147.56</v>
      </c>
      <c r="N170">
        <v>0</v>
      </c>
      <c r="Q170">
        <v>12147.56</v>
      </c>
      <c r="R170">
        <v>0</v>
      </c>
      <c r="S170">
        <v>12147.56</v>
      </c>
    </row>
    <row r="171" spans="1:19">
      <c r="A171" t="s">
        <v>705</v>
      </c>
      <c r="B171" t="s">
        <v>1601</v>
      </c>
      <c r="C171" t="s">
        <v>45</v>
      </c>
      <c r="D171" t="s">
        <v>1051</v>
      </c>
      <c r="E171" t="s">
        <v>466</v>
      </c>
      <c r="F171" t="s">
        <v>1057</v>
      </c>
      <c r="G171" t="s">
        <v>1058</v>
      </c>
      <c r="H171" t="s">
        <v>974</v>
      </c>
      <c r="I171">
        <v>434455.6</v>
      </c>
      <c r="J171">
        <v>0</v>
      </c>
      <c r="K171">
        <v>0</v>
      </c>
      <c r="L171">
        <v>0</v>
      </c>
      <c r="M171">
        <v>434455.6</v>
      </c>
      <c r="N171">
        <v>0</v>
      </c>
      <c r="Q171">
        <v>434455.6</v>
      </c>
      <c r="R171">
        <v>0</v>
      </c>
      <c r="S171">
        <v>434455.6</v>
      </c>
    </row>
    <row r="172" spans="1:19">
      <c r="A172" t="s">
        <v>705</v>
      </c>
      <c r="B172" t="s">
        <v>1601</v>
      </c>
      <c r="C172" t="s">
        <v>47</v>
      </c>
      <c r="D172" t="s">
        <v>1051</v>
      </c>
      <c r="E172" t="s">
        <v>466</v>
      </c>
      <c r="F172" t="s">
        <v>1057</v>
      </c>
      <c r="G172" t="s">
        <v>1058</v>
      </c>
      <c r="H172" t="s">
        <v>1011</v>
      </c>
      <c r="I172">
        <v>54597</v>
      </c>
      <c r="J172">
        <v>0</v>
      </c>
      <c r="K172">
        <v>0</v>
      </c>
      <c r="L172">
        <v>0</v>
      </c>
      <c r="M172">
        <v>54597</v>
      </c>
      <c r="N172">
        <v>0</v>
      </c>
      <c r="Q172">
        <v>54597</v>
      </c>
      <c r="R172">
        <v>0</v>
      </c>
      <c r="S172">
        <v>54597</v>
      </c>
    </row>
    <row r="173" spans="1:19">
      <c r="A173" t="s">
        <v>705</v>
      </c>
      <c r="B173" t="s">
        <v>1601</v>
      </c>
      <c r="C173" t="s">
        <v>1731</v>
      </c>
      <c r="D173" t="s">
        <v>1051</v>
      </c>
      <c r="E173" t="s">
        <v>466</v>
      </c>
      <c r="F173" t="s">
        <v>1057</v>
      </c>
      <c r="G173" t="s">
        <v>1058</v>
      </c>
      <c r="H173" t="s">
        <v>1055</v>
      </c>
      <c r="I173">
        <v>18270.469999999998</v>
      </c>
      <c r="J173">
        <v>0</v>
      </c>
      <c r="K173">
        <v>0</v>
      </c>
      <c r="L173">
        <v>0</v>
      </c>
      <c r="M173">
        <v>18270.469999999998</v>
      </c>
      <c r="N173">
        <v>0</v>
      </c>
      <c r="Q173">
        <v>18270.469999999998</v>
      </c>
      <c r="R173">
        <v>0</v>
      </c>
      <c r="S173">
        <v>18270.469999999998</v>
      </c>
    </row>
    <row r="174" spans="1:19">
      <c r="A174" t="s">
        <v>705</v>
      </c>
      <c r="B174" t="s">
        <v>1601</v>
      </c>
      <c r="C174" t="s">
        <v>48</v>
      </c>
      <c r="D174" t="s">
        <v>1051</v>
      </c>
      <c r="E174" t="s">
        <v>466</v>
      </c>
      <c r="F174" t="s">
        <v>1057</v>
      </c>
      <c r="G174" t="s">
        <v>1058</v>
      </c>
      <c r="H174" t="s">
        <v>1025</v>
      </c>
      <c r="I174">
        <v>5422.94</v>
      </c>
      <c r="J174">
        <v>0</v>
      </c>
      <c r="K174">
        <v>0</v>
      </c>
      <c r="L174">
        <v>0</v>
      </c>
      <c r="M174">
        <v>5422.94</v>
      </c>
      <c r="N174">
        <v>0</v>
      </c>
      <c r="Q174">
        <v>5422.94</v>
      </c>
      <c r="R174">
        <v>0</v>
      </c>
      <c r="S174">
        <v>5422.94</v>
      </c>
    </row>
    <row r="175" spans="1:19">
      <c r="A175" t="s">
        <v>705</v>
      </c>
      <c r="B175" t="s">
        <v>1601</v>
      </c>
      <c r="C175" t="s">
        <v>46</v>
      </c>
      <c r="D175" t="s">
        <v>1051</v>
      </c>
      <c r="E175" t="s">
        <v>466</v>
      </c>
      <c r="F175" t="s">
        <v>1057</v>
      </c>
      <c r="G175" t="s">
        <v>1058</v>
      </c>
      <c r="H175" t="s">
        <v>1024</v>
      </c>
      <c r="I175">
        <v>25.1</v>
      </c>
      <c r="J175">
        <v>0</v>
      </c>
      <c r="K175">
        <v>0</v>
      </c>
      <c r="L175">
        <v>0</v>
      </c>
      <c r="M175">
        <v>25.1</v>
      </c>
      <c r="N175">
        <v>0</v>
      </c>
      <c r="Q175">
        <v>25.1</v>
      </c>
      <c r="R175">
        <v>0</v>
      </c>
      <c r="S175">
        <v>25.1</v>
      </c>
    </row>
    <row r="176" spans="1:19">
      <c r="A176" t="s">
        <v>705</v>
      </c>
      <c r="B176" t="s">
        <v>1601</v>
      </c>
      <c r="C176" t="s">
        <v>44</v>
      </c>
      <c r="D176" t="s">
        <v>1051</v>
      </c>
      <c r="E176" t="s">
        <v>466</v>
      </c>
      <c r="F176" t="s">
        <v>1057</v>
      </c>
      <c r="G176" t="s">
        <v>1058</v>
      </c>
      <c r="H176" t="s">
        <v>1022</v>
      </c>
      <c r="I176">
        <v>21544.61</v>
      </c>
      <c r="J176">
        <v>0</v>
      </c>
      <c r="K176">
        <v>0</v>
      </c>
      <c r="L176">
        <v>0</v>
      </c>
      <c r="M176">
        <v>21544.61</v>
      </c>
      <c r="N176">
        <v>0</v>
      </c>
      <c r="Q176">
        <v>21544.61</v>
      </c>
      <c r="R176">
        <v>0</v>
      </c>
      <c r="S176">
        <v>21544.61</v>
      </c>
    </row>
    <row r="177" spans="1:19">
      <c r="A177" t="s">
        <v>705</v>
      </c>
      <c r="B177" t="s">
        <v>1601</v>
      </c>
      <c r="C177" t="s">
        <v>41</v>
      </c>
      <c r="D177" t="s">
        <v>1051</v>
      </c>
      <c r="E177" t="s">
        <v>466</v>
      </c>
      <c r="F177" t="s">
        <v>1057</v>
      </c>
      <c r="G177" t="s">
        <v>1058</v>
      </c>
      <c r="H177" t="s">
        <v>1019</v>
      </c>
      <c r="I177">
        <v>15526.27</v>
      </c>
      <c r="J177">
        <v>0</v>
      </c>
      <c r="K177">
        <v>0</v>
      </c>
      <c r="L177">
        <v>0</v>
      </c>
      <c r="M177">
        <v>15526.27</v>
      </c>
      <c r="N177">
        <v>0</v>
      </c>
      <c r="Q177">
        <v>15526.27</v>
      </c>
      <c r="R177">
        <v>0</v>
      </c>
      <c r="S177">
        <v>15526.27</v>
      </c>
    </row>
    <row r="178" spans="1:19">
      <c r="A178" t="s">
        <v>705</v>
      </c>
      <c r="B178" t="s">
        <v>1601</v>
      </c>
      <c r="C178" t="s">
        <v>43</v>
      </c>
      <c r="D178" t="s">
        <v>1051</v>
      </c>
      <c r="E178" t="s">
        <v>466</v>
      </c>
      <c r="F178" t="s">
        <v>1057</v>
      </c>
      <c r="G178" t="s">
        <v>1058</v>
      </c>
      <c r="H178" t="s">
        <v>1026</v>
      </c>
      <c r="I178">
        <v>15961.81</v>
      </c>
      <c r="J178">
        <v>0</v>
      </c>
      <c r="K178">
        <v>0</v>
      </c>
      <c r="L178">
        <v>0</v>
      </c>
      <c r="M178">
        <v>15961.81</v>
      </c>
      <c r="N178">
        <v>0</v>
      </c>
      <c r="Q178">
        <v>15961.81</v>
      </c>
      <c r="R178">
        <v>0</v>
      </c>
      <c r="S178">
        <v>15961.81</v>
      </c>
    </row>
    <row r="179" spans="1:19">
      <c r="A179" t="s">
        <v>705</v>
      </c>
      <c r="B179" t="s">
        <v>1601</v>
      </c>
      <c r="C179" t="s">
        <v>42</v>
      </c>
      <c r="D179" t="s">
        <v>1051</v>
      </c>
      <c r="E179" t="s">
        <v>466</v>
      </c>
      <c r="F179" t="s">
        <v>1057</v>
      </c>
      <c r="G179" t="s">
        <v>1058</v>
      </c>
      <c r="H179" t="s">
        <v>1027</v>
      </c>
      <c r="I179">
        <v>2595.3200000000002</v>
      </c>
      <c r="J179">
        <v>0</v>
      </c>
      <c r="K179">
        <v>0</v>
      </c>
      <c r="L179">
        <v>0</v>
      </c>
      <c r="M179">
        <v>2595.3200000000002</v>
      </c>
      <c r="N179">
        <v>0</v>
      </c>
      <c r="Q179">
        <v>2595.3200000000002</v>
      </c>
      <c r="R179">
        <v>0</v>
      </c>
      <c r="S179">
        <v>2595.3200000000002</v>
      </c>
    </row>
    <row r="180" spans="1:19">
      <c r="A180" t="s">
        <v>705</v>
      </c>
      <c r="B180" t="s">
        <v>1601</v>
      </c>
      <c r="C180" t="s">
        <v>39</v>
      </c>
      <c r="D180" t="s">
        <v>1051</v>
      </c>
      <c r="E180" t="s">
        <v>466</v>
      </c>
      <c r="F180" t="s">
        <v>1057</v>
      </c>
      <c r="G180" t="s">
        <v>1058</v>
      </c>
      <c r="H180" t="s">
        <v>992</v>
      </c>
      <c r="I180">
        <v>4.55</v>
      </c>
      <c r="J180">
        <v>0</v>
      </c>
      <c r="K180">
        <v>0</v>
      </c>
      <c r="L180">
        <v>0</v>
      </c>
      <c r="M180">
        <v>4.55</v>
      </c>
      <c r="N180">
        <v>0</v>
      </c>
      <c r="Q180">
        <v>4.55</v>
      </c>
      <c r="R180">
        <v>0</v>
      </c>
      <c r="S180">
        <v>4.55</v>
      </c>
    </row>
    <row r="181" spans="1:19">
      <c r="A181" t="s">
        <v>712</v>
      </c>
      <c r="B181" t="s">
        <v>1604</v>
      </c>
      <c r="C181" t="s">
        <v>70</v>
      </c>
      <c r="D181" t="s">
        <v>1051</v>
      </c>
      <c r="E181" t="s">
        <v>466</v>
      </c>
      <c r="F181" t="s">
        <v>1057</v>
      </c>
      <c r="G181" t="s">
        <v>1058</v>
      </c>
      <c r="H181" t="s">
        <v>974</v>
      </c>
      <c r="I181">
        <v>1400</v>
      </c>
      <c r="J181">
        <v>0</v>
      </c>
      <c r="K181">
        <v>0</v>
      </c>
      <c r="L181">
        <v>0</v>
      </c>
      <c r="M181">
        <v>1400</v>
      </c>
      <c r="N181">
        <v>0</v>
      </c>
      <c r="Q181">
        <v>1400</v>
      </c>
      <c r="R181">
        <v>0</v>
      </c>
      <c r="S181">
        <v>1400</v>
      </c>
    </row>
    <row r="182" spans="1:19">
      <c r="A182" t="s">
        <v>716</v>
      </c>
      <c r="B182" t="s">
        <v>1605</v>
      </c>
      <c r="C182" t="s">
        <v>75</v>
      </c>
      <c r="D182" t="s">
        <v>1051</v>
      </c>
      <c r="E182" t="s">
        <v>466</v>
      </c>
      <c r="F182" t="s">
        <v>1057</v>
      </c>
      <c r="G182" t="s">
        <v>1058</v>
      </c>
      <c r="H182" t="s">
        <v>974</v>
      </c>
      <c r="I182">
        <v>372335</v>
      </c>
      <c r="J182">
        <v>340773</v>
      </c>
      <c r="K182">
        <v>0</v>
      </c>
      <c r="L182">
        <v>0</v>
      </c>
      <c r="M182">
        <v>372335</v>
      </c>
      <c r="N182">
        <v>340773</v>
      </c>
      <c r="Q182">
        <v>372335</v>
      </c>
      <c r="R182">
        <v>340773</v>
      </c>
      <c r="S182">
        <v>31562</v>
      </c>
    </row>
    <row r="183" spans="1:19">
      <c r="A183" t="s">
        <v>717</v>
      </c>
      <c r="B183" t="s">
        <v>1606</v>
      </c>
      <c r="C183" t="s">
        <v>397</v>
      </c>
      <c r="D183" t="s">
        <v>1051</v>
      </c>
      <c r="E183" t="s">
        <v>466</v>
      </c>
      <c r="F183" t="s">
        <v>1057</v>
      </c>
      <c r="G183" t="s">
        <v>1058</v>
      </c>
      <c r="H183" t="s">
        <v>1019</v>
      </c>
      <c r="I183">
        <v>17670</v>
      </c>
      <c r="J183">
        <v>0</v>
      </c>
      <c r="K183">
        <v>0</v>
      </c>
      <c r="L183">
        <v>0</v>
      </c>
      <c r="M183">
        <v>17670</v>
      </c>
      <c r="N183">
        <v>0</v>
      </c>
      <c r="Q183">
        <v>17670</v>
      </c>
      <c r="R183">
        <v>0</v>
      </c>
      <c r="S183">
        <v>17670</v>
      </c>
    </row>
    <row r="184" spans="1:19">
      <c r="A184" t="s">
        <v>719</v>
      </c>
      <c r="B184" t="s">
        <v>1607</v>
      </c>
      <c r="C184" t="s">
        <v>77</v>
      </c>
      <c r="D184" t="s">
        <v>1051</v>
      </c>
      <c r="E184" t="s">
        <v>466</v>
      </c>
      <c r="F184" t="s">
        <v>1057</v>
      </c>
      <c r="G184" t="s">
        <v>1058</v>
      </c>
      <c r="H184" t="s">
        <v>974</v>
      </c>
      <c r="I184">
        <v>95</v>
      </c>
      <c r="J184">
        <v>0</v>
      </c>
      <c r="K184">
        <v>0</v>
      </c>
      <c r="L184">
        <v>0</v>
      </c>
      <c r="M184">
        <v>95</v>
      </c>
      <c r="N184">
        <v>0</v>
      </c>
      <c r="Q184">
        <v>95</v>
      </c>
      <c r="R184">
        <v>0</v>
      </c>
      <c r="S184">
        <v>95</v>
      </c>
    </row>
    <row r="185" spans="1:19">
      <c r="A185" t="s">
        <v>719</v>
      </c>
      <c r="B185" t="s">
        <v>1607</v>
      </c>
      <c r="C185" t="s">
        <v>78</v>
      </c>
      <c r="D185" t="s">
        <v>1051</v>
      </c>
      <c r="E185" t="s">
        <v>466</v>
      </c>
      <c r="F185" t="s">
        <v>1057</v>
      </c>
      <c r="G185" t="s">
        <v>1058</v>
      </c>
      <c r="H185" t="s">
        <v>1021</v>
      </c>
      <c r="I185">
        <v>50</v>
      </c>
      <c r="J185">
        <v>0</v>
      </c>
      <c r="K185">
        <v>0</v>
      </c>
      <c r="L185">
        <v>0</v>
      </c>
      <c r="M185">
        <v>50</v>
      </c>
      <c r="N185">
        <v>0</v>
      </c>
      <c r="Q185">
        <v>50</v>
      </c>
      <c r="R185">
        <v>0</v>
      </c>
      <c r="S185">
        <v>50</v>
      </c>
    </row>
    <row r="186" spans="1:19">
      <c r="A186" t="s">
        <v>723</v>
      </c>
      <c r="B186" t="s">
        <v>1608</v>
      </c>
      <c r="C186" t="s">
        <v>82</v>
      </c>
      <c r="D186" t="s">
        <v>1051</v>
      </c>
      <c r="E186" t="s">
        <v>466</v>
      </c>
      <c r="F186" t="s">
        <v>1057</v>
      </c>
      <c r="G186" t="s">
        <v>1058</v>
      </c>
      <c r="H186" t="s">
        <v>1013</v>
      </c>
      <c r="I186">
        <v>50</v>
      </c>
      <c r="J186">
        <v>0</v>
      </c>
      <c r="K186">
        <v>0</v>
      </c>
      <c r="L186">
        <v>0</v>
      </c>
      <c r="M186">
        <v>50</v>
      </c>
      <c r="N186">
        <v>0</v>
      </c>
      <c r="Q186">
        <v>50</v>
      </c>
      <c r="R186">
        <v>0</v>
      </c>
      <c r="S186">
        <v>50</v>
      </c>
    </row>
    <row r="187" spans="1:19">
      <c r="A187" t="s">
        <v>724</v>
      </c>
      <c r="B187" t="s">
        <v>1609</v>
      </c>
      <c r="C187" t="s">
        <v>84</v>
      </c>
      <c r="D187" t="s">
        <v>1051</v>
      </c>
      <c r="E187" t="s">
        <v>466</v>
      </c>
      <c r="F187" t="s">
        <v>1057</v>
      </c>
      <c r="G187" t="s">
        <v>1058</v>
      </c>
      <c r="H187" t="s">
        <v>1013</v>
      </c>
      <c r="I187">
        <v>50</v>
      </c>
      <c r="J187">
        <v>0</v>
      </c>
      <c r="K187">
        <v>0</v>
      </c>
      <c r="L187">
        <v>0</v>
      </c>
      <c r="M187">
        <v>50</v>
      </c>
      <c r="N187">
        <v>0</v>
      </c>
      <c r="Q187">
        <v>50</v>
      </c>
      <c r="R187">
        <v>0</v>
      </c>
      <c r="S187">
        <v>50</v>
      </c>
    </row>
    <row r="188" spans="1:19">
      <c r="A188" t="s">
        <v>724</v>
      </c>
      <c r="B188" t="s">
        <v>1609</v>
      </c>
      <c r="C188" t="s">
        <v>83</v>
      </c>
      <c r="D188" t="s">
        <v>1051</v>
      </c>
      <c r="E188" t="s">
        <v>466</v>
      </c>
      <c r="F188" t="s">
        <v>1057</v>
      </c>
      <c r="G188" t="s">
        <v>1058</v>
      </c>
      <c r="H188" t="s">
        <v>974</v>
      </c>
      <c r="I188">
        <v>129540</v>
      </c>
      <c r="J188">
        <v>0</v>
      </c>
      <c r="K188">
        <v>0</v>
      </c>
      <c r="L188">
        <v>0</v>
      </c>
      <c r="M188">
        <v>129540</v>
      </c>
      <c r="N188">
        <v>0</v>
      </c>
      <c r="Q188">
        <v>129540</v>
      </c>
      <c r="R188">
        <v>0</v>
      </c>
      <c r="S188">
        <v>129540</v>
      </c>
    </row>
    <row r="189" spans="1:19">
      <c r="A189" t="s">
        <v>726</v>
      </c>
      <c r="B189" t="s">
        <v>1610</v>
      </c>
      <c r="C189" t="s">
        <v>86</v>
      </c>
      <c r="D189" t="s">
        <v>1051</v>
      </c>
      <c r="E189" t="s">
        <v>466</v>
      </c>
      <c r="F189" t="s">
        <v>1057</v>
      </c>
      <c r="G189" t="s">
        <v>1058</v>
      </c>
      <c r="H189" t="s">
        <v>1014</v>
      </c>
      <c r="I189">
        <v>11780</v>
      </c>
      <c r="J189">
        <v>0</v>
      </c>
      <c r="K189">
        <v>0</v>
      </c>
      <c r="L189">
        <v>0</v>
      </c>
      <c r="M189">
        <v>11780</v>
      </c>
      <c r="N189">
        <v>0</v>
      </c>
      <c r="Q189">
        <v>11780</v>
      </c>
      <c r="R189">
        <v>0</v>
      </c>
      <c r="S189">
        <v>11780</v>
      </c>
    </row>
    <row r="190" spans="1:19">
      <c r="A190" t="s">
        <v>726</v>
      </c>
      <c r="B190" t="s">
        <v>1610</v>
      </c>
      <c r="C190" t="s">
        <v>87</v>
      </c>
      <c r="D190" t="s">
        <v>1051</v>
      </c>
      <c r="E190" t="s">
        <v>466</v>
      </c>
      <c r="F190" t="s">
        <v>1057</v>
      </c>
      <c r="G190" t="s">
        <v>1058</v>
      </c>
      <c r="H190" t="s">
        <v>974</v>
      </c>
      <c r="I190">
        <v>38713</v>
      </c>
      <c r="J190">
        <v>0</v>
      </c>
      <c r="K190">
        <v>0</v>
      </c>
      <c r="L190">
        <v>0</v>
      </c>
      <c r="M190">
        <v>38713</v>
      </c>
      <c r="N190">
        <v>0</v>
      </c>
      <c r="Q190">
        <v>38713</v>
      </c>
      <c r="R190">
        <v>0</v>
      </c>
      <c r="S190">
        <v>38713</v>
      </c>
    </row>
    <row r="191" spans="1:19">
      <c r="A191" t="s">
        <v>728</v>
      </c>
      <c r="B191" t="s">
        <v>1611</v>
      </c>
      <c r="C191" t="s">
        <v>91</v>
      </c>
      <c r="D191" t="s">
        <v>1051</v>
      </c>
      <c r="E191" t="s">
        <v>466</v>
      </c>
      <c r="F191" t="s">
        <v>1057</v>
      </c>
      <c r="G191" t="s">
        <v>1058</v>
      </c>
      <c r="H191" t="s">
        <v>1013</v>
      </c>
      <c r="I191">
        <v>50</v>
      </c>
      <c r="J191">
        <v>0</v>
      </c>
      <c r="K191">
        <v>0</v>
      </c>
      <c r="L191">
        <v>0</v>
      </c>
      <c r="M191">
        <v>50</v>
      </c>
      <c r="N191">
        <v>0</v>
      </c>
      <c r="Q191">
        <v>50</v>
      </c>
      <c r="R191">
        <v>0</v>
      </c>
      <c r="S191">
        <v>50</v>
      </c>
    </row>
    <row r="192" spans="1:19">
      <c r="A192" t="s">
        <v>728</v>
      </c>
      <c r="B192" t="s">
        <v>1611</v>
      </c>
      <c r="C192" t="s">
        <v>90</v>
      </c>
      <c r="D192" t="s">
        <v>1051</v>
      </c>
      <c r="E192" t="s">
        <v>466</v>
      </c>
      <c r="F192" t="s">
        <v>1057</v>
      </c>
      <c r="G192" t="s">
        <v>1058</v>
      </c>
      <c r="H192" t="s">
        <v>1019</v>
      </c>
      <c r="I192">
        <v>90</v>
      </c>
      <c r="J192">
        <v>0</v>
      </c>
      <c r="K192">
        <v>0</v>
      </c>
      <c r="L192">
        <v>0</v>
      </c>
      <c r="M192">
        <v>90</v>
      </c>
      <c r="N192">
        <v>0</v>
      </c>
      <c r="Q192">
        <v>90</v>
      </c>
      <c r="R192">
        <v>0</v>
      </c>
      <c r="S192">
        <v>90</v>
      </c>
    </row>
    <row r="193" spans="1:19">
      <c r="A193" t="s">
        <v>729</v>
      </c>
      <c r="B193" t="s">
        <v>1612</v>
      </c>
      <c r="C193" t="s">
        <v>92</v>
      </c>
      <c r="D193" t="s">
        <v>1051</v>
      </c>
      <c r="E193" t="s">
        <v>466</v>
      </c>
      <c r="F193" t="s">
        <v>1057</v>
      </c>
      <c r="G193" t="s">
        <v>1058</v>
      </c>
      <c r="H193" t="s">
        <v>1014</v>
      </c>
      <c r="I193">
        <v>80</v>
      </c>
      <c r="J193">
        <v>0</v>
      </c>
      <c r="K193">
        <v>0</v>
      </c>
      <c r="L193">
        <v>0</v>
      </c>
      <c r="M193">
        <v>80</v>
      </c>
      <c r="N193">
        <v>0</v>
      </c>
      <c r="Q193">
        <v>80</v>
      </c>
      <c r="R193">
        <v>0</v>
      </c>
      <c r="S193">
        <v>80</v>
      </c>
    </row>
    <row r="194" spans="1:19">
      <c r="A194" t="s">
        <v>729</v>
      </c>
      <c r="B194" t="s">
        <v>1612</v>
      </c>
      <c r="C194" t="s">
        <v>94</v>
      </c>
      <c r="D194" t="s">
        <v>1051</v>
      </c>
      <c r="E194" t="s">
        <v>466</v>
      </c>
      <c r="F194" t="s">
        <v>1057</v>
      </c>
      <c r="G194" t="s">
        <v>1058</v>
      </c>
      <c r="H194" t="s">
        <v>974</v>
      </c>
      <c r="I194">
        <v>5591</v>
      </c>
      <c r="J194">
        <v>0</v>
      </c>
      <c r="K194">
        <v>0</v>
      </c>
      <c r="L194">
        <v>0</v>
      </c>
      <c r="M194">
        <v>5591</v>
      </c>
      <c r="N194">
        <v>0</v>
      </c>
      <c r="Q194">
        <v>5591</v>
      </c>
      <c r="R194">
        <v>0</v>
      </c>
      <c r="S194">
        <v>5591</v>
      </c>
    </row>
    <row r="195" spans="1:19">
      <c r="A195" t="s">
        <v>729</v>
      </c>
      <c r="B195" t="s">
        <v>1612</v>
      </c>
      <c r="C195" t="s">
        <v>1733</v>
      </c>
      <c r="D195" t="s">
        <v>1051</v>
      </c>
      <c r="E195" t="s">
        <v>466</v>
      </c>
      <c r="F195" t="s">
        <v>1057</v>
      </c>
      <c r="G195" t="s">
        <v>1058</v>
      </c>
      <c r="H195" t="s">
        <v>1055</v>
      </c>
      <c r="I195">
        <v>22</v>
      </c>
      <c r="J195">
        <v>0</v>
      </c>
      <c r="K195">
        <v>0</v>
      </c>
      <c r="L195">
        <v>0</v>
      </c>
      <c r="M195">
        <v>22</v>
      </c>
      <c r="N195">
        <v>0</v>
      </c>
      <c r="Q195">
        <v>22</v>
      </c>
      <c r="R195">
        <v>0</v>
      </c>
      <c r="S195">
        <v>22</v>
      </c>
    </row>
    <row r="196" spans="1:19">
      <c r="A196" t="s">
        <v>729</v>
      </c>
      <c r="B196" t="s">
        <v>1612</v>
      </c>
      <c r="C196" t="s">
        <v>95</v>
      </c>
      <c r="D196" t="s">
        <v>1051</v>
      </c>
      <c r="E196" t="s">
        <v>466</v>
      </c>
      <c r="F196" t="s">
        <v>1057</v>
      </c>
      <c r="G196" t="s">
        <v>1058</v>
      </c>
      <c r="H196" t="s">
        <v>1021</v>
      </c>
      <c r="I196">
        <v>0</v>
      </c>
      <c r="J196">
        <v>240</v>
      </c>
      <c r="K196">
        <v>0</v>
      </c>
      <c r="L196">
        <v>0</v>
      </c>
      <c r="M196">
        <v>0</v>
      </c>
      <c r="N196">
        <v>240</v>
      </c>
      <c r="Q196">
        <v>0</v>
      </c>
      <c r="R196">
        <v>240</v>
      </c>
      <c r="S196">
        <v>-240</v>
      </c>
    </row>
    <row r="197" spans="1:19">
      <c r="A197" t="s">
        <v>729</v>
      </c>
      <c r="B197" t="s">
        <v>1612</v>
      </c>
      <c r="C197" t="s">
        <v>93</v>
      </c>
      <c r="D197" t="s">
        <v>1051</v>
      </c>
      <c r="E197" t="s">
        <v>466</v>
      </c>
      <c r="F197" t="s">
        <v>1057</v>
      </c>
      <c r="G197" t="s">
        <v>1058</v>
      </c>
      <c r="H197" t="s">
        <v>1027</v>
      </c>
      <c r="I197">
        <v>80</v>
      </c>
      <c r="J197">
        <v>0</v>
      </c>
      <c r="K197">
        <v>0</v>
      </c>
      <c r="L197">
        <v>0</v>
      </c>
      <c r="M197">
        <v>80</v>
      </c>
      <c r="N197">
        <v>0</v>
      </c>
      <c r="Q197">
        <v>80</v>
      </c>
      <c r="R197">
        <v>0</v>
      </c>
      <c r="S197">
        <v>80</v>
      </c>
    </row>
    <row r="198" spans="1:19">
      <c r="A198" t="s">
        <v>731</v>
      </c>
      <c r="B198" t="s">
        <v>1613</v>
      </c>
      <c r="C198" t="s">
        <v>100</v>
      </c>
      <c r="D198" t="s">
        <v>1051</v>
      </c>
      <c r="E198" t="s">
        <v>466</v>
      </c>
      <c r="F198" t="s">
        <v>1057</v>
      </c>
      <c r="G198" t="s">
        <v>1058</v>
      </c>
      <c r="H198" t="s">
        <v>1012</v>
      </c>
      <c r="I198">
        <v>50</v>
      </c>
      <c r="J198">
        <v>0</v>
      </c>
      <c r="K198">
        <v>0</v>
      </c>
      <c r="L198">
        <v>0</v>
      </c>
      <c r="M198">
        <v>50</v>
      </c>
      <c r="N198">
        <v>0</v>
      </c>
      <c r="Q198">
        <v>50</v>
      </c>
      <c r="R198">
        <v>0</v>
      </c>
      <c r="S198">
        <v>50</v>
      </c>
    </row>
    <row r="199" spans="1:19">
      <c r="A199" t="s">
        <v>732</v>
      </c>
      <c r="B199" t="s">
        <v>1614</v>
      </c>
      <c r="C199" t="s">
        <v>101</v>
      </c>
      <c r="D199" t="s">
        <v>1051</v>
      </c>
      <c r="E199" t="s">
        <v>466</v>
      </c>
      <c r="F199" t="s">
        <v>1057</v>
      </c>
      <c r="G199" t="s">
        <v>1058</v>
      </c>
      <c r="H199" t="s">
        <v>1012</v>
      </c>
      <c r="I199">
        <v>50</v>
      </c>
      <c r="J199">
        <v>0</v>
      </c>
      <c r="K199">
        <v>0</v>
      </c>
      <c r="L199">
        <v>0</v>
      </c>
      <c r="M199">
        <v>50</v>
      </c>
      <c r="N199">
        <v>0</v>
      </c>
      <c r="Q199">
        <v>50</v>
      </c>
      <c r="R199">
        <v>0</v>
      </c>
      <c r="S199">
        <v>50</v>
      </c>
    </row>
    <row r="200" spans="1:19">
      <c r="A200" t="s">
        <v>734</v>
      </c>
      <c r="B200" t="s">
        <v>1615</v>
      </c>
      <c r="C200" t="s">
        <v>104</v>
      </c>
      <c r="D200" t="s">
        <v>1051</v>
      </c>
      <c r="E200" t="s">
        <v>466</v>
      </c>
      <c r="F200" t="s">
        <v>1057</v>
      </c>
      <c r="G200" t="s">
        <v>1058</v>
      </c>
      <c r="H200" t="s">
        <v>1013</v>
      </c>
      <c r="I200">
        <v>50</v>
      </c>
      <c r="J200">
        <v>0</v>
      </c>
      <c r="K200">
        <v>0</v>
      </c>
      <c r="L200">
        <v>0</v>
      </c>
      <c r="M200">
        <v>50</v>
      </c>
      <c r="N200">
        <v>0</v>
      </c>
      <c r="Q200">
        <v>50</v>
      </c>
      <c r="R200">
        <v>0</v>
      </c>
      <c r="S200">
        <v>50</v>
      </c>
    </row>
    <row r="201" spans="1:19">
      <c r="A201" t="s">
        <v>735</v>
      </c>
      <c r="B201" t="s">
        <v>1616</v>
      </c>
      <c r="C201" t="s">
        <v>105</v>
      </c>
      <c r="D201" t="s">
        <v>1051</v>
      </c>
      <c r="E201" t="s">
        <v>466</v>
      </c>
      <c r="F201" t="s">
        <v>1057</v>
      </c>
      <c r="G201" t="s">
        <v>1058</v>
      </c>
      <c r="H201" t="s">
        <v>1013</v>
      </c>
      <c r="I201">
        <v>50</v>
      </c>
      <c r="J201">
        <v>0</v>
      </c>
      <c r="K201">
        <v>0</v>
      </c>
      <c r="L201">
        <v>0</v>
      </c>
      <c r="M201">
        <v>50</v>
      </c>
      <c r="N201">
        <v>0</v>
      </c>
      <c r="Q201">
        <v>50</v>
      </c>
      <c r="R201">
        <v>0</v>
      </c>
      <c r="S201">
        <v>50</v>
      </c>
    </row>
    <row r="202" spans="1:19">
      <c r="A202" t="s">
        <v>736</v>
      </c>
      <c r="B202" t="s">
        <v>1617</v>
      </c>
      <c r="C202" t="s">
        <v>106</v>
      </c>
      <c r="D202" t="s">
        <v>1051</v>
      </c>
      <c r="E202" t="s">
        <v>466</v>
      </c>
      <c r="F202" t="s">
        <v>1057</v>
      </c>
      <c r="G202" t="s">
        <v>1058</v>
      </c>
      <c r="H202" t="s">
        <v>1013</v>
      </c>
      <c r="I202">
        <v>50</v>
      </c>
      <c r="J202">
        <v>0</v>
      </c>
      <c r="K202">
        <v>0</v>
      </c>
      <c r="L202">
        <v>0</v>
      </c>
      <c r="M202">
        <v>50</v>
      </c>
      <c r="N202">
        <v>0</v>
      </c>
      <c r="Q202">
        <v>50</v>
      </c>
      <c r="R202">
        <v>0</v>
      </c>
      <c r="S202">
        <v>50</v>
      </c>
    </row>
    <row r="203" spans="1:19">
      <c r="A203" t="s">
        <v>737</v>
      </c>
      <c r="B203" t="s">
        <v>1618</v>
      </c>
      <c r="C203" t="s">
        <v>107</v>
      </c>
      <c r="D203" t="s">
        <v>1051</v>
      </c>
      <c r="E203" t="s">
        <v>466</v>
      </c>
      <c r="F203" t="s">
        <v>1057</v>
      </c>
      <c r="G203" t="s">
        <v>1058</v>
      </c>
      <c r="H203" t="s">
        <v>1014</v>
      </c>
      <c r="I203">
        <v>0</v>
      </c>
      <c r="J203">
        <v>240</v>
      </c>
      <c r="K203">
        <v>0</v>
      </c>
      <c r="L203">
        <v>0</v>
      </c>
      <c r="M203">
        <v>0</v>
      </c>
      <c r="N203">
        <v>240</v>
      </c>
      <c r="Q203">
        <v>0</v>
      </c>
      <c r="R203">
        <v>240</v>
      </c>
      <c r="S203">
        <v>-240</v>
      </c>
    </row>
    <row r="204" spans="1:19">
      <c r="A204" t="s">
        <v>737</v>
      </c>
      <c r="B204" t="s">
        <v>1618</v>
      </c>
      <c r="C204" t="s">
        <v>108</v>
      </c>
      <c r="D204" t="s">
        <v>1051</v>
      </c>
      <c r="E204" t="s">
        <v>466</v>
      </c>
      <c r="F204" t="s">
        <v>1057</v>
      </c>
      <c r="G204" t="s">
        <v>1058</v>
      </c>
      <c r="H204" t="s">
        <v>974</v>
      </c>
      <c r="I204">
        <v>84</v>
      </c>
      <c r="J204">
        <v>0</v>
      </c>
      <c r="K204">
        <v>10247</v>
      </c>
      <c r="L204">
        <v>10247</v>
      </c>
      <c r="M204">
        <v>10331</v>
      </c>
      <c r="N204">
        <v>10247</v>
      </c>
      <c r="P204">
        <v>10247</v>
      </c>
      <c r="Q204">
        <v>10331</v>
      </c>
      <c r="R204">
        <v>20494</v>
      </c>
      <c r="S204">
        <v>-10163</v>
      </c>
    </row>
    <row r="205" spans="1:19">
      <c r="A205" t="s">
        <v>737</v>
      </c>
      <c r="B205" t="s">
        <v>1618</v>
      </c>
      <c r="C205" t="s">
        <v>109</v>
      </c>
      <c r="D205" t="s">
        <v>1051</v>
      </c>
      <c r="E205" t="s">
        <v>466</v>
      </c>
      <c r="F205" t="s">
        <v>1057</v>
      </c>
      <c r="G205" t="s">
        <v>1058</v>
      </c>
      <c r="H205" t="s">
        <v>1021</v>
      </c>
      <c r="I205">
        <v>50</v>
      </c>
      <c r="J205">
        <v>0</v>
      </c>
      <c r="K205">
        <v>0</v>
      </c>
      <c r="L205">
        <v>0</v>
      </c>
      <c r="M205">
        <v>50</v>
      </c>
      <c r="N205">
        <v>0</v>
      </c>
      <c r="Q205">
        <v>50</v>
      </c>
      <c r="R205">
        <v>0</v>
      </c>
      <c r="S205">
        <v>50</v>
      </c>
    </row>
    <row r="206" spans="1:19">
      <c r="A206" t="s">
        <v>737</v>
      </c>
      <c r="B206" t="s">
        <v>1618</v>
      </c>
      <c r="C206" t="s">
        <v>1734</v>
      </c>
      <c r="D206" t="s">
        <v>1051</v>
      </c>
      <c r="E206" t="s">
        <v>466</v>
      </c>
      <c r="F206" t="s">
        <v>1057</v>
      </c>
      <c r="G206" t="s">
        <v>1058</v>
      </c>
      <c r="H206" t="s">
        <v>1275</v>
      </c>
      <c r="I206">
        <v>0</v>
      </c>
      <c r="J206">
        <v>0</v>
      </c>
      <c r="K206">
        <v>1000000</v>
      </c>
      <c r="L206">
        <v>1000000</v>
      </c>
      <c r="M206">
        <v>1000000</v>
      </c>
      <c r="N206">
        <v>1000000</v>
      </c>
      <c r="Q206">
        <v>1000000</v>
      </c>
      <c r="R206">
        <v>1000000</v>
      </c>
      <c r="S206">
        <v>0</v>
      </c>
    </row>
    <row r="207" spans="1:19">
      <c r="A207" t="s">
        <v>738</v>
      </c>
      <c r="B207" t="s">
        <v>1619</v>
      </c>
      <c r="C207" t="s">
        <v>110</v>
      </c>
      <c r="D207" t="s">
        <v>1051</v>
      </c>
      <c r="E207" t="s">
        <v>466</v>
      </c>
      <c r="F207" t="s">
        <v>1057</v>
      </c>
      <c r="G207" t="s">
        <v>1058</v>
      </c>
      <c r="H207" t="s">
        <v>1021</v>
      </c>
      <c r="I207">
        <v>50</v>
      </c>
      <c r="J207">
        <v>0</v>
      </c>
      <c r="K207">
        <v>0</v>
      </c>
      <c r="L207">
        <v>0</v>
      </c>
      <c r="M207">
        <v>50</v>
      </c>
      <c r="N207">
        <v>0</v>
      </c>
      <c r="Q207">
        <v>50</v>
      </c>
      <c r="R207">
        <v>0</v>
      </c>
      <c r="S207">
        <v>50</v>
      </c>
    </row>
    <row r="208" spans="1:19">
      <c r="A208" t="s">
        <v>739</v>
      </c>
      <c r="B208" t="s">
        <v>1620</v>
      </c>
      <c r="C208" t="s">
        <v>111</v>
      </c>
      <c r="D208" t="s">
        <v>1051</v>
      </c>
      <c r="E208" t="s">
        <v>466</v>
      </c>
      <c r="F208" t="s">
        <v>1057</v>
      </c>
      <c r="G208" t="s">
        <v>1058</v>
      </c>
      <c r="H208" t="s">
        <v>1021</v>
      </c>
      <c r="I208">
        <v>50</v>
      </c>
      <c r="J208">
        <v>0</v>
      </c>
      <c r="K208">
        <v>0</v>
      </c>
      <c r="L208">
        <v>0</v>
      </c>
      <c r="M208">
        <v>50</v>
      </c>
      <c r="N208">
        <v>0</v>
      </c>
      <c r="Q208">
        <v>50</v>
      </c>
      <c r="R208">
        <v>0</v>
      </c>
      <c r="S208">
        <v>50</v>
      </c>
    </row>
    <row r="209" spans="1:19">
      <c r="A209" t="s">
        <v>740</v>
      </c>
      <c r="B209" t="s">
        <v>1621</v>
      </c>
      <c r="C209" t="s">
        <v>112</v>
      </c>
      <c r="D209" t="s">
        <v>1051</v>
      </c>
      <c r="E209" t="s">
        <v>466</v>
      </c>
      <c r="F209" t="s">
        <v>1057</v>
      </c>
      <c r="G209" t="s">
        <v>1058</v>
      </c>
      <c r="H209" t="s">
        <v>1021</v>
      </c>
      <c r="I209">
        <v>50</v>
      </c>
      <c r="J209">
        <v>0</v>
      </c>
      <c r="K209">
        <v>0</v>
      </c>
      <c r="L209">
        <v>0</v>
      </c>
      <c r="M209">
        <v>50</v>
      </c>
      <c r="N209">
        <v>0</v>
      </c>
      <c r="Q209">
        <v>50</v>
      </c>
      <c r="R209">
        <v>0</v>
      </c>
      <c r="S209">
        <v>50</v>
      </c>
    </row>
    <row r="210" spans="1:19">
      <c r="A210" t="s">
        <v>718</v>
      </c>
      <c r="B210" t="s">
        <v>1075</v>
      </c>
      <c r="C210" t="s">
        <v>1820</v>
      </c>
      <c r="D210" t="s">
        <v>1051</v>
      </c>
      <c r="E210" t="s">
        <v>466</v>
      </c>
      <c r="F210" t="s">
        <v>1057</v>
      </c>
      <c r="G210" t="s">
        <v>1058</v>
      </c>
      <c r="H210" t="s">
        <v>1055</v>
      </c>
      <c r="I210">
        <v>4500</v>
      </c>
      <c r="J210">
        <v>4500</v>
      </c>
      <c r="M210">
        <v>4500</v>
      </c>
      <c r="N210">
        <v>4500</v>
      </c>
      <c r="Q210">
        <v>4500</v>
      </c>
      <c r="R210">
        <v>4500</v>
      </c>
      <c r="S210">
        <v>0</v>
      </c>
    </row>
    <row r="211" spans="1:19">
      <c r="A211" t="s">
        <v>707</v>
      </c>
      <c r="B211" t="s">
        <v>1603</v>
      </c>
      <c r="C211" t="s">
        <v>51</v>
      </c>
      <c r="D211" t="s">
        <v>1051</v>
      </c>
      <c r="E211" t="s">
        <v>466</v>
      </c>
      <c r="F211" t="s">
        <v>1057</v>
      </c>
      <c r="G211" t="s">
        <v>1067</v>
      </c>
      <c r="H211" t="s">
        <v>974</v>
      </c>
      <c r="I211">
        <v>2810000</v>
      </c>
      <c r="J211">
        <v>2750000</v>
      </c>
      <c r="K211">
        <v>0</v>
      </c>
      <c r="L211">
        <v>0</v>
      </c>
      <c r="M211">
        <v>2810000</v>
      </c>
      <c r="N211">
        <v>2750000</v>
      </c>
      <c r="Q211">
        <v>2810000</v>
      </c>
      <c r="R211">
        <v>2750000</v>
      </c>
      <c r="S211">
        <v>60000</v>
      </c>
    </row>
    <row r="212" spans="1:19">
      <c r="A212" t="s">
        <v>707</v>
      </c>
      <c r="B212" t="s">
        <v>1603</v>
      </c>
      <c r="C212" t="s">
        <v>1732</v>
      </c>
      <c r="D212" t="s">
        <v>1051</v>
      </c>
      <c r="E212" t="s">
        <v>466</v>
      </c>
      <c r="F212" t="s">
        <v>1057</v>
      </c>
      <c r="G212" t="s">
        <v>1067</v>
      </c>
      <c r="H212" t="s">
        <v>1055</v>
      </c>
      <c r="I212">
        <v>3571</v>
      </c>
      <c r="J212">
        <v>0</v>
      </c>
      <c r="K212">
        <v>0</v>
      </c>
      <c r="L212">
        <v>0</v>
      </c>
      <c r="M212">
        <v>3571</v>
      </c>
      <c r="N212">
        <v>0</v>
      </c>
      <c r="Q212">
        <v>3571</v>
      </c>
      <c r="R212">
        <v>0</v>
      </c>
      <c r="S212">
        <v>3571</v>
      </c>
    </row>
    <row r="213" spans="1:19">
      <c r="A213" t="s">
        <v>707</v>
      </c>
      <c r="B213" t="s">
        <v>1603</v>
      </c>
      <c r="C213" t="s">
        <v>52</v>
      </c>
      <c r="D213" t="s">
        <v>1051</v>
      </c>
      <c r="E213" t="s">
        <v>466</v>
      </c>
      <c r="F213" t="s">
        <v>1057</v>
      </c>
      <c r="G213" t="s">
        <v>1067</v>
      </c>
      <c r="H213" t="s">
        <v>1021</v>
      </c>
      <c r="I213">
        <v>100</v>
      </c>
      <c r="J213">
        <v>0</v>
      </c>
      <c r="K213">
        <v>0</v>
      </c>
      <c r="L213">
        <v>0</v>
      </c>
      <c r="M213">
        <v>100</v>
      </c>
      <c r="N213">
        <v>0</v>
      </c>
      <c r="Q213">
        <v>100</v>
      </c>
      <c r="R213">
        <v>0</v>
      </c>
      <c r="S213">
        <v>100</v>
      </c>
    </row>
    <row r="214" spans="1:19">
      <c r="A214" t="s">
        <v>707</v>
      </c>
      <c r="B214" t="s">
        <v>1603</v>
      </c>
      <c r="C214" t="s">
        <v>50</v>
      </c>
      <c r="D214" t="s">
        <v>1051</v>
      </c>
      <c r="E214" t="s">
        <v>466</v>
      </c>
      <c r="F214" t="s">
        <v>1057</v>
      </c>
      <c r="G214" t="s">
        <v>1067</v>
      </c>
      <c r="H214" t="s">
        <v>1022</v>
      </c>
      <c r="I214">
        <v>37320</v>
      </c>
      <c r="J214">
        <v>0</v>
      </c>
      <c r="K214">
        <v>0</v>
      </c>
      <c r="L214">
        <v>0</v>
      </c>
      <c r="M214">
        <v>37320</v>
      </c>
      <c r="N214">
        <v>0</v>
      </c>
      <c r="Q214">
        <v>37320</v>
      </c>
      <c r="R214">
        <v>0</v>
      </c>
      <c r="S214">
        <v>37320</v>
      </c>
    </row>
    <row r="215" spans="1:19">
      <c r="A215" t="s">
        <v>707</v>
      </c>
      <c r="B215" t="s">
        <v>1067</v>
      </c>
      <c r="C215" t="s">
        <v>1277</v>
      </c>
      <c r="D215" t="s">
        <v>1051</v>
      </c>
      <c r="E215" t="s">
        <v>466</v>
      </c>
      <c r="F215" t="s">
        <v>1057</v>
      </c>
      <c r="G215" t="s">
        <v>1067</v>
      </c>
      <c r="H215" t="s">
        <v>1275</v>
      </c>
      <c r="I215">
        <v>30000</v>
      </c>
      <c r="J215">
        <v>30000</v>
      </c>
      <c r="M215">
        <v>30000</v>
      </c>
      <c r="N215">
        <v>30000</v>
      </c>
      <c r="Q215">
        <v>30000</v>
      </c>
      <c r="R215">
        <v>30000</v>
      </c>
      <c r="S215">
        <v>0</v>
      </c>
    </row>
    <row r="216" spans="1:19">
      <c r="A216" t="s">
        <v>704</v>
      </c>
      <c r="B216" t="s">
        <v>1600</v>
      </c>
      <c r="C216" t="s">
        <v>37</v>
      </c>
      <c r="D216" t="s">
        <v>1051</v>
      </c>
      <c r="E216" t="s">
        <v>473</v>
      </c>
      <c r="F216" t="s">
        <v>1064</v>
      </c>
      <c r="G216" t="s">
        <v>332</v>
      </c>
      <c r="H216" t="s">
        <v>974</v>
      </c>
      <c r="I216">
        <v>4846426</v>
      </c>
      <c r="J216">
        <v>10746897</v>
      </c>
      <c r="K216">
        <v>0</v>
      </c>
      <c r="L216">
        <v>0</v>
      </c>
      <c r="M216">
        <v>4846426</v>
      </c>
      <c r="N216">
        <v>10746897</v>
      </c>
      <c r="Q216">
        <v>4846426</v>
      </c>
      <c r="R216">
        <v>10746897</v>
      </c>
      <c r="S216">
        <v>-5900471</v>
      </c>
    </row>
    <row r="217" spans="1:19">
      <c r="A217" t="s">
        <v>808</v>
      </c>
      <c r="B217" t="s">
        <v>1660</v>
      </c>
      <c r="C217" t="s">
        <v>194</v>
      </c>
      <c r="D217" t="s">
        <v>1051</v>
      </c>
      <c r="E217" t="s">
        <v>473</v>
      </c>
      <c r="F217" t="s">
        <v>1064</v>
      </c>
      <c r="G217" t="s">
        <v>332</v>
      </c>
      <c r="H217" t="s">
        <v>974</v>
      </c>
      <c r="I217">
        <v>8323684</v>
      </c>
      <c r="J217">
        <v>8323684</v>
      </c>
      <c r="K217">
        <v>0</v>
      </c>
      <c r="L217">
        <v>0</v>
      </c>
      <c r="M217">
        <v>8323684</v>
      </c>
      <c r="N217">
        <v>8323684</v>
      </c>
      <c r="Q217">
        <v>8323684</v>
      </c>
      <c r="R217">
        <v>8323684</v>
      </c>
      <c r="S217">
        <v>0</v>
      </c>
    </row>
    <row r="218" spans="1:19">
      <c r="A218" t="s">
        <v>820</v>
      </c>
      <c r="B218" t="s">
        <v>1663</v>
      </c>
      <c r="C218" t="s">
        <v>229</v>
      </c>
      <c r="D218" t="s">
        <v>1051</v>
      </c>
      <c r="E218" t="s">
        <v>473</v>
      </c>
      <c r="F218" t="s">
        <v>1064</v>
      </c>
      <c r="G218" t="s">
        <v>332</v>
      </c>
      <c r="H218" t="s">
        <v>974</v>
      </c>
      <c r="I218">
        <v>36167146</v>
      </c>
      <c r="J218">
        <v>72802368</v>
      </c>
      <c r="K218">
        <v>0</v>
      </c>
      <c r="L218">
        <v>0</v>
      </c>
      <c r="M218">
        <v>36167146</v>
      </c>
      <c r="N218">
        <v>72802368</v>
      </c>
      <c r="Q218">
        <v>36167146</v>
      </c>
      <c r="R218">
        <v>72802368</v>
      </c>
      <c r="S218">
        <v>-36635222</v>
      </c>
    </row>
    <row r="219" spans="1:19">
      <c r="A219" t="s">
        <v>704</v>
      </c>
      <c r="B219" t="s">
        <v>1062</v>
      </c>
      <c r="C219" t="s">
        <v>1063</v>
      </c>
      <c r="D219" t="s">
        <v>1051</v>
      </c>
      <c r="E219" t="s">
        <v>473</v>
      </c>
      <c r="F219" t="s">
        <v>1064</v>
      </c>
      <c r="G219" t="s">
        <v>332</v>
      </c>
      <c r="H219" t="s">
        <v>1014</v>
      </c>
      <c r="I219">
        <v>200000</v>
      </c>
      <c r="J219">
        <v>100000</v>
      </c>
      <c r="M219">
        <v>200000</v>
      </c>
      <c r="N219">
        <v>100000</v>
      </c>
      <c r="Q219">
        <v>200000</v>
      </c>
      <c r="R219">
        <v>100000</v>
      </c>
      <c r="S219">
        <v>100000</v>
      </c>
    </row>
    <row r="220" spans="1:19">
      <c r="A220" t="s">
        <v>704</v>
      </c>
      <c r="B220" t="s">
        <v>1062</v>
      </c>
      <c r="C220" t="s">
        <v>1065</v>
      </c>
      <c r="D220" t="s">
        <v>1051</v>
      </c>
      <c r="E220" t="s">
        <v>473</v>
      </c>
      <c r="F220" t="s">
        <v>1064</v>
      </c>
      <c r="G220" t="s">
        <v>332</v>
      </c>
      <c r="H220" t="s">
        <v>1022</v>
      </c>
      <c r="I220">
        <v>2984702</v>
      </c>
      <c r="J220">
        <v>1492351</v>
      </c>
      <c r="M220">
        <v>2984702</v>
      </c>
      <c r="N220">
        <v>1492351</v>
      </c>
      <c r="Q220">
        <v>2984702</v>
      </c>
      <c r="R220">
        <v>1492351</v>
      </c>
      <c r="S220">
        <v>1492351</v>
      </c>
    </row>
    <row r="221" spans="1:19">
      <c r="A221" t="s">
        <v>704</v>
      </c>
      <c r="B221" t="s">
        <v>1062</v>
      </c>
      <c r="C221" t="s">
        <v>1819</v>
      </c>
      <c r="D221" t="s">
        <v>1051</v>
      </c>
      <c r="E221" t="s">
        <v>473</v>
      </c>
      <c r="F221" t="s">
        <v>1064</v>
      </c>
      <c r="G221" t="s">
        <v>332</v>
      </c>
      <c r="H221" t="s">
        <v>1055</v>
      </c>
      <c r="I221">
        <v>208840</v>
      </c>
      <c r="J221">
        <v>104420</v>
      </c>
      <c r="M221">
        <v>208840</v>
      </c>
      <c r="N221">
        <v>104420</v>
      </c>
      <c r="Q221">
        <v>208840</v>
      </c>
      <c r="R221">
        <v>104420</v>
      </c>
      <c r="S221">
        <v>104420</v>
      </c>
    </row>
    <row r="222" spans="1:19">
      <c r="A222" t="s">
        <v>704</v>
      </c>
      <c r="B222" t="s">
        <v>1062</v>
      </c>
      <c r="C222" t="s">
        <v>1818</v>
      </c>
      <c r="D222" t="s">
        <v>1051</v>
      </c>
      <c r="E222" t="s">
        <v>473</v>
      </c>
      <c r="F222" t="s">
        <v>1064</v>
      </c>
      <c r="G222" t="s">
        <v>332</v>
      </c>
      <c r="H222" t="s">
        <v>1011</v>
      </c>
      <c r="I222">
        <v>79288</v>
      </c>
      <c r="J222">
        <v>39644</v>
      </c>
      <c r="M222">
        <v>79288</v>
      </c>
      <c r="N222">
        <v>39644</v>
      </c>
      <c r="Q222">
        <v>79288</v>
      </c>
      <c r="R222">
        <v>39644</v>
      </c>
      <c r="S222">
        <v>39644</v>
      </c>
    </row>
    <row r="223" spans="1:19">
      <c r="A223" t="s">
        <v>704</v>
      </c>
      <c r="B223" t="s">
        <v>1062</v>
      </c>
      <c r="C223" t="s">
        <v>1817</v>
      </c>
      <c r="D223" t="s">
        <v>1051</v>
      </c>
      <c r="E223" t="s">
        <v>473</v>
      </c>
      <c r="F223" t="s">
        <v>1064</v>
      </c>
      <c r="G223" t="s">
        <v>332</v>
      </c>
      <c r="H223" t="s">
        <v>1023</v>
      </c>
      <c r="I223">
        <v>16526</v>
      </c>
      <c r="J223">
        <v>8263</v>
      </c>
      <c r="M223">
        <v>16526</v>
      </c>
      <c r="N223">
        <v>8263</v>
      </c>
      <c r="Q223">
        <v>16526</v>
      </c>
      <c r="R223">
        <v>8263</v>
      </c>
      <c r="S223">
        <v>8263</v>
      </c>
    </row>
    <row r="224" spans="1:19">
      <c r="A224" t="s">
        <v>1225</v>
      </c>
      <c r="B224" t="s">
        <v>1629</v>
      </c>
      <c r="C224" t="s">
        <v>337</v>
      </c>
      <c r="D224" t="s">
        <v>1051</v>
      </c>
      <c r="E224" t="s">
        <v>466</v>
      </c>
      <c r="F224" t="s">
        <v>1057</v>
      </c>
      <c r="G224" t="s">
        <v>337</v>
      </c>
      <c r="H224" t="s">
        <v>974</v>
      </c>
      <c r="I224">
        <v>0</v>
      </c>
      <c r="J224">
        <v>0</v>
      </c>
      <c r="K224">
        <v>0</v>
      </c>
      <c r="L224">
        <v>0</v>
      </c>
      <c r="M224">
        <v>0</v>
      </c>
      <c r="N224">
        <v>0</v>
      </c>
      <c r="Q224">
        <v>0</v>
      </c>
      <c r="R224">
        <v>0</v>
      </c>
      <c r="S224">
        <v>0</v>
      </c>
    </row>
    <row r="225" spans="1:19">
      <c r="A225" t="s">
        <v>776</v>
      </c>
      <c r="B225" t="s">
        <v>1630</v>
      </c>
      <c r="C225" t="s">
        <v>162</v>
      </c>
      <c r="D225" t="s">
        <v>1051</v>
      </c>
      <c r="E225" t="s">
        <v>466</v>
      </c>
      <c r="F225" t="s">
        <v>1057</v>
      </c>
      <c r="G225" t="s">
        <v>337</v>
      </c>
      <c r="H225" t="s">
        <v>974</v>
      </c>
      <c r="I225">
        <v>9167</v>
      </c>
      <c r="J225">
        <v>9167</v>
      </c>
      <c r="K225">
        <v>0</v>
      </c>
      <c r="L225">
        <v>0</v>
      </c>
      <c r="M225">
        <v>9167</v>
      </c>
      <c r="N225">
        <v>9167</v>
      </c>
      <c r="Q225">
        <v>9167</v>
      </c>
      <c r="R225">
        <v>9167</v>
      </c>
      <c r="S225">
        <v>0</v>
      </c>
    </row>
    <row r="226" spans="1:19">
      <c r="A226" t="s">
        <v>706</v>
      </c>
      <c r="B226" t="s">
        <v>1602</v>
      </c>
      <c r="C226" t="s">
        <v>49</v>
      </c>
      <c r="D226" t="s">
        <v>1051</v>
      </c>
      <c r="E226" t="s">
        <v>466</v>
      </c>
      <c r="F226" t="s">
        <v>1057</v>
      </c>
      <c r="G226" t="s">
        <v>1066</v>
      </c>
      <c r="H226" t="s">
        <v>974</v>
      </c>
      <c r="I226">
        <v>319700</v>
      </c>
      <c r="J226">
        <v>200000</v>
      </c>
      <c r="K226">
        <v>0</v>
      </c>
      <c r="L226">
        <v>0</v>
      </c>
      <c r="M226">
        <v>319700</v>
      </c>
      <c r="N226">
        <v>200000</v>
      </c>
      <c r="Q226">
        <v>319700</v>
      </c>
      <c r="R226">
        <v>200000</v>
      </c>
      <c r="S226">
        <v>119700</v>
      </c>
    </row>
    <row r="227" spans="1:19">
      <c r="A227" t="s">
        <v>775</v>
      </c>
      <c r="B227" t="s">
        <v>1627</v>
      </c>
      <c r="C227" t="s">
        <v>161</v>
      </c>
      <c r="D227" t="s">
        <v>1051</v>
      </c>
      <c r="E227" t="s">
        <v>466</v>
      </c>
      <c r="F227" t="s">
        <v>1057</v>
      </c>
      <c r="G227" t="s">
        <v>1119</v>
      </c>
      <c r="H227" t="s">
        <v>974</v>
      </c>
      <c r="I227">
        <v>0</v>
      </c>
      <c r="J227">
        <v>0</v>
      </c>
      <c r="K227">
        <v>305000</v>
      </c>
      <c r="L227">
        <v>73000</v>
      </c>
      <c r="M227">
        <v>305000</v>
      </c>
      <c r="N227">
        <v>73000</v>
      </c>
      <c r="Q227">
        <v>305000</v>
      </c>
      <c r="R227">
        <v>73000</v>
      </c>
      <c r="S227">
        <v>232000</v>
      </c>
    </row>
    <row r="228" spans="1:19">
      <c r="A228" t="s">
        <v>775</v>
      </c>
      <c r="B228" t="s">
        <v>1627</v>
      </c>
      <c r="C228" t="s">
        <v>1746</v>
      </c>
      <c r="D228" t="s">
        <v>1051</v>
      </c>
      <c r="E228" t="s">
        <v>466</v>
      </c>
      <c r="F228" t="s">
        <v>1057</v>
      </c>
      <c r="G228" t="s">
        <v>1119</v>
      </c>
      <c r="H228" t="s">
        <v>1275</v>
      </c>
      <c r="I228">
        <v>0</v>
      </c>
      <c r="J228">
        <v>0</v>
      </c>
      <c r="K228">
        <v>0</v>
      </c>
      <c r="L228">
        <v>30000</v>
      </c>
      <c r="M228">
        <v>0</v>
      </c>
      <c r="N228">
        <v>30000</v>
      </c>
      <c r="Q228">
        <v>0</v>
      </c>
      <c r="R228">
        <v>30000</v>
      </c>
      <c r="S228">
        <v>-30000</v>
      </c>
    </row>
    <row r="229" spans="1:19">
      <c r="A229" t="s">
        <v>792</v>
      </c>
      <c r="B229" t="s">
        <v>1646</v>
      </c>
      <c r="C229" t="s">
        <v>178</v>
      </c>
      <c r="D229" t="s">
        <v>1051</v>
      </c>
      <c r="E229" t="s">
        <v>637</v>
      </c>
      <c r="F229" t="s">
        <v>638</v>
      </c>
      <c r="G229" t="s">
        <v>354</v>
      </c>
      <c r="H229" t="s">
        <v>974</v>
      </c>
      <c r="I229">
        <v>2534605</v>
      </c>
      <c r="J229">
        <v>1426000</v>
      </c>
      <c r="K229">
        <v>0</v>
      </c>
      <c r="L229">
        <v>0</v>
      </c>
      <c r="M229">
        <v>2534605</v>
      </c>
      <c r="N229">
        <v>1426000</v>
      </c>
      <c r="Q229">
        <v>2534605</v>
      </c>
      <c r="R229">
        <v>1426000</v>
      </c>
      <c r="S229">
        <v>1108605</v>
      </c>
    </row>
    <row r="230" spans="1:19">
      <c r="A230" t="s">
        <v>1341</v>
      </c>
      <c r="B230" t="s">
        <v>1342</v>
      </c>
      <c r="C230" t="s">
        <v>1760</v>
      </c>
      <c r="D230" t="s">
        <v>1051</v>
      </c>
      <c r="E230" t="s">
        <v>473</v>
      </c>
      <c r="F230" t="s">
        <v>1134</v>
      </c>
      <c r="G230" t="s">
        <v>1309</v>
      </c>
      <c r="I230">
        <v>0</v>
      </c>
      <c r="J230">
        <v>0</v>
      </c>
      <c r="K230">
        <v>0</v>
      </c>
      <c r="L230">
        <v>0</v>
      </c>
      <c r="M230">
        <v>0</v>
      </c>
      <c r="N230">
        <v>0</v>
      </c>
      <c r="Q230">
        <v>0</v>
      </c>
      <c r="R230">
        <v>0</v>
      </c>
      <c r="S230">
        <v>0</v>
      </c>
    </row>
    <row r="231" spans="1:19">
      <c r="B231" t="s">
        <v>1309</v>
      </c>
      <c r="C231" t="s">
        <v>1309</v>
      </c>
      <c r="D231" t="s">
        <v>1051</v>
      </c>
      <c r="E231" t="s">
        <v>473</v>
      </c>
      <c r="F231" t="s">
        <v>1134</v>
      </c>
      <c r="G231" t="s">
        <v>1309</v>
      </c>
      <c r="H231" t="s">
        <v>1309</v>
      </c>
      <c r="J231">
        <v>0</v>
      </c>
      <c r="M231">
        <v>0</v>
      </c>
      <c r="N231">
        <v>0</v>
      </c>
      <c r="Q231">
        <v>0</v>
      </c>
      <c r="R231">
        <v>0</v>
      </c>
      <c r="S231">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B210"/>
  <sheetViews>
    <sheetView topLeftCell="A4" zoomScale="102" workbookViewId="0">
      <selection activeCell="A14" sqref="A14"/>
    </sheetView>
  </sheetViews>
  <sheetFormatPr defaultRowHeight="14.5"/>
  <cols>
    <col min="1" max="1" width="97.1796875" bestFit="1" customWidth="1"/>
    <col min="2" max="2" width="13.54296875" hidden="1" customWidth="1"/>
    <col min="3" max="3" width="14.1796875" hidden="1" customWidth="1"/>
    <col min="4" max="4" width="14" bestFit="1" customWidth="1"/>
    <col min="5" max="6" width="13.26953125" bestFit="1" customWidth="1"/>
  </cols>
  <sheetData>
    <row r="3" spans="1:4">
      <c r="A3" t="s">
        <v>644</v>
      </c>
      <c r="B3" t="s">
        <v>951</v>
      </c>
      <c r="C3" t="s">
        <v>949</v>
      </c>
      <c r="D3" t="s">
        <v>1241</v>
      </c>
    </row>
    <row r="4" spans="1:4">
      <c r="A4" s="272" t="s">
        <v>508</v>
      </c>
      <c r="B4" s="2">
        <v>107940969.84999999</v>
      </c>
      <c r="C4" s="2">
        <v>107940969.38000001</v>
      </c>
      <c r="D4" s="2">
        <v>0.469999999855645</v>
      </c>
    </row>
    <row r="5" spans="1:4">
      <c r="A5" s="273" t="s">
        <v>330</v>
      </c>
      <c r="B5" s="2">
        <v>107940969.84999999</v>
      </c>
      <c r="C5" s="2">
        <v>107940969.38000001</v>
      </c>
      <c r="D5" s="2">
        <v>0.469999999855645</v>
      </c>
    </row>
    <row r="6" spans="1:4">
      <c r="A6" s="274" t="s">
        <v>330</v>
      </c>
      <c r="B6" s="2">
        <v>107940969.84999999</v>
      </c>
      <c r="C6" s="2">
        <v>107940969.38000001</v>
      </c>
      <c r="D6" s="2">
        <v>0.469999999855645</v>
      </c>
    </row>
    <row r="7" spans="1:4">
      <c r="A7" s="764" t="s">
        <v>330</v>
      </c>
      <c r="B7" s="2">
        <v>107940969.84999999</v>
      </c>
      <c r="C7" s="2">
        <v>107940969.38000001</v>
      </c>
      <c r="D7" s="2">
        <v>0.469999999855645</v>
      </c>
    </row>
    <row r="8" spans="1:4">
      <c r="A8" s="272" t="s">
        <v>1051</v>
      </c>
      <c r="B8" s="2">
        <v>406574698.69002497</v>
      </c>
      <c r="C8" s="2">
        <v>403196812.63838786</v>
      </c>
      <c r="D8" s="2">
        <v>3377886.0516371503</v>
      </c>
    </row>
    <row r="9" spans="1:4">
      <c r="A9" s="273" t="s">
        <v>466</v>
      </c>
      <c r="B9" s="2">
        <v>180151294.03</v>
      </c>
      <c r="C9" s="2">
        <v>171904030.5</v>
      </c>
      <c r="D9" s="2">
        <v>8247263.5299999909</v>
      </c>
    </row>
    <row r="10" spans="1:4">
      <c r="A10" s="273" t="s">
        <v>473</v>
      </c>
      <c r="B10" s="2">
        <v>98013100</v>
      </c>
      <c r="C10" s="2">
        <v>148098637.87172115</v>
      </c>
      <c r="D10" s="2">
        <v>-50085537.871721163</v>
      </c>
    </row>
    <row r="11" spans="1:4">
      <c r="A11" s="274" t="s">
        <v>1134</v>
      </c>
      <c r="B11" s="2">
        <v>45186488</v>
      </c>
      <c r="C11" s="2">
        <v>54481010.871721163</v>
      </c>
      <c r="D11" s="2">
        <v>-9294522.8717211671</v>
      </c>
    </row>
    <row r="12" spans="1:4">
      <c r="A12" s="764" t="s">
        <v>1135</v>
      </c>
      <c r="B12" s="2">
        <v>37889061</v>
      </c>
      <c r="C12" s="2">
        <v>43990713.611721165</v>
      </c>
      <c r="D12" s="2">
        <v>-6101652.6117211673</v>
      </c>
    </row>
    <row r="13" spans="1:4">
      <c r="A13" s="764" t="s">
        <v>1137</v>
      </c>
      <c r="B13" s="2">
        <v>7297427</v>
      </c>
      <c r="C13" s="2">
        <v>10490297.26</v>
      </c>
      <c r="D13" s="2">
        <v>-3192870.26</v>
      </c>
    </row>
    <row r="14" spans="1:4">
      <c r="A14" s="764" t="s">
        <v>1309</v>
      </c>
      <c r="B14" s="2">
        <v>0</v>
      </c>
      <c r="C14" s="2">
        <v>0</v>
      </c>
      <c r="D14" s="2">
        <v>0</v>
      </c>
    </row>
    <row r="15" spans="1:4">
      <c r="A15" s="274" t="s">
        <v>1064</v>
      </c>
      <c r="B15" s="2">
        <v>52826612</v>
      </c>
      <c r="C15" s="2">
        <v>93617627</v>
      </c>
      <c r="D15" s="2">
        <v>-40791015</v>
      </c>
    </row>
    <row r="16" spans="1:4">
      <c r="A16" s="273" t="s">
        <v>1153</v>
      </c>
      <c r="B16" s="2">
        <v>87140065.660025001</v>
      </c>
      <c r="C16" s="2">
        <v>56714805.600000001</v>
      </c>
      <c r="D16" s="2">
        <v>30425260.060024992</v>
      </c>
    </row>
    <row r="17" spans="1:4">
      <c r="A17" s="273" t="s">
        <v>637</v>
      </c>
      <c r="B17" s="2">
        <v>41164489</v>
      </c>
      <c r="C17" s="2">
        <v>25863588.666666664</v>
      </c>
      <c r="D17" s="2">
        <v>15300900.333333336</v>
      </c>
    </row>
    <row r="18" spans="1:4">
      <c r="A18" s="274" t="s">
        <v>639</v>
      </c>
      <c r="B18" s="2">
        <v>1009524</v>
      </c>
      <c r="C18" s="2">
        <v>1003708.6666666667</v>
      </c>
      <c r="D18" s="2">
        <v>5815.3333333332557</v>
      </c>
    </row>
    <row r="19" spans="1:4">
      <c r="A19" s="764" t="s">
        <v>1133</v>
      </c>
      <c r="B19" s="2">
        <v>122813</v>
      </c>
      <c r="C19" s="2">
        <v>574186.66666666674</v>
      </c>
      <c r="D19" s="2">
        <v>-451373.66666666674</v>
      </c>
    </row>
    <row r="20" spans="1:4">
      <c r="A20" s="764" t="s">
        <v>352</v>
      </c>
      <c r="B20" s="2">
        <v>886711</v>
      </c>
      <c r="C20" s="2">
        <v>429522</v>
      </c>
      <c r="D20" s="2">
        <v>457189</v>
      </c>
    </row>
    <row r="21" spans="1:4">
      <c r="A21" s="274" t="s">
        <v>638</v>
      </c>
      <c r="B21" s="2">
        <v>40154965</v>
      </c>
      <c r="C21" s="2">
        <v>24859880</v>
      </c>
      <c r="D21" s="2">
        <v>15295085</v>
      </c>
    </row>
    <row r="22" spans="1:4">
      <c r="A22" s="764" t="s">
        <v>357</v>
      </c>
      <c r="B22" s="2">
        <v>0</v>
      </c>
      <c r="C22" s="2">
        <v>308439</v>
      </c>
      <c r="D22" s="2">
        <v>-308439</v>
      </c>
    </row>
    <row r="23" spans="1:4">
      <c r="A23" s="764" t="s">
        <v>1124</v>
      </c>
      <c r="B23" s="2">
        <v>0</v>
      </c>
      <c r="C23" s="2">
        <v>10086624</v>
      </c>
      <c r="D23" s="2">
        <v>-10086624</v>
      </c>
    </row>
    <row r="24" spans="1:4">
      <c r="A24" s="764" t="s">
        <v>1131</v>
      </c>
      <c r="B24" s="2">
        <v>5854</v>
      </c>
      <c r="C24" s="2">
        <v>2909388</v>
      </c>
      <c r="D24" s="2">
        <v>-2903534</v>
      </c>
    </row>
    <row r="25" spans="1:4">
      <c r="A25" s="764" t="s">
        <v>1125</v>
      </c>
      <c r="B25" s="2">
        <v>68126</v>
      </c>
      <c r="C25" s="2">
        <v>4204569</v>
      </c>
      <c r="D25" s="2">
        <v>-4136443</v>
      </c>
    </row>
    <row r="26" spans="1:4">
      <c r="A26" s="764" t="s">
        <v>1129</v>
      </c>
      <c r="B26" s="2">
        <v>45012</v>
      </c>
      <c r="C26" s="2">
        <v>892293</v>
      </c>
      <c r="D26" s="2">
        <v>-847281</v>
      </c>
    </row>
    <row r="27" spans="1:4">
      <c r="A27" s="764" t="s">
        <v>343</v>
      </c>
      <c r="B27" s="2">
        <v>30249</v>
      </c>
      <c r="C27" s="2">
        <v>1255975</v>
      </c>
      <c r="D27" s="2">
        <v>-1225726</v>
      </c>
    </row>
    <row r="28" spans="1:4">
      <c r="A28" s="764" t="s">
        <v>1126</v>
      </c>
      <c r="B28" s="2">
        <v>77185</v>
      </c>
      <c r="C28" s="2">
        <v>965663</v>
      </c>
      <c r="D28" s="2">
        <v>-888478</v>
      </c>
    </row>
    <row r="29" spans="1:4">
      <c r="A29" s="764" t="s">
        <v>355</v>
      </c>
      <c r="B29" s="2">
        <v>1384994</v>
      </c>
      <c r="C29" s="2">
        <v>2493599</v>
      </c>
      <c r="D29" s="2">
        <v>-1108605</v>
      </c>
    </row>
    <row r="30" spans="1:4">
      <c r="A30" s="764" t="s">
        <v>356</v>
      </c>
      <c r="B30" s="2">
        <v>308439</v>
      </c>
      <c r="C30" s="2">
        <v>0</v>
      </c>
      <c r="D30" s="2">
        <v>308439</v>
      </c>
    </row>
    <row r="31" spans="1:4">
      <c r="A31" s="764" t="s">
        <v>1123</v>
      </c>
      <c r="B31" s="2">
        <v>22763814</v>
      </c>
      <c r="C31" s="2">
        <v>0</v>
      </c>
      <c r="D31" s="2">
        <v>22763814</v>
      </c>
    </row>
    <row r="32" spans="1:4">
      <c r="A32" s="764" t="s">
        <v>1130</v>
      </c>
      <c r="B32" s="2">
        <v>2903533</v>
      </c>
      <c r="C32" s="2">
        <v>0</v>
      </c>
      <c r="D32" s="2">
        <v>2903533</v>
      </c>
    </row>
    <row r="33" spans="1:4">
      <c r="A33" s="764" t="s">
        <v>524</v>
      </c>
      <c r="B33" s="2">
        <v>5117788</v>
      </c>
      <c r="C33" s="2">
        <v>147330</v>
      </c>
      <c r="D33" s="2">
        <v>4970458</v>
      </c>
    </row>
    <row r="34" spans="1:4">
      <c r="A34" s="764" t="s">
        <v>1128</v>
      </c>
      <c r="B34" s="2">
        <v>1038377</v>
      </c>
      <c r="C34" s="2">
        <v>170000</v>
      </c>
      <c r="D34" s="2">
        <v>868377</v>
      </c>
    </row>
    <row r="35" spans="1:4">
      <c r="A35" s="764" t="s">
        <v>342</v>
      </c>
      <c r="B35" s="2">
        <v>1244075</v>
      </c>
      <c r="C35" s="2">
        <v>0</v>
      </c>
      <c r="D35" s="2">
        <v>1244075</v>
      </c>
    </row>
    <row r="36" spans="1:4">
      <c r="A36" s="764" t="s">
        <v>1122</v>
      </c>
      <c r="B36" s="2">
        <v>1721000</v>
      </c>
      <c r="C36" s="2">
        <v>0</v>
      </c>
      <c r="D36" s="2">
        <v>1721000</v>
      </c>
    </row>
    <row r="37" spans="1:4">
      <c r="A37" s="764" t="s">
        <v>525</v>
      </c>
      <c r="B37" s="2">
        <v>911914</v>
      </c>
      <c r="C37" s="2">
        <v>0</v>
      </c>
      <c r="D37" s="2">
        <v>911914</v>
      </c>
    </row>
    <row r="38" spans="1:4">
      <c r="A38" s="764" t="s">
        <v>354</v>
      </c>
      <c r="B38" s="2">
        <v>2534605</v>
      </c>
      <c r="C38" s="2">
        <v>1426000</v>
      </c>
      <c r="D38" s="2">
        <v>1108605</v>
      </c>
    </row>
    <row r="39" spans="1:4">
      <c r="A39" s="273" t="s">
        <v>640</v>
      </c>
      <c r="B39" s="2">
        <v>105750</v>
      </c>
      <c r="C39" s="2">
        <v>615750</v>
      </c>
      <c r="D39" s="2">
        <v>-510000</v>
      </c>
    </row>
    <row r="40" spans="1:4">
      <c r="A40" s="274" t="s">
        <v>1151</v>
      </c>
      <c r="B40" s="2">
        <v>105750</v>
      </c>
      <c r="C40" s="2">
        <v>615750</v>
      </c>
      <c r="D40" s="2">
        <v>-510000</v>
      </c>
    </row>
    <row r="41" spans="1:4">
      <c r="A41" s="764" t="s">
        <v>1152</v>
      </c>
      <c r="B41" s="2">
        <v>105750</v>
      </c>
      <c r="C41" s="2">
        <v>615750</v>
      </c>
      <c r="D41" s="2">
        <v>-510000</v>
      </c>
    </row>
    <row r="42" spans="1:4">
      <c r="A42" s="272" t="s">
        <v>1164</v>
      </c>
      <c r="B42" s="2">
        <v>47540865.07</v>
      </c>
      <c r="C42" s="2">
        <v>50918750.739999995</v>
      </c>
      <c r="D42" s="2">
        <v>-3377885.6699999981</v>
      </c>
    </row>
    <row r="43" spans="1:4">
      <c r="A43" s="273" t="s">
        <v>1171</v>
      </c>
      <c r="B43" s="2">
        <v>11808447.33</v>
      </c>
      <c r="C43" s="2">
        <v>4202635.33</v>
      </c>
      <c r="D43" s="2">
        <v>7605812</v>
      </c>
    </row>
    <row r="44" spans="1:4">
      <c r="A44" s="274" t="s">
        <v>1185</v>
      </c>
      <c r="B44" s="2">
        <v>0</v>
      </c>
      <c r="C44" s="2">
        <v>0</v>
      </c>
      <c r="D44" s="2">
        <v>0</v>
      </c>
    </row>
    <row r="45" spans="1:4">
      <c r="A45" s="764" t="s">
        <v>1184</v>
      </c>
      <c r="B45" s="2">
        <v>0</v>
      </c>
      <c r="C45" s="2">
        <v>0</v>
      </c>
      <c r="D45" s="2">
        <v>0</v>
      </c>
    </row>
    <row r="46" spans="1:4">
      <c r="A46" s="274" t="s">
        <v>586</v>
      </c>
      <c r="B46" s="2">
        <v>118233</v>
      </c>
      <c r="C46" s="2">
        <v>115326</v>
      </c>
      <c r="D46" s="2">
        <v>2907</v>
      </c>
    </row>
    <row r="47" spans="1:4">
      <c r="A47" s="764" t="s">
        <v>1196</v>
      </c>
      <c r="B47" s="2">
        <v>118233</v>
      </c>
      <c r="C47" s="2">
        <v>115326</v>
      </c>
      <c r="D47" s="2">
        <v>2907</v>
      </c>
    </row>
    <row r="48" spans="1:4">
      <c r="A48" s="274" t="s">
        <v>590</v>
      </c>
      <c r="B48" s="2">
        <v>432000</v>
      </c>
      <c r="C48" s="2">
        <v>0</v>
      </c>
      <c r="D48" s="2">
        <v>432000</v>
      </c>
    </row>
    <row r="49" spans="1:4">
      <c r="A49" s="764" t="s">
        <v>1188</v>
      </c>
      <c r="B49" s="2">
        <v>432000</v>
      </c>
      <c r="C49" s="2">
        <v>0</v>
      </c>
      <c r="D49" s="2">
        <v>432000</v>
      </c>
    </row>
    <row r="50" spans="1:4">
      <c r="A50" s="274" t="s">
        <v>1192</v>
      </c>
      <c r="B50" s="2">
        <v>889865</v>
      </c>
      <c r="C50" s="2">
        <v>19881</v>
      </c>
      <c r="D50" s="2">
        <v>869984</v>
      </c>
    </row>
    <row r="51" spans="1:4">
      <c r="A51" s="764" t="s">
        <v>1193</v>
      </c>
      <c r="B51" s="2">
        <v>889865</v>
      </c>
      <c r="C51" s="2">
        <v>19881</v>
      </c>
      <c r="D51" s="2">
        <v>869984</v>
      </c>
    </row>
    <row r="52" spans="1:4">
      <c r="A52" s="274" t="s">
        <v>1173</v>
      </c>
      <c r="B52" s="2">
        <v>1169269</v>
      </c>
      <c r="C52" s="2">
        <v>198318</v>
      </c>
      <c r="D52" s="2">
        <v>970951</v>
      </c>
    </row>
    <row r="53" spans="1:4">
      <c r="A53" s="764" t="s">
        <v>1173</v>
      </c>
      <c r="B53" s="2">
        <v>1169269</v>
      </c>
      <c r="C53" s="2">
        <v>198318</v>
      </c>
      <c r="D53" s="2">
        <v>970951</v>
      </c>
    </row>
    <row r="54" spans="1:4">
      <c r="A54" s="274" t="s">
        <v>1177</v>
      </c>
      <c r="B54" s="2">
        <v>1171675</v>
      </c>
      <c r="C54" s="2">
        <v>270160</v>
      </c>
      <c r="D54" s="2">
        <v>901515</v>
      </c>
    </row>
    <row r="55" spans="1:4">
      <c r="A55" s="764" t="s">
        <v>1177</v>
      </c>
      <c r="B55" s="2">
        <v>1171675</v>
      </c>
      <c r="C55" s="2">
        <v>270160</v>
      </c>
      <c r="D55" s="2">
        <v>901515</v>
      </c>
    </row>
    <row r="56" spans="1:4">
      <c r="A56" s="274" t="s">
        <v>1176</v>
      </c>
      <c r="B56" s="2">
        <v>13710</v>
      </c>
      <c r="C56" s="2">
        <v>0</v>
      </c>
      <c r="D56" s="2">
        <v>13710</v>
      </c>
    </row>
    <row r="57" spans="1:4">
      <c r="A57" s="764" t="s">
        <v>1176</v>
      </c>
      <c r="B57" s="2">
        <v>13710</v>
      </c>
      <c r="C57" s="2">
        <v>0</v>
      </c>
      <c r="D57" s="2">
        <v>13710</v>
      </c>
    </row>
    <row r="58" spans="1:4">
      <c r="A58" s="274" t="s">
        <v>1186</v>
      </c>
      <c r="B58" s="2">
        <v>397896</v>
      </c>
      <c r="C58" s="2">
        <v>0</v>
      </c>
      <c r="D58" s="2">
        <v>397896</v>
      </c>
    </row>
    <row r="59" spans="1:4">
      <c r="A59" s="764" t="s">
        <v>1186</v>
      </c>
      <c r="B59" s="2">
        <v>397896</v>
      </c>
      <c r="C59" s="2">
        <v>0</v>
      </c>
      <c r="D59" s="2">
        <v>397896</v>
      </c>
    </row>
    <row r="60" spans="1:4">
      <c r="A60" s="274" t="s">
        <v>385</v>
      </c>
      <c r="B60" s="2">
        <v>0</v>
      </c>
      <c r="C60" s="2">
        <v>0</v>
      </c>
      <c r="D60" s="2">
        <v>0</v>
      </c>
    </row>
    <row r="61" spans="1:4">
      <c r="A61" s="764" t="s">
        <v>385</v>
      </c>
      <c r="B61" s="2">
        <v>0</v>
      </c>
      <c r="C61" s="2">
        <v>0</v>
      </c>
      <c r="D61" s="2">
        <v>0</v>
      </c>
    </row>
    <row r="62" spans="1:4">
      <c r="A62" s="274" t="s">
        <v>376</v>
      </c>
      <c r="B62" s="2">
        <v>975685.33000000007</v>
      </c>
      <c r="C62" s="2">
        <v>407618.33</v>
      </c>
      <c r="D62" s="2">
        <v>568067</v>
      </c>
    </row>
    <row r="63" spans="1:4">
      <c r="A63" s="764" t="s">
        <v>1200</v>
      </c>
      <c r="B63" s="2">
        <v>0</v>
      </c>
      <c r="C63" s="2">
        <v>0</v>
      </c>
      <c r="D63" s="2">
        <v>0</v>
      </c>
    </row>
    <row r="64" spans="1:4">
      <c r="A64" s="764" t="s">
        <v>376</v>
      </c>
      <c r="B64" s="2">
        <v>975685.33000000007</v>
      </c>
      <c r="C64" s="2">
        <v>407618.33</v>
      </c>
      <c r="D64" s="2">
        <v>568067</v>
      </c>
    </row>
    <row r="65" spans="1:4">
      <c r="A65" s="274" t="s">
        <v>1203</v>
      </c>
      <c r="B65" s="2">
        <v>0</v>
      </c>
      <c r="C65" s="2">
        <v>0</v>
      </c>
      <c r="D65" s="2">
        <v>0</v>
      </c>
    </row>
    <row r="66" spans="1:4">
      <c r="A66" s="764" t="s">
        <v>1204</v>
      </c>
      <c r="B66" s="2">
        <v>0</v>
      </c>
      <c r="C66" s="2">
        <v>0</v>
      </c>
      <c r="D66" s="2">
        <v>0</v>
      </c>
    </row>
    <row r="67" spans="1:4">
      <c r="A67" s="274" t="s">
        <v>1179</v>
      </c>
      <c r="B67" s="2">
        <v>11590</v>
      </c>
      <c r="C67" s="2">
        <v>4050</v>
      </c>
      <c r="D67" s="2">
        <v>7540</v>
      </c>
    </row>
    <row r="68" spans="1:4">
      <c r="A68" s="764" t="s">
        <v>1179</v>
      </c>
      <c r="B68" s="2">
        <v>11590</v>
      </c>
      <c r="C68" s="2">
        <v>4050</v>
      </c>
      <c r="D68" s="2">
        <v>7540</v>
      </c>
    </row>
    <row r="69" spans="1:4">
      <c r="A69" s="274" t="s">
        <v>1172</v>
      </c>
      <c r="B69" s="2">
        <v>4610344</v>
      </c>
      <c r="C69" s="2">
        <v>2619012</v>
      </c>
      <c r="D69" s="2">
        <v>1991332</v>
      </c>
    </row>
    <row r="70" spans="1:4">
      <c r="A70" s="764" t="s">
        <v>1172</v>
      </c>
      <c r="B70" s="2">
        <v>4610344</v>
      </c>
      <c r="C70" s="2">
        <v>2619012</v>
      </c>
      <c r="D70" s="2">
        <v>1991332</v>
      </c>
    </row>
    <row r="71" spans="1:4">
      <c r="A71" s="274" t="s">
        <v>1180</v>
      </c>
      <c r="B71" s="2">
        <v>225718</v>
      </c>
      <c r="C71" s="2">
        <v>9440</v>
      </c>
      <c r="D71" s="2">
        <v>216278</v>
      </c>
    </row>
    <row r="72" spans="1:4">
      <c r="A72" s="764" t="s">
        <v>1180</v>
      </c>
      <c r="B72" s="2">
        <v>225718</v>
      </c>
      <c r="C72" s="2">
        <v>9440</v>
      </c>
      <c r="D72" s="2">
        <v>216278</v>
      </c>
    </row>
    <row r="73" spans="1:4">
      <c r="A73" s="274" t="s">
        <v>367</v>
      </c>
      <c r="B73" s="2">
        <v>216540</v>
      </c>
      <c r="C73" s="2">
        <v>5500</v>
      </c>
      <c r="D73" s="2">
        <v>211040</v>
      </c>
    </row>
    <row r="74" spans="1:4">
      <c r="A74" s="764" t="s">
        <v>367</v>
      </c>
      <c r="B74" s="2">
        <v>216540</v>
      </c>
      <c r="C74" s="2">
        <v>5500</v>
      </c>
      <c r="D74" s="2">
        <v>211040</v>
      </c>
    </row>
    <row r="75" spans="1:4">
      <c r="A75" s="274" t="s">
        <v>1174</v>
      </c>
      <c r="B75" s="2">
        <v>697758</v>
      </c>
      <c r="C75" s="2">
        <v>188250</v>
      </c>
      <c r="D75" s="2">
        <v>509508</v>
      </c>
    </row>
    <row r="76" spans="1:4">
      <c r="A76" s="764" t="s">
        <v>1174</v>
      </c>
      <c r="B76" s="2">
        <v>697758</v>
      </c>
      <c r="C76" s="2">
        <v>188250</v>
      </c>
      <c r="D76" s="2">
        <v>509508</v>
      </c>
    </row>
    <row r="77" spans="1:4">
      <c r="A77" s="274" t="s">
        <v>1178</v>
      </c>
      <c r="B77" s="2">
        <v>1239</v>
      </c>
      <c r="C77" s="2">
        <v>0</v>
      </c>
      <c r="D77" s="2">
        <v>1239</v>
      </c>
    </row>
    <row r="78" spans="1:4">
      <c r="A78" s="764" t="s">
        <v>1178</v>
      </c>
      <c r="B78" s="2">
        <v>1239</v>
      </c>
      <c r="C78" s="2">
        <v>0</v>
      </c>
      <c r="D78" s="2">
        <v>1239</v>
      </c>
    </row>
    <row r="79" spans="1:4">
      <c r="A79" s="274" t="s">
        <v>1175</v>
      </c>
      <c r="B79" s="2">
        <v>151925</v>
      </c>
      <c r="C79" s="2">
        <v>2580</v>
      </c>
      <c r="D79" s="2">
        <v>149345</v>
      </c>
    </row>
    <row r="80" spans="1:4">
      <c r="A80" s="764" t="s">
        <v>1175</v>
      </c>
      <c r="B80" s="2">
        <v>151925</v>
      </c>
      <c r="C80" s="2">
        <v>2580</v>
      </c>
      <c r="D80" s="2">
        <v>149345</v>
      </c>
    </row>
    <row r="81" spans="1:4">
      <c r="A81" s="274" t="s">
        <v>1171</v>
      </c>
      <c r="B81">
        <v>725000</v>
      </c>
      <c r="C81">
        <v>362500</v>
      </c>
      <c r="D81">
        <v>362500</v>
      </c>
    </row>
    <row r="82" spans="1:4">
      <c r="A82" s="764" t="s">
        <v>1347</v>
      </c>
      <c r="B82">
        <v>725000</v>
      </c>
      <c r="C82">
        <v>362500</v>
      </c>
      <c r="D82">
        <v>362500</v>
      </c>
    </row>
    <row r="83" spans="1:4">
      <c r="A83" s="273" t="s">
        <v>1191</v>
      </c>
      <c r="B83" s="2">
        <v>17862.5</v>
      </c>
      <c r="C83" s="2">
        <v>0</v>
      </c>
      <c r="D83" s="2">
        <v>17862.5</v>
      </c>
    </row>
    <row r="84" spans="1:4">
      <c r="A84" s="274" t="s">
        <v>1190</v>
      </c>
      <c r="B84" s="2">
        <v>17862.5</v>
      </c>
      <c r="C84" s="2">
        <v>0</v>
      </c>
      <c r="D84" s="2">
        <v>17862.5</v>
      </c>
    </row>
    <row r="85" spans="1:4">
      <c r="A85" s="764" t="s">
        <v>1190</v>
      </c>
      <c r="B85" s="2">
        <v>17862.5</v>
      </c>
      <c r="C85" s="2">
        <v>0</v>
      </c>
      <c r="D85" s="2">
        <v>17862.5</v>
      </c>
    </row>
    <row r="86" spans="1:4">
      <c r="A86" s="273" t="s">
        <v>1167</v>
      </c>
      <c r="B86" s="2">
        <v>126491</v>
      </c>
      <c r="C86" s="2">
        <v>36587940.399999999</v>
      </c>
      <c r="D86" s="2">
        <v>-36461449.399999999</v>
      </c>
    </row>
    <row r="87" spans="1:4">
      <c r="A87" s="274" t="s">
        <v>1167</v>
      </c>
      <c r="B87" s="2">
        <v>126491</v>
      </c>
      <c r="C87" s="2">
        <v>36587940.399999999</v>
      </c>
      <c r="D87" s="2">
        <v>-36461449.399999999</v>
      </c>
    </row>
    <row r="88" spans="1:4">
      <c r="A88" s="764" t="s">
        <v>1167</v>
      </c>
      <c r="B88" s="2">
        <v>126491</v>
      </c>
      <c r="C88" s="2">
        <v>36587940.399999999</v>
      </c>
      <c r="D88" s="2">
        <v>-36461449.399999999</v>
      </c>
    </row>
    <row r="89" spans="1:4">
      <c r="A89" s="273" t="s">
        <v>1181</v>
      </c>
      <c r="B89" s="2">
        <v>35065010</v>
      </c>
      <c r="C89" s="2">
        <v>9275529</v>
      </c>
      <c r="D89" s="2">
        <v>25789481</v>
      </c>
    </row>
    <row r="90" spans="1:4">
      <c r="A90" s="274" t="s">
        <v>1237</v>
      </c>
      <c r="B90" s="2">
        <v>799306</v>
      </c>
      <c r="C90" s="2">
        <v>0</v>
      </c>
      <c r="D90" s="2">
        <v>799306</v>
      </c>
    </row>
    <row r="91" spans="1:4">
      <c r="A91" s="764" t="s">
        <v>1237</v>
      </c>
      <c r="B91" s="2">
        <v>799306</v>
      </c>
      <c r="C91" s="2">
        <v>0</v>
      </c>
      <c r="D91" s="2">
        <v>799306</v>
      </c>
    </row>
    <row r="92" spans="1:4">
      <c r="A92" s="274" t="s">
        <v>1236</v>
      </c>
      <c r="B92" s="2">
        <v>0</v>
      </c>
      <c r="C92" s="2">
        <v>0</v>
      </c>
      <c r="D92" s="2">
        <v>0</v>
      </c>
    </row>
    <row r="93" spans="1:4">
      <c r="A93" s="764" t="s">
        <v>1236</v>
      </c>
      <c r="B93" s="2">
        <v>0</v>
      </c>
      <c r="C93" s="2">
        <v>0</v>
      </c>
      <c r="D93" s="2">
        <v>0</v>
      </c>
    </row>
    <row r="94" spans="1:4">
      <c r="A94" s="274" t="s">
        <v>1235</v>
      </c>
      <c r="B94" s="2">
        <v>627020</v>
      </c>
      <c r="C94" s="2">
        <v>0</v>
      </c>
      <c r="D94" s="2">
        <v>627020</v>
      </c>
    </row>
    <row r="95" spans="1:4">
      <c r="A95" s="764" t="s">
        <v>1235</v>
      </c>
      <c r="B95" s="2">
        <v>627020</v>
      </c>
      <c r="C95" s="2">
        <v>0</v>
      </c>
      <c r="D95" s="2">
        <v>627020</v>
      </c>
    </row>
    <row r="96" spans="1:4">
      <c r="A96" s="274" t="s">
        <v>1233</v>
      </c>
      <c r="B96" s="2">
        <v>76100</v>
      </c>
      <c r="C96" s="2">
        <v>0</v>
      </c>
      <c r="D96" s="2">
        <v>76100</v>
      </c>
    </row>
    <row r="97" spans="1:54">
      <c r="A97" s="764" t="s">
        <v>1233</v>
      </c>
      <c r="B97" s="2">
        <v>76100</v>
      </c>
      <c r="C97" s="2">
        <v>0</v>
      </c>
      <c r="D97" s="2">
        <v>76100</v>
      </c>
    </row>
    <row r="98" spans="1:54">
      <c r="A98" s="274" t="s">
        <v>1234</v>
      </c>
      <c r="B98" s="2">
        <v>0</v>
      </c>
      <c r="C98" s="2">
        <v>0</v>
      </c>
      <c r="D98" s="2">
        <v>0</v>
      </c>
    </row>
    <row r="99" spans="1:54">
      <c r="A99" s="764" t="s">
        <v>1234</v>
      </c>
      <c r="B99" s="2">
        <v>0</v>
      </c>
      <c r="C99" s="2">
        <v>0</v>
      </c>
      <c r="D99" s="2">
        <v>0</v>
      </c>
    </row>
    <row r="100" spans="1:54">
      <c r="A100" s="274" t="s">
        <v>1203</v>
      </c>
      <c r="B100" s="2">
        <v>0</v>
      </c>
      <c r="C100" s="2">
        <v>0</v>
      </c>
      <c r="D100" s="2">
        <v>0</v>
      </c>
    </row>
    <row r="101" spans="1:54">
      <c r="A101" s="764" t="s">
        <v>1207</v>
      </c>
      <c r="B101" s="2">
        <v>0</v>
      </c>
      <c r="C101" s="2">
        <v>0</v>
      </c>
      <c r="D101" s="2">
        <v>0</v>
      </c>
    </row>
    <row r="102" spans="1:54">
      <c r="A102" s="274" t="s">
        <v>1232</v>
      </c>
      <c r="B102" s="2">
        <v>176380</v>
      </c>
      <c r="C102" s="2">
        <v>0</v>
      </c>
      <c r="D102" s="2">
        <v>176380</v>
      </c>
    </row>
    <row r="103" spans="1:54">
      <c r="A103" s="764" t="s">
        <v>1232</v>
      </c>
      <c r="B103" s="2">
        <v>176380</v>
      </c>
      <c r="C103" s="2">
        <v>0</v>
      </c>
      <c r="D103" s="2">
        <v>176380</v>
      </c>
    </row>
    <row r="104" spans="1:54">
      <c r="A104" s="274" t="s">
        <v>1182</v>
      </c>
      <c r="B104" s="2">
        <v>1919499</v>
      </c>
      <c r="C104" s="2">
        <v>0</v>
      </c>
      <c r="D104" s="2">
        <v>1919499</v>
      </c>
    </row>
    <row r="105" spans="1:54">
      <c r="A105" s="764" t="s">
        <v>1182</v>
      </c>
      <c r="B105" s="2">
        <v>1919499</v>
      </c>
      <c r="C105" s="2">
        <v>0</v>
      </c>
      <c r="D105" s="2">
        <v>1919499</v>
      </c>
    </row>
    <row r="106" spans="1:54">
      <c r="A106" s="274" t="s">
        <v>1172</v>
      </c>
      <c r="B106" s="2">
        <v>7823194</v>
      </c>
      <c r="C106" s="2">
        <v>0</v>
      </c>
      <c r="D106" s="2">
        <v>7823194</v>
      </c>
    </row>
    <row r="107" spans="1:54">
      <c r="A107" s="764" t="s">
        <v>1202</v>
      </c>
      <c r="B107" s="2">
        <v>7823194</v>
      </c>
      <c r="C107" s="2">
        <v>0</v>
      </c>
      <c r="D107" s="2">
        <v>7823194</v>
      </c>
    </row>
    <row r="108" spans="1:54">
      <c r="A108" s="274" t="s">
        <v>1201</v>
      </c>
      <c r="B108" s="2">
        <v>8887918</v>
      </c>
      <c r="C108" s="2">
        <v>8403525</v>
      </c>
      <c r="D108" s="2">
        <v>484393</v>
      </c>
    </row>
    <row r="109" spans="1:54" s="431" customFormat="1">
      <c r="A109" s="764" t="s">
        <v>1202</v>
      </c>
      <c r="B109" s="2">
        <v>8887918</v>
      </c>
      <c r="C109" s="2">
        <v>8403525</v>
      </c>
      <c r="D109" s="2">
        <v>484393</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row>
    <row r="110" spans="1:54" s="431" customFormat="1">
      <c r="A110" s="274" t="s">
        <v>1189</v>
      </c>
      <c r="B110" s="2">
        <v>379523</v>
      </c>
      <c r="C110" s="2">
        <v>27004</v>
      </c>
      <c r="D110" s="2">
        <v>352519</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row>
    <row r="111" spans="1:54" s="431" customFormat="1">
      <c r="A111" s="764" t="s">
        <v>1189</v>
      </c>
      <c r="B111" s="2">
        <v>379523</v>
      </c>
      <c r="C111" s="2">
        <v>27004</v>
      </c>
      <c r="D111" s="2">
        <v>352519</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row>
    <row r="112" spans="1:54" s="431" customFormat="1">
      <c r="A112" s="274" t="s">
        <v>1231</v>
      </c>
      <c r="B112" s="2">
        <v>72000</v>
      </c>
      <c r="C112" s="2">
        <v>36000</v>
      </c>
      <c r="D112" s="2">
        <v>36000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row>
    <row r="113" spans="1:54" s="431" customFormat="1">
      <c r="A113" s="764" t="s">
        <v>1231</v>
      </c>
      <c r="B113" s="2">
        <v>72000</v>
      </c>
      <c r="C113" s="2">
        <v>36000</v>
      </c>
      <c r="D113" s="2">
        <v>36000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row>
    <row r="114" spans="1:54" s="431" customFormat="1">
      <c r="A114" s="274" t="s">
        <v>1266</v>
      </c>
      <c r="B114" s="2">
        <v>0</v>
      </c>
      <c r="C114" s="2">
        <v>0</v>
      </c>
      <c r="D114" s="2">
        <v>0</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row>
    <row r="115" spans="1:54" s="431" customFormat="1">
      <c r="A115" s="764" t="s">
        <v>1266</v>
      </c>
      <c r="B115" s="2">
        <v>0</v>
      </c>
      <c r="C115" s="2">
        <v>0</v>
      </c>
      <c r="D115" s="2">
        <v>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row>
    <row r="116" spans="1:54" s="431" customFormat="1">
      <c r="A116" s="274" t="s">
        <v>1267</v>
      </c>
      <c r="B116" s="2">
        <v>0</v>
      </c>
      <c r="C116" s="2">
        <v>0</v>
      </c>
      <c r="D116" s="2">
        <v>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row>
    <row r="117" spans="1:54" s="431" customFormat="1">
      <c r="A117" s="764" t="s">
        <v>1267</v>
      </c>
      <c r="B117" s="2">
        <v>0</v>
      </c>
      <c r="C117" s="2">
        <v>0</v>
      </c>
      <c r="D117" s="2">
        <v>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row>
    <row r="118" spans="1:54" s="431" customFormat="1">
      <c r="A118" s="274" t="s">
        <v>1268</v>
      </c>
      <c r="B118" s="2">
        <v>0</v>
      </c>
      <c r="C118" s="2">
        <v>0</v>
      </c>
      <c r="D118" s="2">
        <v>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row>
    <row r="119" spans="1:54" s="431" customFormat="1">
      <c r="A119" s="764" t="s">
        <v>1268</v>
      </c>
      <c r="B119" s="2">
        <v>0</v>
      </c>
      <c r="C119" s="2">
        <v>0</v>
      </c>
      <c r="D119" s="2">
        <v>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row>
    <row r="120" spans="1:54" s="431" customFormat="1">
      <c r="A120" s="274" t="s">
        <v>1272</v>
      </c>
      <c r="B120" s="2">
        <v>1118505</v>
      </c>
      <c r="C120" s="2">
        <v>809000</v>
      </c>
      <c r="D120" s="2">
        <v>309505</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row>
    <row r="121" spans="1:54" s="431" customFormat="1">
      <c r="A121" s="764" t="s">
        <v>1272</v>
      </c>
      <c r="B121" s="2">
        <v>1118505</v>
      </c>
      <c r="C121" s="2">
        <v>809000</v>
      </c>
      <c r="D121" s="2">
        <v>309505</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row>
    <row r="122" spans="1:54" s="431" customFormat="1">
      <c r="A122" s="274" t="s">
        <v>1273</v>
      </c>
      <c r="B122" s="2">
        <v>0</v>
      </c>
      <c r="C122" s="2">
        <v>0</v>
      </c>
      <c r="D122" s="2">
        <v>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row>
    <row r="123" spans="1:54" s="431" customFormat="1">
      <c r="A123" s="764" t="s">
        <v>1273</v>
      </c>
      <c r="B123" s="2">
        <v>0</v>
      </c>
      <c r="C123" s="2">
        <v>0</v>
      </c>
      <c r="D123" s="2">
        <v>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row>
    <row r="124" spans="1:54" s="431" customFormat="1">
      <c r="A124" s="274" t="s">
        <v>1349</v>
      </c>
      <c r="B124">
        <v>65000</v>
      </c>
      <c r="C124">
        <v>0</v>
      </c>
      <c r="D124">
        <v>65000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row>
    <row r="125" spans="1:54" s="431" customFormat="1">
      <c r="A125" s="764" t="s">
        <v>1349</v>
      </c>
      <c r="B125">
        <v>65000</v>
      </c>
      <c r="C125">
        <v>0</v>
      </c>
      <c r="D125">
        <v>65000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row>
    <row r="126" spans="1:54" s="431" customFormat="1">
      <c r="A126" s="274" t="s">
        <v>1351</v>
      </c>
      <c r="B126">
        <v>0</v>
      </c>
      <c r="C126">
        <v>0</v>
      </c>
      <c r="D126">
        <v>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row>
    <row r="127" spans="1:54" s="431" customFormat="1">
      <c r="A127" s="764" t="s">
        <v>1351</v>
      </c>
      <c r="B127">
        <v>0</v>
      </c>
      <c r="C127">
        <v>0</v>
      </c>
      <c r="D127">
        <v>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row>
    <row r="128" spans="1:54" s="431" customFormat="1">
      <c r="A128" s="274" t="s">
        <v>1353</v>
      </c>
      <c r="B128">
        <v>0</v>
      </c>
      <c r="C128">
        <v>0</v>
      </c>
      <c r="D128">
        <v>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row>
    <row r="129" spans="1:54" s="431" customFormat="1">
      <c r="A129" s="764" t="s">
        <v>1353</v>
      </c>
      <c r="B129">
        <v>0</v>
      </c>
      <c r="C129">
        <v>0</v>
      </c>
      <c r="D129">
        <v>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row>
    <row r="130" spans="1:54" s="431" customFormat="1">
      <c r="A130" s="274" t="s">
        <v>1355</v>
      </c>
      <c r="B130">
        <v>1320000</v>
      </c>
      <c r="C130">
        <v>0</v>
      </c>
      <c r="D130">
        <v>1320000</v>
      </c>
      <c r="E130" s="436"/>
      <c r="F130" s="436"/>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row>
    <row r="131" spans="1:54" s="432" customFormat="1">
      <c r="A131" s="764" t="s">
        <v>1355</v>
      </c>
      <c r="B131">
        <v>1320000</v>
      </c>
      <c r="C131">
        <v>0</v>
      </c>
      <c r="D131">
        <v>1320000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row>
    <row r="132" spans="1:54" s="432" customFormat="1">
      <c r="A132" s="274" t="s">
        <v>1357</v>
      </c>
      <c r="B132">
        <v>349175</v>
      </c>
      <c r="C132">
        <v>0</v>
      </c>
      <c r="D132">
        <v>349175</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row>
    <row r="133" spans="1:54" s="433" customFormat="1">
      <c r="A133" s="764" t="s">
        <v>1357</v>
      </c>
      <c r="B133">
        <v>349175</v>
      </c>
      <c r="C133">
        <v>0</v>
      </c>
      <c r="D133">
        <v>349175</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row>
    <row r="134" spans="1:54" s="433" customFormat="1">
      <c r="A134" s="274" t="s">
        <v>1361</v>
      </c>
      <c r="B134">
        <v>0</v>
      </c>
      <c r="C134">
        <v>0</v>
      </c>
      <c r="D134">
        <v>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row>
    <row r="135" spans="1:54" s="433" customFormat="1">
      <c r="A135" s="764" t="s">
        <v>1361</v>
      </c>
      <c r="B135">
        <v>0</v>
      </c>
      <c r="C135">
        <v>0</v>
      </c>
      <c r="D135">
        <v>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row>
    <row r="136" spans="1:54" s="433" customFormat="1">
      <c r="A136" s="274" t="s">
        <v>1363</v>
      </c>
      <c r="B136">
        <v>330784</v>
      </c>
      <c r="C136">
        <v>0</v>
      </c>
      <c r="D136">
        <v>330784</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row>
    <row r="137" spans="1:54" s="433" customFormat="1">
      <c r="A137" s="764" t="s">
        <v>1363</v>
      </c>
      <c r="B137">
        <v>330784</v>
      </c>
      <c r="C137">
        <v>0</v>
      </c>
      <c r="D137">
        <v>330784</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row>
    <row r="138" spans="1:54" s="433" customFormat="1">
      <c r="A138" s="274" t="s">
        <v>1366</v>
      </c>
      <c r="B138">
        <v>1161050</v>
      </c>
      <c r="C138">
        <v>0</v>
      </c>
      <c r="D138">
        <v>1161050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row>
    <row r="139" spans="1:54" s="433" customFormat="1">
      <c r="A139" s="764" t="s">
        <v>1366</v>
      </c>
      <c r="B139">
        <v>1161050</v>
      </c>
      <c r="C139">
        <v>0</v>
      </c>
      <c r="D139">
        <v>1161050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row>
    <row r="140" spans="1:54" s="433" customFormat="1">
      <c r="A140" s="274" t="s">
        <v>1368</v>
      </c>
      <c r="B140">
        <v>322440</v>
      </c>
      <c r="C140">
        <v>0</v>
      </c>
      <c r="D140">
        <v>322440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row>
    <row r="141" spans="1:54" s="433" customFormat="1">
      <c r="A141" s="764" t="s">
        <v>1368</v>
      </c>
      <c r="B141">
        <v>322440</v>
      </c>
      <c r="C141">
        <v>0</v>
      </c>
      <c r="D141">
        <v>322440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row>
    <row r="142" spans="1:54" s="433" customFormat="1">
      <c r="A142" s="274" t="s">
        <v>1370</v>
      </c>
      <c r="B142">
        <v>411572</v>
      </c>
      <c r="C142">
        <v>0</v>
      </c>
      <c r="D142">
        <v>411572</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row>
    <row r="143" spans="1:54" s="433" customFormat="1">
      <c r="A143" s="764" t="s">
        <v>1370</v>
      </c>
      <c r="B143">
        <v>411572</v>
      </c>
      <c r="C143">
        <v>0</v>
      </c>
      <c r="D143">
        <v>411572</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row>
    <row r="144" spans="1:54" s="433" customFormat="1">
      <c r="A144" s="274" t="s">
        <v>1459</v>
      </c>
      <c r="B144">
        <v>50000</v>
      </c>
      <c r="C144">
        <v>0</v>
      </c>
      <c r="D144">
        <v>50000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row>
    <row r="145" spans="1:54">
      <c r="A145" s="764" t="s">
        <v>1459</v>
      </c>
      <c r="B145">
        <v>50000</v>
      </c>
      <c r="C145">
        <v>0</v>
      </c>
      <c r="D145">
        <v>50000</v>
      </c>
    </row>
    <row r="146" spans="1:54">
      <c r="A146" s="274" t="s">
        <v>1462</v>
      </c>
      <c r="B146">
        <v>54230</v>
      </c>
      <c r="C146">
        <v>0</v>
      </c>
      <c r="D146">
        <v>54230</v>
      </c>
    </row>
    <row r="147" spans="1:54" s="434" customFormat="1">
      <c r="A147" s="764" t="s">
        <v>1462</v>
      </c>
      <c r="B147">
        <v>54230</v>
      </c>
      <c r="C147">
        <v>0</v>
      </c>
      <c r="D147">
        <v>54230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row>
    <row r="148" spans="1:54" s="434" customFormat="1">
      <c r="A148" s="274" t="s">
        <v>1465</v>
      </c>
      <c r="B148">
        <v>8500</v>
      </c>
      <c r="C148">
        <v>0</v>
      </c>
      <c r="D148">
        <v>8500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row>
    <row r="149" spans="1:54" s="430" customFormat="1">
      <c r="A149" s="764" t="s">
        <v>1465</v>
      </c>
      <c r="B149">
        <v>8500</v>
      </c>
      <c r="C149">
        <v>0</v>
      </c>
      <c r="D149">
        <v>8500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row>
    <row r="150" spans="1:54" s="430" customFormat="1">
      <c r="A150" s="274" t="s">
        <v>1468</v>
      </c>
      <c r="B150">
        <v>660000</v>
      </c>
      <c r="C150">
        <v>0</v>
      </c>
      <c r="D150">
        <v>660000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row>
    <row r="151" spans="1:54" s="430" customFormat="1">
      <c r="A151" s="764" t="s">
        <v>1468</v>
      </c>
      <c r="B151">
        <v>660000</v>
      </c>
      <c r="C151">
        <v>0</v>
      </c>
      <c r="D151">
        <v>660000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row>
    <row r="152" spans="1:54" s="430" customFormat="1">
      <c r="A152" s="274" t="s">
        <v>1471</v>
      </c>
      <c r="B152">
        <v>330000</v>
      </c>
      <c r="C152">
        <v>0</v>
      </c>
      <c r="D152">
        <v>330000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row>
    <row r="153" spans="1:54">
      <c r="A153" s="764" t="s">
        <v>1471</v>
      </c>
      <c r="B153">
        <v>330000</v>
      </c>
      <c r="C153">
        <v>0</v>
      </c>
      <c r="D153">
        <v>330000</v>
      </c>
    </row>
    <row r="154" spans="1:54">
      <c r="A154" s="274" t="s">
        <v>1474</v>
      </c>
      <c r="B154">
        <v>5500</v>
      </c>
      <c r="C154">
        <v>0</v>
      </c>
      <c r="D154">
        <v>5500</v>
      </c>
    </row>
    <row r="155" spans="1:54" s="434" customFormat="1">
      <c r="A155" s="764" t="s">
        <v>1474</v>
      </c>
      <c r="B155">
        <v>5500</v>
      </c>
      <c r="C155">
        <v>0</v>
      </c>
      <c r="D155">
        <v>5500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row>
    <row r="156" spans="1:54" s="430" customFormat="1">
      <c r="A156" s="274" t="s">
        <v>1477</v>
      </c>
      <c r="B156">
        <v>2255848</v>
      </c>
      <c r="C156">
        <v>0</v>
      </c>
      <c r="D156">
        <v>2255848</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row>
    <row r="157" spans="1:54" s="430" customFormat="1">
      <c r="A157" s="764" t="s">
        <v>1477</v>
      </c>
      <c r="B157">
        <v>2255848</v>
      </c>
      <c r="C157">
        <v>0</v>
      </c>
      <c r="D157">
        <v>2255848</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row>
    <row r="158" spans="1:54" s="430" customFormat="1">
      <c r="A158" s="274" t="s">
        <v>1481</v>
      </c>
      <c r="B158">
        <v>535668</v>
      </c>
      <c r="C158">
        <v>0</v>
      </c>
      <c r="D158">
        <v>535668</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row>
    <row r="159" spans="1:54" s="430" customFormat="1">
      <c r="A159" s="764" t="s">
        <v>1481</v>
      </c>
      <c r="B159">
        <v>535668</v>
      </c>
      <c r="C159">
        <v>0</v>
      </c>
      <c r="D159">
        <v>535668</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row>
    <row r="160" spans="1:54">
      <c r="A160" s="274" t="s">
        <v>1484</v>
      </c>
      <c r="B160">
        <v>191564</v>
      </c>
      <c r="C160">
        <v>0</v>
      </c>
      <c r="D160">
        <v>191564</v>
      </c>
    </row>
    <row r="161" spans="1:54">
      <c r="A161" s="764" t="s">
        <v>1484</v>
      </c>
      <c r="B161">
        <v>191564</v>
      </c>
      <c r="C161">
        <v>0</v>
      </c>
      <c r="D161">
        <v>191564</v>
      </c>
    </row>
    <row r="162" spans="1:54" s="434" customFormat="1">
      <c r="A162" s="274" t="s">
        <v>1499</v>
      </c>
      <c r="B162">
        <v>27004</v>
      </c>
      <c r="C162">
        <v>0</v>
      </c>
      <c r="D162">
        <v>27004</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row>
    <row r="163" spans="1:54" s="434" customFormat="1">
      <c r="A163" s="764" t="s">
        <v>1499</v>
      </c>
      <c r="B163">
        <v>27004</v>
      </c>
      <c r="C163">
        <v>0</v>
      </c>
      <c r="D163">
        <v>27004</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row>
    <row r="164" spans="1:54" s="433" customFormat="1">
      <c r="A164" s="274" t="s">
        <v>1502</v>
      </c>
      <c r="B164">
        <v>31158</v>
      </c>
      <c r="C164">
        <v>0</v>
      </c>
      <c r="D164">
        <v>31158</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row>
    <row r="165" spans="1:54" s="433" customFormat="1">
      <c r="A165" s="764" t="s">
        <v>1502</v>
      </c>
      <c r="B165">
        <v>31158</v>
      </c>
      <c r="C165">
        <v>0</v>
      </c>
      <c r="D165">
        <v>31158</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row>
    <row r="166" spans="1:54" s="425" customFormat="1">
      <c r="A166" s="274" t="s">
        <v>1505</v>
      </c>
      <c r="B166">
        <v>23000</v>
      </c>
      <c r="C166">
        <v>0</v>
      </c>
      <c r="D166">
        <v>23000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row>
    <row r="167" spans="1:54" s="425" customFormat="1">
      <c r="A167" s="764" t="s">
        <v>1505</v>
      </c>
      <c r="B167">
        <v>23000</v>
      </c>
      <c r="C167">
        <v>0</v>
      </c>
      <c r="D167">
        <v>23000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row>
    <row r="168" spans="1:54" s="425" customFormat="1">
      <c r="A168" s="274" t="s">
        <v>1508</v>
      </c>
      <c r="B168">
        <v>599579</v>
      </c>
      <c r="C168">
        <v>0</v>
      </c>
      <c r="D168">
        <v>599579</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row>
    <row r="169" spans="1:54" s="425" customFormat="1">
      <c r="A169" s="764" t="s">
        <v>1508</v>
      </c>
      <c r="B169">
        <v>599579</v>
      </c>
      <c r="C169">
        <v>0</v>
      </c>
      <c r="D169">
        <v>599579</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row>
    <row r="170" spans="1:54" s="425" customFormat="1">
      <c r="A170" s="274" t="s">
        <v>1511</v>
      </c>
      <c r="B170">
        <v>416650</v>
      </c>
      <c r="C170">
        <v>0</v>
      </c>
      <c r="D170">
        <v>416650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row>
    <row r="171" spans="1:54" s="425" customFormat="1">
      <c r="A171" s="764" t="s">
        <v>1511</v>
      </c>
      <c r="B171">
        <v>416650</v>
      </c>
      <c r="C171">
        <v>0</v>
      </c>
      <c r="D171">
        <v>416650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row>
    <row r="172" spans="1:54" s="425" customFormat="1">
      <c r="A172" s="274" t="s">
        <v>1514</v>
      </c>
      <c r="B172">
        <v>780000</v>
      </c>
      <c r="C172">
        <v>0</v>
      </c>
      <c r="D172">
        <v>780000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row>
    <row r="173" spans="1:54" s="425" customFormat="1">
      <c r="A173" s="764" t="s">
        <v>1514</v>
      </c>
      <c r="B173">
        <v>780000</v>
      </c>
      <c r="C173">
        <v>0</v>
      </c>
      <c r="D173">
        <v>780000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row>
    <row r="174" spans="1:54" s="425" customFormat="1">
      <c r="A174" s="274" t="s">
        <v>1517</v>
      </c>
      <c r="B174">
        <v>870000</v>
      </c>
      <c r="C174">
        <v>0</v>
      </c>
      <c r="D174">
        <v>870000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row>
    <row r="175" spans="1:54">
      <c r="A175" s="764" t="s">
        <v>1517</v>
      </c>
      <c r="B175">
        <v>870000</v>
      </c>
      <c r="C175">
        <v>0</v>
      </c>
      <c r="D175">
        <v>870000</v>
      </c>
    </row>
    <row r="176" spans="1:54">
      <c r="A176" s="274" t="s">
        <v>1520</v>
      </c>
      <c r="B176">
        <v>405558</v>
      </c>
      <c r="C176">
        <v>0</v>
      </c>
      <c r="D176">
        <v>405558</v>
      </c>
    </row>
    <row r="177" spans="1:4">
      <c r="A177" s="764" t="s">
        <v>1520</v>
      </c>
      <c r="B177">
        <v>405558</v>
      </c>
      <c r="C177">
        <v>0</v>
      </c>
      <c r="D177">
        <v>405558</v>
      </c>
    </row>
    <row r="178" spans="1:4">
      <c r="A178" s="274" t="s">
        <v>1523</v>
      </c>
      <c r="B178">
        <v>644351</v>
      </c>
      <c r="C178">
        <v>0</v>
      </c>
      <c r="D178">
        <v>644351</v>
      </c>
    </row>
    <row r="179" spans="1:4">
      <c r="A179" s="764" t="s">
        <v>1523</v>
      </c>
      <c r="B179">
        <v>644351</v>
      </c>
      <c r="C179">
        <v>0</v>
      </c>
      <c r="D179">
        <v>644351</v>
      </c>
    </row>
    <row r="180" spans="1:4">
      <c r="A180" s="274" t="s">
        <v>1527</v>
      </c>
      <c r="B180">
        <v>162172</v>
      </c>
      <c r="C180">
        <v>0</v>
      </c>
      <c r="D180">
        <v>162172</v>
      </c>
    </row>
    <row r="181" spans="1:4">
      <c r="A181" s="764" t="s">
        <v>1527</v>
      </c>
      <c r="B181">
        <v>162172</v>
      </c>
      <c r="C181">
        <v>0</v>
      </c>
      <c r="D181">
        <v>162172</v>
      </c>
    </row>
    <row r="182" spans="1:4">
      <c r="A182" s="274" t="s">
        <v>1551</v>
      </c>
      <c r="B182">
        <v>93278</v>
      </c>
      <c r="C182">
        <v>0</v>
      </c>
      <c r="D182">
        <v>93278</v>
      </c>
    </row>
    <row r="183" spans="1:4">
      <c r="A183" s="764" t="s">
        <v>1551</v>
      </c>
      <c r="B183">
        <v>93278</v>
      </c>
      <c r="C183">
        <v>0</v>
      </c>
      <c r="D183">
        <v>93278</v>
      </c>
    </row>
    <row r="184" spans="1:4">
      <c r="A184" s="274" t="s">
        <v>1554</v>
      </c>
      <c r="B184">
        <v>150500</v>
      </c>
      <c r="C184">
        <v>0</v>
      </c>
      <c r="D184">
        <v>150500</v>
      </c>
    </row>
    <row r="185" spans="1:4">
      <c r="A185" s="764" t="s">
        <v>1554</v>
      </c>
      <c r="B185">
        <v>150500</v>
      </c>
      <c r="C185">
        <v>0</v>
      </c>
      <c r="D185">
        <v>150500</v>
      </c>
    </row>
    <row r="186" spans="1:4">
      <c r="A186" s="274" t="s">
        <v>1557</v>
      </c>
      <c r="B186">
        <v>23295</v>
      </c>
      <c r="C186">
        <v>0</v>
      </c>
      <c r="D186">
        <v>23295</v>
      </c>
    </row>
    <row r="187" spans="1:4">
      <c r="A187" s="764" t="s">
        <v>1557</v>
      </c>
      <c r="B187">
        <v>23295</v>
      </c>
      <c r="C187">
        <v>0</v>
      </c>
      <c r="D187">
        <v>23295</v>
      </c>
    </row>
    <row r="188" spans="1:4">
      <c r="A188" s="274" t="s">
        <v>1560</v>
      </c>
      <c r="B188">
        <v>30494</v>
      </c>
      <c r="C188">
        <v>0</v>
      </c>
      <c r="D188">
        <v>30494</v>
      </c>
    </row>
    <row r="189" spans="1:4">
      <c r="A189" s="764" t="s">
        <v>1560</v>
      </c>
      <c r="B189">
        <v>30494</v>
      </c>
      <c r="C189">
        <v>0</v>
      </c>
      <c r="D189">
        <v>30494</v>
      </c>
    </row>
    <row r="190" spans="1:4">
      <c r="A190" s="274" t="s">
        <v>1563</v>
      </c>
      <c r="B190">
        <v>36925</v>
      </c>
      <c r="C190">
        <v>0</v>
      </c>
      <c r="D190">
        <v>36925</v>
      </c>
    </row>
    <row r="191" spans="1:4">
      <c r="A191" s="764" t="s">
        <v>1563</v>
      </c>
      <c r="B191">
        <v>36925</v>
      </c>
      <c r="C191">
        <v>0</v>
      </c>
      <c r="D191">
        <v>36925</v>
      </c>
    </row>
    <row r="192" spans="1:4">
      <c r="A192" s="274" t="s">
        <v>1566</v>
      </c>
      <c r="B192">
        <v>6980</v>
      </c>
      <c r="C192">
        <v>0</v>
      </c>
      <c r="D192">
        <v>6980</v>
      </c>
    </row>
    <row r="193" spans="1:4">
      <c r="A193" s="764" t="s">
        <v>1566</v>
      </c>
      <c r="B193">
        <v>6980</v>
      </c>
      <c r="C193">
        <v>0</v>
      </c>
      <c r="D193">
        <v>6980</v>
      </c>
    </row>
    <row r="194" spans="1:4">
      <c r="A194" s="274" t="s">
        <v>1569</v>
      </c>
      <c r="B194">
        <v>150000</v>
      </c>
      <c r="C194">
        <v>0</v>
      </c>
      <c r="D194">
        <v>150000</v>
      </c>
    </row>
    <row r="195" spans="1:4">
      <c r="A195" s="764" t="s">
        <v>1569</v>
      </c>
      <c r="B195">
        <v>150000</v>
      </c>
      <c r="C195">
        <v>0</v>
      </c>
      <c r="D195">
        <v>150000</v>
      </c>
    </row>
    <row r="196" spans="1:4">
      <c r="A196" s="274" t="s">
        <v>1575</v>
      </c>
      <c r="B196">
        <v>111000</v>
      </c>
      <c r="C196">
        <v>0</v>
      </c>
      <c r="D196">
        <v>111000</v>
      </c>
    </row>
    <row r="197" spans="1:4">
      <c r="A197" s="764" t="s">
        <v>1575</v>
      </c>
      <c r="B197">
        <v>111000</v>
      </c>
      <c r="C197">
        <v>0</v>
      </c>
      <c r="D197">
        <v>111000</v>
      </c>
    </row>
    <row r="198" spans="1:4">
      <c r="A198" s="274" t="s">
        <v>1578</v>
      </c>
      <c r="B198">
        <v>235000</v>
      </c>
      <c r="C198">
        <v>0</v>
      </c>
      <c r="D198">
        <v>235000</v>
      </c>
    </row>
    <row r="199" spans="1:4">
      <c r="A199" s="764" t="s">
        <v>1578</v>
      </c>
      <c r="B199">
        <v>235000</v>
      </c>
      <c r="C199">
        <v>0</v>
      </c>
      <c r="D199">
        <v>235000</v>
      </c>
    </row>
    <row r="200" spans="1:4">
      <c r="A200" s="274" t="s">
        <v>1997</v>
      </c>
      <c r="B200">
        <v>337290</v>
      </c>
      <c r="C200">
        <v>0</v>
      </c>
      <c r="D200">
        <v>337290</v>
      </c>
    </row>
    <row r="201" spans="1:4">
      <c r="A201" s="764" t="s">
        <v>1997</v>
      </c>
      <c r="B201">
        <v>337290</v>
      </c>
      <c r="C201">
        <v>0</v>
      </c>
      <c r="D201">
        <v>337290</v>
      </c>
    </row>
    <row r="202" spans="1:4">
      <c r="A202" s="273" t="s">
        <v>1165</v>
      </c>
      <c r="B202" s="2">
        <v>30800</v>
      </c>
      <c r="C202" s="2">
        <v>852646.01</v>
      </c>
      <c r="D202" s="2">
        <v>-821846.01</v>
      </c>
    </row>
    <row r="203" spans="1:4">
      <c r="A203" s="274" t="s">
        <v>1166</v>
      </c>
      <c r="B203" s="2">
        <v>30800</v>
      </c>
      <c r="C203" s="2">
        <v>851784</v>
      </c>
      <c r="D203" s="2">
        <v>-820984</v>
      </c>
    </row>
    <row r="204" spans="1:4">
      <c r="A204" s="764" t="s">
        <v>1166</v>
      </c>
      <c r="B204" s="2">
        <v>30800</v>
      </c>
      <c r="C204" s="2">
        <v>851784</v>
      </c>
      <c r="D204" s="2">
        <v>-820984</v>
      </c>
    </row>
    <row r="205" spans="1:4">
      <c r="A205" s="274" t="s">
        <v>593</v>
      </c>
      <c r="B205" s="2">
        <v>0</v>
      </c>
      <c r="C205" s="2">
        <v>862.01</v>
      </c>
      <c r="D205" s="2">
        <v>-862.01</v>
      </c>
    </row>
    <row r="206" spans="1:4">
      <c r="A206" s="764" t="s">
        <v>1170</v>
      </c>
      <c r="B206" s="2">
        <v>0</v>
      </c>
      <c r="C206" s="2">
        <v>862.01</v>
      </c>
      <c r="D206" s="2">
        <v>-862.01</v>
      </c>
    </row>
    <row r="207" spans="1:4">
      <c r="A207" s="273" t="s">
        <v>484</v>
      </c>
      <c r="B207" s="2">
        <v>492254.24000000005</v>
      </c>
      <c r="C207" s="2">
        <v>0</v>
      </c>
      <c r="D207" s="2">
        <v>492254.24000000005</v>
      </c>
    </row>
    <row r="208" spans="1:4">
      <c r="A208" s="274" t="s">
        <v>1198</v>
      </c>
      <c r="B208" s="2">
        <v>492254.24000000005</v>
      </c>
      <c r="C208" s="2">
        <v>0</v>
      </c>
      <c r="D208" s="2">
        <v>492254.24000000005</v>
      </c>
    </row>
    <row r="209" spans="1:4">
      <c r="A209" s="764" t="s">
        <v>1198</v>
      </c>
      <c r="B209" s="2">
        <v>492254.24000000005</v>
      </c>
      <c r="C209" s="2">
        <v>0</v>
      </c>
      <c r="D209" s="2">
        <v>492254.24000000005</v>
      </c>
    </row>
    <row r="210" spans="1:4">
      <c r="A210" s="272" t="s">
        <v>645</v>
      </c>
      <c r="B210" s="2">
        <v>562056533.61002493</v>
      </c>
      <c r="C210" s="2">
        <v>562056532.7583878</v>
      </c>
      <c r="D210" s="2">
        <v>0.85163715068483725</v>
      </c>
    </row>
  </sheetData>
  <pageMargins left="0.7" right="0.2" top="0.25" bottom="0.25" header="0.3" footer="0.3"/>
  <pageSetup scale="75"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P522"/>
  <sheetViews>
    <sheetView topLeftCell="A7" zoomScaleNormal="100" workbookViewId="0">
      <pane xSplit="1" ySplit="2" topLeftCell="B235" activePane="bottomRight" state="frozen"/>
      <selection activeCell="A7" sqref="A7"/>
      <selection pane="topRight" activeCell="B7" sqref="B7"/>
      <selection pane="bottomLeft" activeCell="A9" sqref="A9"/>
      <selection pane="bottomRight" activeCell="B9" sqref="B9"/>
    </sheetView>
  </sheetViews>
  <sheetFormatPr defaultRowHeight="14.5"/>
  <cols>
    <col min="1" max="1" width="18.7265625" style="472" customWidth="1"/>
    <col min="2" max="2" width="30" style="472" customWidth="1"/>
    <col min="3" max="3" width="59.54296875" style="472" customWidth="1"/>
    <col min="4" max="4" width="15.26953125" style="472" bestFit="1" customWidth="1"/>
    <col min="5" max="5" width="29.1796875" style="472" customWidth="1"/>
    <col min="6" max="6" width="39" style="472" customWidth="1"/>
    <col min="7" max="7" width="34.26953125" style="472" customWidth="1"/>
    <col min="8" max="8" width="16" style="472" customWidth="1"/>
    <col min="9" max="9" width="15.7265625" style="472" customWidth="1"/>
    <col min="10" max="16" width="16" style="472" customWidth="1"/>
    <col min="17" max="17" width="16.54296875" style="472" customWidth="1"/>
    <col min="18" max="18" width="17.1796875" style="472" customWidth="1"/>
    <col min="19" max="19" width="17.81640625" style="472" customWidth="1"/>
    <col min="20" max="20" width="10.26953125" style="472" bestFit="1" customWidth="1"/>
    <col min="21" max="21" width="13.54296875" style="472" bestFit="1" customWidth="1"/>
    <col min="22" max="23" width="15" style="472" bestFit="1" customWidth="1"/>
    <col min="24" max="24" width="12.26953125" style="472" customWidth="1"/>
    <col min="25" max="25" width="13.453125" style="472" customWidth="1"/>
    <col min="26" max="57" width="13.26953125" style="472" customWidth="1"/>
    <col min="58" max="58" width="12.81640625" style="472" customWidth="1"/>
    <col min="59" max="59" width="15.54296875" style="472" customWidth="1"/>
    <col min="60" max="206" width="9.1796875" style="472"/>
    <col min="207" max="207" width="16.453125" style="472" customWidth="1"/>
    <col min="208" max="208" width="35" style="472" customWidth="1"/>
    <col min="209" max="209" width="9.7265625" style="472" customWidth="1"/>
    <col min="210" max="210" width="14.81640625" style="472" bestFit="1" customWidth="1"/>
    <col min="211" max="211" width="11.7265625" style="472" bestFit="1" customWidth="1"/>
    <col min="212" max="212" width="13.54296875" style="472" bestFit="1" customWidth="1"/>
    <col min="213" max="213" width="11.7265625" style="472" bestFit="1" customWidth="1"/>
    <col min="214" max="214" width="14.1796875" style="472" bestFit="1" customWidth="1"/>
    <col min="215" max="215" width="11.7265625" style="472" bestFit="1" customWidth="1"/>
    <col min="216" max="216" width="0" style="472" hidden="1" customWidth="1"/>
    <col min="217" max="217" width="0.26953125" style="472" customWidth="1"/>
    <col min="218" max="462" width="9.1796875" style="472"/>
    <col min="463" max="463" width="16.453125" style="472" customWidth="1"/>
    <col min="464" max="464" width="35" style="472" customWidth="1"/>
    <col min="465" max="465" width="9.7265625" style="472" customWidth="1"/>
    <col min="466" max="466" width="14.81640625" style="472" bestFit="1" customWidth="1"/>
    <col min="467" max="467" width="11.7265625" style="472" bestFit="1" customWidth="1"/>
    <col min="468" max="468" width="13.54296875" style="472" bestFit="1" customWidth="1"/>
    <col min="469" max="469" width="11.7265625" style="472" bestFit="1" customWidth="1"/>
    <col min="470" max="470" width="14.1796875" style="472" bestFit="1" customWidth="1"/>
    <col min="471" max="471" width="11.7265625" style="472" bestFit="1" customWidth="1"/>
    <col min="472" max="472" width="0" style="472" hidden="1" customWidth="1"/>
    <col min="473" max="473" width="0.26953125" style="472" customWidth="1"/>
    <col min="474" max="718" width="9.1796875" style="472"/>
    <col min="719" max="719" width="16.453125" style="472" customWidth="1"/>
    <col min="720" max="720" width="35" style="472" customWidth="1"/>
    <col min="721" max="721" width="9.7265625" style="472" customWidth="1"/>
    <col min="722" max="722" width="14.81640625" style="472" bestFit="1" customWidth="1"/>
    <col min="723" max="723" width="11.7265625" style="472" bestFit="1" customWidth="1"/>
    <col min="724" max="724" width="13.54296875" style="472" bestFit="1" customWidth="1"/>
    <col min="725" max="725" width="11.7265625" style="472" bestFit="1" customWidth="1"/>
    <col min="726" max="726" width="14.1796875" style="472" bestFit="1" customWidth="1"/>
    <col min="727" max="727" width="11.7265625" style="472" bestFit="1" customWidth="1"/>
    <col min="728" max="728" width="0" style="472" hidden="1" customWidth="1"/>
    <col min="729" max="729" width="0.26953125" style="472" customWidth="1"/>
    <col min="730" max="974" width="9.1796875" style="472"/>
    <col min="975" max="975" width="16.453125" style="472" customWidth="1"/>
    <col min="976" max="976" width="35" style="472" customWidth="1"/>
    <col min="977" max="977" width="9.7265625" style="472" customWidth="1"/>
    <col min="978" max="978" width="14.81640625" style="472" bestFit="1" customWidth="1"/>
    <col min="979" max="979" width="11.7265625" style="472" bestFit="1" customWidth="1"/>
    <col min="980" max="980" width="13.54296875" style="472" bestFit="1" customWidth="1"/>
    <col min="981" max="981" width="11.7265625" style="472" bestFit="1" customWidth="1"/>
    <col min="982" max="982" width="14.1796875" style="472" bestFit="1" customWidth="1"/>
    <col min="983" max="983" width="11.7265625" style="472" bestFit="1" customWidth="1"/>
    <col min="984" max="984" width="0" style="472" hidden="1" customWidth="1"/>
    <col min="985" max="985" width="0.26953125" style="472" customWidth="1"/>
    <col min="986" max="1230" width="9.1796875" style="472"/>
    <col min="1231" max="1231" width="16.453125" style="472" customWidth="1"/>
    <col min="1232" max="1232" width="35" style="472" customWidth="1"/>
    <col min="1233" max="1233" width="9.7265625" style="472" customWidth="1"/>
    <col min="1234" max="1234" width="14.81640625" style="472" bestFit="1" customWidth="1"/>
    <col min="1235" max="1235" width="11.7265625" style="472" bestFit="1" customWidth="1"/>
    <col min="1236" max="1236" width="13.54296875" style="472" bestFit="1" customWidth="1"/>
    <col min="1237" max="1237" width="11.7265625" style="472" bestFit="1" customWidth="1"/>
    <col min="1238" max="1238" width="14.1796875" style="472" bestFit="1" customWidth="1"/>
    <col min="1239" max="1239" width="11.7265625" style="472" bestFit="1" customWidth="1"/>
    <col min="1240" max="1240" width="0" style="472" hidden="1" customWidth="1"/>
    <col min="1241" max="1241" width="0.26953125" style="472" customWidth="1"/>
    <col min="1242" max="1486" width="9.1796875" style="472"/>
    <col min="1487" max="1487" width="16.453125" style="472" customWidth="1"/>
    <col min="1488" max="1488" width="35" style="472" customWidth="1"/>
    <col min="1489" max="1489" width="9.7265625" style="472" customWidth="1"/>
    <col min="1490" max="1490" width="14.81640625" style="472" bestFit="1" customWidth="1"/>
    <col min="1491" max="1491" width="11.7265625" style="472" bestFit="1" customWidth="1"/>
    <col min="1492" max="1492" width="13.54296875" style="472" bestFit="1" customWidth="1"/>
    <col min="1493" max="1493" width="11.7265625" style="472" bestFit="1" customWidth="1"/>
    <col min="1494" max="1494" width="14.1796875" style="472" bestFit="1" customWidth="1"/>
    <col min="1495" max="1495" width="11.7265625" style="472" bestFit="1" customWidth="1"/>
    <col min="1496" max="1496" width="0" style="472" hidden="1" customWidth="1"/>
    <col min="1497" max="1497" width="0.26953125" style="472" customWidth="1"/>
    <col min="1498" max="1742" width="9.1796875" style="472"/>
    <col min="1743" max="1743" width="16.453125" style="472" customWidth="1"/>
    <col min="1744" max="1744" width="35" style="472" customWidth="1"/>
    <col min="1745" max="1745" width="9.7265625" style="472" customWidth="1"/>
    <col min="1746" max="1746" width="14.81640625" style="472" bestFit="1" customWidth="1"/>
    <col min="1747" max="1747" width="11.7265625" style="472" bestFit="1" customWidth="1"/>
    <col min="1748" max="1748" width="13.54296875" style="472" bestFit="1" customWidth="1"/>
    <col min="1749" max="1749" width="11.7265625" style="472" bestFit="1" customWidth="1"/>
    <col min="1750" max="1750" width="14.1796875" style="472" bestFit="1" customWidth="1"/>
    <col min="1751" max="1751" width="11.7265625" style="472" bestFit="1" customWidth="1"/>
    <col min="1752" max="1752" width="0" style="472" hidden="1" customWidth="1"/>
    <col min="1753" max="1753" width="0.26953125" style="472" customWidth="1"/>
    <col min="1754" max="1998" width="9.1796875" style="472"/>
    <col min="1999" max="1999" width="16.453125" style="472" customWidth="1"/>
    <col min="2000" max="2000" width="35" style="472" customWidth="1"/>
    <col min="2001" max="2001" width="9.7265625" style="472" customWidth="1"/>
    <col min="2002" max="2002" width="14.81640625" style="472" bestFit="1" customWidth="1"/>
    <col min="2003" max="2003" width="11.7265625" style="472" bestFit="1" customWidth="1"/>
    <col min="2004" max="2004" width="13.54296875" style="472" bestFit="1" customWidth="1"/>
    <col min="2005" max="2005" width="11.7265625" style="472" bestFit="1" customWidth="1"/>
    <col min="2006" max="2006" width="14.1796875" style="472" bestFit="1" customWidth="1"/>
    <col min="2007" max="2007" width="11.7265625" style="472" bestFit="1" customWidth="1"/>
    <col min="2008" max="2008" width="0" style="472" hidden="1" customWidth="1"/>
    <col min="2009" max="2009" width="0.26953125" style="472" customWidth="1"/>
    <col min="2010" max="2254" width="9.1796875" style="472"/>
    <col min="2255" max="2255" width="16.453125" style="472" customWidth="1"/>
    <col min="2256" max="2256" width="35" style="472" customWidth="1"/>
    <col min="2257" max="2257" width="9.7265625" style="472" customWidth="1"/>
    <col min="2258" max="2258" width="14.81640625" style="472" bestFit="1" customWidth="1"/>
    <col min="2259" max="2259" width="11.7265625" style="472" bestFit="1" customWidth="1"/>
    <col min="2260" max="2260" width="13.54296875" style="472" bestFit="1" customWidth="1"/>
    <col min="2261" max="2261" width="11.7265625" style="472" bestFit="1" customWidth="1"/>
    <col min="2262" max="2262" width="14.1796875" style="472" bestFit="1" customWidth="1"/>
    <col min="2263" max="2263" width="11.7265625" style="472" bestFit="1" customWidth="1"/>
    <col min="2264" max="2264" width="0" style="472" hidden="1" customWidth="1"/>
    <col min="2265" max="2265" width="0.26953125" style="472" customWidth="1"/>
    <col min="2266" max="2510" width="9.1796875" style="472"/>
    <col min="2511" max="2511" width="16.453125" style="472" customWidth="1"/>
    <col min="2512" max="2512" width="35" style="472" customWidth="1"/>
    <col min="2513" max="2513" width="9.7265625" style="472" customWidth="1"/>
    <col min="2514" max="2514" width="14.81640625" style="472" bestFit="1" customWidth="1"/>
    <col min="2515" max="2515" width="11.7265625" style="472" bestFit="1" customWidth="1"/>
    <col min="2516" max="2516" width="13.54296875" style="472" bestFit="1" customWidth="1"/>
    <col min="2517" max="2517" width="11.7265625" style="472" bestFit="1" customWidth="1"/>
    <col min="2518" max="2518" width="14.1796875" style="472" bestFit="1" customWidth="1"/>
    <col min="2519" max="2519" width="11.7265625" style="472" bestFit="1" customWidth="1"/>
    <col min="2520" max="2520" width="0" style="472" hidden="1" customWidth="1"/>
    <col min="2521" max="2521" width="0.26953125" style="472" customWidth="1"/>
    <col min="2522" max="2766" width="9.1796875" style="472"/>
    <col min="2767" max="2767" width="16.453125" style="472" customWidth="1"/>
    <col min="2768" max="2768" width="35" style="472" customWidth="1"/>
    <col min="2769" max="2769" width="9.7265625" style="472" customWidth="1"/>
    <col min="2770" max="2770" width="14.81640625" style="472" bestFit="1" customWidth="1"/>
    <col min="2771" max="2771" width="11.7265625" style="472" bestFit="1" customWidth="1"/>
    <col min="2772" max="2772" width="13.54296875" style="472" bestFit="1" customWidth="1"/>
    <col min="2773" max="2773" width="11.7265625" style="472" bestFit="1" customWidth="1"/>
    <col min="2774" max="2774" width="14.1796875" style="472" bestFit="1" customWidth="1"/>
    <col min="2775" max="2775" width="11.7265625" style="472" bestFit="1" customWidth="1"/>
    <col min="2776" max="2776" width="0" style="472" hidden="1" customWidth="1"/>
    <col min="2777" max="2777" width="0.26953125" style="472" customWidth="1"/>
    <col min="2778" max="3022" width="9.1796875" style="472"/>
    <col min="3023" max="3023" width="16.453125" style="472" customWidth="1"/>
    <col min="3024" max="3024" width="35" style="472" customWidth="1"/>
    <col min="3025" max="3025" width="9.7265625" style="472" customWidth="1"/>
    <col min="3026" max="3026" width="14.81640625" style="472" bestFit="1" customWidth="1"/>
    <col min="3027" max="3027" width="11.7265625" style="472" bestFit="1" customWidth="1"/>
    <col min="3028" max="3028" width="13.54296875" style="472" bestFit="1" customWidth="1"/>
    <col min="3029" max="3029" width="11.7265625" style="472" bestFit="1" customWidth="1"/>
    <col min="3030" max="3030" width="14.1796875" style="472" bestFit="1" customWidth="1"/>
    <col min="3031" max="3031" width="11.7265625" style="472" bestFit="1" customWidth="1"/>
    <col min="3032" max="3032" width="0" style="472" hidden="1" customWidth="1"/>
    <col min="3033" max="3033" width="0.26953125" style="472" customWidth="1"/>
    <col min="3034" max="3278" width="9.1796875" style="472"/>
    <col min="3279" max="3279" width="16.453125" style="472" customWidth="1"/>
    <col min="3280" max="3280" width="35" style="472" customWidth="1"/>
    <col min="3281" max="3281" width="9.7265625" style="472" customWidth="1"/>
    <col min="3282" max="3282" width="14.81640625" style="472" bestFit="1" customWidth="1"/>
    <col min="3283" max="3283" width="11.7265625" style="472" bestFit="1" customWidth="1"/>
    <col min="3284" max="3284" width="13.54296875" style="472" bestFit="1" customWidth="1"/>
    <col min="3285" max="3285" width="11.7265625" style="472" bestFit="1" customWidth="1"/>
    <col min="3286" max="3286" width="14.1796875" style="472" bestFit="1" customWidth="1"/>
    <col min="3287" max="3287" width="11.7265625" style="472" bestFit="1" customWidth="1"/>
    <col min="3288" max="3288" width="0" style="472" hidden="1" customWidth="1"/>
    <col min="3289" max="3289" width="0.26953125" style="472" customWidth="1"/>
    <col min="3290" max="3534" width="9.1796875" style="472"/>
    <col min="3535" max="3535" width="16.453125" style="472" customWidth="1"/>
    <col min="3536" max="3536" width="35" style="472" customWidth="1"/>
    <col min="3537" max="3537" width="9.7265625" style="472" customWidth="1"/>
    <col min="3538" max="3538" width="14.81640625" style="472" bestFit="1" customWidth="1"/>
    <col min="3539" max="3539" width="11.7265625" style="472" bestFit="1" customWidth="1"/>
    <col min="3540" max="3540" width="13.54296875" style="472" bestFit="1" customWidth="1"/>
    <col min="3541" max="3541" width="11.7265625" style="472" bestFit="1" customWidth="1"/>
    <col min="3542" max="3542" width="14.1796875" style="472" bestFit="1" customWidth="1"/>
    <col min="3543" max="3543" width="11.7265625" style="472" bestFit="1" customWidth="1"/>
    <col min="3544" max="3544" width="0" style="472" hidden="1" customWidth="1"/>
    <col min="3545" max="3545" width="0.26953125" style="472" customWidth="1"/>
    <col min="3546" max="3790" width="9.1796875" style="472"/>
    <col min="3791" max="3791" width="16.453125" style="472" customWidth="1"/>
    <col min="3792" max="3792" width="35" style="472" customWidth="1"/>
    <col min="3793" max="3793" width="9.7265625" style="472" customWidth="1"/>
    <col min="3794" max="3794" width="14.81640625" style="472" bestFit="1" customWidth="1"/>
    <col min="3795" max="3795" width="11.7265625" style="472" bestFit="1" customWidth="1"/>
    <col min="3796" max="3796" width="13.54296875" style="472" bestFit="1" customWidth="1"/>
    <col min="3797" max="3797" width="11.7265625" style="472" bestFit="1" customWidth="1"/>
    <col min="3798" max="3798" width="14.1796875" style="472" bestFit="1" customWidth="1"/>
    <col min="3799" max="3799" width="11.7265625" style="472" bestFit="1" customWidth="1"/>
    <col min="3800" max="3800" width="0" style="472" hidden="1" customWidth="1"/>
    <col min="3801" max="3801" width="0.26953125" style="472" customWidth="1"/>
    <col min="3802" max="4046" width="9.1796875" style="472"/>
    <col min="4047" max="4047" width="16.453125" style="472" customWidth="1"/>
    <col min="4048" max="4048" width="35" style="472" customWidth="1"/>
    <col min="4049" max="4049" width="9.7265625" style="472" customWidth="1"/>
    <col min="4050" max="4050" width="14.81640625" style="472" bestFit="1" customWidth="1"/>
    <col min="4051" max="4051" width="11.7265625" style="472" bestFit="1" customWidth="1"/>
    <col min="4052" max="4052" width="13.54296875" style="472" bestFit="1" customWidth="1"/>
    <col min="4053" max="4053" width="11.7265625" style="472" bestFit="1" customWidth="1"/>
    <col min="4054" max="4054" width="14.1796875" style="472" bestFit="1" customWidth="1"/>
    <col min="4055" max="4055" width="11.7265625" style="472" bestFit="1" customWidth="1"/>
    <col min="4056" max="4056" width="0" style="472" hidden="1" customWidth="1"/>
    <col min="4057" max="4057" width="0.26953125" style="472" customWidth="1"/>
    <col min="4058" max="4302" width="9.1796875" style="472"/>
    <col min="4303" max="4303" width="16.453125" style="472" customWidth="1"/>
    <col min="4304" max="4304" width="35" style="472" customWidth="1"/>
    <col min="4305" max="4305" width="9.7265625" style="472" customWidth="1"/>
    <col min="4306" max="4306" width="14.81640625" style="472" bestFit="1" customWidth="1"/>
    <col min="4307" max="4307" width="11.7265625" style="472" bestFit="1" customWidth="1"/>
    <col min="4308" max="4308" width="13.54296875" style="472" bestFit="1" customWidth="1"/>
    <col min="4309" max="4309" width="11.7265625" style="472" bestFit="1" customWidth="1"/>
    <col min="4310" max="4310" width="14.1796875" style="472" bestFit="1" customWidth="1"/>
    <col min="4311" max="4311" width="11.7265625" style="472" bestFit="1" customWidth="1"/>
    <col min="4312" max="4312" width="0" style="472" hidden="1" customWidth="1"/>
    <col min="4313" max="4313" width="0.26953125" style="472" customWidth="1"/>
    <col min="4314" max="4558" width="9.1796875" style="472"/>
    <col min="4559" max="4559" width="16.453125" style="472" customWidth="1"/>
    <col min="4560" max="4560" width="35" style="472" customWidth="1"/>
    <col min="4561" max="4561" width="9.7265625" style="472" customWidth="1"/>
    <col min="4562" max="4562" width="14.81640625" style="472" bestFit="1" customWidth="1"/>
    <col min="4563" max="4563" width="11.7265625" style="472" bestFit="1" customWidth="1"/>
    <col min="4564" max="4564" width="13.54296875" style="472" bestFit="1" customWidth="1"/>
    <col min="4565" max="4565" width="11.7265625" style="472" bestFit="1" customWidth="1"/>
    <col min="4566" max="4566" width="14.1796875" style="472" bestFit="1" customWidth="1"/>
    <col min="4567" max="4567" width="11.7265625" style="472" bestFit="1" customWidth="1"/>
    <col min="4568" max="4568" width="0" style="472" hidden="1" customWidth="1"/>
    <col min="4569" max="4569" width="0.26953125" style="472" customWidth="1"/>
    <col min="4570" max="4814" width="9.1796875" style="472"/>
    <col min="4815" max="4815" width="16.453125" style="472" customWidth="1"/>
    <col min="4816" max="4816" width="35" style="472" customWidth="1"/>
    <col min="4817" max="4817" width="9.7265625" style="472" customWidth="1"/>
    <col min="4818" max="4818" width="14.81640625" style="472" bestFit="1" customWidth="1"/>
    <col min="4819" max="4819" width="11.7265625" style="472" bestFit="1" customWidth="1"/>
    <col min="4820" max="4820" width="13.54296875" style="472" bestFit="1" customWidth="1"/>
    <col min="4821" max="4821" width="11.7265625" style="472" bestFit="1" customWidth="1"/>
    <col min="4822" max="4822" width="14.1796875" style="472" bestFit="1" customWidth="1"/>
    <col min="4823" max="4823" width="11.7265625" style="472" bestFit="1" customWidth="1"/>
    <col min="4824" max="4824" width="0" style="472" hidden="1" customWidth="1"/>
    <col min="4825" max="4825" width="0.26953125" style="472" customWidth="1"/>
    <col min="4826" max="5070" width="9.1796875" style="472"/>
    <col min="5071" max="5071" width="16.453125" style="472" customWidth="1"/>
    <col min="5072" max="5072" width="35" style="472" customWidth="1"/>
    <col min="5073" max="5073" width="9.7265625" style="472" customWidth="1"/>
    <col min="5074" max="5074" width="14.81640625" style="472" bestFit="1" customWidth="1"/>
    <col min="5075" max="5075" width="11.7265625" style="472" bestFit="1" customWidth="1"/>
    <col min="5076" max="5076" width="13.54296875" style="472" bestFit="1" customWidth="1"/>
    <col min="5077" max="5077" width="11.7265625" style="472" bestFit="1" customWidth="1"/>
    <col min="5078" max="5078" width="14.1796875" style="472" bestFit="1" customWidth="1"/>
    <col min="5079" max="5079" width="11.7265625" style="472" bestFit="1" customWidth="1"/>
    <col min="5080" max="5080" width="0" style="472" hidden="1" customWidth="1"/>
    <col min="5081" max="5081" width="0.26953125" style="472" customWidth="1"/>
    <col min="5082" max="5326" width="9.1796875" style="472"/>
    <col min="5327" max="5327" width="16.453125" style="472" customWidth="1"/>
    <col min="5328" max="5328" width="35" style="472" customWidth="1"/>
    <col min="5329" max="5329" width="9.7265625" style="472" customWidth="1"/>
    <col min="5330" max="5330" width="14.81640625" style="472" bestFit="1" customWidth="1"/>
    <col min="5331" max="5331" width="11.7265625" style="472" bestFit="1" customWidth="1"/>
    <col min="5332" max="5332" width="13.54296875" style="472" bestFit="1" customWidth="1"/>
    <col min="5333" max="5333" width="11.7265625" style="472" bestFit="1" customWidth="1"/>
    <col min="5334" max="5334" width="14.1796875" style="472" bestFit="1" customWidth="1"/>
    <col min="5335" max="5335" width="11.7265625" style="472" bestFit="1" customWidth="1"/>
    <col min="5336" max="5336" width="0" style="472" hidden="1" customWidth="1"/>
    <col min="5337" max="5337" width="0.26953125" style="472" customWidth="1"/>
    <col min="5338" max="5582" width="9.1796875" style="472"/>
    <col min="5583" max="5583" width="16.453125" style="472" customWidth="1"/>
    <col min="5584" max="5584" width="35" style="472" customWidth="1"/>
    <col min="5585" max="5585" width="9.7265625" style="472" customWidth="1"/>
    <col min="5586" max="5586" width="14.81640625" style="472" bestFit="1" customWidth="1"/>
    <col min="5587" max="5587" width="11.7265625" style="472" bestFit="1" customWidth="1"/>
    <col min="5588" max="5588" width="13.54296875" style="472" bestFit="1" customWidth="1"/>
    <col min="5589" max="5589" width="11.7265625" style="472" bestFit="1" customWidth="1"/>
    <col min="5590" max="5590" width="14.1796875" style="472" bestFit="1" customWidth="1"/>
    <col min="5591" max="5591" width="11.7265625" style="472" bestFit="1" customWidth="1"/>
    <col min="5592" max="5592" width="0" style="472" hidden="1" customWidth="1"/>
    <col min="5593" max="5593" width="0.26953125" style="472" customWidth="1"/>
    <col min="5594" max="5838" width="9.1796875" style="472"/>
    <col min="5839" max="5839" width="16.453125" style="472" customWidth="1"/>
    <col min="5840" max="5840" width="35" style="472" customWidth="1"/>
    <col min="5841" max="5841" width="9.7265625" style="472" customWidth="1"/>
    <col min="5842" max="5842" width="14.81640625" style="472" bestFit="1" customWidth="1"/>
    <col min="5843" max="5843" width="11.7265625" style="472" bestFit="1" customWidth="1"/>
    <col min="5844" max="5844" width="13.54296875" style="472" bestFit="1" customWidth="1"/>
    <col min="5845" max="5845" width="11.7265625" style="472" bestFit="1" customWidth="1"/>
    <col min="5846" max="5846" width="14.1796875" style="472" bestFit="1" customWidth="1"/>
    <col min="5847" max="5847" width="11.7265625" style="472" bestFit="1" customWidth="1"/>
    <col min="5848" max="5848" width="0" style="472" hidden="1" customWidth="1"/>
    <col min="5849" max="5849" width="0.26953125" style="472" customWidth="1"/>
    <col min="5850" max="6094" width="9.1796875" style="472"/>
    <col min="6095" max="6095" width="16.453125" style="472" customWidth="1"/>
    <col min="6096" max="6096" width="35" style="472" customWidth="1"/>
    <col min="6097" max="6097" width="9.7265625" style="472" customWidth="1"/>
    <col min="6098" max="6098" width="14.81640625" style="472" bestFit="1" customWidth="1"/>
    <col min="6099" max="6099" width="11.7265625" style="472" bestFit="1" customWidth="1"/>
    <col min="6100" max="6100" width="13.54296875" style="472" bestFit="1" customWidth="1"/>
    <col min="6101" max="6101" width="11.7265625" style="472" bestFit="1" customWidth="1"/>
    <col min="6102" max="6102" width="14.1796875" style="472" bestFit="1" customWidth="1"/>
    <col min="6103" max="6103" width="11.7265625" style="472" bestFit="1" customWidth="1"/>
    <col min="6104" max="6104" width="0" style="472" hidden="1" customWidth="1"/>
    <col min="6105" max="6105" width="0.26953125" style="472" customWidth="1"/>
    <col min="6106" max="6350" width="9.1796875" style="472"/>
    <col min="6351" max="6351" width="16.453125" style="472" customWidth="1"/>
    <col min="6352" max="6352" width="35" style="472" customWidth="1"/>
    <col min="6353" max="6353" width="9.7265625" style="472" customWidth="1"/>
    <col min="6354" max="6354" width="14.81640625" style="472" bestFit="1" customWidth="1"/>
    <col min="6355" max="6355" width="11.7265625" style="472" bestFit="1" customWidth="1"/>
    <col min="6356" max="6356" width="13.54296875" style="472" bestFit="1" customWidth="1"/>
    <col min="6357" max="6357" width="11.7265625" style="472" bestFit="1" customWidth="1"/>
    <col min="6358" max="6358" width="14.1796875" style="472" bestFit="1" customWidth="1"/>
    <col min="6359" max="6359" width="11.7265625" style="472" bestFit="1" customWidth="1"/>
    <col min="6360" max="6360" width="0" style="472" hidden="1" customWidth="1"/>
    <col min="6361" max="6361" width="0.26953125" style="472" customWidth="1"/>
    <col min="6362" max="6606" width="9.1796875" style="472"/>
    <col min="6607" max="6607" width="16.453125" style="472" customWidth="1"/>
    <col min="6608" max="6608" width="35" style="472" customWidth="1"/>
    <col min="6609" max="6609" width="9.7265625" style="472" customWidth="1"/>
    <col min="6610" max="6610" width="14.81640625" style="472" bestFit="1" customWidth="1"/>
    <col min="6611" max="6611" width="11.7265625" style="472" bestFit="1" customWidth="1"/>
    <col min="6612" max="6612" width="13.54296875" style="472" bestFit="1" customWidth="1"/>
    <col min="6613" max="6613" width="11.7265625" style="472" bestFit="1" customWidth="1"/>
    <col min="6614" max="6614" width="14.1796875" style="472" bestFit="1" customWidth="1"/>
    <col min="6615" max="6615" width="11.7265625" style="472" bestFit="1" customWidth="1"/>
    <col min="6616" max="6616" width="0" style="472" hidden="1" customWidth="1"/>
    <col min="6617" max="6617" width="0.26953125" style="472" customWidth="1"/>
    <col min="6618" max="6862" width="9.1796875" style="472"/>
    <col min="6863" max="6863" width="16.453125" style="472" customWidth="1"/>
    <col min="6864" max="6864" width="35" style="472" customWidth="1"/>
    <col min="6865" max="6865" width="9.7265625" style="472" customWidth="1"/>
    <col min="6866" max="6866" width="14.81640625" style="472" bestFit="1" customWidth="1"/>
    <col min="6867" max="6867" width="11.7265625" style="472" bestFit="1" customWidth="1"/>
    <col min="6868" max="6868" width="13.54296875" style="472" bestFit="1" customWidth="1"/>
    <col min="6869" max="6869" width="11.7265625" style="472" bestFit="1" customWidth="1"/>
    <col min="6870" max="6870" width="14.1796875" style="472" bestFit="1" customWidth="1"/>
    <col min="6871" max="6871" width="11.7265625" style="472" bestFit="1" customWidth="1"/>
    <col min="6872" max="6872" width="0" style="472" hidden="1" customWidth="1"/>
    <col min="6873" max="6873" width="0.26953125" style="472" customWidth="1"/>
    <col min="6874" max="7118" width="9.1796875" style="472"/>
    <col min="7119" max="7119" width="16.453125" style="472" customWidth="1"/>
    <col min="7120" max="7120" width="35" style="472" customWidth="1"/>
    <col min="7121" max="7121" width="9.7265625" style="472" customWidth="1"/>
    <col min="7122" max="7122" width="14.81640625" style="472" bestFit="1" customWidth="1"/>
    <col min="7123" max="7123" width="11.7265625" style="472" bestFit="1" customWidth="1"/>
    <col min="7124" max="7124" width="13.54296875" style="472" bestFit="1" customWidth="1"/>
    <col min="7125" max="7125" width="11.7265625" style="472" bestFit="1" customWidth="1"/>
    <col min="7126" max="7126" width="14.1796875" style="472" bestFit="1" customWidth="1"/>
    <col min="7127" max="7127" width="11.7265625" style="472" bestFit="1" customWidth="1"/>
    <col min="7128" max="7128" width="0" style="472" hidden="1" customWidth="1"/>
    <col min="7129" max="7129" width="0.26953125" style="472" customWidth="1"/>
    <col min="7130" max="7374" width="9.1796875" style="472"/>
    <col min="7375" max="7375" width="16.453125" style="472" customWidth="1"/>
    <col min="7376" max="7376" width="35" style="472" customWidth="1"/>
    <col min="7377" max="7377" width="9.7265625" style="472" customWidth="1"/>
    <col min="7378" max="7378" width="14.81640625" style="472" bestFit="1" customWidth="1"/>
    <col min="7379" max="7379" width="11.7265625" style="472" bestFit="1" customWidth="1"/>
    <col min="7380" max="7380" width="13.54296875" style="472" bestFit="1" customWidth="1"/>
    <col min="7381" max="7381" width="11.7265625" style="472" bestFit="1" customWidth="1"/>
    <col min="7382" max="7382" width="14.1796875" style="472" bestFit="1" customWidth="1"/>
    <col min="7383" max="7383" width="11.7265625" style="472" bestFit="1" customWidth="1"/>
    <col min="7384" max="7384" width="0" style="472" hidden="1" customWidth="1"/>
    <col min="7385" max="7385" width="0.26953125" style="472" customWidth="1"/>
    <col min="7386" max="7630" width="9.1796875" style="472"/>
    <col min="7631" max="7631" width="16.453125" style="472" customWidth="1"/>
    <col min="7632" max="7632" width="35" style="472" customWidth="1"/>
    <col min="7633" max="7633" width="9.7265625" style="472" customWidth="1"/>
    <col min="7634" max="7634" width="14.81640625" style="472" bestFit="1" customWidth="1"/>
    <col min="7635" max="7635" width="11.7265625" style="472" bestFit="1" customWidth="1"/>
    <col min="7636" max="7636" width="13.54296875" style="472" bestFit="1" customWidth="1"/>
    <col min="7637" max="7637" width="11.7265625" style="472" bestFit="1" customWidth="1"/>
    <col min="7638" max="7638" width="14.1796875" style="472" bestFit="1" customWidth="1"/>
    <col min="7639" max="7639" width="11.7265625" style="472" bestFit="1" customWidth="1"/>
    <col min="7640" max="7640" width="0" style="472" hidden="1" customWidth="1"/>
    <col min="7641" max="7641" width="0.26953125" style="472" customWidth="1"/>
    <col min="7642" max="7886" width="9.1796875" style="472"/>
    <col min="7887" max="7887" width="16.453125" style="472" customWidth="1"/>
    <col min="7888" max="7888" width="35" style="472" customWidth="1"/>
    <col min="7889" max="7889" width="9.7265625" style="472" customWidth="1"/>
    <col min="7890" max="7890" width="14.81640625" style="472" bestFit="1" customWidth="1"/>
    <col min="7891" max="7891" width="11.7265625" style="472" bestFit="1" customWidth="1"/>
    <col min="7892" max="7892" width="13.54296875" style="472" bestFit="1" customWidth="1"/>
    <col min="7893" max="7893" width="11.7265625" style="472" bestFit="1" customWidth="1"/>
    <col min="7894" max="7894" width="14.1796875" style="472" bestFit="1" customWidth="1"/>
    <col min="7895" max="7895" width="11.7265625" style="472" bestFit="1" customWidth="1"/>
    <col min="7896" max="7896" width="0" style="472" hidden="1" customWidth="1"/>
    <col min="7897" max="7897" width="0.26953125" style="472" customWidth="1"/>
    <col min="7898" max="8142" width="9.1796875" style="472"/>
    <col min="8143" max="8143" width="16.453125" style="472" customWidth="1"/>
    <col min="8144" max="8144" width="35" style="472" customWidth="1"/>
    <col min="8145" max="8145" width="9.7265625" style="472" customWidth="1"/>
    <col min="8146" max="8146" width="14.81640625" style="472" bestFit="1" customWidth="1"/>
    <col min="8147" max="8147" width="11.7265625" style="472" bestFit="1" customWidth="1"/>
    <col min="8148" max="8148" width="13.54296875" style="472" bestFit="1" customWidth="1"/>
    <col min="8149" max="8149" width="11.7265625" style="472" bestFit="1" customWidth="1"/>
    <col min="8150" max="8150" width="14.1796875" style="472" bestFit="1" customWidth="1"/>
    <col min="8151" max="8151" width="11.7265625" style="472" bestFit="1" customWidth="1"/>
    <col min="8152" max="8152" width="0" style="472" hidden="1" customWidth="1"/>
    <col min="8153" max="8153" width="0.26953125" style="472" customWidth="1"/>
    <col min="8154" max="8398" width="9.1796875" style="472"/>
    <col min="8399" max="8399" width="16.453125" style="472" customWidth="1"/>
    <col min="8400" max="8400" width="35" style="472" customWidth="1"/>
    <col min="8401" max="8401" width="9.7265625" style="472" customWidth="1"/>
    <col min="8402" max="8402" width="14.81640625" style="472" bestFit="1" customWidth="1"/>
    <col min="8403" max="8403" width="11.7265625" style="472" bestFit="1" customWidth="1"/>
    <col min="8404" max="8404" width="13.54296875" style="472" bestFit="1" customWidth="1"/>
    <col min="8405" max="8405" width="11.7265625" style="472" bestFit="1" customWidth="1"/>
    <col min="8406" max="8406" width="14.1796875" style="472" bestFit="1" customWidth="1"/>
    <col min="8407" max="8407" width="11.7265625" style="472" bestFit="1" customWidth="1"/>
    <col min="8408" max="8408" width="0" style="472" hidden="1" customWidth="1"/>
    <col min="8409" max="8409" width="0.26953125" style="472" customWidth="1"/>
    <col min="8410" max="8654" width="9.1796875" style="472"/>
    <col min="8655" max="8655" width="16.453125" style="472" customWidth="1"/>
    <col min="8656" max="8656" width="35" style="472" customWidth="1"/>
    <col min="8657" max="8657" width="9.7265625" style="472" customWidth="1"/>
    <col min="8658" max="8658" width="14.81640625" style="472" bestFit="1" customWidth="1"/>
    <col min="8659" max="8659" width="11.7265625" style="472" bestFit="1" customWidth="1"/>
    <col min="8660" max="8660" width="13.54296875" style="472" bestFit="1" customWidth="1"/>
    <col min="8661" max="8661" width="11.7265625" style="472" bestFit="1" customWidth="1"/>
    <col min="8662" max="8662" width="14.1796875" style="472" bestFit="1" customWidth="1"/>
    <col min="8663" max="8663" width="11.7265625" style="472" bestFit="1" customWidth="1"/>
    <col min="8664" max="8664" width="0" style="472" hidden="1" customWidth="1"/>
    <col min="8665" max="8665" width="0.26953125" style="472" customWidth="1"/>
    <col min="8666" max="8910" width="9.1796875" style="472"/>
    <col min="8911" max="8911" width="16.453125" style="472" customWidth="1"/>
    <col min="8912" max="8912" width="35" style="472" customWidth="1"/>
    <col min="8913" max="8913" width="9.7265625" style="472" customWidth="1"/>
    <col min="8914" max="8914" width="14.81640625" style="472" bestFit="1" customWidth="1"/>
    <col min="8915" max="8915" width="11.7265625" style="472" bestFit="1" customWidth="1"/>
    <col min="8916" max="8916" width="13.54296875" style="472" bestFit="1" customWidth="1"/>
    <col min="8917" max="8917" width="11.7265625" style="472" bestFit="1" customWidth="1"/>
    <col min="8918" max="8918" width="14.1796875" style="472" bestFit="1" customWidth="1"/>
    <col min="8919" max="8919" width="11.7265625" style="472" bestFit="1" customWidth="1"/>
    <col min="8920" max="8920" width="0" style="472" hidden="1" customWidth="1"/>
    <col min="8921" max="8921" width="0.26953125" style="472" customWidth="1"/>
    <col min="8922" max="9166" width="9.1796875" style="472"/>
    <col min="9167" max="9167" width="16.453125" style="472" customWidth="1"/>
    <col min="9168" max="9168" width="35" style="472" customWidth="1"/>
    <col min="9169" max="9169" width="9.7265625" style="472" customWidth="1"/>
    <col min="9170" max="9170" width="14.81640625" style="472" bestFit="1" customWidth="1"/>
    <col min="9171" max="9171" width="11.7265625" style="472" bestFit="1" customWidth="1"/>
    <col min="9172" max="9172" width="13.54296875" style="472" bestFit="1" customWidth="1"/>
    <col min="9173" max="9173" width="11.7265625" style="472" bestFit="1" customWidth="1"/>
    <col min="9174" max="9174" width="14.1796875" style="472" bestFit="1" customWidth="1"/>
    <col min="9175" max="9175" width="11.7265625" style="472" bestFit="1" customWidth="1"/>
    <col min="9176" max="9176" width="0" style="472" hidden="1" customWidth="1"/>
    <col min="9177" max="9177" width="0.26953125" style="472" customWidth="1"/>
    <col min="9178" max="9422" width="9.1796875" style="472"/>
    <col min="9423" max="9423" width="16.453125" style="472" customWidth="1"/>
    <col min="9424" max="9424" width="35" style="472" customWidth="1"/>
    <col min="9425" max="9425" width="9.7265625" style="472" customWidth="1"/>
    <col min="9426" max="9426" width="14.81640625" style="472" bestFit="1" customWidth="1"/>
    <col min="9427" max="9427" width="11.7265625" style="472" bestFit="1" customWidth="1"/>
    <col min="9428" max="9428" width="13.54296875" style="472" bestFit="1" customWidth="1"/>
    <col min="9429" max="9429" width="11.7265625" style="472" bestFit="1" customWidth="1"/>
    <col min="9430" max="9430" width="14.1796875" style="472" bestFit="1" customWidth="1"/>
    <col min="9431" max="9431" width="11.7265625" style="472" bestFit="1" customWidth="1"/>
    <col min="9432" max="9432" width="0" style="472" hidden="1" customWidth="1"/>
    <col min="9433" max="9433" width="0.26953125" style="472" customWidth="1"/>
    <col min="9434" max="9678" width="9.1796875" style="472"/>
    <col min="9679" max="9679" width="16.453125" style="472" customWidth="1"/>
    <col min="9680" max="9680" width="35" style="472" customWidth="1"/>
    <col min="9681" max="9681" width="9.7265625" style="472" customWidth="1"/>
    <col min="9682" max="9682" width="14.81640625" style="472" bestFit="1" customWidth="1"/>
    <col min="9683" max="9683" width="11.7265625" style="472" bestFit="1" customWidth="1"/>
    <col min="9684" max="9684" width="13.54296875" style="472" bestFit="1" customWidth="1"/>
    <col min="9685" max="9685" width="11.7265625" style="472" bestFit="1" customWidth="1"/>
    <col min="9686" max="9686" width="14.1796875" style="472" bestFit="1" customWidth="1"/>
    <col min="9687" max="9687" width="11.7265625" style="472" bestFit="1" customWidth="1"/>
    <col min="9688" max="9688" width="0" style="472" hidden="1" customWidth="1"/>
    <col min="9689" max="9689" width="0.26953125" style="472" customWidth="1"/>
    <col min="9690" max="9934" width="9.1796875" style="472"/>
    <col min="9935" max="9935" width="16.453125" style="472" customWidth="1"/>
    <col min="9936" max="9936" width="35" style="472" customWidth="1"/>
    <col min="9937" max="9937" width="9.7265625" style="472" customWidth="1"/>
    <col min="9938" max="9938" width="14.81640625" style="472" bestFit="1" customWidth="1"/>
    <col min="9939" max="9939" width="11.7265625" style="472" bestFit="1" customWidth="1"/>
    <col min="9940" max="9940" width="13.54296875" style="472" bestFit="1" customWidth="1"/>
    <col min="9941" max="9941" width="11.7265625" style="472" bestFit="1" customWidth="1"/>
    <col min="9942" max="9942" width="14.1796875" style="472" bestFit="1" customWidth="1"/>
    <col min="9943" max="9943" width="11.7265625" style="472" bestFit="1" customWidth="1"/>
    <col min="9944" max="9944" width="0" style="472" hidden="1" customWidth="1"/>
    <col min="9945" max="9945" width="0.26953125" style="472" customWidth="1"/>
    <col min="9946" max="10190" width="9.1796875" style="472"/>
    <col min="10191" max="10191" width="16.453125" style="472" customWidth="1"/>
    <col min="10192" max="10192" width="35" style="472" customWidth="1"/>
    <col min="10193" max="10193" width="9.7265625" style="472" customWidth="1"/>
    <col min="10194" max="10194" width="14.81640625" style="472" bestFit="1" customWidth="1"/>
    <col min="10195" max="10195" width="11.7265625" style="472" bestFit="1" customWidth="1"/>
    <col min="10196" max="10196" width="13.54296875" style="472" bestFit="1" customWidth="1"/>
    <col min="10197" max="10197" width="11.7265625" style="472" bestFit="1" customWidth="1"/>
    <col min="10198" max="10198" width="14.1796875" style="472" bestFit="1" customWidth="1"/>
    <col min="10199" max="10199" width="11.7265625" style="472" bestFit="1" customWidth="1"/>
    <col min="10200" max="10200" width="0" style="472" hidden="1" customWidth="1"/>
    <col min="10201" max="10201" width="0.26953125" style="472" customWidth="1"/>
    <col min="10202" max="10446" width="9.1796875" style="472"/>
    <col min="10447" max="10447" width="16.453125" style="472" customWidth="1"/>
    <col min="10448" max="10448" width="35" style="472" customWidth="1"/>
    <col min="10449" max="10449" width="9.7265625" style="472" customWidth="1"/>
    <col min="10450" max="10450" width="14.81640625" style="472" bestFit="1" customWidth="1"/>
    <col min="10451" max="10451" width="11.7265625" style="472" bestFit="1" customWidth="1"/>
    <col min="10452" max="10452" width="13.54296875" style="472" bestFit="1" customWidth="1"/>
    <col min="10453" max="10453" width="11.7265625" style="472" bestFit="1" customWidth="1"/>
    <col min="10454" max="10454" width="14.1796875" style="472" bestFit="1" customWidth="1"/>
    <col min="10455" max="10455" width="11.7265625" style="472" bestFit="1" customWidth="1"/>
    <col min="10456" max="10456" width="0" style="472" hidden="1" customWidth="1"/>
    <col min="10457" max="10457" width="0.26953125" style="472" customWidth="1"/>
    <col min="10458" max="10702" width="9.1796875" style="472"/>
    <col min="10703" max="10703" width="16.453125" style="472" customWidth="1"/>
    <col min="10704" max="10704" width="35" style="472" customWidth="1"/>
    <col min="10705" max="10705" width="9.7265625" style="472" customWidth="1"/>
    <col min="10706" max="10706" width="14.81640625" style="472" bestFit="1" customWidth="1"/>
    <col min="10707" max="10707" width="11.7265625" style="472" bestFit="1" customWidth="1"/>
    <col min="10708" max="10708" width="13.54296875" style="472" bestFit="1" customWidth="1"/>
    <col min="10709" max="10709" width="11.7265625" style="472" bestFit="1" customWidth="1"/>
    <col min="10710" max="10710" width="14.1796875" style="472" bestFit="1" customWidth="1"/>
    <col min="10711" max="10711" width="11.7265625" style="472" bestFit="1" customWidth="1"/>
    <col min="10712" max="10712" width="0" style="472" hidden="1" customWidth="1"/>
    <col min="10713" max="10713" width="0.26953125" style="472" customWidth="1"/>
    <col min="10714" max="10958" width="9.1796875" style="472"/>
    <col min="10959" max="10959" width="16.453125" style="472" customWidth="1"/>
    <col min="10960" max="10960" width="35" style="472" customWidth="1"/>
    <col min="10961" max="10961" width="9.7265625" style="472" customWidth="1"/>
    <col min="10962" max="10962" width="14.81640625" style="472" bestFit="1" customWidth="1"/>
    <col min="10963" max="10963" width="11.7265625" style="472" bestFit="1" customWidth="1"/>
    <col min="10964" max="10964" width="13.54296875" style="472" bestFit="1" customWidth="1"/>
    <col min="10965" max="10965" width="11.7265625" style="472" bestFit="1" customWidth="1"/>
    <col min="10966" max="10966" width="14.1796875" style="472" bestFit="1" customWidth="1"/>
    <col min="10967" max="10967" width="11.7265625" style="472" bestFit="1" customWidth="1"/>
    <col min="10968" max="10968" width="0" style="472" hidden="1" customWidth="1"/>
    <col min="10969" max="10969" width="0.26953125" style="472" customWidth="1"/>
    <col min="10970" max="11214" width="9.1796875" style="472"/>
    <col min="11215" max="11215" width="16.453125" style="472" customWidth="1"/>
    <col min="11216" max="11216" width="35" style="472" customWidth="1"/>
    <col min="11217" max="11217" width="9.7265625" style="472" customWidth="1"/>
    <col min="11218" max="11218" width="14.81640625" style="472" bestFit="1" customWidth="1"/>
    <col min="11219" max="11219" width="11.7265625" style="472" bestFit="1" customWidth="1"/>
    <col min="11220" max="11220" width="13.54296875" style="472" bestFit="1" customWidth="1"/>
    <col min="11221" max="11221" width="11.7265625" style="472" bestFit="1" customWidth="1"/>
    <col min="11222" max="11222" width="14.1796875" style="472" bestFit="1" customWidth="1"/>
    <col min="11223" max="11223" width="11.7265625" style="472" bestFit="1" customWidth="1"/>
    <col min="11224" max="11224" width="0" style="472" hidden="1" customWidth="1"/>
    <col min="11225" max="11225" width="0.26953125" style="472" customWidth="1"/>
    <col min="11226" max="11470" width="9.1796875" style="472"/>
    <col min="11471" max="11471" width="16.453125" style="472" customWidth="1"/>
    <col min="11472" max="11472" width="35" style="472" customWidth="1"/>
    <col min="11473" max="11473" width="9.7265625" style="472" customWidth="1"/>
    <col min="11474" max="11474" width="14.81640625" style="472" bestFit="1" customWidth="1"/>
    <col min="11475" max="11475" width="11.7265625" style="472" bestFit="1" customWidth="1"/>
    <col min="11476" max="11476" width="13.54296875" style="472" bestFit="1" customWidth="1"/>
    <col min="11477" max="11477" width="11.7265625" style="472" bestFit="1" customWidth="1"/>
    <col min="11478" max="11478" width="14.1796875" style="472" bestFit="1" customWidth="1"/>
    <col min="11479" max="11479" width="11.7265625" style="472" bestFit="1" customWidth="1"/>
    <col min="11480" max="11480" width="0" style="472" hidden="1" customWidth="1"/>
    <col min="11481" max="11481" width="0.26953125" style="472" customWidth="1"/>
    <col min="11482" max="11726" width="9.1796875" style="472"/>
    <col min="11727" max="11727" width="16.453125" style="472" customWidth="1"/>
    <col min="11728" max="11728" width="35" style="472" customWidth="1"/>
    <col min="11729" max="11729" width="9.7265625" style="472" customWidth="1"/>
    <col min="11730" max="11730" width="14.81640625" style="472" bestFit="1" customWidth="1"/>
    <col min="11731" max="11731" width="11.7265625" style="472" bestFit="1" customWidth="1"/>
    <col min="11732" max="11732" width="13.54296875" style="472" bestFit="1" customWidth="1"/>
    <col min="11733" max="11733" width="11.7265625" style="472" bestFit="1" customWidth="1"/>
    <col min="11734" max="11734" width="14.1796875" style="472" bestFit="1" customWidth="1"/>
    <col min="11735" max="11735" width="11.7265625" style="472" bestFit="1" customWidth="1"/>
    <col min="11736" max="11736" width="0" style="472" hidden="1" customWidth="1"/>
    <col min="11737" max="11737" width="0.26953125" style="472" customWidth="1"/>
    <col min="11738" max="11982" width="9.1796875" style="472"/>
    <col min="11983" max="11983" width="16.453125" style="472" customWidth="1"/>
    <col min="11984" max="11984" width="35" style="472" customWidth="1"/>
    <col min="11985" max="11985" width="9.7265625" style="472" customWidth="1"/>
    <col min="11986" max="11986" width="14.81640625" style="472" bestFit="1" customWidth="1"/>
    <col min="11987" max="11987" width="11.7265625" style="472" bestFit="1" customWidth="1"/>
    <col min="11988" max="11988" width="13.54296875" style="472" bestFit="1" customWidth="1"/>
    <col min="11989" max="11989" width="11.7265625" style="472" bestFit="1" customWidth="1"/>
    <col min="11990" max="11990" width="14.1796875" style="472" bestFit="1" customWidth="1"/>
    <col min="11991" max="11991" width="11.7265625" style="472" bestFit="1" customWidth="1"/>
    <col min="11992" max="11992" width="0" style="472" hidden="1" customWidth="1"/>
    <col min="11993" max="11993" width="0.26953125" style="472" customWidth="1"/>
    <col min="11994" max="12238" width="9.1796875" style="472"/>
    <col min="12239" max="12239" width="16.453125" style="472" customWidth="1"/>
    <col min="12240" max="12240" width="35" style="472" customWidth="1"/>
    <col min="12241" max="12241" width="9.7265625" style="472" customWidth="1"/>
    <col min="12242" max="12242" width="14.81640625" style="472" bestFit="1" customWidth="1"/>
    <col min="12243" max="12243" width="11.7265625" style="472" bestFit="1" customWidth="1"/>
    <col min="12244" max="12244" width="13.54296875" style="472" bestFit="1" customWidth="1"/>
    <col min="12245" max="12245" width="11.7265625" style="472" bestFit="1" customWidth="1"/>
    <col min="12246" max="12246" width="14.1796875" style="472" bestFit="1" customWidth="1"/>
    <col min="12247" max="12247" width="11.7265625" style="472" bestFit="1" customWidth="1"/>
    <col min="12248" max="12248" width="0" style="472" hidden="1" customWidth="1"/>
    <col min="12249" max="12249" width="0.26953125" style="472" customWidth="1"/>
    <col min="12250" max="12494" width="9.1796875" style="472"/>
    <col min="12495" max="12495" width="16.453125" style="472" customWidth="1"/>
    <col min="12496" max="12496" width="35" style="472" customWidth="1"/>
    <col min="12497" max="12497" width="9.7265625" style="472" customWidth="1"/>
    <col min="12498" max="12498" width="14.81640625" style="472" bestFit="1" customWidth="1"/>
    <col min="12499" max="12499" width="11.7265625" style="472" bestFit="1" customWidth="1"/>
    <col min="12500" max="12500" width="13.54296875" style="472" bestFit="1" customWidth="1"/>
    <col min="12501" max="12501" width="11.7265625" style="472" bestFit="1" customWidth="1"/>
    <col min="12502" max="12502" width="14.1796875" style="472" bestFit="1" customWidth="1"/>
    <col min="12503" max="12503" width="11.7265625" style="472" bestFit="1" customWidth="1"/>
    <col min="12504" max="12504" width="0" style="472" hidden="1" customWidth="1"/>
    <col min="12505" max="12505" width="0.26953125" style="472" customWidth="1"/>
    <col min="12506" max="12750" width="9.1796875" style="472"/>
    <col min="12751" max="12751" width="16.453125" style="472" customWidth="1"/>
    <col min="12752" max="12752" width="35" style="472" customWidth="1"/>
    <col min="12753" max="12753" width="9.7265625" style="472" customWidth="1"/>
    <col min="12754" max="12754" width="14.81640625" style="472" bestFit="1" customWidth="1"/>
    <col min="12755" max="12755" width="11.7265625" style="472" bestFit="1" customWidth="1"/>
    <col min="12756" max="12756" width="13.54296875" style="472" bestFit="1" customWidth="1"/>
    <col min="12757" max="12757" width="11.7265625" style="472" bestFit="1" customWidth="1"/>
    <col min="12758" max="12758" width="14.1796875" style="472" bestFit="1" customWidth="1"/>
    <col min="12759" max="12759" width="11.7265625" style="472" bestFit="1" customWidth="1"/>
    <col min="12760" max="12760" width="0" style="472" hidden="1" customWidth="1"/>
    <col min="12761" max="12761" width="0.26953125" style="472" customWidth="1"/>
    <col min="12762" max="13006" width="9.1796875" style="472"/>
    <col min="13007" max="13007" width="16.453125" style="472" customWidth="1"/>
    <col min="13008" max="13008" width="35" style="472" customWidth="1"/>
    <col min="13009" max="13009" width="9.7265625" style="472" customWidth="1"/>
    <col min="13010" max="13010" width="14.81640625" style="472" bestFit="1" customWidth="1"/>
    <col min="13011" max="13011" width="11.7265625" style="472" bestFit="1" customWidth="1"/>
    <col min="13012" max="13012" width="13.54296875" style="472" bestFit="1" customWidth="1"/>
    <col min="13013" max="13013" width="11.7265625" style="472" bestFit="1" customWidth="1"/>
    <col min="13014" max="13014" width="14.1796875" style="472" bestFit="1" customWidth="1"/>
    <col min="13015" max="13015" width="11.7265625" style="472" bestFit="1" customWidth="1"/>
    <col min="13016" max="13016" width="0" style="472" hidden="1" customWidth="1"/>
    <col min="13017" max="13017" width="0.26953125" style="472" customWidth="1"/>
    <col min="13018" max="13262" width="9.1796875" style="472"/>
    <col min="13263" max="13263" width="16.453125" style="472" customWidth="1"/>
    <col min="13264" max="13264" width="35" style="472" customWidth="1"/>
    <col min="13265" max="13265" width="9.7265625" style="472" customWidth="1"/>
    <col min="13266" max="13266" width="14.81640625" style="472" bestFit="1" customWidth="1"/>
    <col min="13267" max="13267" width="11.7265625" style="472" bestFit="1" customWidth="1"/>
    <col min="13268" max="13268" width="13.54296875" style="472" bestFit="1" customWidth="1"/>
    <col min="13269" max="13269" width="11.7265625" style="472" bestFit="1" customWidth="1"/>
    <col min="13270" max="13270" width="14.1796875" style="472" bestFit="1" customWidth="1"/>
    <col min="13271" max="13271" width="11.7265625" style="472" bestFit="1" customWidth="1"/>
    <col min="13272" max="13272" width="0" style="472" hidden="1" customWidth="1"/>
    <col min="13273" max="13273" width="0.26953125" style="472" customWidth="1"/>
    <col min="13274" max="13518" width="9.1796875" style="472"/>
    <col min="13519" max="13519" width="16.453125" style="472" customWidth="1"/>
    <col min="13520" max="13520" width="35" style="472" customWidth="1"/>
    <col min="13521" max="13521" width="9.7265625" style="472" customWidth="1"/>
    <col min="13522" max="13522" width="14.81640625" style="472" bestFit="1" customWidth="1"/>
    <col min="13523" max="13523" width="11.7265625" style="472" bestFit="1" customWidth="1"/>
    <col min="13524" max="13524" width="13.54296875" style="472" bestFit="1" customWidth="1"/>
    <col min="13525" max="13525" width="11.7265625" style="472" bestFit="1" customWidth="1"/>
    <col min="13526" max="13526" width="14.1796875" style="472" bestFit="1" customWidth="1"/>
    <col min="13527" max="13527" width="11.7265625" style="472" bestFit="1" customWidth="1"/>
    <col min="13528" max="13528" width="0" style="472" hidden="1" customWidth="1"/>
    <col min="13529" max="13529" width="0.26953125" style="472" customWidth="1"/>
    <col min="13530" max="13774" width="9.1796875" style="472"/>
    <col min="13775" max="13775" width="16.453125" style="472" customWidth="1"/>
    <col min="13776" max="13776" width="35" style="472" customWidth="1"/>
    <col min="13777" max="13777" width="9.7265625" style="472" customWidth="1"/>
    <col min="13778" max="13778" width="14.81640625" style="472" bestFit="1" customWidth="1"/>
    <col min="13779" max="13779" width="11.7265625" style="472" bestFit="1" customWidth="1"/>
    <col min="13780" max="13780" width="13.54296875" style="472" bestFit="1" customWidth="1"/>
    <col min="13781" max="13781" width="11.7265625" style="472" bestFit="1" customWidth="1"/>
    <col min="13782" max="13782" width="14.1796875" style="472" bestFit="1" customWidth="1"/>
    <col min="13783" max="13783" width="11.7265625" style="472" bestFit="1" customWidth="1"/>
    <col min="13784" max="13784" width="0" style="472" hidden="1" customWidth="1"/>
    <col min="13785" max="13785" width="0.26953125" style="472" customWidth="1"/>
    <col min="13786" max="14030" width="9.1796875" style="472"/>
    <col min="14031" max="14031" width="16.453125" style="472" customWidth="1"/>
    <col min="14032" max="14032" width="35" style="472" customWidth="1"/>
    <col min="14033" max="14033" width="9.7265625" style="472" customWidth="1"/>
    <col min="14034" max="14034" width="14.81640625" style="472" bestFit="1" customWidth="1"/>
    <col min="14035" max="14035" width="11.7265625" style="472" bestFit="1" customWidth="1"/>
    <col min="14036" max="14036" width="13.54296875" style="472" bestFit="1" customWidth="1"/>
    <col min="14037" max="14037" width="11.7265625" style="472" bestFit="1" customWidth="1"/>
    <col min="14038" max="14038" width="14.1796875" style="472" bestFit="1" customWidth="1"/>
    <col min="14039" max="14039" width="11.7265625" style="472" bestFit="1" customWidth="1"/>
    <col min="14040" max="14040" width="0" style="472" hidden="1" customWidth="1"/>
    <col min="14041" max="14041" width="0.26953125" style="472" customWidth="1"/>
    <col min="14042" max="14286" width="9.1796875" style="472"/>
    <col min="14287" max="14287" width="16.453125" style="472" customWidth="1"/>
    <col min="14288" max="14288" width="35" style="472" customWidth="1"/>
    <col min="14289" max="14289" width="9.7265625" style="472" customWidth="1"/>
    <col min="14290" max="14290" width="14.81640625" style="472" bestFit="1" customWidth="1"/>
    <col min="14291" max="14291" width="11.7265625" style="472" bestFit="1" customWidth="1"/>
    <col min="14292" max="14292" width="13.54296875" style="472" bestFit="1" customWidth="1"/>
    <col min="14293" max="14293" width="11.7265625" style="472" bestFit="1" customWidth="1"/>
    <col min="14294" max="14294" width="14.1796875" style="472" bestFit="1" customWidth="1"/>
    <col min="14295" max="14295" width="11.7265625" style="472" bestFit="1" customWidth="1"/>
    <col min="14296" max="14296" width="0" style="472" hidden="1" customWidth="1"/>
    <col min="14297" max="14297" width="0.26953125" style="472" customWidth="1"/>
    <col min="14298" max="14542" width="9.1796875" style="472"/>
    <col min="14543" max="14543" width="16.453125" style="472" customWidth="1"/>
    <col min="14544" max="14544" width="35" style="472" customWidth="1"/>
    <col min="14545" max="14545" width="9.7265625" style="472" customWidth="1"/>
    <col min="14546" max="14546" width="14.81640625" style="472" bestFit="1" customWidth="1"/>
    <col min="14547" max="14547" width="11.7265625" style="472" bestFit="1" customWidth="1"/>
    <col min="14548" max="14548" width="13.54296875" style="472" bestFit="1" customWidth="1"/>
    <col min="14549" max="14549" width="11.7265625" style="472" bestFit="1" customWidth="1"/>
    <col min="14550" max="14550" width="14.1796875" style="472" bestFit="1" customWidth="1"/>
    <col min="14551" max="14551" width="11.7265625" style="472" bestFit="1" customWidth="1"/>
    <col min="14552" max="14552" width="0" style="472" hidden="1" customWidth="1"/>
    <col min="14553" max="14553" width="0.26953125" style="472" customWidth="1"/>
    <col min="14554" max="14798" width="9.1796875" style="472"/>
    <col min="14799" max="14799" width="16.453125" style="472" customWidth="1"/>
    <col min="14800" max="14800" width="35" style="472" customWidth="1"/>
    <col min="14801" max="14801" width="9.7265625" style="472" customWidth="1"/>
    <col min="14802" max="14802" width="14.81640625" style="472" bestFit="1" customWidth="1"/>
    <col min="14803" max="14803" width="11.7265625" style="472" bestFit="1" customWidth="1"/>
    <col min="14804" max="14804" width="13.54296875" style="472" bestFit="1" customWidth="1"/>
    <col min="14805" max="14805" width="11.7265625" style="472" bestFit="1" customWidth="1"/>
    <col min="14806" max="14806" width="14.1796875" style="472" bestFit="1" customWidth="1"/>
    <col min="14807" max="14807" width="11.7265625" style="472" bestFit="1" customWidth="1"/>
    <col min="14808" max="14808" width="0" style="472" hidden="1" customWidth="1"/>
    <col min="14809" max="14809" width="0.26953125" style="472" customWidth="1"/>
    <col min="14810" max="15054" width="9.1796875" style="472"/>
    <col min="15055" max="15055" width="16.453125" style="472" customWidth="1"/>
    <col min="15056" max="15056" width="35" style="472" customWidth="1"/>
    <col min="15057" max="15057" width="9.7265625" style="472" customWidth="1"/>
    <col min="15058" max="15058" width="14.81640625" style="472" bestFit="1" customWidth="1"/>
    <col min="15059" max="15059" width="11.7265625" style="472" bestFit="1" customWidth="1"/>
    <col min="15060" max="15060" width="13.54296875" style="472" bestFit="1" customWidth="1"/>
    <col min="15061" max="15061" width="11.7265625" style="472" bestFit="1" customWidth="1"/>
    <col min="15062" max="15062" width="14.1796875" style="472" bestFit="1" customWidth="1"/>
    <col min="15063" max="15063" width="11.7265625" style="472" bestFit="1" customWidth="1"/>
    <col min="15064" max="15064" width="0" style="472" hidden="1" customWidth="1"/>
    <col min="15065" max="15065" width="0.26953125" style="472" customWidth="1"/>
    <col min="15066" max="15310" width="9.1796875" style="472"/>
    <col min="15311" max="15311" width="16.453125" style="472" customWidth="1"/>
    <col min="15312" max="15312" width="35" style="472" customWidth="1"/>
    <col min="15313" max="15313" width="9.7265625" style="472" customWidth="1"/>
    <col min="15314" max="15314" width="14.81640625" style="472" bestFit="1" customWidth="1"/>
    <col min="15315" max="15315" width="11.7265625" style="472" bestFit="1" customWidth="1"/>
    <col min="15316" max="15316" width="13.54296875" style="472" bestFit="1" customWidth="1"/>
    <col min="15317" max="15317" width="11.7265625" style="472" bestFit="1" customWidth="1"/>
    <col min="15318" max="15318" width="14.1796875" style="472" bestFit="1" customWidth="1"/>
    <col min="15319" max="15319" width="11.7265625" style="472" bestFit="1" customWidth="1"/>
    <col min="15320" max="15320" width="0" style="472" hidden="1" customWidth="1"/>
    <col min="15321" max="15321" width="0.26953125" style="472" customWidth="1"/>
    <col min="15322" max="15566" width="9.1796875" style="472"/>
    <col min="15567" max="15567" width="16.453125" style="472" customWidth="1"/>
    <col min="15568" max="15568" width="35" style="472" customWidth="1"/>
    <col min="15569" max="15569" width="9.7265625" style="472" customWidth="1"/>
    <col min="15570" max="15570" width="14.81640625" style="472" bestFit="1" customWidth="1"/>
    <col min="15571" max="15571" width="11.7265625" style="472" bestFit="1" customWidth="1"/>
    <col min="15572" max="15572" width="13.54296875" style="472" bestFit="1" customWidth="1"/>
    <col min="15573" max="15573" width="11.7265625" style="472" bestFit="1" customWidth="1"/>
    <col min="15574" max="15574" width="14.1796875" style="472" bestFit="1" customWidth="1"/>
    <col min="15575" max="15575" width="11.7265625" style="472" bestFit="1" customWidth="1"/>
    <col min="15576" max="15576" width="0" style="472" hidden="1" customWidth="1"/>
    <col min="15577" max="15577" width="0.26953125" style="472" customWidth="1"/>
    <col min="15578" max="15822" width="9.1796875" style="472"/>
    <col min="15823" max="15823" width="16.453125" style="472" customWidth="1"/>
    <col min="15824" max="15824" width="35" style="472" customWidth="1"/>
    <col min="15825" max="15825" width="9.7265625" style="472" customWidth="1"/>
    <col min="15826" max="15826" width="14.81640625" style="472" bestFit="1" customWidth="1"/>
    <col min="15827" max="15827" width="11.7265625" style="472" bestFit="1" customWidth="1"/>
    <col min="15828" max="15828" width="13.54296875" style="472" bestFit="1" customWidth="1"/>
    <col min="15829" max="15829" width="11.7265625" style="472" bestFit="1" customWidth="1"/>
    <col min="15830" max="15830" width="14.1796875" style="472" bestFit="1" customWidth="1"/>
    <col min="15831" max="15831" width="11.7265625" style="472" bestFit="1" customWidth="1"/>
    <col min="15832" max="15832" width="0" style="472" hidden="1" customWidth="1"/>
    <col min="15833" max="15833" width="0.26953125" style="472" customWidth="1"/>
    <col min="15834" max="16078" width="9.1796875" style="472"/>
    <col min="16079" max="16079" width="16.453125" style="472" customWidth="1"/>
    <col min="16080" max="16080" width="35" style="472" customWidth="1"/>
    <col min="16081" max="16081" width="9.7265625" style="472" customWidth="1"/>
    <col min="16082" max="16082" width="14.81640625" style="472" bestFit="1" customWidth="1"/>
    <col min="16083" max="16083" width="11.7265625" style="472" bestFit="1" customWidth="1"/>
    <col min="16084" max="16084" width="13.54296875" style="472" bestFit="1" customWidth="1"/>
    <col min="16085" max="16085" width="11.7265625" style="472" bestFit="1" customWidth="1"/>
    <col min="16086" max="16086" width="14.1796875" style="472" bestFit="1" customWidth="1"/>
    <col min="16087" max="16087" width="11.7265625" style="472" bestFit="1" customWidth="1"/>
    <col min="16088" max="16088" width="0" style="472" hidden="1" customWidth="1"/>
    <col min="16089" max="16089" width="0.26953125" style="472" customWidth="1"/>
    <col min="16090" max="16382" width="9.1796875" style="472"/>
    <col min="16383" max="16384" width="9.1796875" style="472" customWidth="1"/>
  </cols>
  <sheetData>
    <row r="1" spans="1:68" s="464" customFormat="1" ht="15" customHeight="1">
      <c r="A1" s="463" t="s">
        <v>1043</v>
      </c>
      <c r="J1" s="465"/>
      <c r="K1" s="466"/>
      <c r="L1" s="466"/>
      <c r="AD1" s="464" t="s">
        <v>1257</v>
      </c>
    </row>
    <row r="2" spans="1:68" s="464" customFormat="1" ht="15" customHeight="1">
      <c r="A2" s="463" t="s">
        <v>1044</v>
      </c>
      <c r="I2" s="478"/>
      <c r="J2" s="478">
        <f>J3-J4</f>
        <v>16140068.178362787</v>
      </c>
      <c r="K2" s="467"/>
      <c r="L2" s="467"/>
      <c r="M2" s="466"/>
      <c r="N2" s="468"/>
      <c r="S2" s="466"/>
      <c r="AD2" s="464" t="s">
        <v>1258</v>
      </c>
    </row>
    <row r="3" spans="1:68" s="464" customFormat="1" ht="15" customHeight="1">
      <c r="A3" s="463" t="s">
        <v>1279</v>
      </c>
      <c r="I3" s="466" t="s">
        <v>1281</v>
      </c>
      <c r="J3" s="468">
        <v>16140069</v>
      </c>
      <c r="K3" s="467"/>
      <c r="L3" s="469"/>
      <c r="M3" s="469"/>
      <c r="N3" s="470"/>
      <c r="S3" s="468"/>
      <c r="T3" s="466"/>
      <c r="U3" s="468"/>
      <c r="AD3" s="464" t="s">
        <v>820</v>
      </c>
    </row>
    <row r="4" spans="1:68" ht="12.75" customHeight="1">
      <c r="A4" s="471"/>
      <c r="I4" s="473"/>
      <c r="J4" s="473">
        <f>+I5-J5</f>
        <v>0.82163721323013306</v>
      </c>
      <c r="K4" s="468"/>
      <c r="L4" s="466">
        <f>+K5-L5</f>
        <v>2.9999986290931702E-2</v>
      </c>
      <c r="M4" s="473"/>
      <c r="N4" s="466">
        <f>+M5-N5</f>
        <v>0.85163724422454834</v>
      </c>
      <c r="P4" s="473">
        <f>+O5-P5</f>
        <v>0</v>
      </c>
      <c r="R4" s="473">
        <f>+Q5-R5</f>
        <v>0.85163736343383789</v>
      </c>
      <c r="S4" s="480"/>
      <c r="U4" s="473">
        <f>U5-S5</f>
        <v>15418234.148362836</v>
      </c>
    </row>
    <row r="5" spans="1:68" ht="12.75" customHeight="1">
      <c r="A5" s="471"/>
      <c r="I5" s="474">
        <f t="shared" ref="I5:S5" si="0">SUBTOTAL(9,I9:I522)</f>
        <v>446866254.23002493</v>
      </c>
      <c r="J5" s="474">
        <f t="shared" si="0"/>
        <v>446866253.40838772</v>
      </c>
      <c r="K5" s="474">
        <f t="shared" si="0"/>
        <v>110327081.05</v>
      </c>
      <c r="L5" s="474">
        <f t="shared" si="0"/>
        <v>110327081.02000001</v>
      </c>
      <c r="M5" s="474">
        <f t="shared" si="0"/>
        <v>557193335.28002501</v>
      </c>
      <c r="N5" s="474">
        <f t="shared" si="0"/>
        <v>557193334.42838776</v>
      </c>
      <c r="O5" s="474">
        <f t="shared" si="0"/>
        <v>4863198.33</v>
      </c>
      <c r="P5" s="474">
        <f t="shared" si="0"/>
        <v>4863198.33</v>
      </c>
      <c r="Q5" s="474">
        <f t="shared" si="0"/>
        <v>562056533.61002505</v>
      </c>
      <c r="R5" s="474">
        <f t="shared" si="0"/>
        <v>562056532.75838768</v>
      </c>
      <c r="S5" s="474">
        <f t="shared" si="0"/>
        <v>0.85163716331589967</v>
      </c>
      <c r="T5" s="473"/>
      <c r="U5" s="580">
        <v>15418235</v>
      </c>
    </row>
    <row r="6" spans="1:68" ht="15" thickBot="1">
      <c r="W6" s="473">
        <f>+V7-W7</f>
        <v>21386081.768265367</v>
      </c>
      <c r="Y6" s="473">
        <f>+X7-Y7</f>
        <v>-34593.959999999963</v>
      </c>
      <c r="AA6" s="473">
        <f>+Z7-AA7</f>
        <v>-1.8599999994039536</v>
      </c>
      <c r="AC6" s="473">
        <f>+AB7-AC7</f>
        <v>356829.1</v>
      </c>
      <c r="AE6" s="473">
        <f>+AD7-AE7</f>
        <v>8568.6299999989569</v>
      </c>
      <c r="AG6" s="473">
        <f>+AF7-AG7</f>
        <v>-286659.63</v>
      </c>
      <c r="AI6" s="473">
        <f>+AH7-AI7</f>
        <v>19999.999999999534</v>
      </c>
      <c r="AK6" s="473">
        <f>+AJ7-AK7</f>
        <v>1179824.2133717323</v>
      </c>
      <c r="AM6" s="473">
        <f>+AL7-AM7</f>
        <v>0</v>
      </c>
      <c r="AO6" s="473">
        <f>+AN7-AO7</f>
        <v>-247794.30000000075</v>
      </c>
      <c r="AQ6" s="473">
        <f>+AP7-AQ7</f>
        <v>-19.089999999850988</v>
      </c>
      <c r="AS6" s="473">
        <f>+AR7-AS7</f>
        <v>171767.25</v>
      </c>
      <c r="AU6" s="473">
        <f>+AT7-AU7</f>
        <v>70335.039999999994</v>
      </c>
      <c r="AW6" s="473">
        <f>+AV7-AW7</f>
        <v>-20757003.159999996</v>
      </c>
      <c r="AY6" s="473">
        <f>+AX7-AY7</f>
        <v>100.10000000000002</v>
      </c>
      <c r="BA6" s="473">
        <f>+AZ7-BA7</f>
        <v>-4039.5499999999993</v>
      </c>
      <c r="BC6" s="473">
        <f>+BB7-BC7</f>
        <v>-753174.34000000358</v>
      </c>
      <c r="BE6" s="473">
        <f>+BD7-BE7</f>
        <v>-50200.229999999981</v>
      </c>
      <c r="BG6" s="473">
        <f>+BF7-BG7</f>
        <v>1674159</v>
      </c>
    </row>
    <row r="7" spans="1:68" s="610" customFormat="1" ht="22.5" customHeight="1" thickBot="1">
      <c r="A7" s="608" t="s">
        <v>948</v>
      </c>
      <c r="B7" s="608" t="s">
        <v>1045</v>
      </c>
      <c r="C7" s="608" t="s">
        <v>941</v>
      </c>
      <c r="D7" s="609" t="s">
        <v>945</v>
      </c>
      <c r="E7" s="609" t="s">
        <v>946</v>
      </c>
      <c r="F7" s="609" t="s">
        <v>1134</v>
      </c>
      <c r="G7" s="608" t="s">
        <v>1046</v>
      </c>
      <c r="H7" s="608" t="s">
        <v>1047</v>
      </c>
      <c r="I7" s="846" t="s">
        <v>1048</v>
      </c>
      <c r="J7" s="847"/>
      <c r="K7" s="846" t="s">
        <v>1049</v>
      </c>
      <c r="L7" s="847"/>
      <c r="M7" s="846" t="s">
        <v>1050</v>
      </c>
      <c r="N7" s="847"/>
      <c r="O7" s="846" t="s">
        <v>646</v>
      </c>
      <c r="P7" s="847"/>
      <c r="Q7" s="846" t="s">
        <v>1238</v>
      </c>
      <c r="R7" s="847"/>
      <c r="S7" s="420" t="s">
        <v>1239</v>
      </c>
      <c r="V7" s="611">
        <f t="shared" ref="V7:BG7" si="1">SUBTOTAL(9,V9:V522)</f>
        <v>328144504.14002496</v>
      </c>
      <c r="W7" s="611">
        <f t="shared" si="1"/>
        <v>306758422.37175959</v>
      </c>
      <c r="X7" s="611">
        <f t="shared" si="1"/>
        <v>2155230</v>
      </c>
      <c r="Y7" s="611">
        <f t="shared" si="1"/>
        <v>2189823.96</v>
      </c>
      <c r="Z7" s="611">
        <f t="shared" si="1"/>
        <v>5377732.1400000006</v>
      </c>
      <c r="AA7" s="611">
        <f t="shared" si="1"/>
        <v>5377734</v>
      </c>
      <c r="AB7" s="611">
        <f t="shared" si="1"/>
        <v>793328.2</v>
      </c>
      <c r="AC7" s="611">
        <f t="shared" si="1"/>
        <v>436499.1</v>
      </c>
      <c r="AD7" s="611">
        <f t="shared" si="1"/>
        <v>5830116.2699999996</v>
      </c>
      <c r="AE7" s="611">
        <f t="shared" si="1"/>
        <v>5821547.6400000006</v>
      </c>
      <c r="AF7" s="611">
        <f t="shared" si="1"/>
        <v>812818.37</v>
      </c>
      <c r="AG7" s="611">
        <f t="shared" si="1"/>
        <v>1099478</v>
      </c>
      <c r="AH7" s="611">
        <f t="shared" si="1"/>
        <v>2710824.6999999997</v>
      </c>
      <c r="AI7" s="611">
        <f t="shared" si="1"/>
        <v>2690824.7</v>
      </c>
      <c r="AJ7" s="611">
        <f t="shared" si="1"/>
        <v>5940345.6099999994</v>
      </c>
      <c r="AK7" s="611">
        <f t="shared" si="1"/>
        <v>4760521.3966282671</v>
      </c>
      <c r="AL7" s="611">
        <f t="shared" si="1"/>
        <v>35109</v>
      </c>
      <c r="AM7" s="611">
        <f t="shared" si="1"/>
        <v>35109</v>
      </c>
      <c r="AN7" s="611">
        <f t="shared" si="1"/>
        <v>14412049.1</v>
      </c>
      <c r="AO7" s="611">
        <f t="shared" si="1"/>
        <v>14659843.4</v>
      </c>
      <c r="AP7" s="611">
        <f t="shared" si="1"/>
        <v>4361459.67</v>
      </c>
      <c r="AQ7" s="611">
        <f t="shared" si="1"/>
        <v>4361478.76</v>
      </c>
      <c r="AR7" s="611">
        <f t="shared" si="1"/>
        <v>1694498.95</v>
      </c>
      <c r="AS7" s="611">
        <f t="shared" si="1"/>
        <v>1522731.7</v>
      </c>
      <c r="AT7" s="611">
        <f t="shared" si="1"/>
        <v>70646.14</v>
      </c>
      <c r="AU7" s="611">
        <f t="shared" si="1"/>
        <v>311.10000000000002</v>
      </c>
      <c r="AV7" s="611">
        <f t="shared" si="1"/>
        <v>57748865.200000003</v>
      </c>
      <c r="AW7" s="611">
        <f t="shared" si="1"/>
        <v>78505868.359999999</v>
      </c>
      <c r="AX7" s="611">
        <f t="shared" si="1"/>
        <v>260.10000000000002</v>
      </c>
      <c r="AY7" s="611">
        <f t="shared" si="1"/>
        <v>160</v>
      </c>
      <c r="AZ7" s="611">
        <f t="shared" si="1"/>
        <v>19143.75</v>
      </c>
      <c r="BA7" s="611">
        <f t="shared" si="1"/>
        <v>23183.3</v>
      </c>
      <c r="BB7" s="611">
        <f t="shared" si="1"/>
        <v>27905599.719999999</v>
      </c>
      <c r="BC7" s="611">
        <f t="shared" si="1"/>
        <v>28658774.060000002</v>
      </c>
      <c r="BD7" s="611">
        <f t="shared" si="1"/>
        <v>406661.77</v>
      </c>
      <c r="BE7" s="611">
        <f t="shared" si="1"/>
        <v>456862</v>
      </c>
      <c r="BF7" s="611">
        <f t="shared" si="1"/>
        <v>4316715</v>
      </c>
      <c r="BG7" s="611">
        <f t="shared" si="1"/>
        <v>2642556</v>
      </c>
      <c r="BH7" s="611"/>
      <c r="BI7" s="611"/>
      <c r="BJ7" s="611"/>
      <c r="BK7" s="611"/>
      <c r="BL7" s="611"/>
      <c r="BM7" s="611"/>
      <c r="BN7" s="611"/>
      <c r="BO7" s="611"/>
      <c r="BP7" s="611"/>
    </row>
    <row r="8" spans="1:68" ht="22.5" customHeight="1" thickBot="1">
      <c r="A8" s="418" t="s">
        <v>948</v>
      </c>
      <c r="B8" s="418" t="s">
        <v>1045</v>
      </c>
      <c r="C8" s="418" t="s">
        <v>941</v>
      </c>
      <c r="D8" s="419" t="s">
        <v>945</v>
      </c>
      <c r="E8" s="419" t="s">
        <v>946</v>
      </c>
      <c r="F8" s="419" t="s">
        <v>947</v>
      </c>
      <c r="G8" s="418" t="s">
        <v>1046</v>
      </c>
      <c r="H8" s="418" t="s">
        <v>1047</v>
      </c>
      <c r="I8" s="461" t="s">
        <v>455</v>
      </c>
      <c r="J8" s="462" t="s">
        <v>456</v>
      </c>
      <c r="K8" s="462" t="s">
        <v>455</v>
      </c>
      <c r="L8" s="462" t="s">
        <v>456</v>
      </c>
      <c r="M8" s="462" t="s">
        <v>455</v>
      </c>
      <c r="N8" s="462" t="s">
        <v>456</v>
      </c>
      <c r="O8" s="462" t="s">
        <v>455</v>
      </c>
      <c r="P8" s="462" t="s">
        <v>456</v>
      </c>
      <c r="Q8" s="462" t="s">
        <v>455</v>
      </c>
      <c r="R8" s="462" t="s">
        <v>456</v>
      </c>
      <c r="S8" s="462" t="s">
        <v>1240</v>
      </c>
      <c r="U8" s="475"/>
      <c r="V8" s="845" t="s">
        <v>974</v>
      </c>
      <c r="W8" s="845"/>
      <c r="X8" s="845" t="s">
        <v>1011</v>
      </c>
      <c r="Y8" s="845"/>
      <c r="Z8" s="845" t="s">
        <v>1020</v>
      </c>
      <c r="AA8" s="845"/>
      <c r="AB8" s="845" t="s">
        <v>1012</v>
      </c>
      <c r="AC8" s="845"/>
      <c r="AD8" s="845" t="s">
        <v>1019</v>
      </c>
      <c r="AE8" s="845"/>
      <c r="AF8" s="845" t="s">
        <v>1021</v>
      </c>
      <c r="AG8" s="845"/>
      <c r="AH8" s="845" t="s">
        <v>1025</v>
      </c>
      <c r="AI8" s="845"/>
      <c r="AJ8" s="845" t="s">
        <v>1013</v>
      </c>
      <c r="AK8" s="845"/>
      <c r="AL8" s="845" t="s">
        <v>1026</v>
      </c>
      <c r="AM8" s="845"/>
      <c r="AN8" s="845" t="s">
        <v>992</v>
      </c>
      <c r="AO8" s="845"/>
      <c r="AP8" s="845" t="s">
        <v>1014</v>
      </c>
      <c r="AQ8" s="845"/>
      <c r="AR8" s="845" t="s">
        <v>1027</v>
      </c>
      <c r="AS8" s="845"/>
      <c r="AT8" s="845" t="s">
        <v>1015</v>
      </c>
      <c r="AU8" s="845"/>
      <c r="AV8" s="845" t="s">
        <v>1022</v>
      </c>
      <c r="AW8" s="845"/>
      <c r="AX8" s="845" t="s">
        <v>1016</v>
      </c>
      <c r="AY8" s="845"/>
      <c r="AZ8" s="845" t="s">
        <v>1024</v>
      </c>
      <c r="BA8" s="845"/>
      <c r="BB8" s="845" t="s">
        <v>1055</v>
      </c>
      <c r="BC8" s="845"/>
      <c r="BD8" s="845" t="s">
        <v>1023</v>
      </c>
      <c r="BE8" s="845"/>
      <c r="BF8" s="845" t="s">
        <v>1018</v>
      </c>
      <c r="BG8" s="845"/>
    </row>
    <row r="9" spans="1:68" ht="16.5" customHeight="1">
      <c r="A9" s="581" t="s">
        <v>679</v>
      </c>
      <c r="B9" s="582" t="s">
        <v>1580</v>
      </c>
      <c r="C9" s="582" t="s">
        <v>0</v>
      </c>
      <c r="D9" s="422" t="s">
        <v>1051</v>
      </c>
      <c r="E9" s="421" t="s">
        <v>466</v>
      </c>
      <c r="F9" s="421" t="s">
        <v>1052</v>
      </c>
      <c r="G9" s="421" t="s">
        <v>1053</v>
      </c>
      <c r="H9" s="421" t="s">
        <v>974</v>
      </c>
      <c r="I9" s="477">
        <v>3</v>
      </c>
      <c r="J9" s="477"/>
      <c r="K9" s="477">
        <v>0</v>
      </c>
      <c r="L9" s="477">
        <v>0</v>
      </c>
      <c r="M9" s="477">
        <f t="shared" ref="M9:M72" si="2">+I9+K9</f>
        <v>3</v>
      </c>
      <c r="N9" s="477">
        <f t="shared" ref="N9:N72" si="3">+J9+L9</f>
        <v>0</v>
      </c>
      <c r="O9" s="477"/>
      <c r="P9" s="477"/>
      <c r="Q9" s="477">
        <f>+M9+O9</f>
        <v>3</v>
      </c>
      <c r="R9" s="477">
        <f>+N9+P9</f>
        <v>0</v>
      </c>
      <c r="S9" s="477">
        <f>+Q9-R9</f>
        <v>3</v>
      </c>
      <c r="V9" s="476">
        <f t="shared" ref="V9:V31" si="4">IF($V$8=$H9,$Q9,0)</f>
        <v>3</v>
      </c>
      <c r="W9" s="476">
        <f t="shared" ref="W9:W31" si="5">IF($V$8=$H9,$R9,0)</f>
        <v>0</v>
      </c>
      <c r="X9" s="476">
        <f t="shared" ref="X9:X31" si="6">IF($X$8=$H9,$Q9,0)</f>
        <v>0</v>
      </c>
      <c r="Y9" s="476">
        <f t="shared" ref="Y9:Y31" si="7">IF($X$8=$H9,$R9,0)</f>
        <v>0</v>
      </c>
      <c r="Z9" s="476">
        <f t="shared" ref="Z9:Z31" si="8">IF($Z$8=$H9,$Q9,0)</f>
        <v>0</v>
      </c>
      <c r="AA9" s="476">
        <f t="shared" ref="AA9:AA31" si="9">IF($Z$8=$H9,$R9,0)</f>
        <v>0</v>
      </c>
      <c r="AB9" s="476">
        <f t="shared" ref="AB9:AB31" si="10">IF($AB$8=$H9,$Q9,0)</f>
        <v>0</v>
      </c>
      <c r="AC9" s="476">
        <f t="shared" ref="AC9:AC31" si="11">IF($AB$8=$H9,$R9,0)</f>
        <v>0</v>
      </c>
      <c r="AD9" s="476">
        <f t="shared" ref="AD9:AD31" si="12">IF($AD$8=$H9,$Q9,0)</f>
        <v>0</v>
      </c>
      <c r="AE9" s="476">
        <f t="shared" ref="AE9:AE31" si="13">IF($AD$8=$H9,$R9,0)</f>
        <v>0</v>
      </c>
      <c r="AF9" s="476">
        <f t="shared" ref="AF9:AF31" si="14">IF($AF$8=$H9,$Q9,0)</f>
        <v>0</v>
      </c>
      <c r="AG9" s="476">
        <f t="shared" ref="AG9:AG31" si="15">IF($AF$8=$H9,$R9,0)</f>
        <v>0</v>
      </c>
      <c r="AH9" s="476">
        <f t="shared" ref="AH9:AH31" si="16">IF($AH$8=$H9,$Q9,0)</f>
        <v>0</v>
      </c>
      <c r="AI9" s="476">
        <f t="shared" ref="AI9:AI31" si="17">IF($AH$8=$H9,$R9,0)</f>
        <v>0</v>
      </c>
      <c r="AJ9" s="476">
        <f t="shared" ref="AJ9:AJ31" si="18">IF($AJ$8=$H9,$Q9,0)</f>
        <v>0</v>
      </c>
      <c r="AK9" s="476">
        <f t="shared" ref="AK9:AK31" si="19">IF($AJ$8=$H9,$R9,0)</f>
        <v>0</v>
      </c>
      <c r="AL9" s="476">
        <f t="shared" ref="AL9:AL31" si="20">IF($AL$8=$H9,$Q9,0)</f>
        <v>0</v>
      </c>
      <c r="AM9" s="476">
        <f t="shared" ref="AM9:AM31" si="21">IF($AL$8=$H9,$R9,0)</f>
        <v>0</v>
      </c>
      <c r="AN9" s="476">
        <f t="shared" ref="AN9:AN31" si="22">IF($AN$8=$H9,$Q9,0)</f>
        <v>0</v>
      </c>
      <c r="AO9" s="476">
        <f t="shared" ref="AO9:AO31" si="23">IF($AN$8=$H9,$R9,0)</f>
        <v>0</v>
      </c>
      <c r="AP9" s="476">
        <f t="shared" ref="AP9:AP31" si="24">IF($AP$8=$H9,$Q9,0)</f>
        <v>0</v>
      </c>
      <c r="AQ9" s="476">
        <f t="shared" ref="AQ9:AQ31" si="25">IF($AP$8=$H9,$R9,0)</f>
        <v>0</v>
      </c>
      <c r="AR9" s="476">
        <f t="shared" ref="AR9:AR31" si="26">IF($AR$8=$H9,$Q9,0)</f>
        <v>0</v>
      </c>
      <c r="AS9" s="476">
        <f t="shared" ref="AS9:AS31" si="27">IF($AR$8=$H9,$R9,0)</f>
        <v>0</v>
      </c>
      <c r="AT9" s="476">
        <f t="shared" ref="AT9:AT31" si="28">IF($AT$8=$H9,$Q9,0)</f>
        <v>0</v>
      </c>
      <c r="AU9" s="476">
        <f t="shared" ref="AU9:AU31" si="29">IF($AT$8=$H9,$R9,0)</f>
        <v>0</v>
      </c>
      <c r="AV9" s="476">
        <f t="shared" ref="AV9:AV31" si="30">IF($AV$8=$H9,$Q9,0)</f>
        <v>0</v>
      </c>
      <c r="AW9" s="476">
        <f t="shared" ref="AW9:AW31" si="31">IF($AV$8=$H9,$R9,0)</f>
        <v>0</v>
      </c>
      <c r="AX9" s="476">
        <f t="shared" ref="AX9:AX31" si="32">IF($AX$8=$H9,$Q9,0)</f>
        <v>0</v>
      </c>
      <c r="AY9" s="476">
        <f t="shared" ref="AY9:AY31" si="33">IF($AX$8=$H9,$R9,0)</f>
        <v>0</v>
      </c>
      <c r="AZ9" s="476">
        <f t="shared" ref="AZ9:AZ31" si="34">IF($AZ$8=$H9,$Q9,0)</f>
        <v>0</v>
      </c>
      <c r="BA9" s="476">
        <f t="shared" ref="BA9:BA31" si="35">IF($AZ$8=$H9,$R9,0)</f>
        <v>0</v>
      </c>
      <c r="BB9" s="476">
        <f t="shared" ref="BB9:BB31" si="36">IF($BB$8=$H9,$Q9,0)</f>
        <v>0</v>
      </c>
      <c r="BC9" s="476">
        <f t="shared" ref="BC9:BC31" si="37">IF($BB$8=$H9,$R9,0)</f>
        <v>0</v>
      </c>
      <c r="BD9" s="476">
        <f t="shared" ref="BD9:BD31" si="38">IF($BD$8=$H9,$Q9,0)</f>
        <v>0</v>
      </c>
      <c r="BE9" s="476">
        <f t="shared" ref="BE9:BE31" si="39">IF($BD$8=$H9,$R9,0)</f>
        <v>0</v>
      </c>
      <c r="BF9" s="476">
        <f t="shared" ref="BF9:BF31" si="40">IF($BF$8=$H9,$Q9,0)</f>
        <v>0</v>
      </c>
      <c r="BG9" s="476">
        <f t="shared" ref="BG9:BG31" si="41">IF($BF$8=$H9,$R9,0)</f>
        <v>0</v>
      </c>
    </row>
    <row r="10" spans="1:68" ht="16.5" customHeight="1">
      <c r="A10" s="583" t="s">
        <v>679</v>
      </c>
      <c r="B10" s="584" t="s">
        <v>1580</v>
      </c>
      <c r="C10" s="584" t="s">
        <v>1724</v>
      </c>
      <c r="D10" s="413" t="s">
        <v>1051</v>
      </c>
      <c r="E10" s="412" t="s">
        <v>466</v>
      </c>
      <c r="F10" s="412" t="s">
        <v>1052</v>
      </c>
      <c r="G10" s="412" t="s">
        <v>1053</v>
      </c>
      <c r="H10" s="412" t="s">
        <v>1722</v>
      </c>
      <c r="I10" s="477">
        <v>0</v>
      </c>
      <c r="J10" s="477">
        <v>0</v>
      </c>
      <c r="K10" s="477">
        <v>0</v>
      </c>
      <c r="L10" s="477">
        <v>0</v>
      </c>
      <c r="M10" s="477">
        <f t="shared" si="2"/>
        <v>0</v>
      </c>
      <c r="N10" s="477">
        <f t="shared" si="3"/>
        <v>0</v>
      </c>
      <c r="O10" s="477"/>
      <c r="P10" s="477"/>
      <c r="Q10" s="477">
        <f>+M10+O10</f>
        <v>0</v>
      </c>
      <c r="R10" s="477">
        <f t="shared" ref="R10:R76" si="42">+N10+P10</f>
        <v>0</v>
      </c>
      <c r="S10" s="477">
        <f t="shared" ref="S10:S76" si="43">+Q10-R10</f>
        <v>0</v>
      </c>
      <c r="V10" s="476">
        <f t="shared" si="4"/>
        <v>0</v>
      </c>
      <c r="W10" s="476">
        <f t="shared" si="5"/>
        <v>0</v>
      </c>
      <c r="X10" s="476">
        <f t="shared" si="6"/>
        <v>0</v>
      </c>
      <c r="Y10" s="476">
        <f t="shared" si="7"/>
        <v>0</v>
      </c>
      <c r="Z10" s="476">
        <f t="shared" si="8"/>
        <v>0</v>
      </c>
      <c r="AA10" s="476">
        <f t="shared" si="9"/>
        <v>0</v>
      </c>
      <c r="AB10" s="476">
        <f t="shared" si="10"/>
        <v>0</v>
      </c>
      <c r="AC10" s="476">
        <f t="shared" si="11"/>
        <v>0</v>
      </c>
      <c r="AD10" s="476">
        <f t="shared" si="12"/>
        <v>0</v>
      </c>
      <c r="AE10" s="476">
        <f t="shared" si="13"/>
        <v>0</v>
      </c>
      <c r="AF10" s="476">
        <f t="shared" si="14"/>
        <v>0</v>
      </c>
      <c r="AG10" s="476">
        <f t="shared" si="15"/>
        <v>0</v>
      </c>
      <c r="AH10" s="476">
        <f t="shared" si="16"/>
        <v>0</v>
      </c>
      <c r="AI10" s="476">
        <f t="shared" si="17"/>
        <v>0</v>
      </c>
      <c r="AJ10" s="476">
        <f t="shared" si="18"/>
        <v>0</v>
      </c>
      <c r="AK10" s="476">
        <f t="shared" si="19"/>
        <v>0</v>
      </c>
      <c r="AL10" s="476">
        <f t="shared" si="20"/>
        <v>0</v>
      </c>
      <c r="AM10" s="476">
        <f t="shared" si="21"/>
        <v>0</v>
      </c>
      <c r="AN10" s="476">
        <f t="shared" si="22"/>
        <v>0</v>
      </c>
      <c r="AO10" s="476">
        <f t="shared" si="23"/>
        <v>0</v>
      </c>
      <c r="AP10" s="476">
        <f t="shared" si="24"/>
        <v>0</v>
      </c>
      <c r="AQ10" s="476">
        <f t="shared" si="25"/>
        <v>0</v>
      </c>
      <c r="AR10" s="476">
        <f t="shared" si="26"/>
        <v>0</v>
      </c>
      <c r="AS10" s="476">
        <f t="shared" si="27"/>
        <v>0</v>
      </c>
      <c r="AT10" s="476">
        <f t="shared" si="28"/>
        <v>0</v>
      </c>
      <c r="AU10" s="476">
        <f t="shared" si="29"/>
        <v>0</v>
      </c>
      <c r="AV10" s="476">
        <f t="shared" si="30"/>
        <v>0</v>
      </c>
      <c r="AW10" s="476">
        <f t="shared" si="31"/>
        <v>0</v>
      </c>
      <c r="AX10" s="476">
        <f t="shared" si="32"/>
        <v>0</v>
      </c>
      <c r="AY10" s="476">
        <f t="shared" si="33"/>
        <v>0</v>
      </c>
      <c r="AZ10" s="476">
        <f t="shared" si="34"/>
        <v>0</v>
      </c>
      <c r="BA10" s="476">
        <f t="shared" si="35"/>
        <v>0</v>
      </c>
      <c r="BB10" s="476">
        <f t="shared" si="36"/>
        <v>0</v>
      </c>
      <c r="BC10" s="476">
        <f t="shared" si="37"/>
        <v>0</v>
      </c>
      <c r="BD10" s="476">
        <f t="shared" si="38"/>
        <v>0</v>
      </c>
      <c r="BE10" s="476">
        <f t="shared" si="39"/>
        <v>0</v>
      </c>
      <c r="BF10" s="476">
        <f t="shared" si="40"/>
        <v>0</v>
      </c>
      <c r="BG10" s="476">
        <f t="shared" si="41"/>
        <v>0</v>
      </c>
    </row>
    <row r="11" spans="1:68" ht="16.5" customHeight="1">
      <c r="A11" s="583" t="s">
        <v>680</v>
      </c>
      <c r="B11" s="584" t="s">
        <v>1581</v>
      </c>
      <c r="C11" s="584" t="s">
        <v>1</v>
      </c>
      <c r="D11" s="413" t="s">
        <v>1051</v>
      </c>
      <c r="E11" s="412" t="s">
        <v>466</v>
      </c>
      <c r="F11" s="412" t="s">
        <v>1052</v>
      </c>
      <c r="G11" s="412" t="s">
        <v>1053</v>
      </c>
      <c r="H11" s="412" t="s">
        <v>974</v>
      </c>
      <c r="I11" s="477">
        <v>143120</v>
      </c>
      <c r="J11" s="477">
        <v>0</v>
      </c>
      <c r="K11" s="477">
        <v>0</v>
      </c>
      <c r="L11" s="477">
        <v>0</v>
      </c>
      <c r="M11" s="477">
        <f t="shared" si="2"/>
        <v>143120</v>
      </c>
      <c r="N11" s="477">
        <f t="shared" si="3"/>
        <v>0</v>
      </c>
      <c r="O11" s="477"/>
      <c r="P11" s="477"/>
      <c r="Q11" s="477">
        <f t="shared" ref="Q11:Q76" si="44">+M11+O11</f>
        <v>143120</v>
      </c>
      <c r="R11" s="477">
        <f t="shared" si="42"/>
        <v>0</v>
      </c>
      <c r="S11" s="477">
        <f t="shared" si="43"/>
        <v>143120</v>
      </c>
      <c r="V11" s="476">
        <f t="shared" si="4"/>
        <v>143120</v>
      </c>
      <c r="W11" s="476">
        <f t="shared" si="5"/>
        <v>0</v>
      </c>
      <c r="X11" s="476">
        <f t="shared" si="6"/>
        <v>0</v>
      </c>
      <c r="Y11" s="476">
        <f t="shared" si="7"/>
        <v>0</v>
      </c>
      <c r="Z11" s="476">
        <f t="shared" si="8"/>
        <v>0</v>
      </c>
      <c r="AA11" s="476">
        <f t="shared" si="9"/>
        <v>0</v>
      </c>
      <c r="AB11" s="476">
        <f t="shared" si="10"/>
        <v>0</v>
      </c>
      <c r="AC11" s="476">
        <f t="shared" si="11"/>
        <v>0</v>
      </c>
      <c r="AD11" s="476">
        <f t="shared" si="12"/>
        <v>0</v>
      </c>
      <c r="AE11" s="476">
        <f t="shared" si="13"/>
        <v>0</v>
      </c>
      <c r="AF11" s="476">
        <f t="shared" si="14"/>
        <v>0</v>
      </c>
      <c r="AG11" s="476">
        <f t="shared" si="15"/>
        <v>0</v>
      </c>
      <c r="AH11" s="476">
        <f t="shared" si="16"/>
        <v>0</v>
      </c>
      <c r="AI11" s="476">
        <f t="shared" si="17"/>
        <v>0</v>
      </c>
      <c r="AJ11" s="476">
        <f t="shared" si="18"/>
        <v>0</v>
      </c>
      <c r="AK11" s="476">
        <f t="shared" si="19"/>
        <v>0</v>
      </c>
      <c r="AL11" s="476">
        <f t="shared" si="20"/>
        <v>0</v>
      </c>
      <c r="AM11" s="476">
        <f t="shared" si="21"/>
        <v>0</v>
      </c>
      <c r="AN11" s="476">
        <f t="shared" si="22"/>
        <v>0</v>
      </c>
      <c r="AO11" s="476">
        <f t="shared" si="23"/>
        <v>0</v>
      </c>
      <c r="AP11" s="476">
        <f t="shared" si="24"/>
        <v>0</v>
      </c>
      <c r="AQ11" s="476">
        <f t="shared" si="25"/>
        <v>0</v>
      </c>
      <c r="AR11" s="476">
        <f t="shared" si="26"/>
        <v>0</v>
      </c>
      <c r="AS11" s="476">
        <f t="shared" si="27"/>
        <v>0</v>
      </c>
      <c r="AT11" s="476">
        <f t="shared" si="28"/>
        <v>0</v>
      </c>
      <c r="AU11" s="476">
        <f t="shared" si="29"/>
        <v>0</v>
      </c>
      <c r="AV11" s="476">
        <f t="shared" si="30"/>
        <v>0</v>
      </c>
      <c r="AW11" s="476">
        <f t="shared" si="31"/>
        <v>0</v>
      </c>
      <c r="AX11" s="476">
        <f t="shared" si="32"/>
        <v>0</v>
      </c>
      <c r="AY11" s="476">
        <f t="shared" si="33"/>
        <v>0</v>
      </c>
      <c r="AZ11" s="476">
        <f t="shared" si="34"/>
        <v>0</v>
      </c>
      <c r="BA11" s="476">
        <f t="shared" si="35"/>
        <v>0</v>
      </c>
      <c r="BB11" s="476">
        <f t="shared" si="36"/>
        <v>0</v>
      </c>
      <c r="BC11" s="476">
        <f t="shared" si="37"/>
        <v>0</v>
      </c>
      <c r="BD11" s="476">
        <f t="shared" si="38"/>
        <v>0</v>
      </c>
      <c r="BE11" s="476">
        <f t="shared" si="39"/>
        <v>0</v>
      </c>
      <c r="BF11" s="476">
        <f t="shared" si="40"/>
        <v>0</v>
      </c>
      <c r="BG11" s="476">
        <f t="shared" si="41"/>
        <v>0</v>
      </c>
    </row>
    <row r="12" spans="1:68" ht="16.5" customHeight="1">
      <c r="A12" s="583" t="s">
        <v>681</v>
      </c>
      <c r="B12" s="584" t="s">
        <v>1582</v>
      </c>
      <c r="C12" s="584" t="s">
        <v>3</v>
      </c>
      <c r="D12" s="413" t="s">
        <v>1051</v>
      </c>
      <c r="E12" s="412" t="s">
        <v>466</v>
      </c>
      <c r="F12" s="412" t="s">
        <v>1052</v>
      </c>
      <c r="G12" s="412" t="s">
        <v>1053</v>
      </c>
      <c r="H12" s="412" t="s">
        <v>1011</v>
      </c>
      <c r="I12" s="477">
        <v>0</v>
      </c>
      <c r="J12" s="477">
        <v>809205</v>
      </c>
      <c r="K12" s="477">
        <v>0</v>
      </c>
      <c r="L12" s="477">
        <v>0</v>
      </c>
      <c r="M12" s="477">
        <f t="shared" si="2"/>
        <v>0</v>
      </c>
      <c r="N12" s="477">
        <f t="shared" si="3"/>
        <v>809205</v>
      </c>
      <c r="O12" s="477"/>
      <c r="P12" s="477"/>
      <c r="Q12" s="477">
        <f t="shared" si="44"/>
        <v>0</v>
      </c>
      <c r="R12" s="477">
        <f t="shared" si="42"/>
        <v>809205</v>
      </c>
      <c r="S12" s="477">
        <f t="shared" si="43"/>
        <v>-809205</v>
      </c>
      <c r="V12" s="476">
        <f t="shared" si="4"/>
        <v>0</v>
      </c>
      <c r="W12" s="476">
        <f t="shared" si="5"/>
        <v>0</v>
      </c>
      <c r="X12" s="476">
        <f t="shared" si="6"/>
        <v>0</v>
      </c>
      <c r="Y12" s="476">
        <f t="shared" si="7"/>
        <v>809205</v>
      </c>
      <c r="Z12" s="476">
        <f t="shared" si="8"/>
        <v>0</v>
      </c>
      <c r="AA12" s="476">
        <f t="shared" si="9"/>
        <v>0</v>
      </c>
      <c r="AB12" s="476">
        <f t="shared" si="10"/>
        <v>0</v>
      </c>
      <c r="AC12" s="476">
        <f t="shared" si="11"/>
        <v>0</v>
      </c>
      <c r="AD12" s="476">
        <f t="shared" si="12"/>
        <v>0</v>
      </c>
      <c r="AE12" s="476">
        <f t="shared" si="13"/>
        <v>0</v>
      </c>
      <c r="AF12" s="476">
        <f t="shared" si="14"/>
        <v>0</v>
      </c>
      <c r="AG12" s="476">
        <f t="shared" si="15"/>
        <v>0</v>
      </c>
      <c r="AH12" s="476">
        <f t="shared" si="16"/>
        <v>0</v>
      </c>
      <c r="AI12" s="476">
        <f t="shared" si="17"/>
        <v>0</v>
      </c>
      <c r="AJ12" s="476">
        <f t="shared" si="18"/>
        <v>0</v>
      </c>
      <c r="AK12" s="476">
        <f t="shared" si="19"/>
        <v>0</v>
      </c>
      <c r="AL12" s="476">
        <f t="shared" si="20"/>
        <v>0</v>
      </c>
      <c r="AM12" s="476">
        <f t="shared" si="21"/>
        <v>0</v>
      </c>
      <c r="AN12" s="476">
        <f t="shared" si="22"/>
        <v>0</v>
      </c>
      <c r="AO12" s="476">
        <f t="shared" si="23"/>
        <v>0</v>
      </c>
      <c r="AP12" s="476">
        <f t="shared" si="24"/>
        <v>0</v>
      </c>
      <c r="AQ12" s="476">
        <f t="shared" si="25"/>
        <v>0</v>
      </c>
      <c r="AR12" s="476">
        <f t="shared" si="26"/>
        <v>0</v>
      </c>
      <c r="AS12" s="476">
        <f t="shared" si="27"/>
        <v>0</v>
      </c>
      <c r="AT12" s="476">
        <f t="shared" si="28"/>
        <v>0</v>
      </c>
      <c r="AU12" s="476">
        <f t="shared" si="29"/>
        <v>0</v>
      </c>
      <c r="AV12" s="476">
        <f t="shared" si="30"/>
        <v>0</v>
      </c>
      <c r="AW12" s="476">
        <f t="shared" si="31"/>
        <v>0</v>
      </c>
      <c r="AX12" s="476">
        <f t="shared" si="32"/>
        <v>0</v>
      </c>
      <c r="AY12" s="476">
        <f t="shared" si="33"/>
        <v>0</v>
      </c>
      <c r="AZ12" s="476">
        <f t="shared" si="34"/>
        <v>0</v>
      </c>
      <c r="BA12" s="476">
        <f t="shared" si="35"/>
        <v>0</v>
      </c>
      <c r="BB12" s="476">
        <f t="shared" si="36"/>
        <v>0</v>
      </c>
      <c r="BC12" s="476">
        <f t="shared" si="37"/>
        <v>0</v>
      </c>
      <c r="BD12" s="476">
        <f t="shared" si="38"/>
        <v>0</v>
      </c>
      <c r="BE12" s="476">
        <f t="shared" si="39"/>
        <v>0</v>
      </c>
      <c r="BF12" s="476">
        <f t="shared" si="40"/>
        <v>0</v>
      </c>
      <c r="BG12" s="476">
        <f t="shared" si="41"/>
        <v>0</v>
      </c>
    </row>
    <row r="13" spans="1:68" ht="16.5" customHeight="1">
      <c r="A13" s="583" t="s">
        <v>681</v>
      </c>
      <c r="B13" s="584" t="s">
        <v>1582</v>
      </c>
      <c r="C13" s="584" t="s">
        <v>2</v>
      </c>
      <c r="D13" s="413" t="s">
        <v>1051</v>
      </c>
      <c r="E13" s="412" t="s">
        <v>466</v>
      </c>
      <c r="F13" s="412" t="s">
        <v>1052</v>
      </c>
      <c r="G13" s="412" t="s">
        <v>1053</v>
      </c>
      <c r="H13" s="412" t="s">
        <v>1020</v>
      </c>
      <c r="I13" s="477">
        <v>581067</v>
      </c>
      <c r="J13" s="477">
        <v>0</v>
      </c>
      <c r="K13" s="477">
        <v>0</v>
      </c>
      <c r="L13" s="477">
        <v>0</v>
      </c>
      <c r="M13" s="477">
        <f t="shared" si="2"/>
        <v>581067</v>
      </c>
      <c r="N13" s="477">
        <f t="shared" si="3"/>
        <v>0</v>
      </c>
      <c r="O13" s="477"/>
      <c r="P13" s="477"/>
      <c r="Q13" s="477">
        <f t="shared" si="44"/>
        <v>581067</v>
      </c>
      <c r="R13" s="477">
        <f t="shared" si="42"/>
        <v>0</v>
      </c>
      <c r="S13" s="477">
        <f t="shared" si="43"/>
        <v>581067</v>
      </c>
      <c r="V13" s="476">
        <f t="shared" si="4"/>
        <v>0</v>
      </c>
      <c r="W13" s="476">
        <f t="shared" si="5"/>
        <v>0</v>
      </c>
      <c r="X13" s="476">
        <f t="shared" si="6"/>
        <v>0</v>
      </c>
      <c r="Y13" s="476">
        <f t="shared" si="7"/>
        <v>0</v>
      </c>
      <c r="Z13" s="476">
        <f t="shared" si="8"/>
        <v>581067</v>
      </c>
      <c r="AA13" s="476">
        <f t="shared" si="9"/>
        <v>0</v>
      </c>
      <c r="AB13" s="476">
        <f t="shared" si="10"/>
        <v>0</v>
      </c>
      <c r="AC13" s="476">
        <f t="shared" si="11"/>
        <v>0</v>
      </c>
      <c r="AD13" s="476">
        <f t="shared" si="12"/>
        <v>0</v>
      </c>
      <c r="AE13" s="476">
        <f t="shared" si="13"/>
        <v>0</v>
      </c>
      <c r="AF13" s="476">
        <f t="shared" si="14"/>
        <v>0</v>
      </c>
      <c r="AG13" s="476">
        <f t="shared" si="15"/>
        <v>0</v>
      </c>
      <c r="AH13" s="476">
        <f t="shared" si="16"/>
        <v>0</v>
      </c>
      <c r="AI13" s="476">
        <f t="shared" si="17"/>
        <v>0</v>
      </c>
      <c r="AJ13" s="476">
        <f t="shared" si="18"/>
        <v>0</v>
      </c>
      <c r="AK13" s="476">
        <f t="shared" si="19"/>
        <v>0</v>
      </c>
      <c r="AL13" s="476">
        <f t="shared" si="20"/>
        <v>0</v>
      </c>
      <c r="AM13" s="476">
        <f t="shared" si="21"/>
        <v>0</v>
      </c>
      <c r="AN13" s="476">
        <f t="shared" si="22"/>
        <v>0</v>
      </c>
      <c r="AO13" s="476">
        <f t="shared" si="23"/>
        <v>0</v>
      </c>
      <c r="AP13" s="476">
        <f t="shared" si="24"/>
        <v>0</v>
      </c>
      <c r="AQ13" s="476">
        <f t="shared" si="25"/>
        <v>0</v>
      </c>
      <c r="AR13" s="476">
        <f t="shared" si="26"/>
        <v>0</v>
      </c>
      <c r="AS13" s="476">
        <f t="shared" si="27"/>
        <v>0</v>
      </c>
      <c r="AT13" s="476">
        <f t="shared" si="28"/>
        <v>0</v>
      </c>
      <c r="AU13" s="476">
        <f t="shared" si="29"/>
        <v>0</v>
      </c>
      <c r="AV13" s="476">
        <f t="shared" si="30"/>
        <v>0</v>
      </c>
      <c r="AW13" s="476">
        <f t="shared" si="31"/>
        <v>0</v>
      </c>
      <c r="AX13" s="476">
        <f t="shared" si="32"/>
        <v>0</v>
      </c>
      <c r="AY13" s="476">
        <f t="shared" si="33"/>
        <v>0</v>
      </c>
      <c r="AZ13" s="476">
        <f t="shared" si="34"/>
        <v>0</v>
      </c>
      <c r="BA13" s="476">
        <f t="shared" si="35"/>
        <v>0</v>
      </c>
      <c r="BB13" s="476">
        <f t="shared" si="36"/>
        <v>0</v>
      </c>
      <c r="BC13" s="476">
        <f t="shared" si="37"/>
        <v>0</v>
      </c>
      <c r="BD13" s="476">
        <f t="shared" si="38"/>
        <v>0</v>
      </c>
      <c r="BE13" s="476">
        <f t="shared" si="39"/>
        <v>0</v>
      </c>
      <c r="BF13" s="476">
        <f t="shared" si="40"/>
        <v>0</v>
      </c>
      <c r="BG13" s="476">
        <f t="shared" si="41"/>
        <v>0</v>
      </c>
    </row>
    <row r="14" spans="1:68" ht="16.5" customHeight="1">
      <c r="A14" s="583" t="s">
        <v>682</v>
      </c>
      <c r="B14" s="584" t="s">
        <v>1583</v>
      </c>
      <c r="C14" s="584" t="s">
        <v>4</v>
      </c>
      <c r="D14" s="413" t="s">
        <v>1051</v>
      </c>
      <c r="E14" s="412" t="s">
        <v>466</v>
      </c>
      <c r="F14" s="412" t="s">
        <v>1052</v>
      </c>
      <c r="G14" s="412" t="s">
        <v>1053</v>
      </c>
      <c r="H14" s="412" t="s">
        <v>974</v>
      </c>
      <c r="I14" s="477">
        <v>62500</v>
      </c>
      <c r="J14" s="477">
        <v>0</v>
      </c>
      <c r="K14" s="477">
        <v>0</v>
      </c>
      <c r="L14" s="477">
        <v>0</v>
      </c>
      <c r="M14" s="477">
        <f t="shared" si="2"/>
        <v>62500</v>
      </c>
      <c r="N14" s="477">
        <f t="shared" si="3"/>
        <v>0</v>
      </c>
      <c r="O14" s="477"/>
      <c r="P14" s="477"/>
      <c r="Q14" s="477">
        <f t="shared" si="44"/>
        <v>62500</v>
      </c>
      <c r="R14" s="477">
        <f t="shared" si="42"/>
        <v>0</v>
      </c>
      <c r="S14" s="477">
        <f t="shared" si="43"/>
        <v>62500</v>
      </c>
      <c r="V14" s="476">
        <f t="shared" si="4"/>
        <v>62500</v>
      </c>
      <c r="W14" s="476">
        <f t="shared" si="5"/>
        <v>0</v>
      </c>
      <c r="X14" s="476">
        <f t="shared" si="6"/>
        <v>0</v>
      </c>
      <c r="Y14" s="476">
        <f t="shared" si="7"/>
        <v>0</v>
      </c>
      <c r="Z14" s="476">
        <f t="shared" si="8"/>
        <v>0</v>
      </c>
      <c r="AA14" s="476">
        <f t="shared" si="9"/>
        <v>0</v>
      </c>
      <c r="AB14" s="476">
        <f t="shared" si="10"/>
        <v>0</v>
      </c>
      <c r="AC14" s="476">
        <f t="shared" si="11"/>
        <v>0</v>
      </c>
      <c r="AD14" s="476">
        <f t="shared" si="12"/>
        <v>0</v>
      </c>
      <c r="AE14" s="476">
        <f t="shared" si="13"/>
        <v>0</v>
      </c>
      <c r="AF14" s="476">
        <f t="shared" si="14"/>
        <v>0</v>
      </c>
      <c r="AG14" s="476">
        <f t="shared" si="15"/>
        <v>0</v>
      </c>
      <c r="AH14" s="476">
        <f t="shared" si="16"/>
        <v>0</v>
      </c>
      <c r="AI14" s="476">
        <f t="shared" si="17"/>
        <v>0</v>
      </c>
      <c r="AJ14" s="476">
        <f t="shared" si="18"/>
        <v>0</v>
      </c>
      <c r="AK14" s="476">
        <f t="shared" si="19"/>
        <v>0</v>
      </c>
      <c r="AL14" s="476">
        <f t="shared" si="20"/>
        <v>0</v>
      </c>
      <c r="AM14" s="476">
        <f t="shared" si="21"/>
        <v>0</v>
      </c>
      <c r="AN14" s="476">
        <f t="shared" si="22"/>
        <v>0</v>
      </c>
      <c r="AO14" s="476">
        <f t="shared" si="23"/>
        <v>0</v>
      </c>
      <c r="AP14" s="476">
        <f t="shared" si="24"/>
        <v>0</v>
      </c>
      <c r="AQ14" s="476">
        <f t="shared" si="25"/>
        <v>0</v>
      </c>
      <c r="AR14" s="476">
        <f t="shared" si="26"/>
        <v>0</v>
      </c>
      <c r="AS14" s="476">
        <f t="shared" si="27"/>
        <v>0</v>
      </c>
      <c r="AT14" s="476">
        <f t="shared" si="28"/>
        <v>0</v>
      </c>
      <c r="AU14" s="476">
        <f t="shared" si="29"/>
        <v>0</v>
      </c>
      <c r="AV14" s="476">
        <f t="shared" si="30"/>
        <v>0</v>
      </c>
      <c r="AW14" s="476">
        <f t="shared" si="31"/>
        <v>0</v>
      </c>
      <c r="AX14" s="476">
        <f t="shared" si="32"/>
        <v>0</v>
      </c>
      <c r="AY14" s="476">
        <f t="shared" si="33"/>
        <v>0</v>
      </c>
      <c r="AZ14" s="476">
        <f t="shared" si="34"/>
        <v>0</v>
      </c>
      <c r="BA14" s="476">
        <f t="shared" si="35"/>
        <v>0</v>
      </c>
      <c r="BB14" s="476">
        <f t="shared" si="36"/>
        <v>0</v>
      </c>
      <c r="BC14" s="476">
        <f t="shared" si="37"/>
        <v>0</v>
      </c>
      <c r="BD14" s="476">
        <f t="shared" si="38"/>
        <v>0</v>
      </c>
      <c r="BE14" s="476">
        <f t="shared" si="39"/>
        <v>0</v>
      </c>
      <c r="BF14" s="476">
        <f t="shared" si="40"/>
        <v>0</v>
      </c>
      <c r="BG14" s="476">
        <f t="shared" si="41"/>
        <v>0</v>
      </c>
    </row>
    <row r="15" spans="1:68" ht="16.5" customHeight="1">
      <c r="A15" s="583" t="s">
        <v>683</v>
      </c>
      <c r="B15" s="584" t="s">
        <v>1584</v>
      </c>
      <c r="C15" s="584" t="s">
        <v>5</v>
      </c>
      <c r="D15" s="413" t="s">
        <v>1051</v>
      </c>
      <c r="E15" s="412" t="s">
        <v>466</v>
      </c>
      <c r="F15" s="412" t="s">
        <v>1052</v>
      </c>
      <c r="G15" s="412" t="s">
        <v>1053</v>
      </c>
      <c r="H15" s="412" t="s">
        <v>974</v>
      </c>
      <c r="I15" s="477">
        <v>51853</v>
      </c>
      <c r="J15" s="477">
        <v>0</v>
      </c>
      <c r="K15" s="477">
        <v>0</v>
      </c>
      <c r="L15" s="477">
        <v>0</v>
      </c>
      <c r="M15" s="477">
        <f t="shared" si="2"/>
        <v>51853</v>
      </c>
      <c r="N15" s="477">
        <f t="shared" si="3"/>
        <v>0</v>
      </c>
      <c r="O15" s="477"/>
      <c r="P15" s="477"/>
      <c r="Q15" s="477">
        <f t="shared" si="44"/>
        <v>51853</v>
      </c>
      <c r="R15" s="477">
        <f t="shared" si="42"/>
        <v>0</v>
      </c>
      <c r="S15" s="477">
        <f t="shared" si="43"/>
        <v>51853</v>
      </c>
      <c r="V15" s="476">
        <f t="shared" si="4"/>
        <v>51853</v>
      </c>
      <c r="W15" s="476">
        <f t="shared" si="5"/>
        <v>0</v>
      </c>
      <c r="X15" s="476">
        <f t="shared" si="6"/>
        <v>0</v>
      </c>
      <c r="Y15" s="476">
        <f t="shared" si="7"/>
        <v>0</v>
      </c>
      <c r="Z15" s="476">
        <f t="shared" si="8"/>
        <v>0</v>
      </c>
      <c r="AA15" s="476">
        <f t="shared" si="9"/>
        <v>0</v>
      </c>
      <c r="AB15" s="476">
        <f t="shared" si="10"/>
        <v>0</v>
      </c>
      <c r="AC15" s="476">
        <f t="shared" si="11"/>
        <v>0</v>
      </c>
      <c r="AD15" s="476">
        <f t="shared" si="12"/>
        <v>0</v>
      </c>
      <c r="AE15" s="476">
        <f t="shared" si="13"/>
        <v>0</v>
      </c>
      <c r="AF15" s="476">
        <f t="shared" si="14"/>
        <v>0</v>
      </c>
      <c r="AG15" s="476">
        <f t="shared" si="15"/>
        <v>0</v>
      </c>
      <c r="AH15" s="476">
        <f t="shared" si="16"/>
        <v>0</v>
      </c>
      <c r="AI15" s="476">
        <f t="shared" si="17"/>
        <v>0</v>
      </c>
      <c r="AJ15" s="476">
        <f t="shared" si="18"/>
        <v>0</v>
      </c>
      <c r="AK15" s="476">
        <f t="shared" si="19"/>
        <v>0</v>
      </c>
      <c r="AL15" s="476">
        <f t="shared" si="20"/>
        <v>0</v>
      </c>
      <c r="AM15" s="476">
        <f t="shared" si="21"/>
        <v>0</v>
      </c>
      <c r="AN15" s="476">
        <f t="shared" si="22"/>
        <v>0</v>
      </c>
      <c r="AO15" s="476">
        <f t="shared" si="23"/>
        <v>0</v>
      </c>
      <c r="AP15" s="476">
        <f t="shared" si="24"/>
        <v>0</v>
      </c>
      <c r="AQ15" s="476">
        <f t="shared" si="25"/>
        <v>0</v>
      </c>
      <c r="AR15" s="476">
        <f t="shared" si="26"/>
        <v>0</v>
      </c>
      <c r="AS15" s="476">
        <f t="shared" si="27"/>
        <v>0</v>
      </c>
      <c r="AT15" s="476">
        <f t="shared" si="28"/>
        <v>0</v>
      </c>
      <c r="AU15" s="476">
        <f t="shared" si="29"/>
        <v>0</v>
      </c>
      <c r="AV15" s="476">
        <f t="shared" si="30"/>
        <v>0</v>
      </c>
      <c r="AW15" s="476">
        <f t="shared" si="31"/>
        <v>0</v>
      </c>
      <c r="AX15" s="476">
        <f t="shared" si="32"/>
        <v>0</v>
      </c>
      <c r="AY15" s="476">
        <f t="shared" si="33"/>
        <v>0</v>
      </c>
      <c r="AZ15" s="476">
        <f t="shared" si="34"/>
        <v>0</v>
      </c>
      <c r="BA15" s="476">
        <f t="shared" si="35"/>
        <v>0</v>
      </c>
      <c r="BB15" s="476">
        <f t="shared" si="36"/>
        <v>0</v>
      </c>
      <c r="BC15" s="476">
        <f t="shared" si="37"/>
        <v>0</v>
      </c>
      <c r="BD15" s="476">
        <f t="shared" si="38"/>
        <v>0</v>
      </c>
      <c r="BE15" s="476">
        <f t="shared" si="39"/>
        <v>0</v>
      </c>
      <c r="BF15" s="476">
        <f t="shared" si="40"/>
        <v>0</v>
      </c>
      <c r="BG15" s="476">
        <f t="shared" si="41"/>
        <v>0</v>
      </c>
    </row>
    <row r="16" spans="1:68" ht="16.5" customHeight="1">
      <c r="A16" s="583" t="s">
        <v>684</v>
      </c>
      <c r="B16" s="584" t="s">
        <v>1585</v>
      </c>
      <c r="C16" s="584" t="s">
        <v>6</v>
      </c>
      <c r="D16" s="413" t="s">
        <v>1051</v>
      </c>
      <c r="E16" s="412" t="s">
        <v>466</v>
      </c>
      <c r="F16" s="412" t="s">
        <v>1052</v>
      </c>
      <c r="G16" s="412" t="s">
        <v>1053</v>
      </c>
      <c r="H16" s="412" t="s">
        <v>974</v>
      </c>
      <c r="I16" s="477">
        <v>15489</v>
      </c>
      <c r="J16" s="477">
        <v>0</v>
      </c>
      <c r="K16" s="477">
        <v>0</v>
      </c>
      <c r="L16" s="477">
        <v>0</v>
      </c>
      <c r="M16" s="477">
        <f t="shared" si="2"/>
        <v>15489</v>
      </c>
      <c r="N16" s="477">
        <f t="shared" si="3"/>
        <v>0</v>
      </c>
      <c r="O16" s="477"/>
      <c r="P16" s="477"/>
      <c r="Q16" s="477">
        <f t="shared" si="44"/>
        <v>15489</v>
      </c>
      <c r="R16" s="477">
        <f t="shared" si="42"/>
        <v>0</v>
      </c>
      <c r="S16" s="477">
        <f t="shared" si="43"/>
        <v>15489</v>
      </c>
      <c r="U16" s="473"/>
      <c r="V16" s="476">
        <f t="shared" si="4"/>
        <v>15489</v>
      </c>
      <c r="W16" s="476">
        <f t="shared" si="5"/>
        <v>0</v>
      </c>
      <c r="X16" s="476">
        <f t="shared" si="6"/>
        <v>0</v>
      </c>
      <c r="Y16" s="476">
        <f t="shared" si="7"/>
        <v>0</v>
      </c>
      <c r="Z16" s="476">
        <f t="shared" si="8"/>
        <v>0</v>
      </c>
      <c r="AA16" s="476">
        <f t="shared" si="9"/>
        <v>0</v>
      </c>
      <c r="AB16" s="476">
        <f t="shared" si="10"/>
        <v>0</v>
      </c>
      <c r="AC16" s="476">
        <f t="shared" si="11"/>
        <v>0</v>
      </c>
      <c r="AD16" s="476">
        <f t="shared" si="12"/>
        <v>0</v>
      </c>
      <c r="AE16" s="476">
        <f t="shared" si="13"/>
        <v>0</v>
      </c>
      <c r="AF16" s="476">
        <f t="shared" si="14"/>
        <v>0</v>
      </c>
      <c r="AG16" s="476">
        <f t="shared" si="15"/>
        <v>0</v>
      </c>
      <c r="AH16" s="476">
        <f t="shared" si="16"/>
        <v>0</v>
      </c>
      <c r="AI16" s="476">
        <f t="shared" si="17"/>
        <v>0</v>
      </c>
      <c r="AJ16" s="476">
        <f t="shared" si="18"/>
        <v>0</v>
      </c>
      <c r="AK16" s="476">
        <f t="shared" si="19"/>
        <v>0</v>
      </c>
      <c r="AL16" s="476">
        <f t="shared" si="20"/>
        <v>0</v>
      </c>
      <c r="AM16" s="476">
        <f t="shared" si="21"/>
        <v>0</v>
      </c>
      <c r="AN16" s="476">
        <f t="shared" si="22"/>
        <v>0</v>
      </c>
      <c r="AO16" s="476">
        <f t="shared" si="23"/>
        <v>0</v>
      </c>
      <c r="AP16" s="476">
        <f t="shared" si="24"/>
        <v>0</v>
      </c>
      <c r="AQ16" s="476">
        <f t="shared" si="25"/>
        <v>0</v>
      </c>
      <c r="AR16" s="476">
        <f t="shared" si="26"/>
        <v>0</v>
      </c>
      <c r="AS16" s="476">
        <f t="shared" si="27"/>
        <v>0</v>
      </c>
      <c r="AT16" s="476">
        <f t="shared" si="28"/>
        <v>0</v>
      </c>
      <c r="AU16" s="476">
        <f t="shared" si="29"/>
        <v>0</v>
      </c>
      <c r="AV16" s="476">
        <f t="shared" si="30"/>
        <v>0</v>
      </c>
      <c r="AW16" s="476">
        <f t="shared" si="31"/>
        <v>0</v>
      </c>
      <c r="AX16" s="476">
        <f t="shared" si="32"/>
        <v>0</v>
      </c>
      <c r="AY16" s="476">
        <f t="shared" si="33"/>
        <v>0</v>
      </c>
      <c r="AZ16" s="476">
        <f t="shared" si="34"/>
        <v>0</v>
      </c>
      <c r="BA16" s="476">
        <f t="shared" si="35"/>
        <v>0</v>
      </c>
      <c r="BB16" s="476">
        <f t="shared" si="36"/>
        <v>0</v>
      </c>
      <c r="BC16" s="476">
        <f t="shared" si="37"/>
        <v>0</v>
      </c>
      <c r="BD16" s="476">
        <f t="shared" si="38"/>
        <v>0</v>
      </c>
      <c r="BE16" s="476">
        <f t="shared" si="39"/>
        <v>0</v>
      </c>
      <c r="BF16" s="476">
        <f t="shared" si="40"/>
        <v>0</v>
      </c>
      <c r="BG16" s="476">
        <f t="shared" si="41"/>
        <v>0</v>
      </c>
    </row>
    <row r="17" spans="1:59" ht="16.5" customHeight="1">
      <c r="A17" s="583" t="s">
        <v>685</v>
      </c>
      <c r="B17" s="584" t="s">
        <v>1586</v>
      </c>
      <c r="C17" s="584" t="s">
        <v>7</v>
      </c>
      <c r="D17" s="413" t="s">
        <v>1051</v>
      </c>
      <c r="E17" s="412" t="s">
        <v>466</v>
      </c>
      <c r="F17" s="412" t="s">
        <v>1052</v>
      </c>
      <c r="G17" s="412" t="s">
        <v>1053</v>
      </c>
      <c r="H17" s="412" t="s">
        <v>974</v>
      </c>
      <c r="I17" s="477">
        <v>29198</v>
      </c>
      <c r="J17" s="477">
        <v>0</v>
      </c>
      <c r="K17" s="477">
        <v>0</v>
      </c>
      <c r="L17" s="477">
        <v>0</v>
      </c>
      <c r="M17" s="477">
        <f t="shared" si="2"/>
        <v>29198</v>
      </c>
      <c r="N17" s="477">
        <f t="shared" si="3"/>
        <v>0</v>
      </c>
      <c r="O17" s="477"/>
      <c r="P17" s="477"/>
      <c r="Q17" s="477">
        <f t="shared" si="44"/>
        <v>29198</v>
      </c>
      <c r="R17" s="477">
        <f t="shared" si="42"/>
        <v>0</v>
      </c>
      <c r="S17" s="477">
        <f t="shared" si="43"/>
        <v>29198</v>
      </c>
      <c r="U17" s="473"/>
      <c r="V17" s="476">
        <f t="shared" si="4"/>
        <v>29198</v>
      </c>
      <c r="W17" s="476">
        <f t="shared" si="5"/>
        <v>0</v>
      </c>
      <c r="X17" s="476">
        <f t="shared" si="6"/>
        <v>0</v>
      </c>
      <c r="Y17" s="476">
        <f t="shared" si="7"/>
        <v>0</v>
      </c>
      <c r="Z17" s="476">
        <f t="shared" si="8"/>
        <v>0</v>
      </c>
      <c r="AA17" s="476">
        <f t="shared" si="9"/>
        <v>0</v>
      </c>
      <c r="AB17" s="476">
        <f t="shared" si="10"/>
        <v>0</v>
      </c>
      <c r="AC17" s="476">
        <f t="shared" si="11"/>
        <v>0</v>
      </c>
      <c r="AD17" s="476">
        <f t="shared" si="12"/>
        <v>0</v>
      </c>
      <c r="AE17" s="476">
        <f t="shared" si="13"/>
        <v>0</v>
      </c>
      <c r="AF17" s="476">
        <f t="shared" si="14"/>
        <v>0</v>
      </c>
      <c r="AG17" s="476">
        <f t="shared" si="15"/>
        <v>0</v>
      </c>
      <c r="AH17" s="476">
        <f t="shared" si="16"/>
        <v>0</v>
      </c>
      <c r="AI17" s="476">
        <f t="shared" si="17"/>
        <v>0</v>
      </c>
      <c r="AJ17" s="476">
        <f t="shared" si="18"/>
        <v>0</v>
      </c>
      <c r="AK17" s="476">
        <f t="shared" si="19"/>
        <v>0</v>
      </c>
      <c r="AL17" s="476">
        <f t="shared" si="20"/>
        <v>0</v>
      </c>
      <c r="AM17" s="476">
        <f t="shared" si="21"/>
        <v>0</v>
      </c>
      <c r="AN17" s="476">
        <f t="shared" si="22"/>
        <v>0</v>
      </c>
      <c r="AO17" s="476">
        <f t="shared" si="23"/>
        <v>0</v>
      </c>
      <c r="AP17" s="476">
        <f t="shared" si="24"/>
        <v>0</v>
      </c>
      <c r="AQ17" s="476">
        <f t="shared" si="25"/>
        <v>0</v>
      </c>
      <c r="AR17" s="476">
        <f t="shared" si="26"/>
        <v>0</v>
      </c>
      <c r="AS17" s="476">
        <f t="shared" si="27"/>
        <v>0</v>
      </c>
      <c r="AT17" s="476">
        <f t="shared" si="28"/>
        <v>0</v>
      </c>
      <c r="AU17" s="476">
        <f t="shared" si="29"/>
        <v>0</v>
      </c>
      <c r="AV17" s="476">
        <f t="shared" si="30"/>
        <v>0</v>
      </c>
      <c r="AW17" s="476">
        <f t="shared" si="31"/>
        <v>0</v>
      </c>
      <c r="AX17" s="476">
        <f t="shared" si="32"/>
        <v>0</v>
      </c>
      <c r="AY17" s="476">
        <f t="shared" si="33"/>
        <v>0</v>
      </c>
      <c r="AZ17" s="476">
        <f t="shared" si="34"/>
        <v>0</v>
      </c>
      <c r="BA17" s="476">
        <f t="shared" si="35"/>
        <v>0</v>
      </c>
      <c r="BB17" s="476">
        <f t="shared" si="36"/>
        <v>0</v>
      </c>
      <c r="BC17" s="476">
        <f t="shared" si="37"/>
        <v>0</v>
      </c>
      <c r="BD17" s="476">
        <f t="shared" si="38"/>
        <v>0</v>
      </c>
      <c r="BE17" s="476">
        <f t="shared" si="39"/>
        <v>0</v>
      </c>
      <c r="BF17" s="476">
        <f t="shared" si="40"/>
        <v>0</v>
      </c>
      <c r="BG17" s="476">
        <f t="shared" si="41"/>
        <v>0</v>
      </c>
    </row>
    <row r="18" spans="1:59" ht="16.5" customHeight="1">
      <c r="A18" s="583" t="s">
        <v>686</v>
      </c>
      <c r="B18" s="584" t="s">
        <v>1587</v>
      </c>
      <c r="C18" s="584" t="s">
        <v>8</v>
      </c>
      <c r="D18" s="413" t="s">
        <v>1051</v>
      </c>
      <c r="E18" s="412" t="s">
        <v>466</v>
      </c>
      <c r="F18" s="412" t="s">
        <v>1052</v>
      </c>
      <c r="G18" s="412" t="s">
        <v>1053</v>
      </c>
      <c r="H18" s="412" t="s">
        <v>974</v>
      </c>
      <c r="I18" s="477">
        <v>42086428.939999998</v>
      </c>
      <c r="J18" s="477">
        <v>40166117.770000003</v>
      </c>
      <c r="K18" s="477">
        <v>24208665.719999999</v>
      </c>
      <c r="L18" s="477">
        <f>20793992.87+3000</f>
        <v>20796992.870000001</v>
      </c>
      <c r="M18" s="477">
        <f t="shared" si="2"/>
        <v>66295094.659999996</v>
      </c>
      <c r="N18" s="477">
        <f t="shared" si="3"/>
        <v>60963110.640000001</v>
      </c>
      <c r="O18" s="477"/>
      <c r="P18" s="477"/>
      <c r="Q18" s="477">
        <f t="shared" si="44"/>
        <v>66295094.659999996</v>
      </c>
      <c r="R18" s="477">
        <f t="shared" si="42"/>
        <v>60963110.640000001</v>
      </c>
      <c r="S18" s="477">
        <f t="shared" si="43"/>
        <v>5331984.0199999958</v>
      </c>
      <c r="V18" s="476">
        <f t="shared" si="4"/>
        <v>66295094.659999996</v>
      </c>
      <c r="W18" s="476">
        <f t="shared" si="5"/>
        <v>60963110.640000001</v>
      </c>
      <c r="X18" s="476">
        <f t="shared" si="6"/>
        <v>0</v>
      </c>
      <c r="Y18" s="476">
        <f t="shared" si="7"/>
        <v>0</v>
      </c>
      <c r="Z18" s="476">
        <f t="shared" si="8"/>
        <v>0</v>
      </c>
      <c r="AA18" s="476">
        <f t="shared" si="9"/>
        <v>0</v>
      </c>
      <c r="AB18" s="476">
        <f t="shared" si="10"/>
        <v>0</v>
      </c>
      <c r="AC18" s="476">
        <f t="shared" si="11"/>
        <v>0</v>
      </c>
      <c r="AD18" s="476">
        <f t="shared" si="12"/>
        <v>0</v>
      </c>
      <c r="AE18" s="476">
        <f t="shared" si="13"/>
        <v>0</v>
      </c>
      <c r="AF18" s="476">
        <f t="shared" si="14"/>
        <v>0</v>
      </c>
      <c r="AG18" s="476">
        <f t="shared" si="15"/>
        <v>0</v>
      </c>
      <c r="AH18" s="476">
        <f t="shared" si="16"/>
        <v>0</v>
      </c>
      <c r="AI18" s="476">
        <f t="shared" si="17"/>
        <v>0</v>
      </c>
      <c r="AJ18" s="476">
        <f t="shared" si="18"/>
        <v>0</v>
      </c>
      <c r="AK18" s="476">
        <f t="shared" si="19"/>
        <v>0</v>
      </c>
      <c r="AL18" s="476">
        <f t="shared" si="20"/>
        <v>0</v>
      </c>
      <c r="AM18" s="476">
        <f t="shared" si="21"/>
        <v>0</v>
      </c>
      <c r="AN18" s="476">
        <f t="shared" si="22"/>
        <v>0</v>
      </c>
      <c r="AO18" s="476">
        <f t="shared" si="23"/>
        <v>0</v>
      </c>
      <c r="AP18" s="476">
        <f t="shared" si="24"/>
        <v>0</v>
      </c>
      <c r="AQ18" s="476">
        <f t="shared" si="25"/>
        <v>0</v>
      </c>
      <c r="AR18" s="476">
        <f t="shared" si="26"/>
        <v>0</v>
      </c>
      <c r="AS18" s="476">
        <f t="shared" si="27"/>
        <v>0</v>
      </c>
      <c r="AT18" s="476">
        <f t="shared" si="28"/>
        <v>0</v>
      </c>
      <c r="AU18" s="476">
        <f t="shared" si="29"/>
        <v>0</v>
      </c>
      <c r="AV18" s="476">
        <f t="shared" si="30"/>
        <v>0</v>
      </c>
      <c r="AW18" s="476">
        <f t="shared" si="31"/>
        <v>0</v>
      </c>
      <c r="AX18" s="476">
        <f t="shared" si="32"/>
        <v>0</v>
      </c>
      <c r="AY18" s="476">
        <f t="shared" si="33"/>
        <v>0</v>
      </c>
      <c r="AZ18" s="476">
        <f t="shared" si="34"/>
        <v>0</v>
      </c>
      <c r="BA18" s="476">
        <f t="shared" si="35"/>
        <v>0</v>
      </c>
      <c r="BB18" s="476">
        <f t="shared" si="36"/>
        <v>0</v>
      </c>
      <c r="BC18" s="476">
        <f t="shared" si="37"/>
        <v>0</v>
      </c>
      <c r="BD18" s="476">
        <f t="shared" si="38"/>
        <v>0</v>
      </c>
      <c r="BE18" s="476">
        <f t="shared" si="39"/>
        <v>0</v>
      </c>
      <c r="BF18" s="476">
        <f t="shared" si="40"/>
        <v>0</v>
      </c>
      <c r="BG18" s="476">
        <f t="shared" si="41"/>
        <v>0</v>
      </c>
    </row>
    <row r="19" spans="1:59" ht="16.5" customHeight="1">
      <c r="A19" s="583" t="s">
        <v>687</v>
      </c>
      <c r="B19" s="584" t="s">
        <v>1588</v>
      </c>
      <c r="C19" s="584" t="s">
        <v>10</v>
      </c>
      <c r="D19" s="413" t="s">
        <v>1051</v>
      </c>
      <c r="E19" s="412" t="s">
        <v>466</v>
      </c>
      <c r="F19" s="412" t="s">
        <v>1052</v>
      </c>
      <c r="G19" s="412" t="s">
        <v>1053</v>
      </c>
      <c r="H19" s="412" t="s">
        <v>1012</v>
      </c>
      <c r="I19" s="477">
        <v>381581.2</v>
      </c>
      <c r="J19" s="477">
        <v>79.099999999999994</v>
      </c>
      <c r="K19" s="477">
        <v>0</v>
      </c>
      <c r="L19" s="477">
        <v>0</v>
      </c>
      <c r="M19" s="477">
        <f t="shared" si="2"/>
        <v>381581.2</v>
      </c>
      <c r="N19" s="477">
        <f t="shared" si="3"/>
        <v>79.099999999999994</v>
      </c>
      <c r="O19" s="477"/>
      <c r="P19" s="477"/>
      <c r="Q19" s="477">
        <f t="shared" si="44"/>
        <v>381581.2</v>
      </c>
      <c r="R19" s="477">
        <f t="shared" si="42"/>
        <v>79.099999999999994</v>
      </c>
      <c r="S19" s="477">
        <f t="shared" si="43"/>
        <v>381502.10000000003</v>
      </c>
      <c r="V19" s="476">
        <f t="shared" si="4"/>
        <v>0</v>
      </c>
      <c r="W19" s="476">
        <f t="shared" si="5"/>
        <v>0</v>
      </c>
      <c r="X19" s="476">
        <f t="shared" si="6"/>
        <v>0</v>
      </c>
      <c r="Y19" s="476">
        <f t="shared" si="7"/>
        <v>0</v>
      </c>
      <c r="Z19" s="476">
        <f t="shared" si="8"/>
        <v>0</v>
      </c>
      <c r="AA19" s="476">
        <f t="shared" si="9"/>
        <v>0</v>
      </c>
      <c r="AB19" s="476">
        <f t="shared" si="10"/>
        <v>381581.2</v>
      </c>
      <c r="AC19" s="476">
        <f t="shared" si="11"/>
        <v>79.099999999999994</v>
      </c>
      <c r="AD19" s="476">
        <f t="shared" si="12"/>
        <v>0</v>
      </c>
      <c r="AE19" s="476">
        <f t="shared" si="13"/>
        <v>0</v>
      </c>
      <c r="AF19" s="476">
        <f t="shared" si="14"/>
        <v>0</v>
      </c>
      <c r="AG19" s="476">
        <f t="shared" si="15"/>
        <v>0</v>
      </c>
      <c r="AH19" s="476">
        <f t="shared" si="16"/>
        <v>0</v>
      </c>
      <c r="AI19" s="476">
        <f t="shared" si="17"/>
        <v>0</v>
      </c>
      <c r="AJ19" s="476">
        <f t="shared" si="18"/>
        <v>0</v>
      </c>
      <c r="AK19" s="476">
        <f t="shared" si="19"/>
        <v>0</v>
      </c>
      <c r="AL19" s="476">
        <f t="shared" si="20"/>
        <v>0</v>
      </c>
      <c r="AM19" s="476">
        <f t="shared" si="21"/>
        <v>0</v>
      </c>
      <c r="AN19" s="476">
        <f t="shared" si="22"/>
        <v>0</v>
      </c>
      <c r="AO19" s="476">
        <f t="shared" si="23"/>
        <v>0</v>
      </c>
      <c r="AP19" s="476">
        <f t="shared" si="24"/>
        <v>0</v>
      </c>
      <c r="AQ19" s="476">
        <f t="shared" si="25"/>
        <v>0</v>
      </c>
      <c r="AR19" s="476">
        <f t="shared" si="26"/>
        <v>0</v>
      </c>
      <c r="AS19" s="476">
        <f t="shared" si="27"/>
        <v>0</v>
      </c>
      <c r="AT19" s="476">
        <f t="shared" si="28"/>
        <v>0</v>
      </c>
      <c r="AU19" s="476">
        <f t="shared" si="29"/>
        <v>0</v>
      </c>
      <c r="AV19" s="476">
        <f t="shared" si="30"/>
        <v>0</v>
      </c>
      <c r="AW19" s="476">
        <f t="shared" si="31"/>
        <v>0</v>
      </c>
      <c r="AX19" s="476">
        <f t="shared" si="32"/>
        <v>0</v>
      </c>
      <c r="AY19" s="476">
        <f t="shared" si="33"/>
        <v>0</v>
      </c>
      <c r="AZ19" s="476">
        <f t="shared" si="34"/>
        <v>0</v>
      </c>
      <c r="BA19" s="476">
        <f t="shared" si="35"/>
        <v>0</v>
      </c>
      <c r="BB19" s="476">
        <f t="shared" si="36"/>
        <v>0</v>
      </c>
      <c r="BC19" s="476">
        <f t="shared" si="37"/>
        <v>0</v>
      </c>
      <c r="BD19" s="476">
        <f t="shared" si="38"/>
        <v>0</v>
      </c>
      <c r="BE19" s="476">
        <f t="shared" si="39"/>
        <v>0</v>
      </c>
      <c r="BF19" s="476">
        <f t="shared" si="40"/>
        <v>0</v>
      </c>
      <c r="BG19" s="476">
        <f t="shared" si="41"/>
        <v>0</v>
      </c>
    </row>
    <row r="20" spans="1:59" ht="16.5" customHeight="1">
      <c r="A20" s="583" t="s">
        <v>687</v>
      </c>
      <c r="B20" s="584" t="s">
        <v>1588</v>
      </c>
      <c r="C20" s="584" t="s">
        <v>9</v>
      </c>
      <c r="D20" s="413" t="s">
        <v>1051</v>
      </c>
      <c r="E20" s="412" t="s">
        <v>466</v>
      </c>
      <c r="F20" s="412" t="s">
        <v>1052</v>
      </c>
      <c r="G20" s="412" t="s">
        <v>1053</v>
      </c>
      <c r="H20" s="412" t="s">
        <v>1019</v>
      </c>
      <c r="I20" s="477">
        <v>239707</v>
      </c>
      <c r="J20" s="477">
        <v>621187.48</v>
      </c>
      <c r="K20" s="477">
        <v>0</v>
      </c>
      <c r="L20" s="477">
        <v>21.62</v>
      </c>
      <c r="M20" s="477">
        <f t="shared" si="2"/>
        <v>239707</v>
      </c>
      <c r="N20" s="477">
        <f t="shared" si="3"/>
        <v>621209.1</v>
      </c>
      <c r="O20" s="477"/>
      <c r="P20" s="477"/>
      <c r="Q20" s="477">
        <f t="shared" si="44"/>
        <v>239707</v>
      </c>
      <c r="R20" s="477">
        <f t="shared" si="42"/>
        <v>621209.1</v>
      </c>
      <c r="S20" s="477">
        <f t="shared" si="43"/>
        <v>-381502.1</v>
      </c>
      <c r="V20" s="476">
        <f t="shared" si="4"/>
        <v>0</v>
      </c>
      <c r="W20" s="476">
        <f t="shared" si="5"/>
        <v>0</v>
      </c>
      <c r="X20" s="476">
        <f t="shared" si="6"/>
        <v>0</v>
      </c>
      <c r="Y20" s="476">
        <f t="shared" si="7"/>
        <v>0</v>
      </c>
      <c r="Z20" s="476">
        <f t="shared" si="8"/>
        <v>0</v>
      </c>
      <c r="AA20" s="476">
        <f t="shared" si="9"/>
        <v>0</v>
      </c>
      <c r="AB20" s="476">
        <f t="shared" si="10"/>
        <v>0</v>
      </c>
      <c r="AC20" s="476">
        <f t="shared" si="11"/>
        <v>0</v>
      </c>
      <c r="AD20" s="476">
        <f t="shared" si="12"/>
        <v>239707</v>
      </c>
      <c r="AE20" s="476">
        <f t="shared" si="13"/>
        <v>621209.1</v>
      </c>
      <c r="AF20" s="476">
        <f t="shared" si="14"/>
        <v>0</v>
      </c>
      <c r="AG20" s="476">
        <f t="shared" si="15"/>
        <v>0</v>
      </c>
      <c r="AH20" s="476">
        <f t="shared" si="16"/>
        <v>0</v>
      </c>
      <c r="AI20" s="476">
        <f t="shared" si="17"/>
        <v>0</v>
      </c>
      <c r="AJ20" s="476">
        <f t="shared" si="18"/>
        <v>0</v>
      </c>
      <c r="AK20" s="476">
        <f t="shared" si="19"/>
        <v>0</v>
      </c>
      <c r="AL20" s="476">
        <f t="shared" si="20"/>
        <v>0</v>
      </c>
      <c r="AM20" s="476">
        <f t="shared" si="21"/>
        <v>0</v>
      </c>
      <c r="AN20" s="476">
        <f t="shared" si="22"/>
        <v>0</v>
      </c>
      <c r="AO20" s="476">
        <f t="shared" si="23"/>
        <v>0</v>
      </c>
      <c r="AP20" s="476">
        <f t="shared" si="24"/>
        <v>0</v>
      </c>
      <c r="AQ20" s="476">
        <f t="shared" si="25"/>
        <v>0</v>
      </c>
      <c r="AR20" s="476">
        <f t="shared" si="26"/>
        <v>0</v>
      </c>
      <c r="AS20" s="476">
        <f t="shared" si="27"/>
        <v>0</v>
      </c>
      <c r="AT20" s="476">
        <f t="shared" si="28"/>
        <v>0</v>
      </c>
      <c r="AU20" s="476">
        <f t="shared" si="29"/>
        <v>0</v>
      </c>
      <c r="AV20" s="476">
        <f t="shared" si="30"/>
        <v>0</v>
      </c>
      <c r="AW20" s="476">
        <f t="shared" si="31"/>
        <v>0</v>
      </c>
      <c r="AX20" s="476">
        <f t="shared" si="32"/>
        <v>0</v>
      </c>
      <c r="AY20" s="476">
        <f t="shared" si="33"/>
        <v>0</v>
      </c>
      <c r="AZ20" s="476">
        <f t="shared" si="34"/>
        <v>0</v>
      </c>
      <c r="BA20" s="476">
        <f t="shared" si="35"/>
        <v>0</v>
      </c>
      <c r="BB20" s="476">
        <f t="shared" si="36"/>
        <v>0</v>
      </c>
      <c r="BC20" s="476">
        <f t="shared" si="37"/>
        <v>0</v>
      </c>
      <c r="BD20" s="476">
        <f t="shared" si="38"/>
        <v>0</v>
      </c>
      <c r="BE20" s="476">
        <f t="shared" si="39"/>
        <v>0</v>
      </c>
      <c r="BF20" s="476">
        <f t="shared" si="40"/>
        <v>0</v>
      </c>
      <c r="BG20" s="476">
        <f t="shared" si="41"/>
        <v>0</v>
      </c>
    </row>
    <row r="21" spans="1:59" ht="16.5" customHeight="1">
      <c r="A21" s="583" t="s">
        <v>688</v>
      </c>
      <c r="B21" s="584" t="s">
        <v>1589</v>
      </c>
      <c r="C21" s="584" t="s">
        <v>11</v>
      </c>
      <c r="D21" s="413" t="s">
        <v>1051</v>
      </c>
      <c r="E21" s="412" t="s">
        <v>466</v>
      </c>
      <c r="F21" s="412" t="s">
        <v>1052</v>
      </c>
      <c r="G21" s="412" t="s">
        <v>1053</v>
      </c>
      <c r="H21" s="412" t="s">
        <v>974</v>
      </c>
      <c r="I21" s="477">
        <v>351956.05</v>
      </c>
      <c r="J21" s="477">
        <v>347588.39999999997</v>
      </c>
      <c r="K21" s="477">
        <v>0</v>
      </c>
      <c r="L21" s="477">
        <v>0</v>
      </c>
      <c r="M21" s="477">
        <f t="shared" si="2"/>
        <v>351956.05</v>
      </c>
      <c r="N21" s="477">
        <f t="shared" si="3"/>
        <v>347588.39999999997</v>
      </c>
      <c r="O21" s="477"/>
      <c r="P21" s="477"/>
      <c r="Q21" s="477">
        <f t="shared" si="44"/>
        <v>351956.05</v>
      </c>
      <c r="R21" s="477">
        <f t="shared" si="42"/>
        <v>347588.39999999997</v>
      </c>
      <c r="S21" s="477">
        <f t="shared" si="43"/>
        <v>4367.6500000000233</v>
      </c>
      <c r="V21" s="476">
        <f t="shared" si="4"/>
        <v>351956.05</v>
      </c>
      <c r="W21" s="476">
        <f t="shared" si="5"/>
        <v>347588.39999999997</v>
      </c>
      <c r="X21" s="476">
        <f t="shared" si="6"/>
        <v>0</v>
      </c>
      <c r="Y21" s="476">
        <f t="shared" si="7"/>
        <v>0</v>
      </c>
      <c r="Z21" s="476">
        <f t="shared" si="8"/>
        <v>0</v>
      </c>
      <c r="AA21" s="476">
        <f t="shared" si="9"/>
        <v>0</v>
      </c>
      <c r="AB21" s="476">
        <f t="shared" si="10"/>
        <v>0</v>
      </c>
      <c r="AC21" s="476">
        <f t="shared" si="11"/>
        <v>0</v>
      </c>
      <c r="AD21" s="476">
        <f t="shared" si="12"/>
        <v>0</v>
      </c>
      <c r="AE21" s="476">
        <f t="shared" si="13"/>
        <v>0</v>
      </c>
      <c r="AF21" s="476">
        <f t="shared" si="14"/>
        <v>0</v>
      </c>
      <c r="AG21" s="476">
        <f t="shared" si="15"/>
        <v>0</v>
      </c>
      <c r="AH21" s="476">
        <f t="shared" si="16"/>
        <v>0</v>
      </c>
      <c r="AI21" s="476">
        <f t="shared" si="17"/>
        <v>0</v>
      </c>
      <c r="AJ21" s="476">
        <f t="shared" si="18"/>
        <v>0</v>
      </c>
      <c r="AK21" s="476">
        <f t="shared" si="19"/>
        <v>0</v>
      </c>
      <c r="AL21" s="476">
        <f t="shared" si="20"/>
        <v>0</v>
      </c>
      <c r="AM21" s="476">
        <f t="shared" si="21"/>
        <v>0</v>
      </c>
      <c r="AN21" s="476">
        <f t="shared" si="22"/>
        <v>0</v>
      </c>
      <c r="AO21" s="476">
        <f t="shared" si="23"/>
        <v>0</v>
      </c>
      <c r="AP21" s="476">
        <f t="shared" si="24"/>
        <v>0</v>
      </c>
      <c r="AQ21" s="476">
        <f t="shared" si="25"/>
        <v>0</v>
      </c>
      <c r="AR21" s="476">
        <f t="shared" si="26"/>
        <v>0</v>
      </c>
      <c r="AS21" s="476">
        <f t="shared" si="27"/>
        <v>0</v>
      </c>
      <c r="AT21" s="476">
        <f t="shared" si="28"/>
        <v>0</v>
      </c>
      <c r="AU21" s="476">
        <f t="shared" si="29"/>
        <v>0</v>
      </c>
      <c r="AV21" s="476">
        <f t="shared" si="30"/>
        <v>0</v>
      </c>
      <c r="AW21" s="476">
        <f t="shared" si="31"/>
        <v>0</v>
      </c>
      <c r="AX21" s="476">
        <f t="shared" si="32"/>
        <v>0</v>
      </c>
      <c r="AY21" s="476">
        <f t="shared" si="33"/>
        <v>0</v>
      </c>
      <c r="AZ21" s="476">
        <f t="shared" si="34"/>
        <v>0</v>
      </c>
      <c r="BA21" s="476">
        <f t="shared" si="35"/>
        <v>0</v>
      </c>
      <c r="BB21" s="476">
        <f t="shared" si="36"/>
        <v>0</v>
      </c>
      <c r="BC21" s="476">
        <f t="shared" si="37"/>
        <v>0</v>
      </c>
      <c r="BD21" s="476">
        <f t="shared" si="38"/>
        <v>0</v>
      </c>
      <c r="BE21" s="476">
        <f t="shared" si="39"/>
        <v>0</v>
      </c>
      <c r="BF21" s="476">
        <f t="shared" si="40"/>
        <v>0</v>
      </c>
      <c r="BG21" s="476">
        <f t="shared" si="41"/>
        <v>0</v>
      </c>
    </row>
    <row r="22" spans="1:59" ht="16.5" customHeight="1">
      <c r="A22" s="583" t="s">
        <v>688</v>
      </c>
      <c r="B22" s="584" t="s">
        <v>1589</v>
      </c>
      <c r="C22" s="584" t="s">
        <v>12</v>
      </c>
      <c r="D22" s="413" t="s">
        <v>1051</v>
      </c>
      <c r="E22" s="412" t="s">
        <v>466</v>
      </c>
      <c r="F22" s="412" t="s">
        <v>1052</v>
      </c>
      <c r="G22" s="412" t="s">
        <v>1053</v>
      </c>
      <c r="H22" s="412" t="s">
        <v>1021</v>
      </c>
      <c r="I22" s="477">
        <v>73944.37</v>
      </c>
      <c r="J22" s="477">
        <v>0</v>
      </c>
      <c r="K22" s="477">
        <v>0</v>
      </c>
      <c r="L22" s="477">
        <v>0</v>
      </c>
      <c r="M22" s="477">
        <f t="shared" si="2"/>
        <v>73944.37</v>
      </c>
      <c r="N22" s="477">
        <f t="shared" si="3"/>
        <v>0</v>
      </c>
      <c r="O22" s="477"/>
      <c r="P22" s="477"/>
      <c r="Q22" s="477">
        <f t="shared" si="44"/>
        <v>73944.37</v>
      </c>
      <c r="R22" s="477">
        <f t="shared" si="42"/>
        <v>0</v>
      </c>
      <c r="S22" s="477">
        <f t="shared" si="43"/>
        <v>73944.37</v>
      </c>
      <c r="V22" s="476">
        <f t="shared" si="4"/>
        <v>0</v>
      </c>
      <c r="W22" s="476">
        <f t="shared" si="5"/>
        <v>0</v>
      </c>
      <c r="X22" s="476">
        <f t="shared" si="6"/>
        <v>0</v>
      </c>
      <c r="Y22" s="476">
        <f t="shared" si="7"/>
        <v>0</v>
      </c>
      <c r="Z22" s="476">
        <f t="shared" si="8"/>
        <v>0</v>
      </c>
      <c r="AA22" s="476">
        <f t="shared" si="9"/>
        <v>0</v>
      </c>
      <c r="AB22" s="476">
        <f t="shared" si="10"/>
        <v>0</v>
      </c>
      <c r="AC22" s="476">
        <f t="shared" si="11"/>
        <v>0</v>
      </c>
      <c r="AD22" s="476">
        <f t="shared" si="12"/>
        <v>0</v>
      </c>
      <c r="AE22" s="476">
        <f t="shared" si="13"/>
        <v>0</v>
      </c>
      <c r="AF22" s="476">
        <f t="shared" si="14"/>
        <v>73944.37</v>
      </c>
      <c r="AG22" s="476">
        <f t="shared" si="15"/>
        <v>0</v>
      </c>
      <c r="AH22" s="476">
        <f t="shared" si="16"/>
        <v>0</v>
      </c>
      <c r="AI22" s="476">
        <f t="shared" si="17"/>
        <v>0</v>
      </c>
      <c r="AJ22" s="476">
        <f t="shared" si="18"/>
        <v>0</v>
      </c>
      <c r="AK22" s="476">
        <f t="shared" si="19"/>
        <v>0</v>
      </c>
      <c r="AL22" s="476">
        <f t="shared" si="20"/>
        <v>0</v>
      </c>
      <c r="AM22" s="476">
        <f t="shared" si="21"/>
        <v>0</v>
      </c>
      <c r="AN22" s="476">
        <f t="shared" si="22"/>
        <v>0</v>
      </c>
      <c r="AO22" s="476">
        <f t="shared" si="23"/>
        <v>0</v>
      </c>
      <c r="AP22" s="476">
        <f t="shared" si="24"/>
        <v>0</v>
      </c>
      <c r="AQ22" s="476">
        <f t="shared" si="25"/>
        <v>0</v>
      </c>
      <c r="AR22" s="476">
        <f t="shared" si="26"/>
        <v>0</v>
      </c>
      <c r="AS22" s="476">
        <f t="shared" si="27"/>
        <v>0</v>
      </c>
      <c r="AT22" s="476">
        <f t="shared" si="28"/>
        <v>0</v>
      </c>
      <c r="AU22" s="476">
        <f t="shared" si="29"/>
        <v>0</v>
      </c>
      <c r="AV22" s="476">
        <f t="shared" si="30"/>
        <v>0</v>
      </c>
      <c r="AW22" s="476">
        <f t="shared" si="31"/>
        <v>0</v>
      </c>
      <c r="AX22" s="476">
        <f t="shared" si="32"/>
        <v>0</v>
      </c>
      <c r="AY22" s="476">
        <f t="shared" si="33"/>
        <v>0</v>
      </c>
      <c r="AZ22" s="476">
        <f t="shared" si="34"/>
        <v>0</v>
      </c>
      <c r="BA22" s="476">
        <f t="shared" si="35"/>
        <v>0</v>
      </c>
      <c r="BB22" s="476">
        <f t="shared" si="36"/>
        <v>0</v>
      </c>
      <c r="BC22" s="476">
        <f t="shared" si="37"/>
        <v>0</v>
      </c>
      <c r="BD22" s="476">
        <f t="shared" si="38"/>
        <v>0</v>
      </c>
      <c r="BE22" s="476">
        <f t="shared" si="39"/>
        <v>0</v>
      </c>
      <c r="BF22" s="476">
        <f t="shared" si="40"/>
        <v>0</v>
      </c>
      <c r="BG22" s="476">
        <f t="shared" si="41"/>
        <v>0</v>
      </c>
    </row>
    <row r="23" spans="1:59" ht="16.5" customHeight="1">
      <c r="A23" s="583" t="s">
        <v>688</v>
      </c>
      <c r="B23" s="584" t="s">
        <v>1589</v>
      </c>
      <c r="C23" s="584" t="s">
        <v>13</v>
      </c>
      <c r="D23" s="413" t="s">
        <v>1051</v>
      </c>
      <c r="E23" s="412" t="s">
        <v>466</v>
      </c>
      <c r="F23" s="412" t="s">
        <v>1052</v>
      </c>
      <c r="G23" s="412" t="s">
        <v>1053</v>
      </c>
      <c r="H23" s="412" t="s">
        <v>1025</v>
      </c>
      <c r="I23" s="477">
        <v>0</v>
      </c>
      <c r="J23" s="477">
        <v>73924.7</v>
      </c>
      <c r="K23" s="477">
        <v>0</v>
      </c>
      <c r="L23" s="477">
        <v>0</v>
      </c>
      <c r="M23" s="477">
        <f t="shared" si="2"/>
        <v>0</v>
      </c>
      <c r="N23" s="477">
        <f t="shared" si="3"/>
        <v>73924.7</v>
      </c>
      <c r="O23" s="477"/>
      <c r="P23" s="477"/>
      <c r="Q23" s="477">
        <f t="shared" si="44"/>
        <v>0</v>
      </c>
      <c r="R23" s="477">
        <f t="shared" si="42"/>
        <v>73924.7</v>
      </c>
      <c r="S23" s="477">
        <f t="shared" si="43"/>
        <v>-73924.7</v>
      </c>
      <c r="V23" s="476">
        <f t="shared" si="4"/>
        <v>0</v>
      </c>
      <c r="W23" s="476">
        <f t="shared" si="5"/>
        <v>0</v>
      </c>
      <c r="X23" s="476">
        <f t="shared" si="6"/>
        <v>0</v>
      </c>
      <c r="Y23" s="476">
        <f t="shared" si="7"/>
        <v>0</v>
      </c>
      <c r="Z23" s="476">
        <f t="shared" si="8"/>
        <v>0</v>
      </c>
      <c r="AA23" s="476">
        <f t="shared" si="9"/>
        <v>0</v>
      </c>
      <c r="AB23" s="476">
        <f t="shared" si="10"/>
        <v>0</v>
      </c>
      <c r="AC23" s="476">
        <f t="shared" si="11"/>
        <v>0</v>
      </c>
      <c r="AD23" s="476">
        <f t="shared" si="12"/>
        <v>0</v>
      </c>
      <c r="AE23" s="476">
        <f t="shared" si="13"/>
        <v>0</v>
      </c>
      <c r="AF23" s="476">
        <f t="shared" si="14"/>
        <v>0</v>
      </c>
      <c r="AG23" s="476">
        <f t="shared" si="15"/>
        <v>0</v>
      </c>
      <c r="AH23" s="476">
        <f t="shared" si="16"/>
        <v>0</v>
      </c>
      <c r="AI23" s="476">
        <f t="shared" si="17"/>
        <v>73924.7</v>
      </c>
      <c r="AJ23" s="476">
        <f t="shared" si="18"/>
        <v>0</v>
      </c>
      <c r="AK23" s="476">
        <f t="shared" si="19"/>
        <v>0</v>
      </c>
      <c r="AL23" s="476">
        <f t="shared" si="20"/>
        <v>0</v>
      </c>
      <c r="AM23" s="476">
        <f t="shared" si="21"/>
        <v>0</v>
      </c>
      <c r="AN23" s="476">
        <f t="shared" si="22"/>
        <v>0</v>
      </c>
      <c r="AO23" s="476">
        <f t="shared" si="23"/>
        <v>0</v>
      </c>
      <c r="AP23" s="476">
        <f t="shared" si="24"/>
        <v>0</v>
      </c>
      <c r="AQ23" s="476">
        <f t="shared" si="25"/>
        <v>0</v>
      </c>
      <c r="AR23" s="476">
        <f t="shared" si="26"/>
        <v>0</v>
      </c>
      <c r="AS23" s="476">
        <f t="shared" si="27"/>
        <v>0</v>
      </c>
      <c r="AT23" s="476">
        <f t="shared" si="28"/>
        <v>0</v>
      </c>
      <c r="AU23" s="476">
        <f t="shared" si="29"/>
        <v>0</v>
      </c>
      <c r="AV23" s="476">
        <f t="shared" si="30"/>
        <v>0</v>
      </c>
      <c r="AW23" s="476">
        <f t="shared" si="31"/>
        <v>0</v>
      </c>
      <c r="AX23" s="476">
        <f t="shared" si="32"/>
        <v>0</v>
      </c>
      <c r="AY23" s="476">
        <f t="shared" si="33"/>
        <v>0</v>
      </c>
      <c r="AZ23" s="476">
        <f t="shared" si="34"/>
        <v>0</v>
      </c>
      <c r="BA23" s="476">
        <f t="shared" si="35"/>
        <v>0</v>
      </c>
      <c r="BB23" s="476">
        <f t="shared" si="36"/>
        <v>0</v>
      </c>
      <c r="BC23" s="476">
        <f t="shared" si="37"/>
        <v>0</v>
      </c>
      <c r="BD23" s="476">
        <f t="shared" si="38"/>
        <v>0</v>
      </c>
      <c r="BE23" s="476">
        <f t="shared" si="39"/>
        <v>0</v>
      </c>
      <c r="BF23" s="476">
        <f t="shared" si="40"/>
        <v>0</v>
      </c>
      <c r="BG23" s="476">
        <f t="shared" si="41"/>
        <v>0</v>
      </c>
    </row>
    <row r="24" spans="1:59" ht="16.5" customHeight="1">
      <c r="A24" s="583" t="s">
        <v>689</v>
      </c>
      <c r="B24" s="584" t="s">
        <v>1590</v>
      </c>
      <c r="C24" s="584" t="s">
        <v>16</v>
      </c>
      <c r="D24" s="413" t="s">
        <v>1051</v>
      </c>
      <c r="E24" s="412" t="s">
        <v>466</v>
      </c>
      <c r="F24" s="412" t="s">
        <v>1052</v>
      </c>
      <c r="G24" s="412" t="s">
        <v>1053</v>
      </c>
      <c r="H24" s="412" t="s">
        <v>1013</v>
      </c>
      <c r="I24" s="477">
        <v>100.6</v>
      </c>
      <c r="J24" s="477">
        <v>79.099999999999994</v>
      </c>
      <c r="K24" s="477">
        <v>0</v>
      </c>
      <c r="L24" s="477">
        <v>0</v>
      </c>
      <c r="M24" s="477">
        <f t="shared" si="2"/>
        <v>100.6</v>
      </c>
      <c r="N24" s="477">
        <f t="shared" si="3"/>
        <v>79.099999999999994</v>
      </c>
      <c r="O24" s="477"/>
      <c r="P24" s="477"/>
      <c r="Q24" s="477">
        <f t="shared" si="44"/>
        <v>100.6</v>
      </c>
      <c r="R24" s="477">
        <f t="shared" si="42"/>
        <v>79.099999999999994</v>
      </c>
      <c r="S24" s="477">
        <f t="shared" si="43"/>
        <v>21.5</v>
      </c>
      <c r="V24" s="476">
        <f t="shared" si="4"/>
        <v>0</v>
      </c>
      <c r="W24" s="476">
        <f t="shared" si="5"/>
        <v>0</v>
      </c>
      <c r="X24" s="476">
        <f t="shared" si="6"/>
        <v>0</v>
      </c>
      <c r="Y24" s="476">
        <f t="shared" si="7"/>
        <v>0</v>
      </c>
      <c r="Z24" s="476">
        <f t="shared" si="8"/>
        <v>0</v>
      </c>
      <c r="AA24" s="476">
        <f t="shared" si="9"/>
        <v>0</v>
      </c>
      <c r="AB24" s="476">
        <f t="shared" si="10"/>
        <v>0</v>
      </c>
      <c r="AC24" s="476">
        <f t="shared" si="11"/>
        <v>0</v>
      </c>
      <c r="AD24" s="476">
        <f t="shared" si="12"/>
        <v>0</v>
      </c>
      <c r="AE24" s="476">
        <f t="shared" si="13"/>
        <v>0</v>
      </c>
      <c r="AF24" s="476">
        <f t="shared" si="14"/>
        <v>0</v>
      </c>
      <c r="AG24" s="476">
        <f t="shared" si="15"/>
        <v>0</v>
      </c>
      <c r="AH24" s="476">
        <f t="shared" si="16"/>
        <v>0</v>
      </c>
      <c r="AI24" s="476">
        <f t="shared" si="17"/>
        <v>0</v>
      </c>
      <c r="AJ24" s="476">
        <f t="shared" si="18"/>
        <v>100.6</v>
      </c>
      <c r="AK24" s="476">
        <f t="shared" si="19"/>
        <v>79.099999999999994</v>
      </c>
      <c r="AL24" s="476">
        <f t="shared" si="20"/>
        <v>0</v>
      </c>
      <c r="AM24" s="476">
        <f t="shared" si="21"/>
        <v>0</v>
      </c>
      <c r="AN24" s="476">
        <f t="shared" si="22"/>
        <v>0</v>
      </c>
      <c r="AO24" s="476">
        <f t="shared" si="23"/>
        <v>0</v>
      </c>
      <c r="AP24" s="476">
        <f t="shared" si="24"/>
        <v>0</v>
      </c>
      <c r="AQ24" s="476">
        <f t="shared" si="25"/>
        <v>0</v>
      </c>
      <c r="AR24" s="476">
        <f t="shared" si="26"/>
        <v>0</v>
      </c>
      <c r="AS24" s="476">
        <f t="shared" si="27"/>
        <v>0</v>
      </c>
      <c r="AT24" s="476">
        <f t="shared" si="28"/>
        <v>0</v>
      </c>
      <c r="AU24" s="476">
        <f t="shared" si="29"/>
        <v>0</v>
      </c>
      <c r="AV24" s="476">
        <f t="shared" si="30"/>
        <v>0</v>
      </c>
      <c r="AW24" s="476">
        <f t="shared" si="31"/>
        <v>0</v>
      </c>
      <c r="AX24" s="476">
        <f t="shared" si="32"/>
        <v>0</v>
      </c>
      <c r="AY24" s="476">
        <f t="shared" si="33"/>
        <v>0</v>
      </c>
      <c r="AZ24" s="476">
        <f t="shared" si="34"/>
        <v>0</v>
      </c>
      <c r="BA24" s="476">
        <f t="shared" si="35"/>
        <v>0</v>
      </c>
      <c r="BB24" s="476">
        <f t="shared" si="36"/>
        <v>0</v>
      </c>
      <c r="BC24" s="476">
        <f t="shared" si="37"/>
        <v>0</v>
      </c>
      <c r="BD24" s="476">
        <f t="shared" si="38"/>
        <v>0</v>
      </c>
      <c r="BE24" s="476">
        <f t="shared" si="39"/>
        <v>0</v>
      </c>
      <c r="BF24" s="476">
        <f t="shared" si="40"/>
        <v>0</v>
      </c>
      <c r="BG24" s="476">
        <f t="shared" si="41"/>
        <v>0</v>
      </c>
    </row>
    <row r="25" spans="1:59" ht="16.5" customHeight="1">
      <c r="A25" s="583" t="s">
        <v>689</v>
      </c>
      <c r="B25" s="584" t="s">
        <v>1590</v>
      </c>
      <c r="C25" s="584" t="s">
        <v>393</v>
      </c>
      <c r="D25" s="413" t="s">
        <v>1051</v>
      </c>
      <c r="E25" s="412" t="s">
        <v>466</v>
      </c>
      <c r="F25" s="412" t="s">
        <v>1052</v>
      </c>
      <c r="G25" s="412" t="s">
        <v>1053</v>
      </c>
      <c r="H25" s="412" t="s">
        <v>974</v>
      </c>
      <c r="I25" s="477">
        <v>780447.25</v>
      </c>
      <c r="J25" s="477">
        <v>0</v>
      </c>
      <c r="K25" s="477">
        <v>0</v>
      </c>
      <c r="L25" s="477">
        <v>20.99</v>
      </c>
      <c r="M25" s="477">
        <f t="shared" si="2"/>
        <v>780447.25</v>
      </c>
      <c r="N25" s="477">
        <f t="shared" si="3"/>
        <v>20.99</v>
      </c>
      <c r="O25" s="477"/>
      <c r="P25" s="477"/>
      <c r="Q25" s="477">
        <f t="shared" si="44"/>
        <v>780447.25</v>
      </c>
      <c r="R25" s="477">
        <f t="shared" si="42"/>
        <v>20.99</v>
      </c>
      <c r="S25" s="477">
        <f t="shared" si="43"/>
        <v>780426.26</v>
      </c>
      <c r="V25" s="476">
        <f t="shared" si="4"/>
        <v>780447.25</v>
      </c>
      <c r="W25" s="476">
        <f t="shared" si="5"/>
        <v>20.99</v>
      </c>
      <c r="X25" s="476">
        <f t="shared" si="6"/>
        <v>0</v>
      </c>
      <c r="Y25" s="476">
        <f t="shared" si="7"/>
        <v>0</v>
      </c>
      <c r="Z25" s="476">
        <f t="shared" si="8"/>
        <v>0</v>
      </c>
      <c r="AA25" s="476">
        <f t="shared" si="9"/>
        <v>0</v>
      </c>
      <c r="AB25" s="476">
        <f t="shared" si="10"/>
        <v>0</v>
      </c>
      <c r="AC25" s="476">
        <f t="shared" si="11"/>
        <v>0</v>
      </c>
      <c r="AD25" s="476">
        <f t="shared" si="12"/>
        <v>0</v>
      </c>
      <c r="AE25" s="476">
        <f t="shared" si="13"/>
        <v>0</v>
      </c>
      <c r="AF25" s="476">
        <f t="shared" si="14"/>
        <v>0</v>
      </c>
      <c r="AG25" s="476">
        <f t="shared" si="15"/>
        <v>0</v>
      </c>
      <c r="AH25" s="476">
        <f t="shared" si="16"/>
        <v>0</v>
      </c>
      <c r="AI25" s="476">
        <f t="shared" si="17"/>
        <v>0</v>
      </c>
      <c r="AJ25" s="476">
        <f t="shared" si="18"/>
        <v>0</v>
      </c>
      <c r="AK25" s="476">
        <f t="shared" si="19"/>
        <v>0</v>
      </c>
      <c r="AL25" s="476">
        <f t="shared" si="20"/>
        <v>0</v>
      </c>
      <c r="AM25" s="476">
        <f t="shared" si="21"/>
        <v>0</v>
      </c>
      <c r="AN25" s="476">
        <f t="shared" si="22"/>
        <v>0</v>
      </c>
      <c r="AO25" s="476">
        <f t="shared" si="23"/>
        <v>0</v>
      </c>
      <c r="AP25" s="476">
        <f t="shared" si="24"/>
        <v>0</v>
      </c>
      <c r="AQ25" s="476">
        <f t="shared" si="25"/>
        <v>0</v>
      </c>
      <c r="AR25" s="476">
        <f t="shared" si="26"/>
        <v>0</v>
      </c>
      <c r="AS25" s="476">
        <f t="shared" si="27"/>
        <v>0</v>
      </c>
      <c r="AT25" s="476">
        <f t="shared" si="28"/>
        <v>0</v>
      </c>
      <c r="AU25" s="476">
        <f t="shared" si="29"/>
        <v>0</v>
      </c>
      <c r="AV25" s="476">
        <f t="shared" si="30"/>
        <v>0</v>
      </c>
      <c r="AW25" s="476">
        <f t="shared" si="31"/>
        <v>0</v>
      </c>
      <c r="AX25" s="476">
        <f t="shared" si="32"/>
        <v>0</v>
      </c>
      <c r="AY25" s="476">
        <f t="shared" si="33"/>
        <v>0</v>
      </c>
      <c r="AZ25" s="476">
        <f t="shared" si="34"/>
        <v>0</v>
      </c>
      <c r="BA25" s="476">
        <f t="shared" si="35"/>
        <v>0</v>
      </c>
      <c r="BB25" s="476">
        <f t="shared" si="36"/>
        <v>0</v>
      </c>
      <c r="BC25" s="476">
        <f t="shared" si="37"/>
        <v>0</v>
      </c>
      <c r="BD25" s="476">
        <f t="shared" si="38"/>
        <v>0</v>
      </c>
      <c r="BE25" s="476">
        <f t="shared" si="39"/>
        <v>0</v>
      </c>
      <c r="BF25" s="476">
        <f t="shared" si="40"/>
        <v>0</v>
      </c>
      <c r="BG25" s="476">
        <f t="shared" si="41"/>
        <v>0</v>
      </c>
    </row>
    <row r="26" spans="1:59" ht="16.5" customHeight="1">
      <c r="A26" s="583" t="s">
        <v>689</v>
      </c>
      <c r="B26" s="584" t="s">
        <v>1590</v>
      </c>
      <c r="C26" s="584" t="s">
        <v>15</v>
      </c>
      <c r="D26" s="413" t="s">
        <v>1051</v>
      </c>
      <c r="E26" s="412" t="s">
        <v>466</v>
      </c>
      <c r="F26" s="412" t="s">
        <v>1052</v>
      </c>
      <c r="G26" s="412" t="s">
        <v>1053</v>
      </c>
      <c r="H26" s="412" t="s">
        <v>1026</v>
      </c>
      <c r="I26" s="477">
        <v>19147.189999999999</v>
      </c>
      <c r="J26" s="477">
        <v>0</v>
      </c>
      <c r="K26" s="477">
        <v>0</v>
      </c>
      <c r="L26" s="477">
        <v>0</v>
      </c>
      <c r="M26" s="477">
        <f t="shared" si="2"/>
        <v>19147.189999999999</v>
      </c>
      <c r="N26" s="477">
        <f t="shared" si="3"/>
        <v>0</v>
      </c>
      <c r="O26" s="477"/>
      <c r="P26" s="477"/>
      <c r="Q26" s="477">
        <f t="shared" si="44"/>
        <v>19147.189999999999</v>
      </c>
      <c r="R26" s="477">
        <f t="shared" si="42"/>
        <v>0</v>
      </c>
      <c r="S26" s="477">
        <f t="shared" si="43"/>
        <v>19147.189999999999</v>
      </c>
      <c r="V26" s="476">
        <f t="shared" si="4"/>
        <v>0</v>
      </c>
      <c r="W26" s="476">
        <f t="shared" si="5"/>
        <v>0</v>
      </c>
      <c r="X26" s="476">
        <f t="shared" si="6"/>
        <v>0</v>
      </c>
      <c r="Y26" s="476">
        <f t="shared" si="7"/>
        <v>0</v>
      </c>
      <c r="Z26" s="476">
        <f t="shared" si="8"/>
        <v>0</v>
      </c>
      <c r="AA26" s="476">
        <f t="shared" si="9"/>
        <v>0</v>
      </c>
      <c r="AB26" s="476">
        <f t="shared" si="10"/>
        <v>0</v>
      </c>
      <c r="AC26" s="476">
        <f t="shared" si="11"/>
        <v>0</v>
      </c>
      <c r="AD26" s="476">
        <f t="shared" si="12"/>
        <v>0</v>
      </c>
      <c r="AE26" s="476">
        <f t="shared" si="13"/>
        <v>0</v>
      </c>
      <c r="AF26" s="476">
        <f t="shared" si="14"/>
        <v>0</v>
      </c>
      <c r="AG26" s="476">
        <f t="shared" si="15"/>
        <v>0</v>
      </c>
      <c r="AH26" s="476">
        <f t="shared" si="16"/>
        <v>0</v>
      </c>
      <c r="AI26" s="476">
        <f t="shared" si="17"/>
        <v>0</v>
      </c>
      <c r="AJ26" s="476">
        <f t="shared" si="18"/>
        <v>0</v>
      </c>
      <c r="AK26" s="476">
        <f t="shared" si="19"/>
        <v>0</v>
      </c>
      <c r="AL26" s="476">
        <f t="shared" si="20"/>
        <v>19147.189999999999</v>
      </c>
      <c r="AM26" s="476">
        <f t="shared" si="21"/>
        <v>0</v>
      </c>
      <c r="AN26" s="476">
        <f t="shared" si="22"/>
        <v>0</v>
      </c>
      <c r="AO26" s="476">
        <f t="shared" si="23"/>
        <v>0</v>
      </c>
      <c r="AP26" s="476">
        <f t="shared" si="24"/>
        <v>0</v>
      </c>
      <c r="AQ26" s="476">
        <f t="shared" si="25"/>
        <v>0</v>
      </c>
      <c r="AR26" s="476">
        <f t="shared" si="26"/>
        <v>0</v>
      </c>
      <c r="AS26" s="476">
        <f t="shared" si="27"/>
        <v>0</v>
      </c>
      <c r="AT26" s="476">
        <f t="shared" si="28"/>
        <v>0</v>
      </c>
      <c r="AU26" s="476">
        <f t="shared" si="29"/>
        <v>0</v>
      </c>
      <c r="AV26" s="476">
        <f t="shared" si="30"/>
        <v>0</v>
      </c>
      <c r="AW26" s="476">
        <f t="shared" si="31"/>
        <v>0</v>
      </c>
      <c r="AX26" s="476">
        <f t="shared" si="32"/>
        <v>0</v>
      </c>
      <c r="AY26" s="476">
        <f t="shared" si="33"/>
        <v>0</v>
      </c>
      <c r="AZ26" s="476">
        <f t="shared" si="34"/>
        <v>0</v>
      </c>
      <c r="BA26" s="476">
        <f t="shared" si="35"/>
        <v>0</v>
      </c>
      <c r="BB26" s="476">
        <f t="shared" si="36"/>
        <v>0</v>
      </c>
      <c r="BC26" s="476">
        <f t="shared" si="37"/>
        <v>0</v>
      </c>
      <c r="BD26" s="476">
        <f t="shared" si="38"/>
        <v>0</v>
      </c>
      <c r="BE26" s="476">
        <f t="shared" si="39"/>
        <v>0</v>
      </c>
      <c r="BF26" s="476">
        <f t="shared" si="40"/>
        <v>0</v>
      </c>
      <c r="BG26" s="476">
        <f t="shared" si="41"/>
        <v>0</v>
      </c>
    </row>
    <row r="27" spans="1:59" ht="16.5" customHeight="1">
      <c r="A27" s="583" t="s">
        <v>689</v>
      </c>
      <c r="B27" s="584" t="s">
        <v>1590</v>
      </c>
      <c r="C27" s="584" t="s">
        <v>14</v>
      </c>
      <c r="D27" s="413" t="s">
        <v>1051</v>
      </c>
      <c r="E27" s="412" t="s">
        <v>466</v>
      </c>
      <c r="F27" s="412" t="s">
        <v>1052</v>
      </c>
      <c r="G27" s="412" t="s">
        <v>1053</v>
      </c>
      <c r="H27" s="412" t="s">
        <v>992</v>
      </c>
      <c r="I27" s="477">
        <v>5686929</v>
      </c>
      <c r="J27" s="477">
        <v>6486523.9500000002</v>
      </c>
      <c r="K27" s="477">
        <v>0</v>
      </c>
      <c r="L27" s="477">
        <v>0</v>
      </c>
      <c r="M27" s="477">
        <f t="shared" si="2"/>
        <v>5686929</v>
      </c>
      <c r="N27" s="477">
        <f t="shared" si="3"/>
        <v>6486523.9500000002</v>
      </c>
      <c r="O27" s="477"/>
      <c r="P27" s="477"/>
      <c r="Q27" s="477">
        <f t="shared" si="44"/>
        <v>5686929</v>
      </c>
      <c r="R27" s="477">
        <f t="shared" si="42"/>
        <v>6486523.9500000002</v>
      </c>
      <c r="S27" s="477">
        <f t="shared" si="43"/>
        <v>-799594.95000000019</v>
      </c>
      <c r="V27" s="476">
        <f t="shared" si="4"/>
        <v>0</v>
      </c>
      <c r="W27" s="476">
        <f t="shared" si="5"/>
        <v>0</v>
      </c>
      <c r="X27" s="476">
        <f t="shared" si="6"/>
        <v>0</v>
      </c>
      <c r="Y27" s="476">
        <f t="shared" si="7"/>
        <v>0</v>
      </c>
      <c r="Z27" s="476">
        <f t="shared" si="8"/>
        <v>0</v>
      </c>
      <c r="AA27" s="476">
        <f t="shared" si="9"/>
        <v>0</v>
      </c>
      <c r="AB27" s="476">
        <f t="shared" si="10"/>
        <v>0</v>
      </c>
      <c r="AC27" s="476">
        <f t="shared" si="11"/>
        <v>0</v>
      </c>
      <c r="AD27" s="476">
        <f t="shared" si="12"/>
        <v>0</v>
      </c>
      <c r="AE27" s="476">
        <f t="shared" si="13"/>
        <v>0</v>
      </c>
      <c r="AF27" s="476">
        <f t="shared" si="14"/>
        <v>0</v>
      </c>
      <c r="AG27" s="476">
        <f t="shared" si="15"/>
        <v>0</v>
      </c>
      <c r="AH27" s="476">
        <f t="shared" si="16"/>
        <v>0</v>
      </c>
      <c r="AI27" s="476">
        <f t="shared" si="17"/>
        <v>0</v>
      </c>
      <c r="AJ27" s="476">
        <f t="shared" si="18"/>
        <v>0</v>
      </c>
      <c r="AK27" s="476">
        <f t="shared" si="19"/>
        <v>0</v>
      </c>
      <c r="AL27" s="476">
        <f t="shared" si="20"/>
        <v>0</v>
      </c>
      <c r="AM27" s="476">
        <f t="shared" si="21"/>
        <v>0</v>
      </c>
      <c r="AN27" s="476">
        <f t="shared" si="22"/>
        <v>5686929</v>
      </c>
      <c r="AO27" s="476">
        <f t="shared" si="23"/>
        <v>6486523.9500000002</v>
      </c>
      <c r="AP27" s="476">
        <f t="shared" si="24"/>
        <v>0</v>
      </c>
      <c r="AQ27" s="476">
        <f t="shared" si="25"/>
        <v>0</v>
      </c>
      <c r="AR27" s="476">
        <f t="shared" si="26"/>
        <v>0</v>
      </c>
      <c r="AS27" s="476">
        <f t="shared" si="27"/>
        <v>0</v>
      </c>
      <c r="AT27" s="476">
        <f t="shared" si="28"/>
        <v>0</v>
      </c>
      <c r="AU27" s="476">
        <f t="shared" si="29"/>
        <v>0</v>
      </c>
      <c r="AV27" s="476">
        <f t="shared" si="30"/>
        <v>0</v>
      </c>
      <c r="AW27" s="476">
        <f t="shared" si="31"/>
        <v>0</v>
      </c>
      <c r="AX27" s="476">
        <f t="shared" si="32"/>
        <v>0</v>
      </c>
      <c r="AY27" s="476">
        <f t="shared" si="33"/>
        <v>0</v>
      </c>
      <c r="AZ27" s="476">
        <f t="shared" si="34"/>
        <v>0</v>
      </c>
      <c r="BA27" s="476">
        <f t="shared" si="35"/>
        <v>0</v>
      </c>
      <c r="BB27" s="476">
        <f t="shared" si="36"/>
        <v>0</v>
      </c>
      <c r="BC27" s="476">
        <f t="shared" si="37"/>
        <v>0</v>
      </c>
      <c r="BD27" s="476">
        <f t="shared" si="38"/>
        <v>0</v>
      </c>
      <c r="BE27" s="476">
        <f t="shared" si="39"/>
        <v>0</v>
      </c>
      <c r="BF27" s="476">
        <f t="shared" si="40"/>
        <v>0</v>
      </c>
      <c r="BG27" s="476">
        <f t="shared" si="41"/>
        <v>0</v>
      </c>
    </row>
    <row r="28" spans="1:59" ht="16.5" customHeight="1">
      <c r="A28" s="583" t="s">
        <v>690</v>
      </c>
      <c r="B28" s="584" t="s">
        <v>1591</v>
      </c>
      <c r="C28" s="584" t="s">
        <v>17</v>
      </c>
      <c r="D28" s="413" t="s">
        <v>1051</v>
      </c>
      <c r="E28" s="412" t="s">
        <v>466</v>
      </c>
      <c r="F28" s="412" t="s">
        <v>1052</v>
      </c>
      <c r="G28" s="412" t="s">
        <v>1053</v>
      </c>
      <c r="H28" s="412" t="s">
        <v>1014</v>
      </c>
      <c r="I28" s="477">
        <v>100</v>
      </c>
      <c r="J28" s="477">
        <v>1024795.76</v>
      </c>
      <c r="K28" s="477">
        <v>0</v>
      </c>
      <c r="L28" s="477">
        <v>0</v>
      </c>
      <c r="M28" s="477">
        <f t="shared" si="2"/>
        <v>100</v>
      </c>
      <c r="N28" s="477">
        <f t="shared" si="3"/>
        <v>1024795.76</v>
      </c>
      <c r="O28" s="477"/>
      <c r="P28" s="477"/>
      <c r="Q28" s="477">
        <f t="shared" si="44"/>
        <v>100</v>
      </c>
      <c r="R28" s="477">
        <f t="shared" si="42"/>
        <v>1024795.76</v>
      </c>
      <c r="S28" s="477">
        <f t="shared" si="43"/>
        <v>-1024695.76</v>
      </c>
      <c r="V28" s="476">
        <f t="shared" si="4"/>
        <v>0</v>
      </c>
      <c r="W28" s="476">
        <f t="shared" si="5"/>
        <v>0</v>
      </c>
      <c r="X28" s="476">
        <f t="shared" si="6"/>
        <v>0</v>
      </c>
      <c r="Y28" s="476">
        <f t="shared" si="7"/>
        <v>0</v>
      </c>
      <c r="Z28" s="476">
        <f t="shared" si="8"/>
        <v>0</v>
      </c>
      <c r="AA28" s="476">
        <f t="shared" si="9"/>
        <v>0</v>
      </c>
      <c r="AB28" s="476">
        <f t="shared" si="10"/>
        <v>0</v>
      </c>
      <c r="AC28" s="476">
        <f t="shared" si="11"/>
        <v>0</v>
      </c>
      <c r="AD28" s="476">
        <f t="shared" si="12"/>
        <v>0</v>
      </c>
      <c r="AE28" s="476">
        <f t="shared" si="13"/>
        <v>0</v>
      </c>
      <c r="AF28" s="476">
        <f t="shared" si="14"/>
        <v>0</v>
      </c>
      <c r="AG28" s="476">
        <f t="shared" si="15"/>
        <v>0</v>
      </c>
      <c r="AH28" s="476">
        <f t="shared" si="16"/>
        <v>0</v>
      </c>
      <c r="AI28" s="476">
        <f t="shared" si="17"/>
        <v>0</v>
      </c>
      <c r="AJ28" s="476">
        <f t="shared" si="18"/>
        <v>0</v>
      </c>
      <c r="AK28" s="476">
        <f t="shared" si="19"/>
        <v>0</v>
      </c>
      <c r="AL28" s="476">
        <f t="shared" si="20"/>
        <v>0</v>
      </c>
      <c r="AM28" s="476">
        <f t="shared" si="21"/>
        <v>0</v>
      </c>
      <c r="AN28" s="476">
        <f t="shared" si="22"/>
        <v>0</v>
      </c>
      <c r="AO28" s="476">
        <f t="shared" si="23"/>
        <v>0</v>
      </c>
      <c r="AP28" s="476">
        <f t="shared" si="24"/>
        <v>100</v>
      </c>
      <c r="AQ28" s="476">
        <f t="shared" si="25"/>
        <v>1024795.76</v>
      </c>
      <c r="AR28" s="476">
        <f t="shared" si="26"/>
        <v>0</v>
      </c>
      <c r="AS28" s="476">
        <f t="shared" si="27"/>
        <v>0</v>
      </c>
      <c r="AT28" s="476">
        <f t="shared" si="28"/>
        <v>0</v>
      </c>
      <c r="AU28" s="476">
        <f t="shared" si="29"/>
        <v>0</v>
      </c>
      <c r="AV28" s="476">
        <f t="shared" si="30"/>
        <v>0</v>
      </c>
      <c r="AW28" s="476">
        <f t="shared" si="31"/>
        <v>0</v>
      </c>
      <c r="AX28" s="476">
        <f t="shared" si="32"/>
        <v>0</v>
      </c>
      <c r="AY28" s="476">
        <f t="shared" si="33"/>
        <v>0</v>
      </c>
      <c r="AZ28" s="476">
        <f t="shared" si="34"/>
        <v>0</v>
      </c>
      <c r="BA28" s="476">
        <f t="shared" si="35"/>
        <v>0</v>
      </c>
      <c r="BB28" s="476">
        <f t="shared" si="36"/>
        <v>0</v>
      </c>
      <c r="BC28" s="476">
        <f t="shared" si="37"/>
        <v>0</v>
      </c>
      <c r="BD28" s="476">
        <f t="shared" si="38"/>
        <v>0</v>
      </c>
      <c r="BE28" s="476">
        <f t="shared" si="39"/>
        <v>0</v>
      </c>
      <c r="BF28" s="476">
        <f t="shared" si="40"/>
        <v>0</v>
      </c>
      <c r="BG28" s="476">
        <f t="shared" si="41"/>
        <v>0</v>
      </c>
    </row>
    <row r="29" spans="1:59" ht="16.5" customHeight="1">
      <c r="A29" s="583" t="s">
        <v>690</v>
      </c>
      <c r="B29" s="584" t="s">
        <v>1591</v>
      </c>
      <c r="C29" s="584" t="s">
        <v>1725</v>
      </c>
      <c r="D29" s="413" t="s">
        <v>1051</v>
      </c>
      <c r="E29" s="412" t="s">
        <v>466</v>
      </c>
      <c r="F29" s="412" t="s">
        <v>1052</v>
      </c>
      <c r="G29" s="412" t="s">
        <v>1053</v>
      </c>
      <c r="H29" s="412" t="s">
        <v>974</v>
      </c>
      <c r="I29" s="477">
        <v>0</v>
      </c>
      <c r="J29" s="477">
        <v>118.65</v>
      </c>
      <c r="K29" s="477">
        <v>0</v>
      </c>
      <c r="L29" s="477">
        <v>21.06</v>
      </c>
      <c r="M29" s="477">
        <f t="shared" si="2"/>
        <v>0</v>
      </c>
      <c r="N29" s="477">
        <f t="shared" si="3"/>
        <v>139.71</v>
      </c>
      <c r="O29" s="477"/>
      <c r="P29" s="477"/>
      <c r="Q29" s="477">
        <f t="shared" si="44"/>
        <v>0</v>
      </c>
      <c r="R29" s="477">
        <f t="shared" si="42"/>
        <v>139.71</v>
      </c>
      <c r="S29" s="477">
        <f t="shared" si="43"/>
        <v>-139.71</v>
      </c>
      <c r="V29" s="476">
        <f t="shared" si="4"/>
        <v>0</v>
      </c>
      <c r="W29" s="476">
        <f t="shared" si="5"/>
        <v>139.71</v>
      </c>
      <c r="X29" s="476">
        <f t="shared" si="6"/>
        <v>0</v>
      </c>
      <c r="Y29" s="476">
        <f t="shared" si="7"/>
        <v>0</v>
      </c>
      <c r="Z29" s="476">
        <f t="shared" si="8"/>
        <v>0</v>
      </c>
      <c r="AA29" s="476">
        <f t="shared" si="9"/>
        <v>0</v>
      </c>
      <c r="AB29" s="476">
        <f t="shared" si="10"/>
        <v>0</v>
      </c>
      <c r="AC29" s="476">
        <f t="shared" si="11"/>
        <v>0</v>
      </c>
      <c r="AD29" s="476">
        <f t="shared" si="12"/>
        <v>0</v>
      </c>
      <c r="AE29" s="476">
        <f t="shared" si="13"/>
        <v>0</v>
      </c>
      <c r="AF29" s="476">
        <f t="shared" si="14"/>
        <v>0</v>
      </c>
      <c r="AG29" s="476">
        <f t="shared" si="15"/>
        <v>0</v>
      </c>
      <c r="AH29" s="476">
        <f t="shared" si="16"/>
        <v>0</v>
      </c>
      <c r="AI29" s="476">
        <f t="shared" si="17"/>
        <v>0</v>
      </c>
      <c r="AJ29" s="476">
        <f t="shared" si="18"/>
        <v>0</v>
      </c>
      <c r="AK29" s="476">
        <f t="shared" si="19"/>
        <v>0</v>
      </c>
      <c r="AL29" s="476">
        <f t="shared" si="20"/>
        <v>0</v>
      </c>
      <c r="AM29" s="476">
        <f t="shared" si="21"/>
        <v>0</v>
      </c>
      <c r="AN29" s="476">
        <f t="shared" si="22"/>
        <v>0</v>
      </c>
      <c r="AO29" s="476">
        <f t="shared" si="23"/>
        <v>0</v>
      </c>
      <c r="AP29" s="476">
        <f t="shared" si="24"/>
        <v>0</v>
      </c>
      <c r="AQ29" s="476">
        <f t="shared" si="25"/>
        <v>0</v>
      </c>
      <c r="AR29" s="476">
        <f t="shared" si="26"/>
        <v>0</v>
      </c>
      <c r="AS29" s="476">
        <f t="shared" si="27"/>
        <v>0</v>
      </c>
      <c r="AT29" s="476">
        <f t="shared" si="28"/>
        <v>0</v>
      </c>
      <c r="AU29" s="476">
        <f t="shared" si="29"/>
        <v>0</v>
      </c>
      <c r="AV29" s="476">
        <f t="shared" si="30"/>
        <v>0</v>
      </c>
      <c r="AW29" s="476">
        <f t="shared" si="31"/>
        <v>0</v>
      </c>
      <c r="AX29" s="476">
        <f t="shared" si="32"/>
        <v>0</v>
      </c>
      <c r="AY29" s="476">
        <f t="shared" si="33"/>
        <v>0</v>
      </c>
      <c r="AZ29" s="476">
        <f t="shared" si="34"/>
        <v>0</v>
      </c>
      <c r="BA29" s="476">
        <f t="shared" si="35"/>
        <v>0</v>
      </c>
      <c r="BB29" s="476">
        <f t="shared" si="36"/>
        <v>0</v>
      </c>
      <c r="BC29" s="476">
        <f t="shared" si="37"/>
        <v>0</v>
      </c>
      <c r="BD29" s="476">
        <f t="shared" si="38"/>
        <v>0</v>
      </c>
      <c r="BE29" s="476">
        <f t="shared" si="39"/>
        <v>0</v>
      </c>
      <c r="BF29" s="476">
        <f t="shared" si="40"/>
        <v>0</v>
      </c>
      <c r="BG29" s="476">
        <f t="shared" si="41"/>
        <v>0</v>
      </c>
    </row>
    <row r="30" spans="1:59" ht="16.5" customHeight="1">
      <c r="A30" s="583" t="s">
        <v>690</v>
      </c>
      <c r="B30" s="584" t="s">
        <v>1591</v>
      </c>
      <c r="C30" s="584" t="s">
        <v>19</v>
      </c>
      <c r="D30" s="413" t="s">
        <v>1051</v>
      </c>
      <c r="E30" s="412" t="s">
        <v>466</v>
      </c>
      <c r="F30" s="412" t="s">
        <v>1052</v>
      </c>
      <c r="G30" s="412" t="s">
        <v>1053</v>
      </c>
      <c r="H30" s="412" t="s">
        <v>1020</v>
      </c>
      <c r="I30" s="477">
        <v>40198.14</v>
      </c>
      <c r="J30" s="477">
        <v>0</v>
      </c>
      <c r="K30" s="477">
        <v>0</v>
      </c>
      <c r="L30" s="477">
        <v>0</v>
      </c>
      <c r="M30" s="477">
        <f t="shared" si="2"/>
        <v>40198.14</v>
      </c>
      <c r="N30" s="477">
        <f t="shared" si="3"/>
        <v>0</v>
      </c>
      <c r="O30" s="477"/>
      <c r="P30" s="477"/>
      <c r="Q30" s="477">
        <f t="shared" si="44"/>
        <v>40198.14</v>
      </c>
      <c r="R30" s="477">
        <f t="shared" si="42"/>
        <v>0</v>
      </c>
      <c r="S30" s="477">
        <f t="shared" si="43"/>
        <v>40198.14</v>
      </c>
      <c r="V30" s="476">
        <f t="shared" si="4"/>
        <v>0</v>
      </c>
      <c r="W30" s="476">
        <f t="shared" si="5"/>
        <v>0</v>
      </c>
      <c r="X30" s="476">
        <f t="shared" si="6"/>
        <v>0</v>
      </c>
      <c r="Y30" s="476">
        <f t="shared" si="7"/>
        <v>0</v>
      </c>
      <c r="Z30" s="476">
        <f t="shared" si="8"/>
        <v>40198.14</v>
      </c>
      <c r="AA30" s="476">
        <f t="shared" si="9"/>
        <v>0</v>
      </c>
      <c r="AB30" s="476">
        <f t="shared" si="10"/>
        <v>0</v>
      </c>
      <c r="AC30" s="476">
        <f t="shared" si="11"/>
        <v>0</v>
      </c>
      <c r="AD30" s="476">
        <f t="shared" si="12"/>
        <v>0</v>
      </c>
      <c r="AE30" s="476">
        <f t="shared" si="13"/>
        <v>0</v>
      </c>
      <c r="AF30" s="476">
        <f t="shared" si="14"/>
        <v>0</v>
      </c>
      <c r="AG30" s="476">
        <f t="shared" si="15"/>
        <v>0</v>
      </c>
      <c r="AH30" s="476">
        <f t="shared" si="16"/>
        <v>0</v>
      </c>
      <c r="AI30" s="476">
        <f t="shared" si="17"/>
        <v>0</v>
      </c>
      <c r="AJ30" s="476">
        <f t="shared" si="18"/>
        <v>0</v>
      </c>
      <c r="AK30" s="476">
        <f t="shared" si="19"/>
        <v>0</v>
      </c>
      <c r="AL30" s="476">
        <f t="shared" si="20"/>
        <v>0</v>
      </c>
      <c r="AM30" s="476">
        <f t="shared" si="21"/>
        <v>0</v>
      </c>
      <c r="AN30" s="476">
        <f t="shared" si="22"/>
        <v>0</v>
      </c>
      <c r="AO30" s="476">
        <f t="shared" si="23"/>
        <v>0</v>
      </c>
      <c r="AP30" s="476">
        <f t="shared" si="24"/>
        <v>0</v>
      </c>
      <c r="AQ30" s="476">
        <f t="shared" si="25"/>
        <v>0</v>
      </c>
      <c r="AR30" s="476">
        <f t="shared" si="26"/>
        <v>0</v>
      </c>
      <c r="AS30" s="476">
        <f t="shared" si="27"/>
        <v>0</v>
      </c>
      <c r="AT30" s="476">
        <f t="shared" si="28"/>
        <v>0</v>
      </c>
      <c r="AU30" s="476">
        <f t="shared" si="29"/>
        <v>0</v>
      </c>
      <c r="AV30" s="476">
        <f t="shared" si="30"/>
        <v>0</v>
      </c>
      <c r="AW30" s="476">
        <f t="shared" si="31"/>
        <v>0</v>
      </c>
      <c r="AX30" s="476">
        <f t="shared" si="32"/>
        <v>0</v>
      </c>
      <c r="AY30" s="476">
        <f t="shared" si="33"/>
        <v>0</v>
      </c>
      <c r="AZ30" s="476">
        <f t="shared" si="34"/>
        <v>0</v>
      </c>
      <c r="BA30" s="476">
        <f t="shared" si="35"/>
        <v>0</v>
      </c>
      <c r="BB30" s="476">
        <f t="shared" si="36"/>
        <v>0</v>
      </c>
      <c r="BC30" s="476">
        <f t="shared" si="37"/>
        <v>0</v>
      </c>
      <c r="BD30" s="476">
        <f t="shared" si="38"/>
        <v>0</v>
      </c>
      <c r="BE30" s="476">
        <f t="shared" si="39"/>
        <v>0</v>
      </c>
      <c r="BF30" s="476">
        <f t="shared" si="40"/>
        <v>0</v>
      </c>
      <c r="BG30" s="476">
        <f t="shared" si="41"/>
        <v>0</v>
      </c>
    </row>
    <row r="31" spans="1:59" ht="16.5" customHeight="1">
      <c r="A31" s="583" t="s">
        <v>690</v>
      </c>
      <c r="B31" s="584" t="s">
        <v>1591</v>
      </c>
      <c r="C31" s="584" t="s">
        <v>18</v>
      </c>
      <c r="D31" s="413" t="s">
        <v>1051</v>
      </c>
      <c r="E31" s="412" t="s">
        <v>466</v>
      </c>
      <c r="F31" s="412" t="s">
        <v>1052</v>
      </c>
      <c r="G31" s="412" t="s">
        <v>1053</v>
      </c>
      <c r="H31" s="412" t="s">
        <v>1027</v>
      </c>
      <c r="I31" s="477">
        <v>1024932.63</v>
      </c>
      <c r="J31" s="477">
        <v>40295.300000000003</v>
      </c>
      <c r="K31" s="477">
        <v>0</v>
      </c>
      <c r="L31" s="477">
        <v>0</v>
      </c>
      <c r="M31" s="477">
        <f t="shared" si="2"/>
        <v>1024932.63</v>
      </c>
      <c r="N31" s="477">
        <f t="shared" si="3"/>
        <v>40295.300000000003</v>
      </c>
      <c r="O31" s="477"/>
      <c r="P31" s="477"/>
      <c r="Q31" s="477">
        <f t="shared" si="44"/>
        <v>1024932.63</v>
      </c>
      <c r="R31" s="477">
        <f t="shared" si="42"/>
        <v>40295.300000000003</v>
      </c>
      <c r="S31" s="477">
        <f t="shared" si="43"/>
        <v>984637.33</v>
      </c>
      <c r="V31" s="476">
        <f t="shared" si="4"/>
        <v>0</v>
      </c>
      <c r="W31" s="476">
        <f t="shared" si="5"/>
        <v>0</v>
      </c>
      <c r="X31" s="476">
        <f t="shared" si="6"/>
        <v>0</v>
      </c>
      <c r="Y31" s="476">
        <f t="shared" si="7"/>
        <v>0</v>
      </c>
      <c r="Z31" s="476">
        <f t="shared" si="8"/>
        <v>0</v>
      </c>
      <c r="AA31" s="476">
        <f t="shared" si="9"/>
        <v>0</v>
      </c>
      <c r="AB31" s="476">
        <f t="shared" si="10"/>
        <v>0</v>
      </c>
      <c r="AC31" s="476">
        <f t="shared" si="11"/>
        <v>0</v>
      </c>
      <c r="AD31" s="476">
        <f t="shared" si="12"/>
        <v>0</v>
      </c>
      <c r="AE31" s="476">
        <f t="shared" si="13"/>
        <v>0</v>
      </c>
      <c r="AF31" s="476">
        <f t="shared" si="14"/>
        <v>0</v>
      </c>
      <c r="AG31" s="476">
        <f t="shared" si="15"/>
        <v>0</v>
      </c>
      <c r="AH31" s="476">
        <f t="shared" si="16"/>
        <v>0</v>
      </c>
      <c r="AI31" s="476">
        <f t="shared" si="17"/>
        <v>0</v>
      </c>
      <c r="AJ31" s="476">
        <f t="shared" si="18"/>
        <v>0</v>
      </c>
      <c r="AK31" s="476">
        <f t="shared" si="19"/>
        <v>0</v>
      </c>
      <c r="AL31" s="476">
        <f t="shared" si="20"/>
        <v>0</v>
      </c>
      <c r="AM31" s="476">
        <f t="shared" si="21"/>
        <v>0</v>
      </c>
      <c r="AN31" s="476">
        <f t="shared" si="22"/>
        <v>0</v>
      </c>
      <c r="AO31" s="476">
        <f t="shared" si="23"/>
        <v>0</v>
      </c>
      <c r="AP31" s="476">
        <f t="shared" si="24"/>
        <v>0</v>
      </c>
      <c r="AQ31" s="476">
        <f t="shared" si="25"/>
        <v>0</v>
      </c>
      <c r="AR31" s="476">
        <f t="shared" si="26"/>
        <v>1024932.63</v>
      </c>
      <c r="AS31" s="476">
        <f t="shared" si="27"/>
        <v>40295.300000000003</v>
      </c>
      <c r="AT31" s="476">
        <f t="shared" si="28"/>
        <v>0</v>
      </c>
      <c r="AU31" s="476">
        <f t="shared" si="29"/>
        <v>0</v>
      </c>
      <c r="AV31" s="476">
        <f t="shared" si="30"/>
        <v>0</v>
      </c>
      <c r="AW31" s="476">
        <f t="shared" si="31"/>
        <v>0</v>
      </c>
      <c r="AX31" s="476">
        <f t="shared" si="32"/>
        <v>0</v>
      </c>
      <c r="AY31" s="476">
        <f t="shared" si="33"/>
        <v>0</v>
      </c>
      <c r="AZ31" s="476">
        <f t="shared" si="34"/>
        <v>0</v>
      </c>
      <c r="BA31" s="476">
        <f t="shared" si="35"/>
        <v>0</v>
      </c>
      <c r="BB31" s="476">
        <f t="shared" si="36"/>
        <v>0</v>
      </c>
      <c r="BC31" s="476">
        <f t="shared" si="37"/>
        <v>0</v>
      </c>
      <c r="BD31" s="476">
        <f t="shared" si="38"/>
        <v>0</v>
      </c>
      <c r="BE31" s="476">
        <f t="shared" si="39"/>
        <v>0</v>
      </c>
      <c r="BF31" s="476">
        <f t="shared" si="40"/>
        <v>0</v>
      </c>
      <c r="BG31" s="476">
        <f t="shared" si="41"/>
        <v>0</v>
      </c>
    </row>
    <row r="32" spans="1:59" ht="16.5" customHeight="1">
      <c r="A32" s="583" t="s">
        <v>691</v>
      </c>
      <c r="B32" s="584" t="s">
        <v>1592</v>
      </c>
      <c r="C32" s="584" t="s">
        <v>20</v>
      </c>
      <c r="D32" s="413" t="s">
        <v>1051</v>
      </c>
      <c r="E32" s="412" t="s">
        <v>466</v>
      </c>
      <c r="F32" s="412" t="s">
        <v>1052</v>
      </c>
      <c r="G32" s="412" t="s">
        <v>1053</v>
      </c>
      <c r="H32" s="412" t="s">
        <v>974</v>
      </c>
      <c r="I32" s="477">
        <v>22826301.579999998</v>
      </c>
      <c r="J32" s="477">
        <v>23721004.059999999</v>
      </c>
      <c r="K32" s="477">
        <v>0</v>
      </c>
      <c r="L32" s="477">
        <v>0</v>
      </c>
      <c r="M32" s="477">
        <f t="shared" si="2"/>
        <v>22826301.579999998</v>
      </c>
      <c r="N32" s="477">
        <f t="shared" si="3"/>
        <v>23721004.059999999</v>
      </c>
      <c r="O32" s="477"/>
      <c r="P32" s="477"/>
      <c r="Q32" s="477">
        <f t="shared" ref="Q32:Q33" si="45">+M32+O32</f>
        <v>22826301.579999998</v>
      </c>
      <c r="R32" s="477">
        <f t="shared" ref="R32:R33" si="46">+N32+P32</f>
        <v>23721004.059999999</v>
      </c>
      <c r="S32" s="477">
        <f t="shared" ref="S32:S33" si="47">+Q32-R32</f>
        <v>-894702.48000000045</v>
      </c>
      <c r="V32" s="476"/>
      <c r="W32" s="476"/>
      <c r="X32" s="476"/>
      <c r="Y32" s="476"/>
      <c r="Z32" s="476"/>
      <c r="AA32" s="476"/>
      <c r="AB32" s="476"/>
      <c r="AC32" s="476"/>
      <c r="AD32" s="476"/>
      <c r="AE32" s="476"/>
      <c r="AF32" s="476"/>
      <c r="AG32" s="476"/>
      <c r="AH32" s="476"/>
      <c r="AI32" s="476"/>
      <c r="AJ32" s="476"/>
      <c r="AK32" s="476"/>
      <c r="AL32" s="476"/>
      <c r="AM32" s="476"/>
      <c r="AN32" s="476"/>
      <c r="AO32" s="476"/>
      <c r="AP32" s="476"/>
      <c r="AQ32" s="476"/>
      <c r="AR32" s="476"/>
      <c r="AS32" s="476"/>
      <c r="AT32" s="476"/>
      <c r="AU32" s="476"/>
      <c r="AV32" s="476"/>
      <c r="AW32" s="476"/>
      <c r="AX32" s="476"/>
      <c r="AY32" s="476"/>
      <c r="AZ32" s="476"/>
      <c r="BA32" s="476"/>
      <c r="BB32" s="476"/>
      <c r="BC32" s="476"/>
      <c r="BD32" s="476"/>
      <c r="BE32" s="476"/>
      <c r="BF32" s="476"/>
      <c r="BG32" s="476"/>
    </row>
    <row r="33" spans="1:59" ht="16.5" customHeight="1">
      <c r="A33" s="583" t="s">
        <v>691</v>
      </c>
      <c r="B33" s="584" t="s">
        <v>1592</v>
      </c>
      <c r="C33" s="584" t="s">
        <v>1726</v>
      </c>
      <c r="D33" s="413" t="s">
        <v>1051</v>
      </c>
      <c r="E33" s="412" t="s">
        <v>466</v>
      </c>
      <c r="F33" s="412" t="s">
        <v>1052</v>
      </c>
      <c r="G33" s="412" t="s">
        <v>1053</v>
      </c>
      <c r="H33" s="412" t="s">
        <v>1276</v>
      </c>
      <c r="I33" s="477">
        <v>714000</v>
      </c>
      <c r="J33" s="477">
        <v>0</v>
      </c>
      <c r="K33" s="477">
        <v>0</v>
      </c>
      <c r="L33" s="477">
        <v>0</v>
      </c>
      <c r="M33" s="477">
        <f t="shared" si="2"/>
        <v>714000</v>
      </c>
      <c r="N33" s="477">
        <f t="shared" si="3"/>
        <v>0</v>
      </c>
      <c r="O33" s="477"/>
      <c r="P33" s="477"/>
      <c r="Q33" s="477">
        <f t="shared" si="45"/>
        <v>714000</v>
      </c>
      <c r="R33" s="477">
        <f t="shared" si="46"/>
        <v>0</v>
      </c>
      <c r="S33" s="477">
        <f t="shared" si="47"/>
        <v>714000</v>
      </c>
      <c r="V33" s="476"/>
      <c r="W33" s="476"/>
      <c r="X33" s="476"/>
      <c r="Y33" s="476"/>
      <c r="Z33" s="476"/>
      <c r="AA33" s="476"/>
      <c r="AB33" s="476"/>
      <c r="AC33" s="476"/>
      <c r="AD33" s="476"/>
      <c r="AE33" s="476"/>
      <c r="AF33" s="476"/>
      <c r="AG33" s="476"/>
      <c r="AH33" s="476"/>
      <c r="AI33" s="476"/>
      <c r="AJ33" s="476"/>
      <c r="AK33" s="476"/>
      <c r="AL33" s="476"/>
      <c r="AM33" s="476"/>
      <c r="AN33" s="476"/>
      <c r="AO33" s="476"/>
      <c r="AP33" s="476"/>
      <c r="AQ33" s="476"/>
      <c r="AR33" s="476"/>
      <c r="AS33" s="476"/>
      <c r="AT33" s="476"/>
      <c r="AU33" s="476"/>
      <c r="AV33" s="476"/>
      <c r="AW33" s="476"/>
      <c r="AX33" s="476"/>
      <c r="AY33" s="476"/>
      <c r="AZ33" s="476"/>
      <c r="BA33" s="476"/>
      <c r="BB33" s="476"/>
      <c r="BC33" s="476"/>
      <c r="BD33" s="476"/>
      <c r="BE33" s="476"/>
      <c r="BF33" s="476"/>
      <c r="BG33" s="476"/>
    </row>
    <row r="34" spans="1:59" ht="16.5" customHeight="1">
      <c r="A34" s="583" t="s">
        <v>691</v>
      </c>
      <c r="B34" s="584" t="s">
        <v>1592</v>
      </c>
      <c r="C34" s="584" t="s">
        <v>1727</v>
      </c>
      <c r="D34" s="413" t="s">
        <v>1051</v>
      </c>
      <c r="E34" s="412" t="s">
        <v>466</v>
      </c>
      <c r="F34" s="412" t="s">
        <v>1052</v>
      </c>
      <c r="G34" s="412" t="s">
        <v>1053</v>
      </c>
      <c r="H34" s="412" t="s">
        <v>1275</v>
      </c>
      <c r="I34" s="477">
        <v>10118959.199999999</v>
      </c>
      <c r="J34" s="477">
        <v>9249677.6500000004</v>
      </c>
      <c r="K34" s="477">
        <v>13903195.390000001</v>
      </c>
      <c r="L34" s="477">
        <v>13259959.16</v>
      </c>
      <c r="M34" s="477">
        <f t="shared" si="2"/>
        <v>24022154.59</v>
      </c>
      <c r="N34" s="477">
        <f t="shared" si="3"/>
        <v>22509636.810000002</v>
      </c>
      <c r="O34" s="477"/>
      <c r="P34" s="477"/>
      <c r="Q34" s="477">
        <f t="shared" si="44"/>
        <v>24022154.59</v>
      </c>
      <c r="R34" s="477">
        <f t="shared" si="42"/>
        <v>22509636.810000002</v>
      </c>
      <c r="S34" s="477">
        <f t="shared" si="43"/>
        <v>1512517.7799999975</v>
      </c>
      <c r="V34" s="476">
        <f t="shared" ref="V34:V70" si="48">IF($V$8=$H34,$Q34,0)</f>
        <v>0</v>
      </c>
      <c r="W34" s="476">
        <f t="shared" ref="W34:W70" si="49">IF($V$8=$H34,$R34,0)</f>
        <v>0</v>
      </c>
      <c r="X34" s="476">
        <f t="shared" ref="X34:X70" si="50">IF($X$8=$H34,$Q34,0)</f>
        <v>0</v>
      </c>
      <c r="Y34" s="476">
        <f t="shared" ref="Y34:Y70" si="51">IF($X$8=$H34,$R34,0)</f>
        <v>0</v>
      </c>
      <c r="Z34" s="476">
        <f t="shared" ref="Z34:Z70" si="52">IF($Z$8=$H34,$Q34,0)</f>
        <v>0</v>
      </c>
      <c r="AA34" s="476">
        <f t="shared" ref="AA34:AA70" si="53">IF($Z$8=$H34,$R34,0)</f>
        <v>0</v>
      </c>
      <c r="AB34" s="476">
        <f t="shared" ref="AB34:AB70" si="54">IF($AB$8=$H34,$Q34,0)</f>
        <v>0</v>
      </c>
      <c r="AC34" s="476">
        <f t="shared" ref="AC34:AC70" si="55">IF($AB$8=$H34,$R34,0)</f>
        <v>0</v>
      </c>
      <c r="AD34" s="476">
        <f t="shared" ref="AD34:AD70" si="56">IF($AD$8=$H34,$Q34,0)</f>
        <v>0</v>
      </c>
      <c r="AE34" s="476">
        <f t="shared" ref="AE34:AE70" si="57">IF($AD$8=$H34,$R34,0)</f>
        <v>0</v>
      </c>
      <c r="AF34" s="476">
        <f t="shared" ref="AF34:AF70" si="58">IF($AF$8=$H34,$Q34,0)</f>
        <v>0</v>
      </c>
      <c r="AG34" s="476">
        <f t="shared" ref="AG34:AG70" si="59">IF($AF$8=$H34,$R34,0)</f>
        <v>0</v>
      </c>
      <c r="AH34" s="476">
        <f t="shared" ref="AH34:AH70" si="60">IF($AH$8=$H34,$Q34,0)</f>
        <v>0</v>
      </c>
      <c r="AI34" s="476">
        <f t="shared" ref="AI34:AI70" si="61">IF($AH$8=$H34,$R34,0)</f>
        <v>0</v>
      </c>
      <c r="AJ34" s="476">
        <f t="shared" ref="AJ34:AJ70" si="62">IF($AJ$8=$H34,$Q34,0)</f>
        <v>0</v>
      </c>
      <c r="AK34" s="476">
        <f t="shared" ref="AK34:AK70" si="63">IF($AJ$8=$H34,$R34,0)</f>
        <v>0</v>
      </c>
      <c r="AL34" s="476">
        <f t="shared" ref="AL34:AL70" si="64">IF($AL$8=$H34,$Q34,0)</f>
        <v>0</v>
      </c>
      <c r="AM34" s="476">
        <f t="shared" ref="AM34:AM70" si="65">IF($AL$8=$H34,$R34,0)</f>
        <v>0</v>
      </c>
      <c r="AN34" s="476">
        <f t="shared" ref="AN34:AN70" si="66">IF($AN$8=$H34,$Q34,0)</f>
        <v>0</v>
      </c>
      <c r="AO34" s="476">
        <f t="shared" ref="AO34:AO70" si="67">IF($AN$8=$H34,$R34,0)</f>
        <v>0</v>
      </c>
      <c r="AP34" s="476">
        <f t="shared" ref="AP34:AP70" si="68">IF($AP$8=$H34,$Q34,0)</f>
        <v>0</v>
      </c>
      <c r="AQ34" s="476">
        <f t="shared" ref="AQ34:AQ70" si="69">IF($AP$8=$H34,$R34,0)</f>
        <v>0</v>
      </c>
      <c r="AR34" s="476">
        <f t="shared" ref="AR34:AR70" si="70">IF($AR$8=$H34,$Q34,0)</f>
        <v>0</v>
      </c>
      <c r="AS34" s="476">
        <f t="shared" ref="AS34:AS70" si="71">IF($AR$8=$H34,$R34,0)</f>
        <v>0</v>
      </c>
      <c r="AT34" s="476">
        <f t="shared" ref="AT34:AT70" si="72">IF($AT$8=$H34,$Q34,0)</f>
        <v>0</v>
      </c>
      <c r="AU34" s="476">
        <f t="shared" ref="AU34:AU70" si="73">IF($AT$8=$H34,$R34,0)</f>
        <v>0</v>
      </c>
      <c r="AV34" s="476">
        <f t="shared" ref="AV34:AV70" si="74">IF($AV$8=$H34,$Q34,0)</f>
        <v>0</v>
      </c>
      <c r="AW34" s="476">
        <f t="shared" ref="AW34:AW70" si="75">IF($AV$8=$H34,$R34,0)</f>
        <v>0</v>
      </c>
      <c r="AX34" s="476">
        <f t="shared" ref="AX34:AX70" si="76">IF($AX$8=$H34,$Q34,0)</f>
        <v>0</v>
      </c>
      <c r="AY34" s="476">
        <f t="shared" ref="AY34:AY70" si="77">IF($AX$8=$H34,$R34,0)</f>
        <v>0</v>
      </c>
      <c r="AZ34" s="476">
        <f t="shared" ref="AZ34:AZ70" si="78">IF($AZ$8=$H34,$Q34,0)</f>
        <v>0</v>
      </c>
      <c r="BA34" s="476">
        <f t="shared" ref="BA34:BA70" si="79">IF($AZ$8=$H34,$R34,0)</f>
        <v>0</v>
      </c>
      <c r="BB34" s="476">
        <f t="shared" ref="BB34:BB70" si="80">IF($BB$8=$H34,$Q34,0)</f>
        <v>0</v>
      </c>
      <c r="BC34" s="476">
        <f t="shared" ref="BC34:BC70" si="81">IF($BB$8=$H34,$R34,0)</f>
        <v>0</v>
      </c>
      <c r="BD34" s="476">
        <f t="shared" ref="BD34:BD70" si="82">IF($BD$8=$H34,$Q34,0)</f>
        <v>0</v>
      </c>
      <c r="BE34" s="476">
        <f t="shared" ref="BE34:BE70" si="83">IF($BD$8=$H34,$R34,0)</f>
        <v>0</v>
      </c>
      <c r="BF34" s="476">
        <f t="shared" ref="BF34:BF70" si="84">IF($BF$8=$H34,$Q34,0)</f>
        <v>0</v>
      </c>
      <c r="BG34" s="476">
        <f t="shared" ref="BG34:BG70" si="85">IF($BF$8=$H34,$R34,0)</f>
        <v>0</v>
      </c>
    </row>
    <row r="35" spans="1:59" ht="16.5" customHeight="1">
      <c r="A35" s="583" t="s">
        <v>691</v>
      </c>
      <c r="B35" s="584" t="s">
        <v>1592</v>
      </c>
      <c r="C35" s="584" t="s">
        <v>1728</v>
      </c>
      <c r="D35" s="413" t="s">
        <v>1051</v>
      </c>
      <c r="E35" s="412" t="s">
        <v>466</v>
      </c>
      <c r="F35" s="412" t="s">
        <v>1052</v>
      </c>
      <c r="G35" s="412" t="s">
        <v>1053</v>
      </c>
      <c r="H35" s="412" t="s">
        <v>1723</v>
      </c>
      <c r="I35" s="477">
        <v>0</v>
      </c>
      <c r="J35" s="477">
        <v>0</v>
      </c>
      <c r="K35" s="477">
        <v>9430038.5999999996</v>
      </c>
      <c r="L35" s="477">
        <v>9551036.7100000009</v>
      </c>
      <c r="M35" s="477">
        <f t="shared" si="2"/>
        <v>9430038.5999999996</v>
      </c>
      <c r="N35" s="477">
        <f t="shared" si="3"/>
        <v>9551036.7100000009</v>
      </c>
      <c r="O35" s="477"/>
      <c r="P35" s="477"/>
      <c r="Q35" s="477">
        <f t="shared" si="44"/>
        <v>9430038.5999999996</v>
      </c>
      <c r="R35" s="477">
        <f t="shared" si="42"/>
        <v>9551036.7100000009</v>
      </c>
      <c r="S35" s="477">
        <f t="shared" si="43"/>
        <v>-120998.11000000127</v>
      </c>
      <c r="V35" s="476">
        <f t="shared" si="48"/>
        <v>0</v>
      </c>
      <c r="W35" s="476">
        <f t="shared" si="49"/>
        <v>0</v>
      </c>
      <c r="X35" s="476">
        <f t="shared" si="50"/>
        <v>0</v>
      </c>
      <c r="Y35" s="476">
        <f t="shared" si="51"/>
        <v>0</v>
      </c>
      <c r="Z35" s="476">
        <f t="shared" si="52"/>
        <v>0</v>
      </c>
      <c r="AA35" s="476">
        <f t="shared" si="53"/>
        <v>0</v>
      </c>
      <c r="AB35" s="476">
        <f t="shared" si="54"/>
        <v>0</v>
      </c>
      <c r="AC35" s="476">
        <f t="shared" si="55"/>
        <v>0</v>
      </c>
      <c r="AD35" s="476">
        <f t="shared" si="56"/>
        <v>0</v>
      </c>
      <c r="AE35" s="476">
        <f t="shared" si="57"/>
        <v>0</v>
      </c>
      <c r="AF35" s="476">
        <f t="shared" si="58"/>
        <v>0</v>
      </c>
      <c r="AG35" s="476">
        <f t="shared" si="59"/>
        <v>0</v>
      </c>
      <c r="AH35" s="476">
        <f t="shared" si="60"/>
        <v>0</v>
      </c>
      <c r="AI35" s="476">
        <f t="shared" si="61"/>
        <v>0</v>
      </c>
      <c r="AJ35" s="476">
        <f t="shared" si="62"/>
        <v>0</v>
      </c>
      <c r="AK35" s="476">
        <f t="shared" si="63"/>
        <v>0</v>
      </c>
      <c r="AL35" s="476">
        <f t="shared" si="64"/>
        <v>0</v>
      </c>
      <c r="AM35" s="476">
        <f t="shared" si="65"/>
        <v>0</v>
      </c>
      <c r="AN35" s="476">
        <f t="shared" si="66"/>
        <v>0</v>
      </c>
      <c r="AO35" s="476">
        <f t="shared" si="67"/>
        <v>0</v>
      </c>
      <c r="AP35" s="476">
        <f t="shared" si="68"/>
        <v>0</v>
      </c>
      <c r="AQ35" s="476">
        <f t="shared" si="69"/>
        <v>0</v>
      </c>
      <c r="AR35" s="476">
        <f t="shared" si="70"/>
        <v>0</v>
      </c>
      <c r="AS35" s="476">
        <f t="shared" si="71"/>
        <v>0</v>
      </c>
      <c r="AT35" s="476">
        <f t="shared" si="72"/>
        <v>0</v>
      </c>
      <c r="AU35" s="476">
        <f t="shared" si="73"/>
        <v>0</v>
      </c>
      <c r="AV35" s="476">
        <f t="shared" si="74"/>
        <v>0</v>
      </c>
      <c r="AW35" s="476">
        <f t="shared" si="75"/>
        <v>0</v>
      </c>
      <c r="AX35" s="476">
        <f t="shared" si="76"/>
        <v>0</v>
      </c>
      <c r="AY35" s="476">
        <f t="shared" si="77"/>
        <v>0</v>
      </c>
      <c r="AZ35" s="476">
        <f t="shared" si="78"/>
        <v>0</v>
      </c>
      <c r="BA35" s="476">
        <f t="shared" si="79"/>
        <v>0</v>
      </c>
      <c r="BB35" s="476">
        <f t="shared" si="80"/>
        <v>0</v>
      </c>
      <c r="BC35" s="476">
        <f t="shared" si="81"/>
        <v>0</v>
      </c>
      <c r="BD35" s="476">
        <f t="shared" si="82"/>
        <v>0</v>
      </c>
      <c r="BE35" s="476">
        <f t="shared" si="83"/>
        <v>0</v>
      </c>
      <c r="BF35" s="476">
        <f t="shared" si="84"/>
        <v>0</v>
      </c>
      <c r="BG35" s="476">
        <f t="shared" si="85"/>
        <v>0</v>
      </c>
    </row>
    <row r="36" spans="1:59" ht="16.5" customHeight="1">
      <c r="A36" s="583" t="s">
        <v>692</v>
      </c>
      <c r="B36" s="584" t="s">
        <v>1593</v>
      </c>
      <c r="C36" s="584" t="s">
        <v>21</v>
      </c>
      <c r="D36" s="413" t="s">
        <v>1051</v>
      </c>
      <c r="E36" s="412" t="s">
        <v>466</v>
      </c>
      <c r="F36" s="412" t="s">
        <v>1052</v>
      </c>
      <c r="G36" s="412" t="s">
        <v>1053</v>
      </c>
      <c r="H36" s="412" t="s">
        <v>974</v>
      </c>
      <c r="I36" s="477">
        <v>6261.86</v>
      </c>
      <c r="J36" s="477">
        <v>0</v>
      </c>
      <c r="K36" s="477">
        <v>0</v>
      </c>
      <c r="L36" s="477">
        <v>0</v>
      </c>
      <c r="M36" s="477">
        <f t="shared" si="2"/>
        <v>6261.86</v>
      </c>
      <c r="N36" s="477">
        <f t="shared" si="3"/>
        <v>0</v>
      </c>
      <c r="O36" s="477"/>
      <c r="P36" s="477"/>
      <c r="Q36" s="477">
        <f t="shared" si="44"/>
        <v>6261.86</v>
      </c>
      <c r="R36" s="477">
        <f t="shared" si="42"/>
        <v>0</v>
      </c>
      <c r="S36" s="477">
        <f t="shared" si="43"/>
        <v>6261.86</v>
      </c>
      <c r="V36" s="476">
        <f t="shared" si="48"/>
        <v>6261.86</v>
      </c>
      <c r="W36" s="476">
        <f t="shared" si="49"/>
        <v>0</v>
      </c>
      <c r="X36" s="476">
        <f t="shared" si="50"/>
        <v>0</v>
      </c>
      <c r="Y36" s="476">
        <f t="shared" si="51"/>
        <v>0</v>
      </c>
      <c r="Z36" s="476">
        <f t="shared" si="52"/>
        <v>0</v>
      </c>
      <c r="AA36" s="476">
        <f t="shared" si="53"/>
        <v>0</v>
      </c>
      <c r="AB36" s="476">
        <f t="shared" si="54"/>
        <v>0</v>
      </c>
      <c r="AC36" s="476">
        <f t="shared" si="55"/>
        <v>0</v>
      </c>
      <c r="AD36" s="476">
        <f t="shared" si="56"/>
        <v>0</v>
      </c>
      <c r="AE36" s="476">
        <f t="shared" si="57"/>
        <v>0</v>
      </c>
      <c r="AF36" s="476">
        <f t="shared" si="58"/>
        <v>0</v>
      </c>
      <c r="AG36" s="476">
        <f t="shared" si="59"/>
        <v>0</v>
      </c>
      <c r="AH36" s="476">
        <f t="shared" si="60"/>
        <v>0</v>
      </c>
      <c r="AI36" s="476">
        <f t="shared" si="61"/>
        <v>0</v>
      </c>
      <c r="AJ36" s="476">
        <f t="shared" si="62"/>
        <v>0</v>
      </c>
      <c r="AK36" s="476">
        <f t="shared" si="63"/>
        <v>0</v>
      </c>
      <c r="AL36" s="476">
        <f t="shared" si="64"/>
        <v>0</v>
      </c>
      <c r="AM36" s="476">
        <f t="shared" si="65"/>
        <v>0</v>
      </c>
      <c r="AN36" s="476">
        <f t="shared" si="66"/>
        <v>0</v>
      </c>
      <c r="AO36" s="476">
        <f t="shared" si="67"/>
        <v>0</v>
      </c>
      <c r="AP36" s="476">
        <f t="shared" si="68"/>
        <v>0</v>
      </c>
      <c r="AQ36" s="476">
        <f t="shared" si="69"/>
        <v>0</v>
      </c>
      <c r="AR36" s="476">
        <f t="shared" si="70"/>
        <v>0</v>
      </c>
      <c r="AS36" s="476">
        <f t="shared" si="71"/>
        <v>0</v>
      </c>
      <c r="AT36" s="476">
        <f t="shared" si="72"/>
        <v>0</v>
      </c>
      <c r="AU36" s="476">
        <f t="shared" si="73"/>
        <v>0</v>
      </c>
      <c r="AV36" s="476">
        <f t="shared" si="74"/>
        <v>0</v>
      </c>
      <c r="AW36" s="476">
        <f t="shared" si="75"/>
        <v>0</v>
      </c>
      <c r="AX36" s="476">
        <f t="shared" si="76"/>
        <v>0</v>
      </c>
      <c r="AY36" s="476">
        <f t="shared" si="77"/>
        <v>0</v>
      </c>
      <c r="AZ36" s="476">
        <f t="shared" si="78"/>
        <v>0</v>
      </c>
      <c r="BA36" s="476">
        <f t="shared" si="79"/>
        <v>0</v>
      </c>
      <c r="BB36" s="476">
        <f t="shared" si="80"/>
        <v>0</v>
      </c>
      <c r="BC36" s="476">
        <f t="shared" si="81"/>
        <v>0</v>
      </c>
      <c r="BD36" s="476">
        <f t="shared" si="82"/>
        <v>0</v>
      </c>
      <c r="BE36" s="476">
        <f t="shared" si="83"/>
        <v>0</v>
      </c>
      <c r="BF36" s="476">
        <f t="shared" si="84"/>
        <v>0</v>
      </c>
      <c r="BG36" s="476">
        <f t="shared" si="85"/>
        <v>0</v>
      </c>
    </row>
    <row r="37" spans="1:59" ht="16.5" customHeight="1">
      <c r="A37" s="583" t="s">
        <v>693</v>
      </c>
      <c r="B37" s="584" t="s">
        <v>1594</v>
      </c>
      <c r="C37" s="584" t="s">
        <v>22</v>
      </c>
      <c r="D37" s="413" t="s">
        <v>1051</v>
      </c>
      <c r="E37" s="412" t="s">
        <v>466</v>
      </c>
      <c r="F37" s="412" t="s">
        <v>1052</v>
      </c>
      <c r="G37" s="412" t="s">
        <v>1053</v>
      </c>
      <c r="H37" s="412" t="s">
        <v>1015</v>
      </c>
      <c r="I37" s="477">
        <v>70646.14</v>
      </c>
      <c r="J37" s="477">
        <v>79.099999999999994</v>
      </c>
      <c r="K37" s="477">
        <v>0</v>
      </c>
      <c r="L37" s="477">
        <v>0</v>
      </c>
      <c r="M37" s="477">
        <f t="shared" si="2"/>
        <v>70646.14</v>
      </c>
      <c r="N37" s="477">
        <f t="shared" si="3"/>
        <v>79.099999999999994</v>
      </c>
      <c r="O37" s="477"/>
      <c r="P37" s="477"/>
      <c r="Q37" s="477">
        <f t="shared" si="44"/>
        <v>70646.14</v>
      </c>
      <c r="R37" s="477">
        <f t="shared" si="42"/>
        <v>79.099999999999994</v>
      </c>
      <c r="S37" s="477">
        <f t="shared" si="43"/>
        <v>70567.039999999994</v>
      </c>
      <c r="V37" s="476">
        <f t="shared" si="48"/>
        <v>0</v>
      </c>
      <c r="W37" s="476">
        <f t="shared" si="49"/>
        <v>0</v>
      </c>
      <c r="X37" s="476">
        <f t="shared" si="50"/>
        <v>0</v>
      </c>
      <c r="Y37" s="476">
        <f t="shared" si="51"/>
        <v>0</v>
      </c>
      <c r="Z37" s="476">
        <f t="shared" si="52"/>
        <v>0</v>
      </c>
      <c r="AA37" s="476">
        <f t="shared" si="53"/>
        <v>0</v>
      </c>
      <c r="AB37" s="476">
        <f t="shared" si="54"/>
        <v>0</v>
      </c>
      <c r="AC37" s="476">
        <f t="shared" si="55"/>
        <v>0</v>
      </c>
      <c r="AD37" s="476">
        <f t="shared" si="56"/>
        <v>0</v>
      </c>
      <c r="AE37" s="476">
        <f t="shared" si="57"/>
        <v>0</v>
      </c>
      <c r="AF37" s="476">
        <f t="shared" si="58"/>
        <v>0</v>
      </c>
      <c r="AG37" s="476">
        <f t="shared" si="59"/>
        <v>0</v>
      </c>
      <c r="AH37" s="476">
        <f t="shared" si="60"/>
        <v>0</v>
      </c>
      <c r="AI37" s="476">
        <f t="shared" si="61"/>
        <v>0</v>
      </c>
      <c r="AJ37" s="476">
        <f t="shared" si="62"/>
        <v>0</v>
      </c>
      <c r="AK37" s="476">
        <f t="shared" si="63"/>
        <v>0</v>
      </c>
      <c r="AL37" s="476">
        <f t="shared" si="64"/>
        <v>0</v>
      </c>
      <c r="AM37" s="476">
        <f t="shared" si="65"/>
        <v>0</v>
      </c>
      <c r="AN37" s="476">
        <f t="shared" si="66"/>
        <v>0</v>
      </c>
      <c r="AO37" s="476">
        <f t="shared" si="67"/>
        <v>0</v>
      </c>
      <c r="AP37" s="476">
        <f t="shared" si="68"/>
        <v>0</v>
      </c>
      <c r="AQ37" s="476">
        <f t="shared" si="69"/>
        <v>0</v>
      </c>
      <c r="AR37" s="476">
        <f t="shared" si="70"/>
        <v>0</v>
      </c>
      <c r="AS37" s="476">
        <f t="shared" si="71"/>
        <v>0</v>
      </c>
      <c r="AT37" s="476">
        <f t="shared" si="72"/>
        <v>70646.14</v>
      </c>
      <c r="AU37" s="476">
        <f t="shared" si="73"/>
        <v>79.099999999999994</v>
      </c>
      <c r="AV37" s="476">
        <f t="shared" si="74"/>
        <v>0</v>
      </c>
      <c r="AW37" s="476">
        <f t="shared" si="75"/>
        <v>0</v>
      </c>
      <c r="AX37" s="476">
        <f t="shared" si="76"/>
        <v>0</v>
      </c>
      <c r="AY37" s="476">
        <f t="shared" si="77"/>
        <v>0</v>
      </c>
      <c r="AZ37" s="476">
        <f t="shared" si="78"/>
        <v>0</v>
      </c>
      <c r="BA37" s="476">
        <f t="shared" si="79"/>
        <v>0</v>
      </c>
      <c r="BB37" s="476">
        <f t="shared" si="80"/>
        <v>0</v>
      </c>
      <c r="BC37" s="476">
        <f t="shared" si="81"/>
        <v>0</v>
      </c>
      <c r="BD37" s="476">
        <f t="shared" si="82"/>
        <v>0</v>
      </c>
      <c r="BE37" s="476">
        <f t="shared" si="83"/>
        <v>0</v>
      </c>
      <c r="BF37" s="476">
        <f t="shared" si="84"/>
        <v>0</v>
      </c>
      <c r="BG37" s="476">
        <f t="shared" si="85"/>
        <v>0</v>
      </c>
    </row>
    <row r="38" spans="1:59" ht="16.5" customHeight="1">
      <c r="A38" s="583" t="s">
        <v>693</v>
      </c>
      <c r="B38" s="584" t="s">
        <v>1594</v>
      </c>
      <c r="C38" s="584" t="s">
        <v>23</v>
      </c>
      <c r="D38" s="413" t="s">
        <v>1051</v>
      </c>
      <c r="E38" s="412" t="s">
        <v>466</v>
      </c>
      <c r="F38" s="412" t="s">
        <v>1052</v>
      </c>
      <c r="G38" s="412" t="s">
        <v>1053</v>
      </c>
      <c r="H38" s="412" t="s">
        <v>1022</v>
      </c>
      <c r="I38" s="477">
        <v>12334249.59</v>
      </c>
      <c r="J38" s="477">
        <v>12403022.299999999</v>
      </c>
      <c r="K38" s="477">
        <v>0</v>
      </c>
      <c r="L38" s="477">
        <v>0</v>
      </c>
      <c r="M38" s="477">
        <f t="shared" si="2"/>
        <v>12334249.59</v>
      </c>
      <c r="N38" s="477">
        <f t="shared" si="3"/>
        <v>12403022.299999999</v>
      </c>
      <c r="O38" s="477"/>
      <c r="P38" s="477"/>
      <c r="Q38" s="477">
        <f t="shared" si="44"/>
        <v>12334249.59</v>
      </c>
      <c r="R38" s="477">
        <f t="shared" si="42"/>
        <v>12403022.299999999</v>
      </c>
      <c r="S38" s="477">
        <f t="shared" si="43"/>
        <v>-68772.709999999031</v>
      </c>
      <c r="V38" s="476">
        <f t="shared" si="48"/>
        <v>0</v>
      </c>
      <c r="W38" s="476">
        <f t="shared" si="49"/>
        <v>0</v>
      </c>
      <c r="X38" s="476">
        <f t="shared" si="50"/>
        <v>0</v>
      </c>
      <c r="Y38" s="476">
        <f t="shared" si="51"/>
        <v>0</v>
      </c>
      <c r="Z38" s="476">
        <f t="shared" si="52"/>
        <v>0</v>
      </c>
      <c r="AA38" s="476">
        <f t="shared" si="53"/>
        <v>0</v>
      </c>
      <c r="AB38" s="476">
        <f t="shared" si="54"/>
        <v>0</v>
      </c>
      <c r="AC38" s="476">
        <f t="shared" si="55"/>
        <v>0</v>
      </c>
      <c r="AD38" s="476">
        <f t="shared" si="56"/>
        <v>0</v>
      </c>
      <c r="AE38" s="476">
        <f t="shared" si="57"/>
        <v>0</v>
      </c>
      <c r="AF38" s="476">
        <f t="shared" si="58"/>
        <v>0</v>
      </c>
      <c r="AG38" s="476">
        <f t="shared" si="59"/>
        <v>0</v>
      </c>
      <c r="AH38" s="476">
        <f t="shared" si="60"/>
        <v>0</v>
      </c>
      <c r="AI38" s="476">
        <f t="shared" si="61"/>
        <v>0</v>
      </c>
      <c r="AJ38" s="476">
        <f t="shared" si="62"/>
        <v>0</v>
      </c>
      <c r="AK38" s="476">
        <f t="shared" si="63"/>
        <v>0</v>
      </c>
      <c r="AL38" s="476">
        <f t="shared" si="64"/>
        <v>0</v>
      </c>
      <c r="AM38" s="476">
        <f t="shared" si="65"/>
        <v>0</v>
      </c>
      <c r="AN38" s="476">
        <f t="shared" si="66"/>
        <v>0</v>
      </c>
      <c r="AO38" s="476">
        <f t="shared" si="67"/>
        <v>0</v>
      </c>
      <c r="AP38" s="476">
        <f t="shared" si="68"/>
        <v>0</v>
      </c>
      <c r="AQ38" s="476">
        <f t="shared" si="69"/>
        <v>0</v>
      </c>
      <c r="AR38" s="476">
        <f t="shared" si="70"/>
        <v>0</v>
      </c>
      <c r="AS38" s="476">
        <f t="shared" si="71"/>
        <v>0</v>
      </c>
      <c r="AT38" s="476">
        <f t="shared" si="72"/>
        <v>0</v>
      </c>
      <c r="AU38" s="476">
        <f t="shared" si="73"/>
        <v>0</v>
      </c>
      <c r="AV38" s="476">
        <f t="shared" si="74"/>
        <v>12334249.59</v>
      </c>
      <c r="AW38" s="476">
        <f t="shared" si="75"/>
        <v>12403022.299999999</v>
      </c>
      <c r="AX38" s="476">
        <f t="shared" si="76"/>
        <v>0</v>
      </c>
      <c r="AY38" s="476">
        <f t="shared" si="77"/>
        <v>0</v>
      </c>
      <c r="AZ38" s="476">
        <f t="shared" si="78"/>
        <v>0</v>
      </c>
      <c r="BA38" s="476">
        <f t="shared" si="79"/>
        <v>0</v>
      </c>
      <c r="BB38" s="476">
        <f t="shared" si="80"/>
        <v>0</v>
      </c>
      <c r="BC38" s="476">
        <f t="shared" si="81"/>
        <v>0</v>
      </c>
      <c r="BD38" s="476">
        <f t="shared" si="82"/>
        <v>0</v>
      </c>
      <c r="BE38" s="476">
        <f t="shared" si="83"/>
        <v>0</v>
      </c>
      <c r="BF38" s="476">
        <f t="shared" si="84"/>
        <v>0</v>
      </c>
      <c r="BG38" s="476">
        <f t="shared" si="85"/>
        <v>0</v>
      </c>
    </row>
    <row r="39" spans="1:59" ht="16.5" customHeight="1">
      <c r="A39" s="583" t="s">
        <v>694</v>
      </c>
      <c r="B39" s="584" t="s">
        <v>1595</v>
      </c>
      <c r="C39" s="584" t="s">
        <v>25</v>
      </c>
      <c r="D39" s="413" t="s">
        <v>1051</v>
      </c>
      <c r="E39" s="412" t="s">
        <v>466</v>
      </c>
      <c r="F39" s="412" t="s">
        <v>1052</v>
      </c>
      <c r="G39" s="412" t="s">
        <v>1053</v>
      </c>
      <c r="H39" s="412" t="s">
        <v>1016</v>
      </c>
      <c r="I39" s="477">
        <v>260.10000000000002</v>
      </c>
      <c r="J39" s="477">
        <v>0</v>
      </c>
      <c r="K39" s="477">
        <v>0</v>
      </c>
      <c r="L39" s="477">
        <v>0</v>
      </c>
      <c r="M39" s="477">
        <f t="shared" si="2"/>
        <v>260.10000000000002</v>
      </c>
      <c r="N39" s="477">
        <f t="shared" si="3"/>
        <v>0</v>
      </c>
      <c r="O39" s="477"/>
      <c r="P39" s="477"/>
      <c r="Q39" s="477">
        <f t="shared" si="44"/>
        <v>260.10000000000002</v>
      </c>
      <c r="R39" s="477">
        <f t="shared" si="42"/>
        <v>0</v>
      </c>
      <c r="S39" s="477">
        <f t="shared" si="43"/>
        <v>260.10000000000002</v>
      </c>
      <c r="V39" s="476">
        <f t="shared" si="48"/>
        <v>0</v>
      </c>
      <c r="W39" s="476">
        <f t="shared" si="49"/>
        <v>0</v>
      </c>
      <c r="X39" s="476">
        <f t="shared" si="50"/>
        <v>0</v>
      </c>
      <c r="Y39" s="476">
        <f t="shared" si="51"/>
        <v>0</v>
      </c>
      <c r="Z39" s="476">
        <f t="shared" si="52"/>
        <v>0</v>
      </c>
      <c r="AA39" s="476">
        <f t="shared" si="53"/>
        <v>0</v>
      </c>
      <c r="AB39" s="476">
        <f t="shared" si="54"/>
        <v>0</v>
      </c>
      <c r="AC39" s="476">
        <f t="shared" si="55"/>
        <v>0</v>
      </c>
      <c r="AD39" s="476">
        <f t="shared" si="56"/>
        <v>0</v>
      </c>
      <c r="AE39" s="476">
        <f t="shared" si="57"/>
        <v>0</v>
      </c>
      <c r="AF39" s="476">
        <f t="shared" si="58"/>
        <v>0</v>
      </c>
      <c r="AG39" s="476">
        <f t="shared" si="59"/>
        <v>0</v>
      </c>
      <c r="AH39" s="476">
        <f t="shared" si="60"/>
        <v>0</v>
      </c>
      <c r="AI39" s="476">
        <f t="shared" si="61"/>
        <v>0</v>
      </c>
      <c r="AJ39" s="476">
        <f t="shared" si="62"/>
        <v>0</v>
      </c>
      <c r="AK39" s="476">
        <f t="shared" si="63"/>
        <v>0</v>
      </c>
      <c r="AL39" s="476">
        <f t="shared" si="64"/>
        <v>0</v>
      </c>
      <c r="AM39" s="476">
        <f t="shared" si="65"/>
        <v>0</v>
      </c>
      <c r="AN39" s="476">
        <f t="shared" si="66"/>
        <v>0</v>
      </c>
      <c r="AO39" s="476">
        <f t="shared" si="67"/>
        <v>0</v>
      </c>
      <c r="AP39" s="476">
        <f t="shared" si="68"/>
        <v>0</v>
      </c>
      <c r="AQ39" s="476">
        <f t="shared" si="69"/>
        <v>0</v>
      </c>
      <c r="AR39" s="476">
        <f t="shared" si="70"/>
        <v>0</v>
      </c>
      <c r="AS39" s="476">
        <f t="shared" si="71"/>
        <v>0</v>
      </c>
      <c r="AT39" s="476">
        <f t="shared" si="72"/>
        <v>0</v>
      </c>
      <c r="AU39" s="476">
        <f t="shared" si="73"/>
        <v>0</v>
      </c>
      <c r="AV39" s="476">
        <f t="shared" si="74"/>
        <v>0</v>
      </c>
      <c r="AW39" s="476">
        <f t="shared" si="75"/>
        <v>0</v>
      </c>
      <c r="AX39" s="476">
        <f t="shared" si="76"/>
        <v>260.10000000000002</v>
      </c>
      <c r="AY39" s="476">
        <f t="shared" si="77"/>
        <v>0</v>
      </c>
      <c r="AZ39" s="476">
        <f t="shared" si="78"/>
        <v>0</v>
      </c>
      <c r="BA39" s="476">
        <f t="shared" si="79"/>
        <v>0</v>
      </c>
      <c r="BB39" s="476">
        <f t="shared" si="80"/>
        <v>0</v>
      </c>
      <c r="BC39" s="476">
        <f t="shared" si="81"/>
        <v>0</v>
      </c>
      <c r="BD39" s="476">
        <f t="shared" si="82"/>
        <v>0</v>
      </c>
      <c r="BE39" s="476">
        <f t="shared" si="83"/>
        <v>0</v>
      </c>
      <c r="BF39" s="476">
        <f t="shared" si="84"/>
        <v>0</v>
      </c>
      <c r="BG39" s="476">
        <f t="shared" si="85"/>
        <v>0</v>
      </c>
    </row>
    <row r="40" spans="1:59" ht="16.5" customHeight="1">
      <c r="A40" s="583" t="s">
        <v>694</v>
      </c>
      <c r="B40" s="584" t="s">
        <v>1595</v>
      </c>
      <c r="C40" s="584" t="s">
        <v>24</v>
      </c>
      <c r="D40" s="413" t="s">
        <v>1051</v>
      </c>
      <c r="E40" s="412" t="s">
        <v>466</v>
      </c>
      <c r="F40" s="413" t="s">
        <v>1052</v>
      </c>
      <c r="G40" s="412" t="s">
        <v>1053</v>
      </c>
      <c r="H40" s="412" t="s">
        <v>1024</v>
      </c>
      <c r="I40" s="477">
        <v>0</v>
      </c>
      <c r="J40" s="477">
        <v>133.94999999999999</v>
      </c>
      <c r="K40" s="477">
        <v>0</v>
      </c>
      <c r="L40" s="477">
        <v>0</v>
      </c>
      <c r="M40" s="477">
        <f t="shared" si="2"/>
        <v>0</v>
      </c>
      <c r="N40" s="477">
        <f t="shared" si="3"/>
        <v>133.94999999999999</v>
      </c>
      <c r="O40" s="477"/>
      <c r="P40" s="477"/>
      <c r="Q40" s="477">
        <f t="shared" si="44"/>
        <v>0</v>
      </c>
      <c r="R40" s="477">
        <f t="shared" si="42"/>
        <v>133.94999999999999</v>
      </c>
      <c r="S40" s="477">
        <f t="shared" si="43"/>
        <v>-133.94999999999999</v>
      </c>
      <c r="V40" s="476">
        <f t="shared" si="48"/>
        <v>0</v>
      </c>
      <c r="W40" s="476">
        <f t="shared" si="49"/>
        <v>0</v>
      </c>
      <c r="X40" s="476">
        <f t="shared" si="50"/>
        <v>0</v>
      </c>
      <c r="Y40" s="476">
        <f t="shared" si="51"/>
        <v>0</v>
      </c>
      <c r="Z40" s="476">
        <f t="shared" si="52"/>
        <v>0</v>
      </c>
      <c r="AA40" s="476">
        <f t="shared" si="53"/>
        <v>0</v>
      </c>
      <c r="AB40" s="476">
        <f t="shared" si="54"/>
        <v>0</v>
      </c>
      <c r="AC40" s="476">
        <f t="shared" si="55"/>
        <v>0</v>
      </c>
      <c r="AD40" s="476">
        <f t="shared" si="56"/>
        <v>0</v>
      </c>
      <c r="AE40" s="476">
        <f t="shared" si="57"/>
        <v>0</v>
      </c>
      <c r="AF40" s="476">
        <f t="shared" si="58"/>
        <v>0</v>
      </c>
      <c r="AG40" s="476">
        <f t="shared" si="59"/>
        <v>0</v>
      </c>
      <c r="AH40" s="476">
        <f t="shared" si="60"/>
        <v>0</v>
      </c>
      <c r="AI40" s="476">
        <f t="shared" si="61"/>
        <v>0</v>
      </c>
      <c r="AJ40" s="476">
        <f t="shared" si="62"/>
        <v>0</v>
      </c>
      <c r="AK40" s="476">
        <f t="shared" si="63"/>
        <v>0</v>
      </c>
      <c r="AL40" s="476">
        <f t="shared" si="64"/>
        <v>0</v>
      </c>
      <c r="AM40" s="476">
        <f t="shared" si="65"/>
        <v>0</v>
      </c>
      <c r="AN40" s="476">
        <f t="shared" si="66"/>
        <v>0</v>
      </c>
      <c r="AO40" s="476">
        <f t="shared" si="67"/>
        <v>0</v>
      </c>
      <c r="AP40" s="476">
        <f t="shared" si="68"/>
        <v>0</v>
      </c>
      <c r="AQ40" s="476">
        <f t="shared" si="69"/>
        <v>0</v>
      </c>
      <c r="AR40" s="476">
        <f t="shared" si="70"/>
        <v>0</v>
      </c>
      <c r="AS40" s="476">
        <f t="shared" si="71"/>
        <v>0</v>
      </c>
      <c r="AT40" s="476">
        <f t="shared" si="72"/>
        <v>0</v>
      </c>
      <c r="AU40" s="476">
        <f t="shared" si="73"/>
        <v>0</v>
      </c>
      <c r="AV40" s="476">
        <f t="shared" si="74"/>
        <v>0</v>
      </c>
      <c r="AW40" s="476">
        <f t="shared" si="75"/>
        <v>0</v>
      </c>
      <c r="AX40" s="476">
        <f t="shared" si="76"/>
        <v>0</v>
      </c>
      <c r="AY40" s="476">
        <f t="shared" si="77"/>
        <v>0</v>
      </c>
      <c r="AZ40" s="476">
        <f t="shared" si="78"/>
        <v>0</v>
      </c>
      <c r="BA40" s="476">
        <f t="shared" si="79"/>
        <v>133.94999999999999</v>
      </c>
      <c r="BB40" s="476">
        <f t="shared" si="80"/>
        <v>0</v>
      </c>
      <c r="BC40" s="476">
        <f t="shared" si="81"/>
        <v>0</v>
      </c>
      <c r="BD40" s="476">
        <f t="shared" si="82"/>
        <v>0</v>
      </c>
      <c r="BE40" s="476">
        <f t="shared" si="83"/>
        <v>0</v>
      </c>
      <c r="BF40" s="476">
        <f t="shared" si="84"/>
        <v>0</v>
      </c>
      <c r="BG40" s="476">
        <f t="shared" si="85"/>
        <v>0</v>
      </c>
    </row>
    <row r="41" spans="1:59" ht="16.5" customHeight="1">
      <c r="A41" s="583" t="s">
        <v>695</v>
      </c>
      <c r="B41" s="584" t="s">
        <v>1596</v>
      </c>
      <c r="C41" s="584" t="s">
        <v>1729</v>
      </c>
      <c r="D41" s="413" t="s">
        <v>1051</v>
      </c>
      <c r="E41" s="412" t="s">
        <v>466</v>
      </c>
      <c r="F41" s="412" t="s">
        <v>1052</v>
      </c>
      <c r="G41" s="412" t="s">
        <v>1053</v>
      </c>
      <c r="H41" s="412" t="s">
        <v>1055</v>
      </c>
      <c r="I41" s="477">
        <v>13399790.25</v>
      </c>
      <c r="J41" s="477">
        <v>13189765.82</v>
      </c>
      <c r="K41" s="477">
        <v>0</v>
      </c>
      <c r="L41" s="477">
        <v>0</v>
      </c>
      <c r="M41" s="477">
        <f t="shared" si="2"/>
        <v>13399790.25</v>
      </c>
      <c r="N41" s="477">
        <f t="shared" si="3"/>
        <v>13189765.82</v>
      </c>
      <c r="O41" s="477"/>
      <c r="P41" s="477"/>
      <c r="Q41" s="477">
        <f t="shared" si="44"/>
        <v>13399790.25</v>
      </c>
      <c r="R41" s="477">
        <f t="shared" si="42"/>
        <v>13189765.82</v>
      </c>
      <c r="S41" s="477">
        <f t="shared" si="43"/>
        <v>210024.4299999997</v>
      </c>
      <c r="U41" s="473"/>
      <c r="V41" s="476">
        <f t="shared" si="48"/>
        <v>0</v>
      </c>
      <c r="W41" s="476">
        <f t="shared" si="49"/>
        <v>0</v>
      </c>
      <c r="X41" s="476">
        <f t="shared" si="50"/>
        <v>0</v>
      </c>
      <c r="Y41" s="476">
        <f t="shared" si="51"/>
        <v>0</v>
      </c>
      <c r="Z41" s="476">
        <f t="shared" si="52"/>
        <v>0</v>
      </c>
      <c r="AA41" s="476">
        <f t="shared" si="53"/>
        <v>0</v>
      </c>
      <c r="AB41" s="476">
        <f t="shared" si="54"/>
        <v>0</v>
      </c>
      <c r="AC41" s="476">
        <f t="shared" si="55"/>
        <v>0</v>
      </c>
      <c r="AD41" s="476">
        <f t="shared" si="56"/>
        <v>0</v>
      </c>
      <c r="AE41" s="476">
        <f t="shared" si="57"/>
        <v>0</v>
      </c>
      <c r="AF41" s="476">
        <f t="shared" si="58"/>
        <v>0</v>
      </c>
      <c r="AG41" s="476">
        <f t="shared" si="59"/>
        <v>0</v>
      </c>
      <c r="AH41" s="476">
        <f t="shared" si="60"/>
        <v>0</v>
      </c>
      <c r="AI41" s="476">
        <f t="shared" si="61"/>
        <v>0</v>
      </c>
      <c r="AJ41" s="476">
        <f t="shared" si="62"/>
        <v>0</v>
      </c>
      <c r="AK41" s="476">
        <f t="shared" si="63"/>
        <v>0</v>
      </c>
      <c r="AL41" s="476">
        <f t="shared" si="64"/>
        <v>0</v>
      </c>
      <c r="AM41" s="476">
        <f t="shared" si="65"/>
        <v>0</v>
      </c>
      <c r="AN41" s="476">
        <f t="shared" si="66"/>
        <v>0</v>
      </c>
      <c r="AO41" s="476">
        <f t="shared" si="67"/>
        <v>0</v>
      </c>
      <c r="AP41" s="476">
        <f t="shared" si="68"/>
        <v>0</v>
      </c>
      <c r="AQ41" s="476">
        <f t="shared" si="69"/>
        <v>0</v>
      </c>
      <c r="AR41" s="476">
        <f t="shared" si="70"/>
        <v>0</v>
      </c>
      <c r="AS41" s="476">
        <f t="shared" si="71"/>
        <v>0</v>
      </c>
      <c r="AT41" s="476">
        <f t="shared" si="72"/>
        <v>0</v>
      </c>
      <c r="AU41" s="476">
        <f t="shared" si="73"/>
        <v>0</v>
      </c>
      <c r="AV41" s="476">
        <f t="shared" si="74"/>
        <v>0</v>
      </c>
      <c r="AW41" s="476">
        <f t="shared" si="75"/>
        <v>0</v>
      </c>
      <c r="AX41" s="476">
        <f t="shared" si="76"/>
        <v>0</v>
      </c>
      <c r="AY41" s="476">
        <f t="shared" si="77"/>
        <v>0</v>
      </c>
      <c r="AZ41" s="476">
        <f t="shared" si="78"/>
        <v>0</v>
      </c>
      <c r="BA41" s="476">
        <f t="shared" si="79"/>
        <v>0</v>
      </c>
      <c r="BB41" s="476">
        <f t="shared" si="80"/>
        <v>13399790.25</v>
      </c>
      <c r="BC41" s="476">
        <f t="shared" si="81"/>
        <v>13189765.82</v>
      </c>
      <c r="BD41" s="476">
        <f t="shared" si="82"/>
        <v>0</v>
      </c>
      <c r="BE41" s="476">
        <f t="shared" si="83"/>
        <v>0</v>
      </c>
      <c r="BF41" s="476">
        <f t="shared" si="84"/>
        <v>0</v>
      </c>
      <c r="BG41" s="476">
        <f t="shared" si="85"/>
        <v>0</v>
      </c>
    </row>
    <row r="42" spans="1:59" ht="16.5" customHeight="1">
      <c r="A42" s="583" t="s">
        <v>695</v>
      </c>
      <c r="B42" s="584" t="s">
        <v>1596</v>
      </c>
      <c r="C42" s="584" t="s">
        <v>1054</v>
      </c>
      <c r="D42" s="413" t="s">
        <v>1051</v>
      </c>
      <c r="E42" s="412" t="s">
        <v>466</v>
      </c>
      <c r="F42" s="412" t="s">
        <v>1052</v>
      </c>
      <c r="G42" s="412" t="s">
        <v>1053</v>
      </c>
      <c r="H42" s="412" t="s">
        <v>992</v>
      </c>
      <c r="I42" s="477">
        <v>0</v>
      </c>
      <c r="J42" s="477">
        <v>180000</v>
      </c>
      <c r="K42" s="477">
        <v>0</v>
      </c>
      <c r="L42" s="477">
        <v>0</v>
      </c>
      <c r="M42" s="477">
        <f t="shared" si="2"/>
        <v>0</v>
      </c>
      <c r="N42" s="477">
        <f t="shared" si="3"/>
        <v>180000</v>
      </c>
      <c r="O42" s="477"/>
      <c r="P42" s="477"/>
      <c r="Q42" s="477">
        <f t="shared" si="44"/>
        <v>0</v>
      </c>
      <c r="R42" s="477">
        <f t="shared" si="42"/>
        <v>180000</v>
      </c>
      <c r="S42" s="477">
        <f t="shared" si="43"/>
        <v>-180000</v>
      </c>
      <c r="U42" s="473"/>
      <c r="V42" s="476">
        <f t="shared" si="48"/>
        <v>0</v>
      </c>
      <c r="W42" s="476">
        <f t="shared" si="49"/>
        <v>0</v>
      </c>
      <c r="X42" s="476">
        <f t="shared" si="50"/>
        <v>0</v>
      </c>
      <c r="Y42" s="476">
        <f t="shared" si="51"/>
        <v>0</v>
      </c>
      <c r="Z42" s="476">
        <f t="shared" si="52"/>
        <v>0</v>
      </c>
      <c r="AA42" s="476">
        <f t="shared" si="53"/>
        <v>0</v>
      </c>
      <c r="AB42" s="476">
        <f t="shared" si="54"/>
        <v>0</v>
      </c>
      <c r="AC42" s="476">
        <f t="shared" si="55"/>
        <v>0</v>
      </c>
      <c r="AD42" s="476">
        <f t="shared" si="56"/>
        <v>0</v>
      </c>
      <c r="AE42" s="476">
        <f t="shared" si="57"/>
        <v>0</v>
      </c>
      <c r="AF42" s="476">
        <f t="shared" si="58"/>
        <v>0</v>
      </c>
      <c r="AG42" s="476">
        <f t="shared" si="59"/>
        <v>0</v>
      </c>
      <c r="AH42" s="476">
        <f t="shared" si="60"/>
        <v>0</v>
      </c>
      <c r="AI42" s="476">
        <f t="shared" si="61"/>
        <v>0</v>
      </c>
      <c r="AJ42" s="476">
        <f t="shared" si="62"/>
        <v>0</v>
      </c>
      <c r="AK42" s="476">
        <f t="shared" si="63"/>
        <v>0</v>
      </c>
      <c r="AL42" s="476">
        <f t="shared" si="64"/>
        <v>0</v>
      </c>
      <c r="AM42" s="476">
        <f t="shared" si="65"/>
        <v>0</v>
      </c>
      <c r="AN42" s="476">
        <f t="shared" si="66"/>
        <v>0</v>
      </c>
      <c r="AO42" s="476">
        <f t="shared" si="67"/>
        <v>180000</v>
      </c>
      <c r="AP42" s="476">
        <f t="shared" si="68"/>
        <v>0</v>
      </c>
      <c r="AQ42" s="476">
        <f t="shared" si="69"/>
        <v>0</v>
      </c>
      <c r="AR42" s="476">
        <f t="shared" si="70"/>
        <v>0</v>
      </c>
      <c r="AS42" s="476">
        <f t="shared" si="71"/>
        <v>0</v>
      </c>
      <c r="AT42" s="476">
        <f t="shared" si="72"/>
        <v>0</v>
      </c>
      <c r="AU42" s="476">
        <f t="shared" si="73"/>
        <v>0</v>
      </c>
      <c r="AV42" s="476">
        <f t="shared" si="74"/>
        <v>0</v>
      </c>
      <c r="AW42" s="476">
        <f t="shared" si="75"/>
        <v>0</v>
      </c>
      <c r="AX42" s="476">
        <f t="shared" si="76"/>
        <v>0</v>
      </c>
      <c r="AY42" s="476">
        <f t="shared" si="77"/>
        <v>0</v>
      </c>
      <c r="AZ42" s="476">
        <f t="shared" si="78"/>
        <v>0</v>
      </c>
      <c r="BA42" s="476">
        <f t="shared" si="79"/>
        <v>0</v>
      </c>
      <c r="BB42" s="476">
        <f t="shared" si="80"/>
        <v>0</v>
      </c>
      <c r="BC42" s="476">
        <f t="shared" si="81"/>
        <v>0</v>
      </c>
      <c r="BD42" s="476">
        <f t="shared" si="82"/>
        <v>0</v>
      </c>
      <c r="BE42" s="476">
        <f t="shared" si="83"/>
        <v>0</v>
      </c>
      <c r="BF42" s="476">
        <f t="shared" si="84"/>
        <v>0</v>
      </c>
      <c r="BG42" s="476">
        <f t="shared" si="85"/>
        <v>0</v>
      </c>
    </row>
    <row r="43" spans="1:59" ht="16.5" customHeight="1">
      <c r="A43" s="583" t="s">
        <v>697</v>
      </c>
      <c r="B43" s="584" t="s">
        <v>1597</v>
      </c>
      <c r="C43" s="584" t="s">
        <v>27</v>
      </c>
      <c r="D43" s="413" t="s">
        <v>1051</v>
      </c>
      <c r="E43" s="412" t="s">
        <v>466</v>
      </c>
      <c r="F43" s="413" t="s">
        <v>1057</v>
      </c>
      <c r="G43" s="412" t="s">
        <v>1058</v>
      </c>
      <c r="H43" s="412" t="s">
        <v>1014</v>
      </c>
      <c r="I43" s="477">
        <v>7638</v>
      </c>
      <c r="J43" s="477">
        <v>0</v>
      </c>
      <c r="K43" s="477">
        <v>0</v>
      </c>
      <c r="L43" s="477">
        <v>0</v>
      </c>
      <c r="M43" s="477">
        <f t="shared" si="2"/>
        <v>7638</v>
      </c>
      <c r="N43" s="477">
        <f t="shared" si="3"/>
        <v>0</v>
      </c>
      <c r="O43" s="477"/>
      <c r="P43" s="477"/>
      <c r="Q43" s="477">
        <f t="shared" si="44"/>
        <v>7638</v>
      </c>
      <c r="R43" s="477">
        <f t="shared" si="42"/>
        <v>0</v>
      </c>
      <c r="S43" s="477">
        <f t="shared" si="43"/>
        <v>7638</v>
      </c>
      <c r="V43" s="476">
        <f t="shared" si="48"/>
        <v>0</v>
      </c>
      <c r="W43" s="476">
        <f t="shared" si="49"/>
        <v>0</v>
      </c>
      <c r="X43" s="476">
        <f t="shared" si="50"/>
        <v>0</v>
      </c>
      <c r="Y43" s="476">
        <f t="shared" si="51"/>
        <v>0</v>
      </c>
      <c r="Z43" s="476">
        <f t="shared" si="52"/>
        <v>0</v>
      </c>
      <c r="AA43" s="476">
        <f t="shared" si="53"/>
        <v>0</v>
      </c>
      <c r="AB43" s="476">
        <f t="shared" si="54"/>
        <v>0</v>
      </c>
      <c r="AC43" s="476">
        <f t="shared" si="55"/>
        <v>0</v>
      </c>
      <c r="AD43" s="476">
        <f t="shared" si="56"/>
        <v>0</v>
      </c>
      <c r="AE43" s="476">
        <f t="shared" si="57"/>
        <v>0</v>
      </c>
      <c r="AF43" s="476">
        <f t="shared" si="58"/>
        <v>0</v>
      </c>
      <c r="AG43" s="476">
        <f t="shared" si="59"/>
        <v>0</v>
      </c>
      <c r="AH43" s="476">
        <f t="shared" si="60"/>
        <v>0</v>
      </c>
      <c r="AI43" s="476">
        <f t="shared" si="61"/>
        <v>0</v>
      </c>
      <c r="AJ43" s="476">
        <f t="shared" si="62"/>
        <v>0</v>
      </c>
      <c r="AK43" s="476">
        <f t="shared" si="63"/>
        <v>0</v>
      </c>
      <c r="AL43" s="476">
        <f t="shared" si="64"/>
        <v>0</v>
      </c>
      <c r="AM43" s="476">
        <f t="shared" si="65"/>
        <v>0</v>
      </c>
      <c r="AN43" s="476">
        <f t="shared" si="66"/>
        <v>0</v>
      </c>
      <c r="AO43" s="476">
        <f t="shared" si="67"/>
        <v>0</v>
      </c>
      <c r="AP43" s="476">
        <f t="shared" si="68"/>
        <v>7638</v>
      </c>
      <c r="AQ43" s="476">
        <f t="shared" si="69"/>
        <v>0</v>
      </c>
      <c r="AR43" s="476">
        <f t="shared" si="70"/>
        <v>0</v>
      </c>
      <c r="AS43" s="476">
        <f t="shared" si="71"/>
        <v>0</v>
      </c>
      <c r="AT43" s="476">
        <f t="shared" si="72"/>
        <v>0</v>
      </c>
      <c r="AU43" s="476">
        <f t="shared" si="73"/>
        <v>0</v>
      </c>
      <c r="AV43" s="476">
        <f t="shared" si="74"/>
        <v>0</v>
      </c>
      <c r="AW43" s="476">
        <f t="shared" si="75"/>
        <v>0</v>
      </c>
      <c r="AX43" s="476">
        <f t="shared" si="76"/>
        <v>0</v>
      </c>
      <c r="AY43" s="476">
        <f t="shared" si="77"/>
        <v>0</v>
      </c>
      <c r="AZ43" s="476">
        <f t="shared" si="78"/>
        <v>0</v>
      </c>
      <c r="BA43" s="476">
        <f t="shared" si="79"/>
        <v>0</v>
      </c>
      <c r="BB43" s="476">
        <f t="shared" si="80"/>
        <v>0</v>
      </c>
      <c r="BC43" s="476">
        <f t="shared" si="81"/>
        <v>0</v>
      </c>
      <c r="BD43" s="476">
        <f t="shared" si="82"/>
        <v>0</v>
      </c>
      <c r="BE43" s="476">
        <f t="shared" si="83"/>
        <v>0</v>
      </c>
      <c r="BF43" s="476">
        <f t="shared" si="84"/>
        <v>0</v>
      </c>
      <c r="BG43" s="476">
        <f t="shared" si="85"/>
        <v>0</v>
      </c>
    </row>
    <row r="44" spans="1:59" ht="16.5" customHeight="1">
      <c r="A44" s="583" t="s">
        <v>697</v>
      </c>
      <c r="B44" s="584" t="s">
        <v>1597</v>
      </c>
      <c r="C44" s="584" t="s">
        <v>28</v>
      </c>
      <c r="D44" s="413" t="s">
        <v>1051</v>
      </c>
      <c r="E44" s="412" t="s">
        <v>466</v>
      </c>
      <c r="F44" s="413" t="s">
        <v>1057</v>
      </c>
      <c r="G44" s="412" t="s">
        <v>1058</v>
      </c>
      <c r="H44" s="412" t="s">
        <v>974</v>
      </c>
      <c r="I44" s="477">
        <v>32238</v>
      </c>
      <c r="J44" s="477">
        <v>0</v>
      </c>
      <c r="K44" s="477">
        <v>0</v>
      </c>
      <c r="L44" s="477">
        <v>0</v>
      </c>
      <c r="M44" s="477">
        <f t="shared" si="2"/>
        <v>32238</v>
      </c>
      <c r="N44" s="477">
        <f t="shared" si="3"/>
        <v>0</v>
      </c>
      <c r="O44" s="477"/>
      <c r="P44" s="477"/>
      <c r="Q44" s="477">
        <f t="shared" si="44"/>
        <v>32238</v>
      </c>
      <c r="R44" s="477">
        <f t="shared" si="42"/>
        <v>0</v>
      </c>
      <c r="S44" s="477">
        <f t="shared" si="43"/>
        <v>32238</v>
      </c>
      <c r="V44" s="476">
        <f t="shared" si="48"/>
        <v>32238</v>
      </c>
      <c r="W44" s="476">
        <f t="shared" si="49"/>
        <v>0</v>
      </c>
      <c r="X44" s="476">
        <f t="shared" si="50"/>
        <v>0</v>
      </c>
      <c r="Y44" s="476">
        <f t="shared" si="51"/>
        <v>0</v>
      </c>
      <c r="Z44" s="476">
        <f t="shared" si="52"/>
        <v>0</v>
      </c>
      <c r="AA44" s="476">
        <f t="shared" si="53"/>
        <v>0</v>
      </c>
      <c r="AB44" s="476">
        <f t="shared" si="54"/>
        <v>0</v>
      </c>
      <c r="AC44" s="476">
        <f t="shared" si="55"/>
        <v>0</v>
      </c>
      <c r="AD44" s="476">
        <f t="shared" si="56"/>
        <v>0</v>
      </c>
      <c r="AE44" s="476">
        <f t="shared" si="57"/>
        <v>0</v>
      </c>
      <c r="AF44" s="476">
        <f t="shared" si="58"/>
        <v>0</v>
      </c>
      <c r="AG44" s="476">
        <f t="shared" si="59"/>
        <v>0</v>
      </c>
      <c r="AH44" s="476">
        <f t="shared" si="60"/>
        <v>0</v>
      </c>
      <c r="AI44" s="476">
        <f t="shared" si="61"/>
        <v>0</v>
      </c>
      <c r="AJ44" s="476">
        <f t="shared" si="62"/>
        <v>0</v>
      </c>
      <c r="AK44" s="476">
        <f t="shared" si="63"/>
        <v>0</v>
      </c>
      <c r="AL44" s="476">
        <f t="shared" si="64"/>
        <v>0</v>
      </c>
      <c r="AM44" s="476">
        <f t="shared" si="65"/>
        <v>0</v>
      </c>
      <c r="AN44" s="476">
        <f t="shared" si="66"/>
        <v>0</v>
      </c>
      <c r="AO44" s="476">
        <f t="shared" si="67"/>
        <v>0</v>
      </c>
      <c r="AP44" s="476">
        <f t="shared" si="68"/>
        <v>0</v>
      </c>
      <c r="AQ44" s="476">
        <f t="shared" si="69"/>
        <v>0</v>
      </c>
      <c r="AR44" s="476">
        <f t="shared" si="70"/>
        <v>0</v>
      </c>
      <c r="AS44" s="476">
        <f t="shared" si="71"/>
        <v>0</v>
      </c>
      <c r="AT44" s="476">
        <f t="shared" si="72"/>
        <v>0</v>
      </c>
      <c r="AU44" s="476">
        <f t="shared" si="73"/>
        <v>0</v>
      </c>
      <c r="AV44" s="476">
        <f t="shared" si="74"/>
        <v>0</v>
      </c>
      <c r="AW44" s="476">
        <f t="shared" si="75"/>
        <v>0</v>
      </c>
      <c r="AX44" s="476">
        <f t="shared" si="76"/>
        <v>0</v>
      </c>
      <c r="AY44" s="476">
        <f t="shared" si="77"/>
        <v>0</v>
      </c>
      <c r="AZ44" s="476">
        <f t="shared" si="78"/>
        <v>0</v>
      </c>
      <c r="BA44" s="476">
        <f t="shared" si="79"/>
        <v>0</v>
      </c>
      <c r="BB44" s="476">
        <f t="shared" si="80"/>
        <v>0</v>
      </c>
      <c r="BC44" s="476">
        <f t="shared" si="81"/>
        <v>0</v>
      </c>
      <c r="BD44" s="476">
        <f t="shared" si="82"/>
        <v>0</v>
      </c>
      <c r="BE44" s="476">
        <f t="shared" si="83"/>
        <v>0</v>
      </c>
      <c r="BF44" s="476">
        <f t="shared" si="84"/>
        <v>0</v>
      </c>
      <c r="BG44" s="476">
        <f t="shared" si="85"/>
        <v>0</v>
      </c>
    </row>
    <row r="45" spans="1:59" ht="16.5" customHeight="1">
      <c r="A45" s="583" t="s">
        <v>700</v>
      </c>
      <c r="B45" s="584" t="s">
        <v>1598</v>
      </c>
      <c r="C45" s="584" t="s">
        <v>32</v>
      </c>
      <c r="D45" s="413" t="s">
        <v>1051</v>
      </c>
      <c r="E45" s="412" t="s">
        <v>466</v>
      </c>
      <c r="F45" s="413" t="s">
        <v>1057</v>
      </c>
      <c r="G45" s="412" t="s">
        <v>1058</v>
      </c>
      <c r="H45" s="412" t="s">
        <v>974</v>
      </c>
      <c r="I45" s="477">
        <v>8160</v>
      </c>
      <c r="J45" s="477">
        <v>0</v>
      </c>
      <c r="K45" s="477">
        <v>0</v>
      </c>
      <c r="L45" s="477">
        <v>0</v>
      </c>
      <c r="M45" s="477">
        <f t="shared" si="2"/>
        <v>8160</v>
      </c>
      <c r="N45" s="477">
        <f t="shared" si="3"/>
        <v>0</v>
      </c>
      <c r="O45" s="477"/>
      <c r="P45" s="477"/>
      <c r="Q45" s="477">
        <f t="shared" si="44"/>
        <v>8160</v>
      </c>
      <c r="R45" s="477">
        <f t="shared" si="42"/>
        <v>0</v>
      </c>
      <c r="S45" s="477">
        <f t="shared" si="43"/>
        <v>8160</v>
      </c>
      <c r="V45" s="476">
        <f t="shared" si="48"/>
        <v>8160</v>
      </c>
      <c r="W45" s="476">
        <f t="shared" si="49"/>
        <v>0</v>
      </c>
      <c r="X45" s="476">
        <f t="shared" si="50"/>
        <v>0</v>
      </c>
      <c r="Y45" s="476">
        <f t="shared" si="51"/>
        <v>0</v>
      </c>
      <c r="Z45" s="476">
        <f t="shared" si="52"/>
        <v>0</v>
      </c>
      <c r="AA45" s="476">
        <f t="shared" si="53"/>
        <v>0</v>
      </c>
      <c r="AB45" s="476">
        <f t="shared" si="54"/>
        <v>0</v>
      </c>
      <c r="AC45" s="476">
        <f t="shared" si="55"/>
        <v>0</v>
      </c>
      <c r="AD45" s="476">
        <f t="shared" si="56"/>
        <v>0</v>
      </c>
      <c r="AE45" s="476">
        <f t="shared" si="57"/>
        <v>0</v>
      </c>
      <c r="AF45" s="476">
        <f t="shared" si="58"/>
        <v>0</v>
      </c>
      <c r="AG45" s="476">
        <f t="shared" si="59"/>
        <v>0</v>
      </c>
      <c r="AH45" s="476">
        <f t="shared" si="60"/>
        <v>0</v>
      </c>
      <c r="AI45" s="476">
        <f t="shared" si="61"/>
        <v>0</v>
      </c>
      <c r="AJ45" s="476">
        <f t="shared" si="62"/>
        <v>0</v>
      </c>
      <c r="AK45" s="476">
        <f t="shared" si="63"/>
        <v>0</v>
      </c>
      <c r="AL45" s="476">
        <f t="shared" si="64"/>
        <v>0</v>
      </c>
      <c r="AM45" s="476">
        <f t="shared" si="65"/>
        <v>0</v>
      </c>
      <c r="AN45" s="476">
        <f t="shared" si="66"/>
        <v>0</v>
      </c>
      <c r="AO45" s="476">
        <f t="shared" si="67"/>
        <v>0</v>
      </c>
      <c r="AP45" s="476">
        <f t="shared" si="68"/>
        <v>0</v>
      </c>
      <c r="AQ45" s="476">
        <f t="shared" si="69"/>
        <v>0</v>
      </c>
      <c r="AR45" s="476">
        <f t="shared" si="70"/>
        <v>0</v>
      </c>
      <c r="AS45" s="476">
        <f t="shared" si="71"/>
        <v>0</v>
      </c>
      <c r="AT45" s="476">
        <f t="shared" si="72"/>
        <v>0</v>
      </c>
      <c r="AU45" s="476">
        <f t="shared" si="73"/>
        <v>0</v>
      </c>
      <c r="AV45" s="476">
        <f t="shared" si="74"/>
        <v>0</v>
      </c>
      <c r="AW45" s="476">
        <f t="shared" si="75"/>
        <v>0</v>
      </c>
      <c r="AX45" s="476">
        <f t="shared" si="76"/>
        <v>0</v>
      </c>
      <c r="AY45" s="476">
        <f t="shared" si="77"/>
        <v>0</v>
      </c>
      <c r="AZ45" s="476">
        <f t="shared" si="78"/>
        <v>0</v>
      </c>
      <c r="BA45" s="476">
        <f t="shared" si="79"/>
        <v>0</v>
      </c>
      <c r="BB45" s="476">
        <f t="shared" si="80"/>
        <v>0</v>
      </c>
      <c r="BC45" s="476">
        <f t="shared" si="81"/>
        <v>0</v>
      </c>
      <c r="BD45" s="476">
        <f t="shared" si="82"/>
        <v>0</v>
      </c>
      <c r="BE45" s="476">
        <f t="shared" si="83"/>
        <v>0</v>
      </c>
      <c r="BF45" s="476">
        <f t="shared" si="84"/>
        <v>0</v>
      </c>
      <c r="BG45" s="476">
        <f t="shared" si="85"/>
        <v>0</v>
      </c>
    </row>
    <row r="46" spans="1:59" ht="16.5" customHeight="1">
      <c r="A46" s="583" t="s">
        <v>701</v>
      </c>
      <c r="B46" s="584" t="s">
        <v>1599</v>
      </c>
      <c r="C46" s="584" t="s">
        <v>1730</v>
      </c>
      <c r="D46" s="413" t="s">
        <v>1051</v>
      </c>
      <c r="E46" s="412" t="s">
        <v>466</v>
      </c>
      <c r="F46" s="412" t="s">
        <v>1057</v>
      </c>
      <c r="G46" s="412" t="s">
        <v>1058</v>
      </c>
      <c r="H46" s="412" t="s">
        <v>1055</v>
      </c>
      <c r="I46" s="477">
        <v>0</v>
      </c>
      <c r="J46" s="477">
        <v>8065</v>
      </c>
      <c r="K46" s="477">
        <v>0</v>
      </c>
      <c r="L46" s="477">
        <v>0</v>
      </c>
      <c r="M46" s="477">
        <f t="shared" si="2"/>
        <v>0</v>
      </c>
      <c r="N46" s="477">
        <f t="shared" si="3"/>
        <v>8065</v>
      </c>
      <c r="O46" s="477"/>
      <c r="P46" s="477"/>
      <c r="Q46" s="477">
        <f t="shared" si="44"/>
        <v>0</v>
      </c>
      <c r="R46" s="477">
        <f t="shared" si="42"/>
        <v>8065</v>
      </c>
      <c r="S46" s="477">
        <f t="shared" si="43"/>
        <v>-8065</v>
      </c>
      <c r="U46" s="473"/>
      <c r="V46" s="476">
        <f t="shared" si="48"/>
        <v>0</v>
      </c>
      <c r="W46" s="476">
        <f t="shared" si="49"/>
        <v>0</v>
      </c>
      <c r="X46" s="476">
        <f t="shared" si="50"/>
        <v>0</v>
      </c>
      <c r="Y46" s="476">
        <f t="shared" si="51"/>
        <v>0</v>
      </c>
      <c r="Z46" s="476">
        <f t="shared" si="52"/>
        <v>0</v>
      </c>
      <c r="AA46" s="476">
        <f t="shared" si="53"/>
        <v>0</v>
      </c>
      <c r="AB46" s="476">
        <f t="shared" si="54"/>
        <v>0</v>
      </c>
      <c r="AC46" s="476">
        <f t="shared" si="55"/>
        <v>0</v>
      </c>
      <c r="AD46" s="476">
        <f t="shared" si="56"/>
        <v>0</v>
      </c>
      <c r="AE46" s="476">
        <f t="shared" si="57"/>
        <v>0</v>
      </c>
      <c r="AF46" s="476">
        <f t="shared" si="58"/>
        <v>0</v>
      </c>
      <c r="AG46" s="476">
        <f t="shared" si="59"/>
        <v>0</v>
      </c>
      <c r="AH46" s="476">
        <f t="shared" si="60"/>
        <v>0</v>
      </c>
      <c r="AI46" s="476">
        <f t="shared" si="61"/>
        <v>0</v>
      </c>
      <c r="AJ46" s="476">
        <f t="shared" si="62"/>
        <v>0</v>
      </c>
      <c r="AK46" s="476">
        <f t="shared" si="63"/>
        <v>0</v>
      </c>
      <c r="AL46" s="476">
        <f t="shared" si="64"/>
        <v>0</v>
      </c>
      <c r="AM46" s="476">
        <f t="shared" si="65"/>
        <v>0</v>
      </c>
      <c r="AN46" s="476">
        <f t="shared" si="66"/>
        <v>0</v>
      </c>
      <c r="AO46" s="476">
        <f t="shared" si="67"/>
        <v>0</v>
      </c>
      <c r="AP46" s="476">
        <f t="shared" si="68"/>
        <v>0</v>
      </c>
      <c r="AQ46" s="476">
        <f t="shared" si="69"/>
        <v>0</v>
      </c>
      <c r="AR46" s="476">
        <f t="shared" si="70"/>
        <v>0</v>
      </c>
      <c r="AS46" s="476">
        <f t="shared" si="71"/>
        <v>0</v>
      </c>
      <c r="AT46" s="476">
        <f t="shared" si="72"/>
        <v>0</v>
      </c>
      <c r="AU46" s="476">
        <f t="shared" si="73"/>
        <v>0</v>
      </c>
      <c r="AV46" s="476">
        <f t="shared" si="74"/>
        <v>0</v>
      </c>
      <c r="AW46" s="476">
        <f t="shared" si="75"/>
        <v>0</v>
      </c>
      <c r="AX46" s="476">
        <f t="shared" si="76"/>
        <v>0</v>
      </c>
      <c r="AY46" s="476">
        <f t="shared" si="77"/>
        <v>0</v>
      </c>
      <c r="AZ46" s="476">
        <f t="shared" si="78"/>
        <v>0</v>
      </c>
      <c r="BA46" s="476">
        <f t="shared" si="79"/>
        <v>0</v>
      </c>
      <c r="BB46" s="476">
        <f t="shared" si="80"/>
        <v>0</v>
      </c>
      <c r="BC46" s="476">
        <f t="shared" si="81"/>
        <v>8065</v>
      </c>
      <c r="BD46" s="476">
        <f t="shared" si="82"/>
        <v>0</v>
      </c>
      <c r="BE46" s="476">
        <f t="shared" si="83"/>
        <v>0</v>
      </c>
      <c r="BF46" s="476">
        <f t="shared" si="84"/>
        <v>0</v>
      </c>
      <c r="BG46" s="476">
        <f t="shared" si="85"/>
        <v>0</v>
      </c>
    </row>
    <row r="47" spans="1:59" ht="16.5" customHeight="1">
      <c r="A47" s="583" t="s">
        <v>704</v>
      </c>
      <c r="B47" s="584" t="s">
        <v>1600</v>
      </c>
      <c r="C47" s="584" t="s">
        <v>37</v>
      </c>
      <c r="D47" s="413" t="s">
        <v>1051</v>
      </c>
      <c r="E47" s="412" t="s">
        <v>473</v>
      </c>
      <c r="F47" s="412" t="s">
        <v>1064</v>
      </c>
      <c r="G47" s="412" t="s">
        <v>332</v>
      </c>
      <c r="H47" s="412" t="s">
        <v>974</v>
      </c>
      <c r="I47" s="477">
        <v>4846426</v>
      </c>
      <c r="J47" s="477">
        <v>10746897</v>
      </c>
      <c r="K47" s="477">
        <v>0</v>
      </c>
      <c r="L47" s="477">
        <v>0</v>
      </c>
      <c r="M47" s="477">
        <f t="shared" si="2"/>
        <v>4846426</v>
      </c>
      <c r="N47" s="477">
        <f t="shared" si="3"/>
        <v>10746897</v>
      </c>
      <c r="O47" s="477"/>
      <c r="P47" s="477"/>
      <c r="Q47" s="477">
        <f t="shared" si="44"/>
        <v>4846426</v>
      </c>
      <c r="R47" s="477">
        <f t="shared" si="42"/>
        <v>10746897</v>
      </c>
      <c r="S47" s="477">
        <f t="shared" si="43"/>
        <v>-5900471</v>
      </c>
      <c r="U47" s="473"/>
      <c r="V47" s="476">
        <f t="shared" si="48"/>
        <v>4846426</v>
      </c>
      <c r="W47" s="476">
        <f t="shared" si="49"/>
        <v>10746897</v>
      </c>
      <c r="X47" s="476">
        <f t="shared" si="50"/>
        <v>0</v>
      </c>
      <c r="Y47" s="476">
        <f t="shared" si="51"/>
        <v>0</v>
      </c>
      <c r="Z47" s="476">
        <f t="shared" si="52"/>
        <v>0</v>
      </c>
      <c r="AA47" s="476">
        <f t="shared" si="53"/>
        <v>0</v>
      </c>
      <c r="AB47" s="476">
        <f t="shared" si="54"/>
        <v>0</v>
      </c>
      <c r="AC47" s="476">
        <f t="shared" si="55"/>
        <v>0</v>
      </c>
      <c r="AD47" s="476">
        <f t="shared" si="56"/>
        <v>0</v>
      </c>
      <c r="AE47" s="476">
        <f t="shared" si="57"/>
        <v>0</v>
      </c>
      <c r="AF47" s="476">
        <f t="shared" si="58"/>
        <v>0</v>
      </c>
      <c r="AG47" s="476">
        <f t="shared" si="59"/>
        <v>0</v>
      </c>
      <c r="AH47" s="476">
        <f t="shared" si="60"/>
        <v>0</v>
      </c>
      <c r="AI47" s="476">
        <f t="shared" si="61"/>
        <v>0</v>
      </c>
      <c r="AJ47" s="476">
        <f t="shared" si="62"/>
        <v>0</v>
      </c>
      <c r="AK47" s="476">
        <f t="shared" si="63"/>
        <v>0</v>
      </c>
      <c r="AL47" s="476">
        <f t="shared" si="64"/>
        <v>0</v>
      </c>
      <c r="AM47" s="476">
        <f t="shared" si="65"/>
        <v>0</v>
      </c>
      <c r="AN47" s="476">
        <f t="shared" si="66"/>
        <v>0</v>
      </c>
      <c r="AO47" s="476">
        <f t="shared" si="67"/>
        <v>0</v>
      </c>
      <c r="AP47" s="476">
        <f t="shared" si="68"/>
        <v>0</v>
      </c>
      <c r="AQ47" s="476">
        <f t="shared" si="69"/>
        <v>0</v>
      </c>
      <c r="AR47" s="476">
        <f t="shared" si="70"/>
        <v>0</v>
      </c>
      <c r="AS47" s="476">
        <f t="shared" si="71"/>
        <v>0</v>
      </c>
      <c r="AT47" s="476">
        <f t="shared" si="72"/>
        <v>0</v>
      </c>
      <c r="AU47" s="476">
        <f t="shared" si="73"/>
        <v>0</v>
      </c>
      <c r="AV47" s="476">
        <f t="shared" si="74"/>
        <v>0</v>
      </c>
      <c r="AW47" s="476">
        <f t="shared" si="75"/>
        <v>0</v>
      </c>
      <c r="AX47" s="476">
        <f t="shared" si="76"/>
        <v>0</v>
      </c>
      <c r="AY47" s="476">
        <f t="shared" si="77"/>
        <v>0</v>
      </c>
      <c r="AZ47" s="476">
        <f t="shared" si="78"/>
        <v>0</v>
      </c>
      <c r="BA47" s="476">
        <f t="shared" si="79"/>
        <v>0</v>
      </c>
      <c r="BB47" s="476">
        <f t="shared" si="80"/>
        <v>0</v>
      </c>
      <c r="BC47" s="476">
        <f t="shared" si="81"/>
        <v>0</v>
      </c>
      <c r="BD47" s="476">
        <f t="shared" si="82"/>
        <v>0</v>
      </c>
      <c r="BE47" s="476">
        <f t="shared" si="83"/>
        <v>0</v>
      </c>
      <c r="BF47" s="476">
        <f t="shared" si="84"/>
        <v>0</v>
      </c>
      <c r="BG47" s="476">
        <f t="shared" si="85"/>
        <v>0</v>
      </c>
    </row>
    <row r="48" spans="1:59" ht="16.5" customHeight="1">
      <c r="A48" s="583" t="s">
        <v>705</v>
      </c>
      <c r="B48" s="584" t="s">
        <v>1601</v>
      </c>
      <c r="C48" s="584" t="s">
        <v>40</v>
      </c>
      <c r="D48" s="413" t="s">
        <v>1051</v>
      </c>
      <c r="E48" s="412" t="s">
        <v>466</v>
      </c>
      <c r="F48" s="413" t="s">
        <v>1057</v>
      </c>
      <c r="G48" s="412" t="s">
        <v>1058</v>
      </c>
      <c r="H48" s="412" t="s">
        <v>1014</v>
      </c>
      <c r="I48" s="477">
        <v>12147.56</v>
      </c>
      <c r="J48" s="477">
        <v>0</v>
      </c>
      <c r="K48" s="477">
        <v>0</v>
      </c>
      <c r="L48" s="477">
        <v>0</v>
      </c>
      <c r="M48" s="477">
        <f t="shared" si="2"/>
        <v>12147.56</v>
      </c>
      <c r="N48" s="477">
        <f t="shared" si="3"/>
        <v>0</v>
      </c>
      <c r="O48" s="477"/>
      <c r="P48" s="477"/>
      <c r="Q48" s="477">
        <f t="shared" si="44"/>
        <v>12147.56</v>
      </c>
      <c r="R48" s="477">
        <f t="shared" si="42"/>
        <v>0</v>
      </c>
      <c r="S48" s="477">
        <f t="shared" si="43"/>
        <v>12147.56</v>
      </c>
      <c r="V48" s="476">
        <f t="shared" si="48"/>
        <v>0</v>
      </c>
      <c r="W48" s="476">
        <f t="shared" si="49"/>
        <v>0</v>
      </c>
      <c r="X48" s="476">
        <f t="shared" si="50"/>
        <v>0</v>
      </c>
      <c r="Y48" s="476">
        <f t="shared" si="51"/>
        <v>0</v>
      </c>
      <c r="Z48" s="476">
        <f t="shared" si="52"/>
        <v>0</v>
      </c>
      <c r="AA48" s="476">
        <f t="shared" si="53"/>
        <v>0</v>
      </c>
      <c r="AB48" s="476">
        <f t="shared" si="54"/>
        <v>0</v>
      </c>
      <c r="AC48" s="476">
        <f t="shared" si="55"/>
        <v>0</v>
      </c>
      <c r="AD48" s="476">
        <f t="shared" si="56"/>
        <v>0</v>
      </c>
      <c r="AE48" s="476">
        <f t="shared" si="57"/>
        <v>0</v>
      </c>
      <c r="AF48" s="476">
        <f t="shared" si="58"/>
        <v>0</v>
      </c>
      <c r="AG48" s="476">
        <f t="shared" si="59"/>
        <v>0</v>
      </c>
      <c r="AH48" s="476">
        <f t="shared" si="60"/>
        <v>0</v>
      </c>
      <c r="AI48" s="476">
        <f t="shared" si="61"/>
        <v>0</v>
      </c>
      <c r="AJ48" s="476">
        <f t="shared" si="62"/>
        <v>0</v>
      </c>
      <c r="AK48" s="476">
        <f t="shared" si="63"/>
        <v>0</v>
      </c>
      <c r="AL48" s="476">
        <f t="shared" si="64"/>
        <v>0</v>
      </c>
      <c r="AM48" s="476">
        <f t="shared" si="65"/>
        <v>0</v>
      </c>
      <c r="AN48" s="476">
        <f t="shared" si="66"/>
        <v>0</v>
      </c>
      <c r="AO48" s="476">
        <f t="shared" si="67"/>
        <v>0</v>
      </c>
      <c r="AP48" s="476">
        <f t="shared" si="68"/>
        <v>12147.56</v>
      </c>
      <c r="AQ48" s="476">
        <f t="shared" si="69"/>
        <v>0</v>
      </c>
      <c r="AR48" s="476">
        <f t="shared" si="70"/>
        <v>0</v>
      </c>
      <c r="AS48" s="476">
        <f t="shared" si="71"/>
        <v>0</v>
      </c>
      <c r="AT48" s="476">
        <f t="shared" si="72"/>
        <v>0</v>
      </c>
      <c r="AU48" s="476">
        <f t="shared" si="73"/>
        <v>0</v>
      </c>
      <c r="AV48" s="476">
        <f t="shared" si="74"/>
        <v>0</v>
      </c>
      <c r="AW48" s="476">
        <f t="shared" si="75"/>
        <v>0</v>
      </c>
      <c r="AX48" s="476">
        <f t="shared" si="76"/>
        <v>0</v>
      </c>
      <c r="AY48" s="476">
        <f t="shared" si="77"/>
        <v>0</v>
      </c>
      <c r="AZ48" s="476">
        <f t="shared" si="78"/>
        <v>0</v>
      </c>
      <c r="BA48" s="476">
        <f t="shared" si="79"/>
        <v>0</v>
      </c>
      <c r="BB48" s="476">
        <f t="shared" si="80"/>
        <v>0</v>
      </c>
      <c r="BC48" s="476">
        <f t="shared" si="81"/>
        <v>0</v>
      </c>
      <c r="BD48" s="476">
        <f t="shared" si="82"/>
        <v>0</v>
      </c>
      <c r="BE48" s="476">
        <f t="shared" si="83"/>
        <v>0</v>
      </c>
      <c r="BF48" s="476">
        <f t="shared" si="84"/>
        <v>0</v>
      </c>
      <c r="BG48" s="476">
        <f t="shared" si="85"/>
        <v>0</v>
      </c>
    </row>
    <row r="49" spans="1:59" ht="16.5" customHeight="1">
      <c r="A49" s="583" t="s">
        <v>705</v>
      </c>
      <c r="B49" s="584" t="s">
        <v>1601</v>
      </c>
      <c r="C49" s="584" t="s">
        <v>45</v>
      </c>
      <c r="D49" s="413" t="s">
        <v>1051</v>
      </c>
      <c r="E49" s="412" t="s">
        <v>466</v>
      </c>
      <c r="F49" s="413" t="s">
        <v>1057</v>
      </c>
      <c r="G49" s="412" t="s">
        <v>1058</v>
      </c>
      <c r="H49" s="412" t="s">
        <v>974</v>
      </c>
      <c r="I49" s="477">
        <v>434455.6</v>
      </c>
      <c r="J49" s="477">
        <v>0</v>
      </c>
      <c r="K49" s="477">
        <v>0</v>
      </c>
      <c r="L49" s="477">
        <v>0</v>
      </c>
      <c r="M49" s="477">
        <f t="shared" si="2"/>
        <v>434455.6</v>
      </c>
      <c r="N49" s="477">
        <f t="shared" si="3"/>
        <v>0</v>
      </c>
      <c r="O49" s="477"/>
      <c r="P49" s="477"/>
      <c r="Q49" s="477">
        <f t="shared" si="44"/>
        <v>434455.6</v>
      </c>
      <c r="R49" s="477">
        <f t="shared" si="42"/>
        <v>0</v>
      </c>
      <c r="S49" s="477">
        <f t="shared" si="43"/>
        <v>434455.6</v>
      </c>
      <c r="V49" s="476">
        <f t="shared" si="48"/>
        <v>434455.6</v>
      </c>
      <c r="W49" s="476">
        <f t="shared" si="49"/>
        <v>0</v>
      </c>
      <c r="X49" s="476">
        <f t="shared" si="50"/>
        <v>0</v>
      </c>
      <c r="Y49" s="476">
        <f t="shared" si="51"/>
        <v>0</v>
      </c>
      <c r="Z49" s="476">
        <f t="shared" si="52"/>
        <v>0</v>
      </c>
      <c r="AA49" s="476">
        <f t="shared" si="53"/>
        <v>0</v>
      </c>
      <c r="AB49" s="476">
        <f t="shared" si="54"/>
        <v>0</v>
      </c>
      <c r="AC49" s="476">
        <f t="shared" si="55"/>
        <v>0</v>
      </c>
      <c r="AD49" s="476">
        <f t="shared" si="56"/>
        <v>0</v>
      </c>
      <c r="AE49" s="476">
        <f t="shared" si="57"/>
        <v>0</v>
      </c>
      <c r="AF49" s="476">
        <f t="shared" si="58"/>
        <v>0</v>
      </c>
      <c r="AG49" s="476">
        <f t="shared" si="59"/>
        <v>0</v>
      </c>
      <c r="AH49" s="476">
        <f t="shared" si="60"/>
        <v>0</v>
      </c>
      <c r="AI49" s="476">
        <f t="shared" si="61"/>
        <v>0</v>
      </c>
      <c r="AJ49" s="476">
        <f t="shared" si="62"/>
        <v>0</v>
      </c>
      <c r="AK49" s="476">
        <f t="shared" si="63"/>
        <v>0</v>
      </c>
      <c r="AL49" s="476">
        <f t="shared" si="64"/>
        <v>0</v>
      </c>
      <c r="AM49" s="476">
        <f t="shared" si="65"/>
        <v>0</v>
      </c>
      <c r="AN49" s="476">
        <f t="shared" si="66"/>
        <v>0</v>
      </c>
      <c r="AO49" s="476">
        <f t="shared" si="67"/>
        <v>0</v>
      </c>
      <c r="AP49" s="476">
        <f t="shared" si="68"/>
        <v>0</v>
      </c>
      <c r="AQ49" s="476">
        <f t="shared" si="69"/>
        <v>0</v>
      </c>
      <c r="AR49" s="476">
        <f t="shared" si="70"/>
        <v>0</v>
      </c>
      <c r="AS49" s="476">
        <f t="shared" si="71"/>
        <v>0</v>
      </c>
      <c r="AT49" s="476">
        <f t="shared" si="72"/>
        <v>0</v>
      </c>
      <c r="AU49" s="476">
        <f t="shared" si="73"/>
        <v>0</v>
      </c>
      <c r="AV49" s="476">
        <f t="shared" si="74"/>
        <v>0</v>
      </c>
      <c r="AW49" s="476">
        <f t="shared" si="75"/>
        <v>0</v>
      </c>
      <c r="AX49" s="476">
        <f t="shared" si="76"/>
        <v>0</v>
      </c>
      <c r="AY49" s="476">
        <f t="shared" si="77"/>
        <v>0</v>
      </c>
      <c r="AZ49" s="476">
        <f t="shared" si="78"/>
        <v>0</v>
      </c>
      <c r="BA49" s="476">
        <f t="shared" si="79"/>
        <v>0</v>
      </c>
      <c r="BB49" s="476">
        <f t="shared" si="80"/>
        <v>0</v>
      </c>
      <c r="BC49" s="476">
        <f t="shared" si="81"/>
        <v>0</v>
      </c>
      <c r="BD49" s="476">
        <f t="shared" si="82"/>
        <v>0</v>
      </c>
      <c r="BE49" s="476">
        <f t="shared" si="83"/>
        <v>0</v>
      </c>
      <c r="BF49" s="476">
        <f t="shared" si="84"/>
        <v>0</v>
      </c>
      <c r="BG49" s="476">
        <f t="shared" si="85"/>
        <v>0</v>
      </c>
    </row>
    <row r="50" spans="1:59" ht="16.5" customHeight="1">
      <c r="A50" s="583" t="s">
        <v>705</v>
      </c>
      <c r="B50" s="584" t="s">
        <v>1601</v>
      </c>
      <c r="C50" s="584" t="s">
        <v>47</v>
      </c>
      <c r="D50" s="413" t="s">
        <v>1051</v>
      </c>
      <c r="E50" s="412" t="s">
        <v>466</v>
      </c>
      <c r="F50" s="413" t="s">
        <v>1057</v>
      </c>
      <c r="G50" s="412" t="s">
        <v>1058</v>
      </c>
      <c r="H50" s="412" t="s">
        <v>1011</v>
      </c>
      <c r="I50" s="477">
        <v>54597</v>
      </c>
      <c r="J50" s="477">
        <v>0</v>
      </c>
      <c r="K50" s="477">
        <v>0</v>
      </c>
      <c r="L50" s="477">
        <v>0</v>
      </c>
      <c r="M50" s="477">
        <f t="shared" si="2"/>
        <v>54597</v>
      </c>
      <c r="N50" s="477">
        <f t="shared" si="3"/>
        <v>0</v>
      </c>
      <c r="O50" s="477"/>
      <c r="P50" s="477"/>
      <c r="Q50" s="477">
        <f t="shared" si="44"/>
        <v>54597</v>
      </c>
      <c r="R50" s="477">
        <f t="shared" si="42"/>
        <v>0</v>
      </c>
      <c r="S50" s="477">
        <f t="shared" si="43"/>
        <v>54597</v>
      </c>
      <c r="V50" s="476">
        <f t="shared" si="48"/>
        <v>0</v>
      </c>
      <c r="W50" s="476">
        <f t="shared" si="49"/>
        <v>0</v>
      </c>
      <c r="X50" s="476">
        <f t="shared" si="50"/>
        <v>54597</v>
      </c>
      <c r="Y50" s="476">
        <f t="shared" si="51"/>
        <v>0</v>
      </c>
      <c r="Z50" s="476">
        <f t="shared" si="52"/>
        <v>0</v>
      </c>
      <c r="AA50" s="476">
        <f t="shared" si="53"/>
        <v>0</v>
      </c>
      <c r="AB50" s="476">
        <f t="shared" si="54"/>
        <v>0</v>
      </c>
      <c r="AC50" s="476">
        <f t="shared" si="55"/>
        <v>0</v>
      </c>
      <c r="AD50" s="476">
        <f t="shared" si="56"/>
        <v>0</v>
      </c>
      <c r="AE50" s="476">
        <f t="shared" si="57"/>
        <v>0</v>
      </c>
      <c r="AF50" s="476">
        <f t="shared" si="58"/>
        <v>0</v>
      </c>
      <c r="AG50" s="476">
        <f t="shared" si="59"/>
        <v>0</v>
      </c>
      <c r="AH50" s="476">
        <f t="shared" si="60"/>
        <v>0</v>
      </c>
      <c r="AI50" s="476">
        <f t="shared" si="61"/>
        <v>0</v>
      </c>
      <c r="AJ50" s="476">
        <f t="shared" si="62"/>
        <v>0</v>
      </c>
      <c r="AK50" s="476">
        <f t="shared" si="63"/>
        <v>0</v>
      </c>
      <c r="AL50" s="476">
        <f t="shared" si="64"/>
        <v>0</v>
      </c>
      <c r="AM50" s="476">
        <f t="shared" si="65"/>
        <v>0</v>
      </c>
      <c r="AN50" s="476">
        <f t="shared" si="66"/>
        <v>0</v>
      </c>
      <c r="AO50" s="476">
        <f t="shared" si="67"/>
        <v>0</v>
      </c>
      <c r="AP50" s="476">
        <f t="shared" si="68"/>
        <v>0</v>
      </c>
      <c r="AQ50" s="476">
        <f t="shared" si="69"/>
        <v>0</v>
      </c>
      <c r="AR50" s="476">
        <f t="shared" si="70"/>
        <v>0</v>
      </c>
      <c r="AS50" s="476">
        <f t="shared" si="71"/>
        <v>0</v>
      </c>
      <c r="AT50" s="476">
        <f t="shared" si="72"/>
        <v>0</v>
      </c>
      <c r="AU50" s="476">
        <f t="shared" si="73"/>
        <v>0</v>
      </c>
      <c r="AV50" s="476">
        <f t="shared" si="74"/>
        <v>0</v>
      </c>
      <c r="AW50" s="476">
        <f t="shared" si="75"/>
        <v>0</v>
      </c>
      <c r="AX50" s="476">
        <f t="shared" si="76"/>
        <v>0</v>
      </c>
      <c r="AY50" s="476">
        <f t="shared" si="77"/>
        <v>0</v>
      </c>
      <c r="AZ50" s="476">
        <f t="shared" si="78"/>
        <v>0</v>
      </c>
      <c r="BA50" s="476">
        <f t="shared" si="79"/>
        <v>0</v>
      </c>
      <c r="BB50" s="476">
        <f t="shared" si="80"/>
        <v>0</v>
      </c>
      <c r="BC50" s="476">
        <f t="shared" si="81"/>
        <v>0</v>
      </c>
      <c r="BD50" s="476">
        <f t="shared" si="82"/>
        <v>0</v>
      </c>
      <c r="BE50" s="476">
        <f t="shared" si="83"/>
        <v>0</v>
      </c>
      <c r="BF50" s="476">
        <f t="shared" si="84"/>
        <v>0</v>
      </c>
      <c r="BG50" s="476">
        <f t="shared" si="85"/>
        <v>0</v>
      </c>
    </row>
    <row r="51" spans="1:59" ht="16.5" customHeight="1">
      <c r="A51" s="583" t="s">
        <v>705</v>
      </c>
      <c r="B51" s="584" t="s">
        <v>1601</v>
      </c>
      <c r="C51" s="584" t="s">
        <v>1731</v>
      </c>
      <c r="D51" s="413" t="s">
        <v>1051</v>
      </c>
      <c r="E51" s="412" t="s">
        <v>466</v>
      </c>
      <c r="F51" s="413" t="s">
        <v>1057</v>
      </c>
      <c r="G51" s="412" t="s">
        <v>1058</v>
      </c>
      <c r="H51" s="412" t="s">
        <v>1055</v>
      </c>
      <c r="I51" s="477">
        <v>18270.469999999998</v>
      </c>
      <c r="J51" s="477">
        <v>0</v>
      </c>
      <c r="K51" s="477">
        <v>0</v>
      </c>
      <c r="L51" s="477">
        <v>0</v>
      </c>
      <c r="M51" s="477">
        <f t="shared" si="2"/>
        <v>18270.469999999998</v>
      </c>
      <c r="N51" s="477">
        <f t="shared" si="3"/>
        <v>0</v>
      </c>
      <c r="O51" s="477"/>
      <c r="P51" s="477"/>
      <c r="Q51" s="477">
        <f t="shared" si="44"/>
        <v>18270.469999999998</v>
      </c>
      <c r="R51" s="477">
        <f t="shared" si="42"/>
        <v>0</v>
      </c>
      <c r="S51" s="477">
        <f t="shared" si="43"/>
        <v>18270.469999999998</v>
      </c>
      <c r="V51" s="476">
        <f t="shared" si="48"/>
        <v>0</v>
      </c>
      <c r="W51" s="476">
        <f t="shared" si="49"/>
        <v>0</v>
      </c>
      <c r="X51" s="476">
        <f t="shared" si="50"/>
        <v>0</v>
      </c>
      <c r="Y51" s="476">
        <f t="shared" si="51"/>
        <v>0</v>
      </c>
      <c r="Z51" s="476">
        <f t="shared" si="52"/>
        <v>0</v>
      </c>
      <c r="AA51" s="476">
        <f t="shared" si="53"/>
        <v>0</v>
      </c>
      <c r="AB51" s="476">
        <f t="shared" si="54"/>
        <v>0</v>
      </c>
      <c r="AC51" s="476">
        <f t="shared" si="55"/>
        <v>0</v>
      </c>
      <c r="AD51" s="476">
        <f t="shared" si="56"/>
        <v>0</v>
      </c>
      <c r="AE51" s="476">
        <f t="shared" si="57"/>
        <v>0</v>
      </c>
      <c r="AF51" s="476">
        <f t="shared" si="58"/>
        <v>0</v>
      </c>
      <c r="AG51" s="476">
        <f t="shared" si="59"/>
        <v>0</v>
      </c>
      <c r="AH51" s="476">
        <f t="shared" si="60"/>
        <v>0</v>
      </c>
      <c r="AI51" s="476">
        <f t="shared" si="61"/>
        <v>0</v>
      </c>
      <c r="AJ51" s="476">
        <f t="shared" si="62"/>
        <v>0</v>
      </c>
      <c r="AK51" s="476">
        <f t="shared" si="63"/>
        <v>0</v>
      </c>
      <c r="AL51" s="476">
        <f t="shared" si="64"/>
        <v>0</v>
      </c>
      <c r="AM51" s="476">
        <f t="shared" si="65"/>
        <v>0</v>
      </c>
      <c r="AN51" s="476">
        <f t="shared" si="66"/>
        <v>0</v>
      </c>
      <c r="AO51" s="476">
        <f t="shared" si="67"/>
        <v>0</v>
      </c>
      <c r="AP51" s="476">
        <f t="shared" si="68"/>
        <v>0</v>
      </c>
      <c r="AQ51" s="476">
        <f t="shared" si="69"/>
        <v>0</v>
      </c>
      <c r="AR51" s="476">
        <f t="shared" si="70"/>
        <v>0</v>
      </c>
      <c r="AS51" s="476">
        <f t="shared" si="71"/>
        <v>0</v>
      </c>
      <c r="AT51" s="476">
        <f t="shared" si="72"/>
        <v>0</v>
      </c>
      <c r="AU51" s="476">
        <f t="shared" si="73"/>
        <v>0</v>
      </c>
      <c r="AV51" s="476">
        <f t="shared" si="74"/>
        <v>0</v>
      </c>
      <c r="AW51" s="476">
        <f t="shared" si="75"/>
        <v>0</v>
      </c>
      <c r="AX51" s="476">
        <f t="shared" si="76"/>
        <v>0</v>
      </c>
      <c r="AY51" s="476">
        <f t="shared" si="77"/>
        <v>0</v>
      </c>
      <c r="AZ51" s="476">
        <f t="shared" si="78"/>
        <v>0</v>
      </c>
      <c r="BA51" s="476">
        <f t="shared" si="79"/>
        <v>0</v>
      </c>
      <c r="BB51" s="476">
        <f t="shared" si="80"/>
        <v>18270.469999999998</v>
      </c>
      <c r="BC51" s="476">
        <f t="shared" si="81"/>
        <v>0</v>
      </c>
      <c r="BD51" s="476">
        <f t="shared" si="82"/>
        <v>0</v>
      </c>
      <c r="BE51" s="476">
        <f t="shared" si="83"/>
        <v>0</v>
      </c>
      <c r="BF51" s="476">
        <f t="shared" si="84"/>
        <v>0</v>
      </c>
      <c r="BG51" s="476">
        <f t="shared" si="85"/>
        <v>0</v>
      </c>
    </row>
    <row r="52" spans="1:59" ht="16.5" customHeight="1">
      <c r="A52" s="583" t="s">
        <v>705</v>
      </c>
      <c r="B52" s="584" t="s">
        <v>1601</v>
      </c>
      <c r="C52" s="584" t="s">
        <v>48</v>
      </c>
      <c r="D52" s="413" t="s">
        <v>1051</v>
      </c>
      <c r="E52" s="412" t="s">
        <v>466</v>
      </c>
      <c r="F52" s="413" t="s">
        <v>1057</v>
      </c>
      <c r="G52" s="412" t="s">
        <v>1058</v>
      </c>
      <c r="H52" s="412" t="s">
        <v>1025</v>
      </c>
      <c r="I52" s="477">
        <v>5422.94</v>
      </c>
      <c r="J52" s="477">
        <v>0</v>
      </c>
      <c r="K52" s="477">
        <v>0</v>
      </c>
      <c r="L52" s="477">
        <v>0</v>
      </c>
      <c r="M52" s="477">
        <f t="shared" si="2"/>
        <v>5422.94</v>
      </c>
      <c r="N52" s="477">
        <f t="shared" si="3"/>
        <v>0</v>
      </c>
      <c r="O52" s="477"/>
      <c r="P52" s="477"/>
      <c r="Q52" s="477">
        <f t="shared" si="44"/>
        <v>5422.94</v>
      </c>
      <c r="R52" s="477">
        <f t="shared" si="42"/>
        <v>0</v>
      </c>
      <c r="S52" s="477">
        <f t="shared" si="43"/>
        <v>5422.94</v>
      </c>
      <c r="V52" s="476">
        <f t="shared" si="48"/>
        <v>0</v>
      </c>
      <c r="W52" s="476">
        <f t="shared" si="49"/>
        <v>0</v>
      </c>
      <c r="X52" s="476">
        <f t="shared" si="50"/>
        <v>0</v>
      </c>
      <c r="Y52" s="476">
        <f t="shared" si="51"/>
        <v>0</v>
      </c>
      <c r="Z52" s="476">
        <f t="shared" si="52"/>
        <v>0</v>
      </c>
      <c r="AA52" s="476">
        <f t="shared" si="53"/>
        <v>0</v>
      </c>
      <c r="AB52" s="476">
        <f t="shared" si="54"/>
        <v>0</v>
      </c>
      <c r="AC52" s="476">
        <f t="shared" si="55"/>
        <v>0</v>
      </c>
      <c r="AD52" s="476">
        <f t="shared" si="56"/>
        <v>0</v>
      </c>
      <c r="AE52" s="476">
        <f t="shared" si="57"/>
        <v>0</v>
      </c>
      <c r="AF52" s="476">
        <f t="shared" si="58"/>
        <v>0</v>
      </c>
      <c r="AG52" s="476">
        <f t="shared" si="59"/>
        <v>0</v>
      </c>
      <c r="AH52" s="476">
        <f t="shared" si="60"/>
        <v>5422.94</v>
      </c>
      <c r="AI52" s="476">
        <f t="shared" si="61"/>
        <v>0</v>
      </c>
      <c r="AJ52" s="476">
        <f t="shared" si="62"/>
        <v>0</v>
      </c>
      <c r="AK52" s="476">
        <f t="shared" si="63"/>
        <v>0</v>
      </c>
      <c r="AL52" s="476">
        <f t="shared" si="64"/>
        <v>0</v>
      </c>
      <c r="AM52" s="476">
        <f t="shared" si="65"/>
        <v>0</v>
      </c>
      <c r="AN52" s="476">
        <f t="shared" si="66"/>
        <v>0</v>
      </c>
      <c r="AO52" s="476">
        <f t="shared" si="67"/>
        <v>0</v>
      </c>
      <c r="AP52" s="476">
        <f t="shared" si="68"/>
        <v>0</v>
      </c>
      <c r="AQ52" s="476">
        <f t="shared" si="69"/>
        <v>0</v>
      </c>
      <c r="AR52" s="476">
        <f t="shared" si="70"/>
        <v>0</v>
      </c>
      <c r="AS52" s="476">
        <f t="shared" si="71"/>
        <v>0</v>
      </c>
      <c r="AT52" s="476">
        <f t="shared" si="72"/>
        <v>0</v>
      </c>
      <c r="AU52" s="476">
        <f t="shared" si="73"/>
        <v>0</v>
      </c>
      <c r="AV52" s="476">
        <f t="shared" si="74"/>
        <v>0</v>
      </c>
      <c r="AW52" s="476">
        <f t="shared" si="75"/>
        <v>0</v>
      </c>
      <c r="AX52" s="476">
        <f t="shared" si="76"/>
        <v>0</v>
      </c>
      <c r="AY52" s="476">
        <f t="shared" si="77"/>
        <v>0</v>
      </c>
      <c r="AZ52" s="476">
        <f t="shared" si="78"/>
        <v>0</v>
      </c>
      <c r="BA52" s="476">
        <f t="shared" si="79"/>
        <v>0</v>
      </c>
      <c r="BB52" s="476">
        <f t="shared" si="80"/>
        <v>0</v>
      </c>
      <c r="BC52" s="476">
        <f t="shared" si="81"/>
        <v>0</v>
      </c>
      <c r="BD52" s="476">
        <f t="shared" si="82"/>
        <v>0</v>
      </c>
      <c r="BE52" s="476">
        <f t="shared" si="83"/>
        <v>0</v>
      </c>
      <c r="BF52" s="476">
        <f t="shared" si="84"/>
        <v>0</v>
      </c>
      <c r="BG52" s="476">
        <f t="shared" si="85"/>
        <v>0</v>
      </c>
    </row>
    <row r="53" spans="1:59" ht="16.5" customHeight="1">
      <c r="A53" s="583" t="s">
        <v>705</v>
      </c>
      <c r="B53" s="584" t="s">
        <v>1601</v>
      </c>
      <c r="C53" s="584" t="s">
        <v>46</v>
      </c>
      <c r="D53" s="413" t="s">
        <v>1051</v>
      </c>
      <c r="E53" s="412" t="s">
        <v>466</v>
      </c>
      <c r="F53" s="413" t="s">
        <v>1057</v>
      </c>
      <c r="G53" s="412" t="s">
        <v>1058</v>
      </c>
      <c r="H53" s="412" t="s">
        <v>1024</v>
      </c>
      <c r="I53" s="477">
        <v>25.1</v>
      </c>
      <c r="J53" s="477">
        <v>0</v>
      </c>
      <c r="K53" s="477">
        <v>0</v>
      </c>
      <c r="L53" s="477">
        <v>0</v>
      </c>
      <c r="M53" s="477">
        <f t="shared" si="2"/>
        <v>25.1</v>
      </c>
      <c r="N53" s="477">
        <f t="shared" si="3"/>
        <v>0</v>
      </c>
      <c r="O53" s="477"/>
      <c r="P53" s="477"/>
      <c r="Q53" s="477">
        <f t="shared" si="44"/>
        <v>25.1</v>
      </c>
      <c r="R53" s="477">
        <f t="shared" si="42"/>
        <v>0</v>
      </c>
      <c r="S53" s="477">
        <f t="shared" si="43"/>
        <v>25.1</v>
      </c>
      <c r="V53" s="476">
        <f t="shared" si="48"/>
        <v>0</v>
      </c>
      <c r="W53" s="476">
        <f t="shared" si="49"/>
        <v>0</v>
      </c>
      <c r="X53" s="476">
        <f t="shared" si="50"/>
        <v>0</v>
      </c>
      <c r="Y53" s="476">
        <f t="shared" si="51"/>
        <v>0</v>
      </c>
      <c r="Z53" s="476">
        <f t="shared" si="52"/>
        <v>0</v>
      </c>
      <c r="AA53" s="476">
        <f t="shared" si="53"/>
        <v>0</v>
      </c>
      <c r="AB53" s="476">
        <f t="shared" si="54"/>
        <v>0</v>
      </c>
      <c r="AC53" s="476">
        <f t="shared" si="55"/>
        <v>0</v>
      </c>
      <c r="AD53" s="476">
        <f t="shared" si="56"/>
        <v>0</v>
      </c>
      <c r="AE53" s="476">
        <f t="shared" si="57"/>
        <v>0</v>
      </c>
      <c r="AF53" s="476">
        <f t="shared" si="58"/>
        <v>0</v>
      </c>
      <c r="AG53" s="476">
        <f t="shared" si="59"/>
        <v>0</v>
      </c>
      <c r="AH53" s="476">
        <f t="shared" si="60"/>
        <v>0</v>
      </c>
      <c r="AI53" s="476">
        <f t="shared" si="61"/>
        <v>0</v>
      </c>
      <c r="AJ53" s="476">
        <f t="shared" si="62"/>
        <v>0</v>
      </c>
      <c r="AK53" s="476">
        <f t="shared" si="63"/>
        <v>0</v>
      </c>
      <c r="AL53" s="476">
        <f t="shared" si="64"/>
        <v>0</v>
      </c>
      <c r="AM53" s="476">
        <f t="shared" si="65"/>
        <v>0</v>
      </c>
      <c r="AN53" s="476">
        <f t="shared" si="66"/>
        <v>0</v>
      </c>
      <c r="AO53" s="476">
        <f t="shared" si="67"/>
        <v>0</v>
      </c>
      <c r="AP53" s="476">
        <f t="shared" si="68"/>
        <v>0</v>
      </c>
      <c r="AQ53" s="476">
        <f t="shared" si="69"/>
        <v>0</v>
      </c>
      <c r="AR53" s="476">
        <f t="shared" si="70"/>
        <v>0</v>
      </c>
      <c r="AS53" s="476">
        <f t="shared" si="71"/>
        <v>0</v>
      </c>
      <c r="AT53" s="476">
        <f t="shared" si="72"/>
        <v>0</v>
      </c>
      <c r="AU53" s="476">
        <f t="shared" si="73"/>
        <v>0</v>
      </c>
      <c r="AV53" s="476">
        <f t="shared" si="74"/>
        <v>0</v>
      </c>
      <c r="AW53" s="476">
        <f t="shared" si="75"/>
        <v>0</v>
      </c>
      <c r="AX53" s="476">
        <f t="shared" si="76"/>
        <v>0</v>
      </c>
      <c r="AY53" s="476">
        <f t="shared" si="77"/>
        <v>0</v>
      </c>
      <c r="AZ53" s="476">
        <f t="shared" si="78"/>
        <v>25.1</v>
      </c>
      <c r="BA53" s="476">
        <f t="shared" si="79"/>
        <v>0</v>
      </c>
      <c r="BB53" s="476">
        <f t="shared" si="80"/>
        <v>0</v>
      </c>
      <c r="BC53" s="476">
        <f t="shared" si="81"/>
        <v>0</v>
      </c>
      <c r="BD53" s="476">
        <f t="shared" si="82"/>
        <v>0</v>
      </c>
      <c r="BE53" s="476">
        <f t="shared" si="83"/>
        <v>0</v>
      </c>
      <c r="BF53" s="476">
        <f t="shared" si="84"/>
        <v>0</v>
      </c>
      <c r="BG53" s="476">
        <f t="shared" si="85"/>
        <v>0</v>
      </c>
    </row>
    <row r="54" spans="1:59" ht="16.5" customHeight="1">
      <c r="A54" s="583" t="s">
        <v>705</v>
      </c>
      <c r="B54" s="584" t="s">
        <v>1601</v>
      </c>
      <c r="C54" s="584" t="s">
        <v>44</v>
      </c>
      <c r="D54" s="413" t="s">
        <v>1051</v>
      </c>
      <c r="E54" s="412" t="s">
        <v>466</v>
      </c>
      <c r="F54" s="413" t="s">
        <v>1057</v>
      </c>
      <c r="G54" s="412" t="s">
        <v>1058</v>
      </c>
      <c r="H54" s="412" t="s">
        <v>1022</v>
      </c>
      <c r="I54" s="477">
        <v>21544.61</v>
      </c>
      <c r="J54" s="477">
        <v>0</v>
      </c>
      <c r="K54" s="477">
        <v>0</v>
      </c>
      <c r="L54" s="477">
        <v>0</v>
      </c>
      <c r="M54" s="477">
        <f t="shared" si="2"/>
        <v>21544.61</v>
      </c>
      <c r="N54" s="477">
        <f t="shared" si="3"/>
        <v>0</v>
      </c>
      <c r="O54" s="477"/>
      <c r="P54" s="477"/>
      <c r="Q54" s="477">
        <f t="shared" si="44"/>
        <v>21544.61</v>
      </c>
      <c r="R54" s="477">
        <f t="shared" si="42"/>
        <v>0</v>
      </c>
      <c r="S54" s="477">
        <f t="shared" si="43"/>
        <v>21544.61</v>
      </c>
      <c r="V54" s="476">
        <f t="shared" si="48"/>
        <v>0</v>
      </c>
      <c r="W54" s="476">
        <f t="shared" si="49"/>
        <v>0</v>
      </c>
      <c r="X54" s="476">
        <f t="shared" si="50"/>
        <v>0</v>
      </c>
      <c r="Y54" s="476">
        <f t="shared" si="51"/>
        <v>0</v>
      </c>
      <c r="Z54" s="476">
        <f t="shared" si="52"/>
        <v>0</v>
      </c>
      <c r="AA54" s="476">
        <f t="shared" si="53"/>
        <v>0</v>
      </c>
      <c r="AB54" s="476">
        <f t="shared" si="54"/>
        <v>0</v>
      </c>
      <c r="AC54" s="476">
        <f t="shared" si="55"/>
        <v>0</v>
      </c>
      <c r="AD54" s="476">
        <f t="shared" si="56"/>
        <v>0</v>
      </c>
      <c r="AE54" s="476">
        <f t="shared" si="57"/>
        <v>0</v>
      </c>
      <c r="AF54" s="476">
        <f t="shared" si="58"/>
        <v>0</v>
      </c>
      <c r="AG54" s="476">
        <f t="shared" si="59"/>
        <v>0</v>
      </c>
      <c r="AH54" s="476">
        <f t="shared" si="60"/>
        <v>0</v>
      </c>
      <c r="AI54" s="476">
        <f t="shared" si="61"/>
        <v>0</v>
      </c>
      <c r="AJ54" s="476">
        <f t="shared" si="62"/>
        <v>0</v>
      </c>
      <c r="AK54" s="476">
        <f t="shared" si="63"/>
        <v>0</v>
      </c>
      <c r="AL54" s="476">
        <f t="shared" si="64"/>
        <v>0</v>
      </c>
      <c r="AM54" s="476">
        <f t="shared" si="65"/>
        <v>0</v>
      </c>
      <c r="AN54" s="476">
        <f t="shared" si="66"/>
        <v>0</v>
      </c>
      <c r="AO54" s="476">
        <f t="shared" si="67"/>
        <v>0</v>
      </c>
      <c r="AP54" s="476">
        <f t="shared" si="68"/>
        <v>0</v>
      </c>
      <c r="AQ54" s="476">
        <f t="shared" si="69"/>
        <v>0</v>
      </c>
      <c r="AR54" s="476">
        <f t="shared" si="70"/>
        <v>0</v>
      </c>
      <c r="AS54" s="476">
        <f t="shared" si="71"/>
        <v>0</v>
      </c>
      <c r="AT54" s="476">
        <f t="shared" si="72"/>
        <v>0</v>
      </c>
      <c r="AU54" s="476">
        <f t="shared" si="73"/>
        <v>0</v>
      </c>
      <c r="AV54" s="476">
        <f t="shared" si="74"/>
        <v>21544.61</v>
      </c>
      <c r="AW54" s="476">
        <f t="shared" si="75"/>
        <v>0</v>
      </c>
      <c r="AX54" s="476">
        <f t="shared" si="76"/>
        <v>0</v>
      </c>
      <c r="AY54" s="476">
        <f t="shared" si="77"/>
        <v>0</v>
      </c>
      <c r="AZ54" s="476">
        <f t="shared" si="78"/>
        <v>0</v>
      </c>
      <c r="BA54" s="476">
        <f t="shared" si="79"/>
        <v>0</v>
      </c>
      <c r="BB54" s="476">
        <f t="shared" si="80"/>
        <v>0</v>
      </c>
      <c r="BC54" s="476">
        <f t="shared" si="81"/>
        <v>0</v>
      </c>
      <c r="BD54" s="476">
        <f t="shared" si="82"/>
        <v>0</v>
      </c>
      <c r="BE54" s="476">
        <f t="shared" si="83"/>
        <v>0</v>
      </c>
      <c r="BF54" s="476">
        <f t="shared" si="84"/>
        <v>0</v>
      </c>
      <c r="BG54" s="476">
        <f t="shared" si="85"/>
        <v>0</v>
      </c>
    </row>
    <row r="55" spans="1:59" ht="16.5" customHeight="1">
      <c r="A55" s="583" t="s">
        <v>705</v>
      </c>
      <c r="B55" s="584" t="s">
        <v>1601</v>
      </c>
      <c r="C55" s="584" t="s">
        <v>41</v>
      </c>
      <c r="D55" s="413" t="s">
        <v>1051</v>
      </c>
      <c r="E55" s="412" t="s">
        <v>466</v>
      </c>
      <c r="F55" s="412" t="s">
        <v>1057</v>
      </c>
      <c r="G55" s="412" t="s">
        <v>1058</v>
      </c>
      <c r="H55" s="412" t="s">
        <v>1019</v>
      </c>
      <c r="I55" s="477">
        <v>15526.27</v>
      </c>
      <c r="J55" s="477">
        <v>0</v>
      </c>
      <c r="K55" s="477">
        <v>0</v>
      </c>
      <c r="L55" s="477">
        <v>0</v>
      </c>
      <c r="M55" s="477">
        <f t="shared" si="2"/>
        <v>15526.27</v>
      </c>
      <c r="N55" s="477">
        <f t="shared" si="3"/>
        <v>0</v>
      </c>
      <c r="O55" s="477"/>
      <c r="P55" s="477"/>
      <c r="Q55" s="477">
        <f t="shared" si="44"/>
        <v>15526.27</v>
      </c>
      <c r="R55" s="477">
        <f t="shared" si="42"/>
        <v>0</v>
      </c>
      <c r="S55" s="477">
        <f t="shared" si="43"/>
        <v>15526.27</v>
      </c>
      <c r="U55" s="473"/>
      <c r="V55" s="476">
        <f t="shared" si="48"/>
        <v>0</v>
      </c>
      <c r="W55" s="476">
        <f t="shared" si="49"/>
        <v>0</v>
      </c>
      <c r="X55" s="476">
        <f t="shared" si="50"/>
        <v>0</v>
      </c>
      <c r="Y55" s="476">
        <f t="shared" si="51"/>
        <v>0</v>
      </c>
      <c r="Z55" s="476">
        <f t="shared" si="52"/>
        <v>0</v>
      </c>
      <c r="AA55" s="476">
        <f t="shared" si="53"/>
        <v>0</v>
      </c>
      <c r="AB55" s="476">
        <f t="shared" si="54"/>
        <v>0</v>
      </c>
      <c r="AC55" s="476">
        <f t="shared" si="55"/>
        <v>0</v>
      </c>
      <c r="AD55" s="476">
        <f t="shared" si="56"/>
        <v>15526.27</v>
      </c>
      <c r="AE55" s="476">
        <f t="shared" si="57"/>
        <v>0</v>
      </c>
      <c r="AF55" s="476">
        <f t="shared" si="58"/>
        <v>0</v>
      </c>
      <c r="AG55" s="476">
        <f t="shared" si="59"/>
        <v>0</v>
      </c>
      <c r="AH55" s="476">
        <f t="shared" si="60"/>
        <v>0</v>
      </c>
      <c r="AI55" s="476">
        <f t="shared" si="61"/>
        <v>0</v>
      </c>
      <c r="AJ55" s="476">
        <f t="shared" si="62"/>
        <v>0</v>
      </c>
      <c r="AK55" s="476">
        <f t="shared" si="63"/>
        <v>0</v>
      </c>
      <c r="AL55" s="476">
        <f t="shared" si="64"/>
        <v>0</v>
      </c>
      <c r="AM55" s="476">
        <f t="shared" si="65"/>
        <v>0</v>
      </c>
      <c r="AN55" s="476">
        <f t="shared" si="66"/>
        <v>0</v>
      </c>
      <c r="AO55" s="476">
        <f t="shared" si="67"/>
        <v>0</v>
      </c>
      <c r="AP55" s="476">
        <f t="shared" si="68"/>
        <v>0</v>
      </c>
      <c r="AQ55" s="476">
        <f t="shared" si="69"/>
        <v>0</v>
      </c>
      <c r="AR55" s="476">
        <f t="shared" si="70"/>
        <v>0</v>
      </c>
      <c r="AS55" s="476">
        <f t="shared" si="71"/>
        <v>0</v>
      </c>
      <c r="AT55" s="476">
        <f t="shared" si="72"/>
        <v>0</v>
      </c>
      <c r="AU55" s="476">
        <f t="shared" si="73"/>
        <v>0</v>
      </c>
      <c r="AV55" s="476">
        <f t="shared" si="74"/>
        <v>0</v>
      </c>
      <c r="AW55" s="476">
        <f t="shared" si="75"/>
        <v>0</v>
      </c>
      <c r="AX55" s="476">
        <f t="shared" si="76"/>
        <v>0</v>
      </c>
      <c r="AY55" s="476">
        <f t="shared" si="77"/>
        <v>0</v>
      </c>
      <c r="AZ55" s="476">
        <f t="shared" si="78"/>
        <v>0</v>
      </c>
      <c r="BA55" s="476">
        <f t="shared" si="79"/>
        <v>0</v>
      </c>
      <c r="BB55" s="476">
        <f t="shared" si="80"/>
        <v>0</v>
      </c>
      <c r="BC55" s="476">
        <f t="shared" si="81"/>
        <v>0</v>
      </c>
      <c r="BD55" s="476">
        <f t="shared" si="82"/>
        <v>0</v>
      </c>
      <c r="BE55" s="476">
        <f t="shared" si="83"/>
        <v>0</v>
      </c>
      <c r="BF55" s="476">
        <f t="shared" si="84"/>
        <v>0</v>
      </c>
      <c r="BG55" s="476">
        <f t="shared" si="85"/>
        <v>0</v>
      </c>
    </row>
    <row r="56" spans="1:59" ht="16.5" customHeight="1">
      <c r="A56" s="583" t="s">
        <v>705</v>
      </c>
      <c r="B56" s="584" t="s">
        <v>1601</v>
      </c>
      <c r="C56" s="584" t="s">
        <v>43</v>
      </c>
      <c r="D56" s="413" t="s">
        <v>1051</v>
      </c>
      <c r="E56" s="412" t="s">
        <v>466</v>
      </c>
      <c r="F56" s="412" t="s">
        <v>1057</v>
      </c>
      <c r="G56" s="412" t="s">
        <v>1058</v>
      </c>
      <c r="H56" s="412" t="s">
        <v>1026</v>
      </c>
      <c r="I56" s="477">
        <v>15961.81</v>
      </c>
      <c r="J56" s="477">
        <v>0</v>
      </c>
      <c r="K56" s="477">
        <v>0</v>
      </c>
      <c r="L56" s="477">
        <v>0</v>
      </c>
      <c r="M56" s="477">
        <f t="shared" si="2"/>
        <v>15961.81</v>
      </c>
      <c r="N56" s="477">
        <f t="shared" si="3"/>
        <v>0</v>
      </c>
      <c r="O56" s="477"/>
      <c r="P56" s="477"/>
      <c r="Q56" s="477">
        <f t="shared" si="44"/>
        <v>15961.81</v>
      </c>
      <c r="R56" s="477">
        <f t="shared" si="42"/>
        <v>0</v>
      </c>
      <c r="S56" s="477">
        <f t="shared" si="43"/>
        <v>15961.81</v>
      </c>
      <c r="U56" s="473"/>
      <c r="V56" s="476">
        <f t="shared" si="48"/>
        <v>0</v>
      </c>
      <c r="W56" s="476">
        <f t="shared" si="49"/>
        <v>0</v>
      </c>
      <c r="X56" s="476">
        <f t="shared" si="50"/>
        <v>0</v>
      </c>
      <c r="Y56" s="476">
        <f t="shared" si="51"/>
        <v>0</v>
      </c>
      <c r="Z56" s="476">
        <f t="shared" si="52"/>
        <v>0</v>
      </c>
      <c r="AA56" s="476">
        <f t="shared" si="53"/>
        <v>0</v>
      </c>
      <c r="AB56" s="476">
        <f t="shared" si="54"/>
        <v>0</v>
      </c>
      <c r="AC56" s="476">
        <f t="shared" si="55"/>
        <v>0</v>
      </c>
      <c r="AD56" s="476">
        <f t="shared" si="56"/>
        <v>0</v>
      </c>
      <c r="AE56" s="476">
        <f t="shared" si="57"/>
        <v>0</v>
      </c>
      <c r="AF56" s="476">
        <f t="shared" si="58"/>
        <v>0</v>
      </c>
      <c r="AG56" s="476">
        <f t="shared" si="59"/>
        <v>0</v>
      </c>
      <c r="AH56" s="476">
        <f t="shared" si="60"/>
        <v>0</v>
      </c>
      <c r="AI56" s="476">
        <f t="shared" si="61"/>
        <v>0</v>
      </c>
      <c r="AJ56" s="476">
        <f t="shared" si="62"/>
        <v>0</v>
      </c>
      <c r="AK56" s="476">
        <f t="shared" si="63"/>
        <v>0</v>
      </c>
      <c r="AL56" s="476">
        <f t="shared" si="64"/>
        <v>15961.81</v>
      </c>
      <c r="AM56" s="476">
        <f t="shared" si="65"/>
        <v>0</v>
      </c>
      <c r="AN56" s="476">
        <f t="shared" si="66"/>
        <v>0</v>
      </c>
      <c r="AO56" s="476">
        <f t="shared" si="67"/>
        <v>0</v>
      </c>
      <c r="AP56" s="476">
        <f t="shared" si="68"/>
        <v>0</v>
      </c>
      <c r="AQ56" s="476">
        <f t="shared" si="69"/>
        <v>0</v>
      </c>
      <c r="AR56" s="476">
        <f t="shared" si="70"/>
        <v>0</v>
      </c>
      <c r="AS56" s="476">
        <f t="shared" si="71"/>
        <v>0</v>
      </c>
      <c r="AT56" s="476">
        <f t="shared" si="72"/>
        <v>0</v>
      </c>
      <c r="AU56" s="476">
        <f t="shared" si="73"/>
        <v>0</v>
      </c>
      <c r="AV56" s="476">
        <f t="shared" si="74"/>
        <v>0</v>
      </c>
      <c r="AW56" s="476">
        <f t="shared" si="75"/>
        <v>0</v>
      </c>
      <c r="AX56" s="476">
        <f t="shared" si="76"/>
        <v>0</v>
      </c>
      <c r="AY56" s="476">
        <f t="shared" si="77"/>
        <v>0</v>
      </c>
      <c r="AZ56" s="476">
        <f t="shared" si="78"/>
        <v>0</v>
      </c>
      <c r="BA56" s="476">
        <f t="shared" si="79"/>
        <v>0</v>
      </c>
      <c r="BB56" s="476">
        <f t="shared" si="80"/>
        <v>0</v>
      </c>
      <c r="BC56" s="476">
        <f t="shared" si="81"/>
        <v>0</v>
      </c>
      <c r="BD56" s="476">
        <f t="shared" si="82"/>
        <v>0</v>
      </c>
      <c r="BE56" s="476">
        <f t="shared" si="83"/>
        <v>0</v>
      </c>
      <c r="BF56" s="476">
        <f t="shared" si="84"/>
        <v>0</v>
      </c>
      <c r="BG56" s="476">
        <f t="shared" si="85"/>
        <v>0</v>
      </c>
    </row>
    <row r="57" spans="1:59" ht="16.5" customHeight="1">
      <c r="A57" s="583" t="s">
        <v>705</v>
      </c>
      <c r="B57" s="584" t="s">
        <v>1601</v>
      </c>
      <c r="C57" s="584" t="s">
        <v>42</v>
      </c>
      <c r="D57" s="413" t="s">
        <v>1051</v>
      </c>
      <c r="E57" s="412" t="s">
        <v>466</v>
      </c>
      <c r="F57" s="412" t="s">
        <v>1057</v>
      </c>
      <c r="G57" s="412" t="s">
        <v>1058</v>
      </c>
      <c r="H57" s="412" t="s">
        <v>1027</v>
      </c>
      <c r="I57" s="477">
        <v>2595.3200000000002</v>
      </c>
      <c r="J57" s="477">
        <v>0</v>
      </c>
      <c r="K57" s="477">
        <v>0</v>
      </c>
      <c r="L57" s="477">
        <v>0</v>
      </c>
      <c r="M57" s="477">
        <f t="shared" si="2"/>
        <v>2595.3200000000002</v>
      </c>
      <c r="N57" s="477">
        <f t="shared" si="3"/>
        <v>0</v>
      </c>
      <c r="O57" s="477"/>
      <c r="P57" s="477"/>
      <c r="Q57" s="477">
        <f t="shared" si="44"/>
        <v>2595.3200000000002</v>
      </c>
      <c r="R57" s="477">
        <f t="shared" si="42"/>
        <v>0</v>
      </c>
      <c r="S57" s="477">
        <f t="shared" si="43"/>
        <v>2595.3200000000002</v>
      </c>
      <c r="U57" s="473"/>
      <c r="V57" s="476">
        <f t="shared" si="48"/>
        <v>0</v>
      </c>
      <c r="W57" s="476">
        <f t="shared" si="49"/>
        <v>0</v>
      </c>
      <c r="X57" s="476">
        <f t="shared" si="50"/>
        <v>0</v>
      </c>
      <c r="Y57" s="476">
        <f t="shared" si="51"/>
        <v>0</v>
      </c>
      <c r="Z57" s="476">
        <f t="shared" si="52"/>
        <v>0</v>
      </c>
      <c r="AA57" s="476">
        <f t="shared" si="53"/>
        <v>0</v>
      </c>
      <c r="AB57" s="476">
        <f t="shared" si="54"/>
        <v>0</v>
      </c>
      <c r="AC57" s="476">
        <f t="shared" si="55"/>
        <v>0</v>
      </c>
      <c r="AD57" s="476">
        <f t="shared" si="56"/>
        <v>0</v>
      </c>
      <c r="AE57" s="476">
        <f t="shared" si="57"/>
        <v>0</v>
      </c>
      <c r="AF57" s="476">
        <f t="shared" si="58"/>
        <v>0</v>
      </c>
      <c r="AG57" s="476">
        <f t="shared" si="59"/>
        <v>0</v>
      </c>
      <c r="AH57" s="476">
        <f t="shared" si="60"/>
        <v>0</v>
      </c>
      <c r="AI57" s="476">
        <f t="shared" si="61"/>
        <v>0</v>
      </c>
      <c r="AJ57" s="476">
        <f t="shared" si="62"/>
        <v>0</v>
      </c>
      <c r="AK57" s="476">
        <f t="shared" si="63"/>
        <v>0</v>
      </c>
      <c r="AL57" s="476">
        <f t="shared" si="64"/>
        <v>0</v>
      </c>
      <c r="AM57" s="476">
        <f t="shared" si="65"/>
        <v>0</v>
      </c>
      <c r="AN57" s="476">
        <f t="shared" si="66"/>
        <v>0</v>
      </c>
      <c r="AO57" s="476">
        <f t="shared" si="67"/>
        <v>0</v>
      </c>
      <c r="AP57" s="476">
        <f t="shared" si="68"/>
        <v>0</v>
      </c>
      <c r="AQ57" s="476">
        <f t="shared" si="69"/>
        <v>0</v>
      </c>
      <c r="AR57" s="476">
        <f t="shared" si="70"/>
        <v>2595.3200000000002</v>
      </c>
      <c r="AS57" s="476">
        <f t="shared" si="71"/>
        <v>0</v>
      </c>
      <c r="AT57" s="476">
        <f t="shared" si="72"/>
        <v>0</v>
      </c>
      <c r="AU57" s="476">
        <f t="shared" si="73"/>
        <v>0</v>
      </c>
      <c r="AV57" s="476">
        <f t="shared" si="74"/>
        <v>0</v>
      </c>
      <c r="AW57" s="476">
        <f t="shared" si="75"/>
        <v>0</v>
      </c>
      <c r="AX57" s="476">
        <f t="shared" si="76"/>
        <v>0</v>
      </c>
      <c r="AY57" s="476">
        <f t="shared" si="77"/>
        <v>0</v>
      </c>
      <c r="AZ57" s="476">
        <f t="shared" si="78"/>
        <v>0</v>
      </c>
      <c r="BA57" s="476">
        <f t="shared" si="79"/>
        <v>0</v>
      </c>
      <c r="BB57" s="476">
        <f t="shared" si="80"/>
        <v>0</v>
      </c>
      <c r="BC57" s="476">
        <f t="shared" si="81"/>
        <v>0</v>
      </c>
      <c r="BD57" s="476">
        <f t="shared" si="82"/>
        <v>0</v>
      </c>
      <c r="BE57" s="476">
        <f t="shared" si="83"/>
        <v>0</v>
      </c>
      <c r="BF57" s="476">
        <f t="shared" si="84"/>
        <v>0</v>
      </c>
      <c r="BG57" s="476">
        <f t="shared" si="85"/>
        <v>0</v>
      </c>
    </row>
    <row r="58" spans="1:59" ht="16.5" customHeight="1">
      <c r="A58" s="583" t="s">
        <v>705</v>
      </c>
      <c r="B58" s="584" t="s">
        <v>1601</v>
      </c>
      <c r="C58" s="584" t="s">
        <v>39</v>
      </c>
      <c r="D58" s="413" t="s">
        <v>1051</v>
      </c>
      <c r="E58" s="412" t="s">
        <v>466</v>
      </c>
      <c r="F58" s="412" t="s">
        <v>1057</v>
      </c>
      <c r="G58" s="412" t="s">
        <v>1058</v>
      </c>
      <c r="H58" s="412" t="s">
        <v>992</v>
      </c>
      <c r="I58" s="477">
        <v>4.55</v>
      </c>
      <c r="J58" s="477">
        <v>0</v>
      </c>
      <c r="K58" s="477">
        <v>0</v>
      </c>
      <c r="L58" s="477">
        <v>0</v>
      </c>
      <c r="M58" s="477">
        <f t="shared" si="2"/>
        <v>4.55</v>
      </c>
      <c r="N58" s="477">
        <f t="shared" si="3"/>
        <v>0</v>
      </c>
      <c r="O58" s="477"/>
      <c r="P58" s="477"/>
      <c r="Q58" s="477">
        <f t="shared" si="44"/>
        <v>4.55</v>
      </c>
      <c r="R58" s="477">
        <f t="shared" si="42"/>
        <v>0</v>
      </c>
      <c r="S58" s="477">
        <f t="shared" si="43"/>
        <v>4.55</v>
      </c>
      <c r="U58" s="473"/>
      <c r="V58" s="476">
        <f t="shared" si="48"/>
        <v>0</v>
      </c>
      <c r="W58" s="476">
        <f t="shared" si="49"/>
        <v>0</v>
      </c>
      <c r="X58" s="476">
        <f t="shared" si="50"/>
        <v>0</v>
      </c>
      <c r="Y58" s="476">
        <f t="shared" si="51"/>
        <v>0</v>
      </c>
      <c r="Z58" s="476">
        <f t="shared" si="52"/>
        <v>0</v>
      </c>
      <c r="AA58" s="476">
        <f t="shared" si="53"/>
        <v>0</v>
      </c>
      <c r="AB58" s="476">
        <f t="shared" si="54"/>
        <v>0</v>
      </c>
      <c r="AC58" s="476">
        <f t="shared" si="55"/>
        <v>0</v>
      </c>
      <c r="AD58" s="476">
        <f t="shared" si="56"/>
        <v>0</v>
      </c>
      <c r="AE58" s="476">
        <f t="shared" si="57"/>
        <v>0</v>
      </c>
      <c r="AF58" s="476">
        <f t="shared" si="58"/>
        <v>0</v>
      </c>
      <c r="AG58" s="476">
        <f t="shared" si="59"/>
        <v>0</v>
      </c>
      <c r="AH58" s="476">
        <f t="shared" si="60"/>
        <v>0</v>
      </c>
      <c r="AI58" s="476">
        <f t="shared" si="61"/>
        <v>0</v>
      </c>
      <c r="AJ58" s="476">
        <f t="shared" si="62"/>
        <v>0</v>
      </c>
      <c r="AK58" s="476">
        <f t="shared" si="63"/>
        <v>0</v>
      </c>
      <c r="AL58" s="476">
        <f t="shared" si="64"/>
        <v>0</v>
      </c>
      <c r="AM58" s="476">
        <f t="shared" si="65"/>
        <v>0</v>
      </c>
      <c r="AN58" s="476">
        <f t="shared" si="66"/>
        <v>4.55</v>
      </c>
      <c r="AO58" s="476">
        <f t="shared" si="67"/>
        <v>0</v>
      </c>
      <c r="AP58" s="476">
        <f t="shared" si="68"/>
        <v>0</v>
      </c>
      <c r="AQ58" s="476">
        <f t="shared" si="69"/>
        <v>0</v>
      </c>
      <c r="AR58" s="476">
        <f t="shared" si="70"/>
        <v>0</v>
      </c>
      <c r="AS58" s="476">
        <f t="shared" si="71"/>
        <v>0</v>
      </c>
      <c r="AT58" s="476">
        <f t="shared" si="72"/>
        <v>0</v>
      </c>
      <c r="AU58" s="476">
        <f t="shared" si="73"/>
        <v>0</v>
      </c>
      <c r="AV58" s="476">
        <f t="shared" si="74"/>
        <v>0</v>
      </c>
      <c r="AW58" s="476">
        <f t="shared" si="75"/>
        <v>0</v>
      </c>
      <c r="AX58" s="476">
        <f t="shared" si="76"/>
        <v>0</v>
      </c>
      <c r="AY58" s="476">
        <f t="shared" si="77"/>
        <v>0</v>
      </c>
      <c r="AZ58" s="476">
        <f t="shared" si="78"/>
        <v>0</v>
      </c>
      <c r="BA58" s="476">
        <f t="shared" si="79"/>
        <v>0</v>
      </c>
      <c r="BB58" s="476">
        <f t="shared" si="80"/>
        <v>0</v>
      </c>
      <c r="BC58" s="476">
        <f t="shared" si="81"/>
        <v>0</v>
      </c>
      <c r="BD58" s="476">
        <f t="shared" si="82"/>
        <v>0</v>
      </c>
      <c r="BE58" s="476">
        <f t="shared" si="83"/>
        <v>0</v>
      </c>
      <c r="BF58" s="476">
        <f t="shared" si="84"/>
        <v>0</v>
      </c>
      <c r="BG58" s="476">
        <f t="shared" si="85"/>
        <v>0</v>
      </c>
    </row>
    <row r="59" spans="1:59" ht="16.5" customHeight="1">
      <c r="A59" s="583" t="s">
        <v>706</v>
      </c>
      <c r="B59" s="584" t="s">
        <v>1602</v>
      </c>
      <c r="C59" s="584" t="s">
        <v>49</v>
      </c>
      <c r="D59" s="413" t="s">
        <v>1051</v>
      </c>
      <c r="E59" s="412" t="s">
        <v>466</v>
      </c>
      <c r="F59" s="412" t="s">
        <v>1057</v>
      </c>
      <c r="G59" s="412" t="s">
        <v>1066</v>
      </c>
      <c r="H59" s="412" t="s">
        <v>974</v>
      </c>
      <c r="I59" s="477">
        <v>319700</v>
      </c>
      <c r="J59" s="477">
        <v>200000</v>
      </c>
      <c r="K59" s="477">
        <v>0</v>
      </c>
      <c r="L59" s="477">
        <v>0</v>
      </c>
      <c r="M59" s="477">
        <f t="shared" si="2"/>
        <v>319700</v>
      </c>
      <c r="N59" s="477">
        <f t="shared" si="3"/>
        <v>200000</v>
      </c>
      <c r="O59" s="477"/>
      <c r="P59" s="477"/>
      <c r="Q59" s="477">
        <f t="shared" si="44"/>
        <v>319700</v>
      </c>
      <c r="R59" s="477">
        <f t="shared" si="42"/>
        <v>200000</v>
      </c>
      <c r="S59" s="477">
        <f t="shared" si="43"/>
        <v>119700</v>
      </c>
      <c r="U59" s="473"/>
      <c r="V59" s="476">
        <f t="shared" si="48"/>
        <v>319700</v>
      </c>
      <c r="W59" s="476">
        <f t="shared" si="49"/>
        <v>200000</v>
      </c>
      <c r="X59" s="476">
        <f t="shared" si="50"/>
        <v>0</v>
      </c>
      <c r="Y59" s="476">
        <f t="shared" si="51"/>
        <v>0</v>
      </c>
      <c r="Z59" s="476">
        <f t="shared" si="52"/>
        <v>0</v>
      </c>
      <c r="AA59" s="476">
        <f t="shared" si="53"/>
        <v>0</v>
      </c>
      <c r="AB59" s="476">
        <f t="shared" si="54"/>
        <v>0</v>
      </c>
      <c r="AC59" s="476">
        <f t="shared" si="55"/>
        <v>0</v>
      </c>
      <c r="AD59" s="476">
        <f t="shared" si="56"/>
        <v>0</v>
      </c>
      <c r="AE59" s="476">
        <f t="shared" si="57"/>
        <v>0</v>
      </c>
      <c r="AF59" s="476">
        <f t="shared" si="58"/>
        <v>0</v>
      </c>
      <c r="AG59" s="476">
        <f t="shared" si="59"/>
        <v>0</v>
      </c>
      <c r="AH59" s="476">
        <f t="shared" si="60"/>
        <v>0</v>
      </c>
      <c r="AI59" s="476">
        <f t="shared" si="61"/>
        <v>0</v>
      </c>
      <c r="AJ59" s="476">
        <f t="shared" si="62"/>
        <v>0</v>
      </c>
      <c r="AK59" s="476">
        <f t="shared" si="63"/>
        <v>0</v>
      </c>
      <c r="AL59" s="476">
        <f t="shared" si="64"/>
        <v>0</v>
      </c>
      <c r="AM59" s="476">
        <f t="shared" si="65"/>
        <v>0</v>
      </c>
      <c r="AN59" s="476">
        <f t="shared" si="66"/>
        <v>0</v>
      </c>
      <c r="AO59" s="476">
        <f t="shared" si="67"/>
        <v>0</v>
      </c>
      <c r="AP59" s="476">
        <f t="shared" si="68"/>
        <v>0</v>
      </c>
      <c r="AQ59" s="476">
        <f t="shared" si="69"/>
        <v>0</v>
      </c>
      <c r="AR59" s="476">
        <f t="shared" si="70"/>
        <v>0</v>
      </c>
      <c r="AS59" s="476">
        <f t="shared" si="71"/>
        <v>0</v>
      </c>
      <c r="AT59" s="476">
        <f t="shared" si="72"/>
        <v>0</v>
      </c>
      <c r="AU59" s="476">
        <f t="shared" si="73"/>
        <v>0</v>
      </c>
      <c r="AV59" s="476">
        <f t="shared" si="74"/>
        <v>0</v>
      </c>
      <c r="AW59" s="476">
        <f t="shared" si="75"/>
        <v>0</v>
      </c>
      <c r="AX59" s="476">
        <f t="shared" si="76"/>
        <v>0</v>
      </c>
      <c r="AY59" s="476">
        <f t="shared" si="77"/>
        <v>0</v>
      </c>
      <c r="AZ59" s="476">
        <f t="shared" si="78"/>
        <v>0</v>
      </c>
      <c r="BA59" s="476">
        <f t="shared" si="79"/>
        <v>0</v>
      </c>
      <c r="BB59" s="476">
        <f t="shared" si="80"/>
        <v>0</v>
      </c>
      <c r="BC59" s="476">
        <f t="shared" si="81"/>
        <v>0</v>
      </c>
      <c r="BD59" s="476">
        <f t="shared" si="82"/>
        <v>0</v>
      </c>
      <c r="BE59" s="476">
        <f t="shared" si="83"/>
        <v>0</v>
      </c>
      <c r="BF59" s="476">
        <f t="shared" si="84"/>
        <v>0</v>
      </c>
      <c r="BG59" s="476">
        <f t="shared" si="85"/>
        <v>0</v>
      </c>
    </row>
    <row r="60" spans="1:59" ht="16.5" customHeight="1">
      <c r="A60" s="583" t="s">
        <v>707</v>
      </c>
      <c r="B60" s="584" t="s">
        <v>1603</v>
      </c>
      <c r="C60" s="584" t="s">
        <v>51</v>
      </c>
      <c r="D60" s="413" t="s">
        <v>1051</v>
      </c>
      <c r="E60" s="412" t="s">
        <v>466</v>
      </c>
      <c r="F60" s="412" t="s">
        <v>1057</v>
      </c>
      <c r="G60" s="412" t="s">
        <v>1067</v>
      </c>
      <c r="H60" s="412" t="s">
        <v>974</v>
      </c>
      <c r="I60" s="477">
        <v>2810000</v>
      </c>
      <c r="J60" s="477">
        <v>2750000</v>
      </c>
      <c r="K60" s="477">
        <v>0</v>
      </c>
      <c r="L60" s="477">
        <v>0</v>
      </c>
      <c r="M60" s="477">
        <f t="shared" si="2"/>
        <v>2810000</v>
      </c>
      <c r="N60" s="477">
        <f t="shared" si="3"/>
        <v>2750000</v>
      </c>
      <c r="O60" s="477"/>
      <c r="P60" s="477"/>
      <c r="Q60" s="477">
        <f t="shared" si="44"/>
        <v>2810000</v>
      </c>
      <c r="R60" s="477">
        <f t="shared" si="42"/>
        <v>2750000</v>
      </c>
      <c r="S60" s="477">
        <f t="shared" si="43"/>
        <v>60000</v>
      </c>
      <c r="U60" s="473"/>
      <c r="V60" s="476">
        <f t="shared" si="48"/>
        <v>2810000</v>
      </c>
      <c r="W60" s="476">
        <f t="shared" si="49"/>
        <v>2750000</v>
      </c>
      <c r="X60" s="476">
        <f t="shared" si="50"/>
        <v>0</v>
      </c>
      <c r="Y60" s="476">
        <f t="shared" si="51"/>
        <v>0</v>
      </c>
      <c r="Z60" s="476">
        <f t="shared" si="52"/>
        <v>0</v>
      </c>
      <c r="AA60" s="476">
        <f t="shared" si="53"/>
        <v>0</v>
      </c>
      <c r="AB60" s="476">
        <f t="shared" si="54"/>
        <v>0</v>
      </c>
      <c r="AC60" s="476">
        <f t="shared" si="55"/>
        <v>0</v>
      </c>
      <c r="AD60" s="476">
        <f t="shared" si="56"/>
        <v>0</v>
      </c>
      <c r="AE60" s="476">
        <f t="shared" si="57"/>
        <v>0</v>
      </c>
      <c r="AF60" s="476">
        <f t="shared" si="58"/>
        <v>0</v>
      </c>
      <c r="AG60" s="476">
        <f t="shared" si="59"/>
        <v>0</v>
      </c>
      <c r="AH60" s="476">
        <f t="shared" si="60"/>
        <v>0</v>
      </c>
      <c r="AI60" s="476">
        <f t="shared" si="61"/>
        <v>0</v>
      </c>
      <c r="AJ60" s="476">
        <f t="shared" si="62"/>
        <v>0</v>
      </c>
      <c r="AK60" s="476">
        <f t="shared" si="63"/>
        <v>0</v>
      </c>
      <c r="AL60" s="476">
        <f t="shared" si="64"/>
        <v>0</v>
      </c>
      <c r="AM60" s="476">
        <f t="shared" si="65"/>
        <v>0</v>
      </c>
      <c r="AN60" s="476">
        <f t="shared" si="66"/>
        <v>0</v>
      </c>
      <c r="AO60" s="476">
        <f t="shared" si="67"/>
        <v>0</v>
      </c>
      <c r="AP60" s="476">
        <f t="shared" si="68"/>
        <v>0</v>
      </c>
      <c r="AQ60" s="476">
        <f t="shared" si="69"/>
        <v>0</v>
      </c>
      <c r="AR60" s="476">
        <f t="shared" si="70"/>
        <v>0</v>
      </c>
      <c r="AS60" s="476">
        <f t="shared" si="71"/>
        <v>0</v>
      </c>
      <c r="AT60" s="476">
        <f t="shared" si="72"/>
        <v>0</v>
      </c>
      <c r="AU60" s="476">
        <f t="shared" si="73"/>
        <v>0</v>
      </c>
      <c r="AV60" s="476">
        <f t="shared" si="74"/>
        <v>0</v>
      </c>
      <c r="AW60" s="476">
        <f t="shared" si="75"/>
        <v>0</v>
      </c>
      <c r="AX60" s="476">
        <f t="shared" si="76"/>
        <v>0</v>
      </c>
      <c r="AY60" s="476">
        <f t="shared" si="77"/>
        <v>0</v>
      </c>
      <c r="AZ60" s="476">
        <f t="shared" si="78"/>
        <v>0</v>
      </c>
      <c r="BA60" s="476">
        <f t="shared" si="79"/>
        <v>0</v>
      </c>
      <c r="BB60" s="476">
        <f t="shared" si="80"/>
        <v>0</v>
      </c>
      <c r="BC60" s="476">
        <f t="shared" si="81"/>
        <v>0</v>
      </c>
      <c r="BD60" s="476">
        <f t="shared" si="82"/>
        <v>0</v>
      </c>
      <c r="BE60" s="476">
        <f t="shared" si="83"/>
        <v>0</v>
      </c>
      <c r="BF60" s="476">
        <f t="shared" si="84"/>
        <v>0</v>
      </c>
      <c r="BG60" s="476">
        <f t="shared" si="85"/>
        <v>0</v>
      </c>
    </row>
    <row r="61" spans="1:59" ht="16.5" customHeight="1">
      <c r="A61" s="583" t="s">
        <v>707</v>
      </c>
      <c r="B61" s="584" t="s">
        <v>1603</v>
      </c>
      <c r="C61" s="584" t="s">
        <v>1732</v>
      </c>
      <c r="D61" s="413" t="s">
        <v>1051</v>
      </c>
      <c r="E61" s="412" t="s">
        <v>466</v>
      </c>
      <c r="F61" s="412" t="s">
        <v>1057</v>
      </c>
      <c r="G61" s="412" t="s">
        <v>1067</v>
      </c>
      <c r="H61" s="412" t="s">
        <v>1055</v>
      </c>
      <c r="I61" s="477">
        <v>3571</v>
      </c>
      <c r="J61" s="477">
        <v>0</v>
      </c>
      <c r="K61" s="477">
        <v>0</v>
      </c>
      <c r="L61" s="477">
        <v>0</v>
      </c>
      <c r="M61" s="477">
        <f t="shared" si="2"/>
        <v>3571</v>
      </c>
      <c r="N61" s="477">
        <f t="shared" si="3"/>
        <v>0</v>
      </c>
      <c r="O61" s="477"/>
      <c r="P61" s="477"/>
      <c r="Q61" s="477">
        <f t="shared" si="44"/>
        <v>3571</v>
      </c>
      <c r="R61" s="477">
        <f t="shared" si="42"/>
        <v>0</v>
      </c>
      <c r="S61" s="477">
        <f t="shared" si="43"/>
        <v>3571</v>
      </c>
      <c r="U61" s="473"/>
      <c r="V61" s="476">
        <f t="shared" si="48"/>
        <v>0</v>
      </c>
      <c r="W61" s="476">
        <f t="shared" si="49"/>
        <v>0</v>
      </c>
      <c r="X61" s="476">
        <f t="shared" si="50"/>
        <v>0</v>
      </c>
      <c r="Y61" s="476">
        <f t="shared" si="51"/>
        <v>0</v>
      </c>
      <c r="Z61" s="476">
        <f t="shared" si="52"/>
        <v>0</v>
      </c>
      <c r="AA61" s="476">
        <f t="shared" si="53"/>
        <v>0</v>
      </c>
      <c r="AB61" s="476">
        <f t="shared" si="54"/>
        <v>0</v>
      </c>
      <c r="AC61" s="476">
        <f t="shared" si="55"/>
        <v>0</v>
      </c>
      <c r="AD61" s="476">
        <f t="shared" si="56"/>
        <v>0</v>
      </c>
      <c r="AE61" s="476">
        <f t="shared" si="57"/>
        <v>0</v>
      </c>
      <c r="AF61" s="476">
        <f t="shared" si="58"/>
        <v>0</v>
      </c>
      <c r="AG61" s="476">
        <f t="shared" si="59"/>
        <v>0</v>
      </c>
      <c r="AH61" s="476">
        <f t="shared" si="60"/>
        <v>0</v>
      </c>
      <c r="AI61" s="476">
        <f t="shared" si="61"/>
        <v>0</v>
      </c>
      <c r="AJ61" s="476">
        <f t="shared" si="62"/>
        <v>0</v>
      </c>
      <c r="AK61" s="476">
        <f t="shared" si="63"/>
        <v>0</v>
      </c>
      <c r="AL61" s="476">
        <f t="shared" si="64"/>
        <v>0</v>
      </c>
      <c r="AM61" s="476">
        <f t="shared" si="65"/>
        <v>0</v>
      </c>
      <c r="AN61" s="476">
        <f t="shared" si="66"/>
        <v>0</v>
      </c>
      <c r="AO61" s="476">
        <f t="shared" si="67"/>
        <v>0</v>
      </c>
      <c r="AP61" s="476">
        <f t="shared" si="68"/>
        <v>0</v>
      </c>
      <c r="AQ61" s="476">
        <f t="shared" si="69"/>
        <v>0</v>
      </c>
      <c r="AR61" s="476">
        <f t="shared" si="70"/>
        <v>0</v>
      </c>
      <c r="AS61" s="476">
        <f t="shared" si="71"/>
        <v>0</v>
      </c>
      <c r="AT61" s="476">
        <f t="shared" si="72"/>
        <v>0</v>
      </c>
      <c r="AU61" s="476">
        <f t="shared" si="73"/>
        <v>0</v>
      </c>
      <c r="AV61" s="476">
        <f t="shared" si="74"/>
        <v>0</v>
      </c>
      <c r="AW61" s="476">
        <f t="shared" si="75"/>
        <v>0</v>
      </c>
      <c r="AX61" s="476">
        <f t="shared" si="76"/>
        <v>0</v>
      </c>
      <c r="AY61" s="476">
        <f t="shared" si="77"/>
        <v>0</v>
      </c>
      <c r="AZ61" s="476">
        <f t="shared" si="78"/>
        <v>0</v>
      </c>
      <c r="BA61" s="476">
        <f t="shared" si="79"/>
        <v>0</v>
      </c>
      <c r="BB61" s="476">
        <f t="shared" si="80"/>
        <v>3571</v>
      </c>
      <c r="BC61" s="476">
        <f t="shared" si="81"/>
        <v>0</v>
      </c>
      <c r="BD61" s="476">
        <f t="shared" si="82"/>
        <v>0</v>
      </c>
      <c r="BE61" s="476">
        <f t="shared" si="83"/>
        <v>0</v>
      </c>
      <c r="BF61" s="476">
        <f t="shared" si="84"/>
        <v>0</v>
      </c>
      <c r="BG61" s="476">
        <f t="shared" si="85"/>
        <v>0</v>
      </c>
    </row>
    <row r="62" spans="1:59" ht="16.5" customHeight="1">
      <c r="A62" s="583" t="s">
        <v>707</v>
      </c>
      <c r="B62" s="584" t="s">
        <v>1603</v>
      </c>
      <c r="C62" s="584" t="s">
        <v>52</v>
      </c>
      <c r="D62" s="413" t="s">
        <v>1051</v>
      </c>
      <c r="E62" s="412" t="s">
        <v>466</v>
      </c>
      <c r="F62" s="412" t="s">
        <v>1057</v>
      </c>
      <c r="G62" s="412" t="s">
        <v>1067</v>
      </c>
      <c r="H62" s="412" t="s">
        <v>1021</v>
      </c>
      <c r="I62" s="477">
        <v>100</v>
      </c>
      <c r="J62" s="477">
        <v>0</v>
      </c>
      <c r="K62" s="477">
        <v>0</v>
      </c>
      <c r="L62" s="477">
        <v>0</v>
      </c>
      <c r="M62" s="477">
        <f t="shared" si="2"/>
        <v>100</v>
      </c>
      <c r="N62" s="477">
        <f t="shared" si="3"/>
        <v>0</v>
      </c>
      <c r="O62" s="477"/>
      <c r="P62" s="477"/>
      <c r="Q62" s="477">
        <f t="shared" si="44"/>
        <v>100</v>
      </c>
      <c r="R62" s="477">
        <f t="shared" si="42"/>
        <v>0</v>
      </c>
      <c r="S62" s="477">
        <f t="shared" si="43"/>
        <v>100</v>
      </c>
      <c r="U62" s="473"/>
      <c r="V62" s="476">
        <f t="shared" si="48"/>
        <v>0</v>
      </c>
      <c r="W62" s="476">
        <f t="shared" si="49"/>
        <v>0</v>
      </c>
      <c r="X62" s="476">
        <f t="shared" si="50"/>
        <v>0</v>
      </c>
      <c r="Y62" s="476">
        <f t="shared" si="51"/>
        <v>0</v>
      </c>
      <c r="Z62" s="476">
        <f t="shared" si="52"/>
        <v>0</v>
      </c>
      <c r="AA62" s="476">
        <f t="shared" si="53"/>
        <v>0</v>
      </c>
      <c r="AB62" s="476">
        <f t="shared" si="54"/>
        <v>0</v>
      </c>
      <c r="AC62" s="476">
        <f t="shared" si="55"/>
        <v>0</v>
      </c>
      <c r="AD62" s="476">
        <f t="shared" si="56"/>
        <v>0</v>
      </c>
      <c r="AE62" s="476">
        <f t="shared" si="57"/>
        <v>0</v>
      </c>
      <c r="AF62" s="476">
        <f t="shared" si="58"/>
        <v>100</v>
      </c>
      <c r="AG62" s="476">
        <f t="shared" si="59"/>
        <v>0</v>
      </c>
      <c r="AH62" s="476">
        <f t="shared" si="60"/>
        <v>0</v>
      </c>
      <c r="AI62" s="476">
        <f t="shared" si="61"/>
        <v>0</v>
      </c>
      <c r="AJ62" s="476">
        <f t="shared" si="62"/>
        <v>0</v>
      </c>
      <c r="AK62" s="476">
        <f t="shared" si="63"/>
        <v>0</v>
      </c>
      <c r="AL62" s="476">
        <f t="shared" si="64"/>
        <v>0</v>
      </c>
      <c r="AM62" s="476">
        <f t="shared" si="65"/>
        <v>0</v>
      </c>
      <c r="AN62" s="476">
        <f t="shared" si="66"/>
        <v>0</v>
      </c>
      <c r="AO62" s="476">
        <f t="shared" si="67"/>
        <v>0</v>
      </c>
      <c r="AP62" s="476">
        <f t="shared" si="68"/>
        <v>0</v>
      </c>
      <c r="AQ62" s="476">
        <f t="shared" si="69"/>
        <v>0</v>
      </c>
      <c r="AR62" s="476">
        <f t="shared" si="70"/>
        <v>0</v>
      </c>
      <c r="AS62" s="476">
        <f t="shared" si="71"/>
        <v>0</v>
      </c>
      <c r="AT62" s="476">
        <f t="shared" si="72"/>
        <v>0</v>
      </c>
      <c r="AU62" s="476">
        <f t="shared" si="73"/>
        <v>0</v>
      </c>
      <c r="AV62" s="476">
        <f t="shared" si="74"/>
        <v>0</v>
      </c>
      <c r="AW62" s="476">
        <f t="shared" si="75"/>
        <v>0</v>
      </c>
      <c r="AX62" s="476">
        <f t="shared" si="76"/>
        <v>0</v>
      </c>
      <c r="AY62" s="476">
        <f t="shared" si="77"/>
        <v>0</v>
      </c>
      <c r="AZ62" s="476">
        <f t="shared" si="78"/>
        <v>0</v>
      </c>
      <c r="BA62" s="476">
        <f t="shared" si="79"/>
        <v>0</v>
      </c>
      <c r="BB62" s="476">
        <f t="shared" si="80"/>
        <v>0</v>
      </c>
      <c r="BC62" s="476">
        <f t="shared" si="81"/>
        <v>0</v>
      </c>
      <c r="BD62" s="476">
        <f t="shared" si="82"/>
        <v>0</v>
      </c>
      <c r="BE62" s="476">
        <f t="shared" si="83"/>
        <v>0</v>
      </c>
      <c r="BF62" s="476">
        <f t="shared" si="84"/>
        <v>0</v>
      </c>
      <c r="BG62" s="476">
        <f t="shared" si="85"/>
        <v>0</v>
      </c>
    </row>
    <row r="63" spans="1:59" ht="16.5" customHeight="1">
      <c r="A63" s="583" t="s">
        <v>707</v>
      </c>
      <c r="B63" s="584" t="s">
        <v>1603</v>
      </c>
      <c r="C63" s="584" t="s">
        <v>50</v>
      </c>
      <c r="D63" s="413" t="s">
        <v>1051</v>
      </c>
      <c r="E63" s="412" t="s">
        <v>466</v>
      </c>
      <c r="F63" s="412" t="s">
        <v>1057</v>
      </c>
      <c r="G63" s="412" t="s">
        <v>1067</v>
      </c>
      <c r="H63" s="412" t="s">
        <v>1022</v>
      </c>
      <c r="I63" s="477">
        <v>37320</v>
      </c>
      <c r="J63" s="477">
        <v>0</v>
      </c>
      <c r="K63" s="477">
        <v>0</v>
      </c>
      <c r="L63" s="477">
        <v>0</v>
      </c>
      <c r="M63" s="477">
        <f t="shared" si="2"/>
        <v>37320</v>
      </c>
      <c r="N63" s="477">
        <f t="shared" si="3"/>
        <v>0</v>
      </c>
      <c r="O63" s="477"/>
      <c r="P63" s="477"/>
      <c r="Q63" s="477">
        <f t="shared" si="44"/>
        <v>37320</v>
      </c>
      <c r="R63" s="477">
        <f t="shared" si="42"/>
        <v>0</v>
      </c>
      <c r="S63" s="477">
        <f t="shared" si="43"/>
        <v>37320</v>
      </c>
      <c r="U63" s="473"/>
      <c r="V63" s="476">
        <f t="shared" si="48"/>
        <v>0</v>
      </c>
      <c r="W63" s="476">
        <f t="shared" si="49"/>
        <v>0</v>
      </c>
      <c r="X63" s="476">
        <f t="shared" si="50"/>
        <v>0</v>
      </c>
      <c r="Y63" s="476">
        <f t="shared" si="51"/>
        <v>0</v>
      </c>
      <c r="Z63" s="476">
        <f t="shared" si="52"/>
        <v>0</v>
      </c>
      <c r="AA63" s="476">
        <f t="shared" si="53"/>
        <v>0</v>
      </c>
      <c r="AB63" s="476">
        <f t="shared" si="54"/>
        <v>0</v>
      </c>
      <c r="AC63" s="476">
        <f t="shared" si="55"/>
        <v>0</v>
      </c>
      <c r="AD63" s="476">
        <f t="shared" si="56"/>
        <v>0</v>
      </c>
      <c r="AE63" s="476">
        <f t="shared" si="57"/>
        <v>0</v>
      </c>
      <c r="AF63" s="476">
        <f t="shared" si="58"/>
        <v>0</v>
      </c>
      <c r="AG63" s="476">
        <f t="shared" si="59"/>
        <v>0</v>
      </c>
      <c r="AH63" s="476">
        <f t="shared" si="60"/>
        <v>0</v>
      </c>
      <c r="AI63" s="476">
        <f t="shared" si="61"/>
        <v>0</v>
      </c>
      <c r="AJ63" s="476">
        <f t="shared" si="62"/>
        <v>0</v>
      </c>
      <c r="AK63" s="476">
        <f t="shared" si="63"/>
        <v>0</v>
      </c>
      <c r="AL63" s="476">
        <f t="shared" si="64"/>
        <v>0</v>
      </c>
      <c r="AM63" s="476">
        <f t="shared" si="65"/>
        <v>0</v>
      </c>
      <c r="AN63" s="476">
        <f t="shared" si="66"/>
        <v>0</v>
      </c>
      <c r="AO63" s="476">
        <f t="shared" si="67"/>
        <v>0</v>
      </c>
      <c r="AP63" s="476">
        <f t="shared" si="68"/>
        <v>0</v>
      </c>
      <c r="AQ63" s="476">
        <f t="shared" si="69"/>
        <v>0</v>
      </c>
      <c r="AR63" s="476">
        <f t="shared" si="70"/>
        <v>0</v>
      </c>
      <c r="AS63" s="476">
        <f t="shared" si="71"/>
        <v>0</v>
      </c>
      <c r="AT63" s="476">
        <f t="shared" si="72"/>
        <v>0</v>
      </c>
      <c r="AU63" s="476">
        <f t="shared" si="73"/>
        <v>0</v>
      </c>
      <c r="AV63" s="476">
        <f t="shared" si="74"/>
        <v>37320</v>
      </c>
      <c r="AW63" s="476">
        <f t="shared" si="75"/>
        <v>0</v>
      </c>
      <c r="AX63" s="476">
        <f t="shared" si="76"/>
        <v>0</v>
      </c>
      <c r="AY63" s="476">
        <f t="shared" si="77"/>
        <v>0</v>
      </c>
      <c r="AZ63" s="476">
        <f t="shared" si="78"/>
        <v>0</v>
      </c>
      <c r="BA63" s="476">
        <f t="shared" si="79"/>
        <v>0</v>
      </c>
      <c r="BB63" s="476">
        <f t="shared" si="80"/>
        <v>0</v>
      </c>
      <c r="BC63" s="476">
        <f t="shared" si="81"/>
        <v>0</v>
      </c>
      <c r="BD63" s="476">
        <f t="shared" si="82"/>
        <v>0</v>
      </c>
      <c r="BE63" s="476">
        <f t="shared" si="83"/>
        <v>0</v>
      </c>
      <c r="BF63" s="476">
        <f t="shared" si="84"/>
        <v>0</v>
      </c>
      <c r="BG63" s="476">
        <f t="shared" si="85"/>
        <v>0</v>
      </c>
    </row>
    <row r="64" spans="1:59" ht="16.5" customHeight="1">
      <c r="A64" s="583" t="s">
        <v>712</v>
      </c>
      <c r="B64" s="584" t="s">
        <v>1604</v>
      </c>
      <c r="C64" s="584" t="s">
        <v>70</v>
      </c>
      <c r="D64" s="413" t="s">
        <v>1051</v>
      </c>
      <c r="E64" s="412" t="s">
        <v>466</v>
      </c>
      <c r="F64" s="412" t="s">
        <v>1057</v>
      </c>
      <c r="G64" s="412" t="s">
        <v>1058</v>
      </c>
      <c r="H64" s="412" t="s">
        <v>974</v>
      </c>
      <c r="I64" s="477">
        <v>1400</v>
      </c>
      <c r="J64" s="477">
        <v>0</v>
      </c>
      <c r="K64" s="477">
        <v>0</v>
      </c>
      <c r="L64" s="477">
        <v>0</v>
      </c>
      <c r="M64" s="477">
        <f t="shared" si="2"/>
        <v>1400</v>
      </c>
      <c r="N64" s="477">
        <f t="shared" si="3"/>
        <v>0</v>
      </c>
      <c r="O64" s="477"/>
      <c r="P64" s="477"/>
      <c r="Q64" s="477">
        <f t="shared" si="44"/>
        <v>1400</v>
      </c>
      <c r="R64" s="477">
        <f t="shared" si="42"/>
        <v>0</v>
      </c>
      <c r="S64" s="477">
        <f t="shared" si="43"/>
        <v>1400</v>
      </c>
      <c r="U64" s="473"/>
      <c r="V64" s="476">
        <f t="shared" si="48"/>
        <v>1400</v>
      </c>
      <c r="W64" s="476">
        <f t="shared" si="49"/>
        <v>0</v>
      </c>
      <c r="X64" s="476">
        <f t="shared" si="50"/>
        <v>0</v>
      </c>
      <c r="Y64" s="476">
        <f t="shared" si="51"/>
        <v>0</v>
      </c>
      <c r="Z64" s="476">
        <f t="shared" si="52"/>
        <v>0</v>
      </c>
      <c r="AA64" s="476">
        <f t="shared" si="53"/>
        <v>0</v>
      </c>
      <c r="AB64" s="476">
        <f t="shared" si="54"/>
        <v>0</v>
      </c>
      <c r="AC64" s="476">
        <f t="shared" si="55"/>
        <v>0</v>
      </c>
      <c r="AD64" s="476">
        <f t="shared" si="56"/>
        <v>0</v>
      </c>
      <c r="AE64" s="476">
        <f t="shared" si="57"/>
        <v>0</v>
      </c>
      <c r="AF64" s="476">
        <f t="shared" si="58"/>
        <v>0</v>
      </c>
      <c r="AG64" s="476">
        <f t="shared" si="59"/>
        <v>0</v>
      </c>
      <c r="AH64" s="476">
        <f t="shared" si="60"/>
        <v>0</v>
      </c>
      <c r="AI64" s="476">
        <f t="shared" si="61"/>
        <v>0</v>
      </c>
      <c r="AJ64" s="476">
        <f t="shared" si="62"/>
        <v>0</v>
      </c>
      <c r="AK64" s="476">
        <f t="shared" si="63"/>
        <v>0</v>
      </c>
      <c r="AL64" s="476">
        <f t="shared" si="64"/>
        <v>0</v>
      </c>
      <c r="AM64" s="476">
        <f t="shared" si="65"/>
        <v>0</v>
      </c>
      <c r="AN64" s="476">
        <f t="shared" si="66"/>
        <v>0</v>
      </c>
      <c r="AO64" s="476">
        <f t="shared" si="67"/>
        <v>0</v>
      </c>
      <c r="AP64" s="476">
        <f t="shared" si="68"/>
        <v>0</v>
      </c>
      <c r="AQ64" s="476">
        <f t="shared" si="69"/>
        <v>0</v>
      </c>
      <c r="AR64" s="476">
        <f t="shared" si="70"/>
        <v>0</v>
      </c>
      <c r="AS64" s="476">
        <f t="shared" si="71"/>
        <v>0</v>
      </c>
      <c r="AT64" s="476">
        <f t="shared" si="72"/>
        <v>0</v>
      </c>
      <c r="AU64" s="476">
        <f t="shared" si="73"/>
        <v>0</v>
      </c>
      <c r="AV64" s="476">
        <f t="shared" si="74"/>
        <v>0</v>
      </c>
      <c r="AW64" s="476">
        <f t="shared" si="75"/>
        <v>0</v>
      </c>
      <c r="AX64" s="476">
        <f t="shared" si="76"/>
        <v>0</v>
      </c>
      <c r="AY64" s="476">
        <f t="shared" si="77"/>
        <v>0</v>
      </c>
      <c r="AZ64" s="476">
        <f t="shared" si="78"/>
        <v>0</v>
      </c>
      <c r="BA64" s="476">
        <f t="shared" si="79"/>
        <v>0</v>
      </c>
      <c r="BB64" s="476">
        <f t="shared" si="80"/>
        <v>0</v>
      </c>
      <c r="BC64" s="476">
        <f t="shared" si="81"/>
        <v>0</v>
      </c>
      <c r="BD64" s="476">
        <f t="shared" si="82"/>
        <v>0</v>
      </c>
      <c r="BE64" s="476">
        <f t="shared" si="83"/>
        <v>0</v>
      </c>
      <c r="BF64" s="476">
        <f t="shared" si="84"/>
        <v>0</v>
      </c>
      <c r="BG64" s="476">
        <f t="shared" si="85"/>
        <v>0</v>
      </c>
    </row>
    <row r="65" spans="1:59" ht="16.5" customHeight="1">
      <c r="A65" s="583" t="s">
        <v>716</v>
      </c>
      <c r="B65" s="584" t="s">
        <v>1605</v>
      </c>
      <c r="C65" s="584" t="s">
        <v>75</v>
      </c>
      <c r="D65" s="413" t="s">
        <v>1051</v>
      </c>
      <c r="E65" s="412" t="s">
        <v>466</v>
      </c>
      <c r="F65" s="412" t="s">
        <v>1057</v>
      </c>
      <c r="G65" s="412" t="s">
        <v>1058</v>
      </c>
      <c r="H65" s="412" t="s">
        <v>974</v>
      </c>
      <c r="I65" s="477">
        <v>372335</v>
      </c>
      <c r="J65" s="477">
        <v>340773</v>
      </c>
      <c r="K65" s="477">
        <v>0</v>
      </c>
      <c r="L65" s="477">
        <v>0</v>
      </c>
      <c r="M65" s="477">
        <f t="shared" si="2"/>
        <v>372335</v>
      </c>
      <c r="N65" s="477">
        <f t="shared" si="3"/>
        <v>340773</v>
      </c>
      <c r="O65" s="477"/>
      <c r="P65" s="477"/>
      <c r="Q65" s="477">
        <f t="shared" si="44"/>
        <v>372335</v>
      </c>
      <c r="R65" s="477">
        <f t="shared" si="42"/>
        <v>340773</v>
      </c>
      <c r="S65" s="477">
        <f t="shared" si="43"/>
        <v>31562</v>
      </c>
      <c r="U65" s="473"/>
      <c r="V65" s="476">
        <f t="shared" si="48"/>
        <v>372335</v>
      </c>
      <c r="W65" s="476">
        <f t="shared" si="49"/>
        <v>340773</v>
      </c>
      <c r="X65" s="476">
        <f t="shared" si="50"/>
        <v>0</v>
      </c>
      <c r="Y65" s="476">
        <f t="shared" si="51"/>
        <v>0</v>
      </c>
      <c r="Z65" s="476">
        <f t="shared" si="52"/>
        <v>0</v>
      </c>
      <c r="AA65" s="476">
        <f t="shared" si="53"/>
        <v>0</v>
      </c>
      <c r="AB65" s="476">
        <f t="shared" si="54"/>
        <v>0</v>
      </c>
      <c r="AC65" s="476">
        <f t="shared" si="55"/>
        <v>0</v>
      </c>
      <c r="AD65" s="476">
        <f t="shared" si="56"/>
        <v>0</v>
      </c>
      <c r="AE65" s="476">
        <f t="shared" si="57"/>
        <v>0</v>
      </c>
      <c r="AF65" s="476">
        <f t="shared" si="58"/>
        <v>0</v>
      </c>
      <c r="AG65" s="476">
        <f t="shared" si="59"/>
        <v>0</v>
      </c>
      <c r="AH65" s="476">
        <f t="shared" si="60"/>
        <v>0</v>
      </c>
      <c r="AI65" s="476">
        <f t="shared" si="61"/>
        <v>0</v>
      </c>
      <c r="AJ65" s="476">
        <f t="shared" si="62"/>
        <v>0</v>
      </c>
      <c r="AK65" s="476">
        <f t="shared" si="63"/>
        <v>0</v>
      </c>
      <c r="AL65" s="476">
        <f t="shared" si="64"/>
        <v>0</v>
      </c>
      <c r="AM65" s="476">
        <f t="shared" si="65"/>
        <v>0</v>
      </c>
      <c r="AN65" s="476">
        <f t="shared" si="66"/>
        <v>0</v>
      </c>
      <c r="AO65" s="476">
        <f t="shared" si="67"/>
        <v>0</v>
      </c>
      <c r="AP65" s="476">
        <f t="shared" si="68"/>
        <v>0</v>
      </c>
      <c r="AQ65" s="476">
        <f t="shared" si="69"/>
        <v>0</v>
      </c>
      <c r="AR65" s="476">
        <f t="shared" si="70"/>
        <v>0</v>
      </c>
      <c r="AS65" s="476">
        <f t="shared" si="71"/>
        <v>0</v>
      </c>
      <c r="AT65" s="476">
        <f t="shared" si="72"/>
        <v>0</v>
      </c>
      <c r="AU65" s="476">
        <f t="shared" si="73"/>
        <v>0</v>
      </c>
      <c r="AV65" s="476">
        <f t="shared" si="74"/>
        <v>0</v>
      </c>
      <c r="AW65" s="476">
        <f t="shared" si="75"/>
        <v>0</v>
      </c>
      <c r="AX65" s="476">
        <f t="shared" si="76"/>
        <v>0</v>
      </c>
      <c r="AY65" s="476">
        <f t="shared" si="77"/>
        <v>0</v>
      </c>
      <c r="AZ65" s="476">
        <f t="shared" si="78"/>
        <v>0</v>
      </c>
      <c r="BA65" s="476">
        <f t="shared" si="79"/>
        <v>0</v>
      </c>
      <c r="BB65" s="476">
        <f t="shared" si="80"/>
        <v>0</v>
      </c>
      <c r="BC65" s="476">
        <f t="shared" si="81"/>
        <v>0</v>
      </c>
      <c r="BD65" s="476">
        <f t="shared" si="82"/>
        <v>0</v>
      </c>
      <c r="BE65" s="476">
        <f t="shared" si="83"/>
        <v>0</v>
      </c>
      <c r="BF65" s="476">
        <f t="shared" si="84"/>
        <v>0</v>
      </c>
      <c r="BG65" s="476">
        <f t="shared" si="85"/>
        <v>0</v>
      </c>
    </row>
    <row r="66" spans="1:59" ht="16.5" customHeight="1">
      <c r="A66" s="583" t="s">
        <v>717</v>
      </c>
      <c r="B66" s="584" t="s">
        <v>1606</v>
      </c>
      <c r="C66" s="584" t="s">
        <v>397</v>
      </c>
      <c r="D66" s="413" t="s">
        <v>1051</v>
      </c>
      <c r="E66" s="412" t="s">
        <v>466</v>
      </c>
      <c r="F66" s="412" t="s">
        <v>1057</v>
      </c>
      <c r="G66" s="412" t="s">
        <v>1058</v>
      </c>
      <c r="H66" s="412" t="s">
        <v>1019</v>
      </c>
      <c r="I66" s="477">
        <v>17670</v>
      </c>
      <c r="J66" s="477">
        <v>0</v>
      </c>
      <c r="K66" s="477">
        <v>0</v>
      </c>
      <c r="L66" s="477">
        <v>0</v>
      </c>
      <c r="M66" s="477">
        <f t="shared" si="2"/>
        <v>17670</v>
      </c>
      <c r="N66" s="477">
        <f t="shared" si="3"/>
        <v>0</v>
      </c>
      <c r="O66" s="477"/>
      <c r="P66" s="477"/>
      <c r="Q66" s="477">
        <f t="shared" si="44"/>
        <v>17670</v>
      </c>
      <c r="R66" s="477">
        <f t="shared" si="42"/>
        <v>0</v>
      </c>
      <c r="S66" s="477">
        <f t="shared" si="43"/>
        <v>17670</v>
      </c>
      <c r="V66" s="476">
        <f t="shared" si="48"/>
        <v>0</v>
      </c>
      <c r="W66" s="476">
        <f t="shared" si="49"/>
        <v>0</v>
      </c>
      <c r="X66" s="476">
        <f t="shared" si="50"/>
        <v>0</v>
      </c>
      <c r="Y66" s="476">
        <f t="shared" si="51"/>
        <v>0</v>
      </c>
      <c r="Z66" s="476">
        <f t="shared" si="52"/>
        <v>0</v>
      </c>
      <c r="AA66" s="476">
        <f t="shared" si="53"/>
        <v>0</v>
      </c>
      <c r="AB66" s="476">
        <f t="shared" si="54"/>
        <v>0</v>
      </c>
      <c r="AC66" s="476">
        <f t="shared" si="55"/>
        <v>0</v>
      </c>
      <c r="AD66" s="476">
        <f t="shared" si="56"/>
        <v>17670</v>
      </c>
      <c r="AE66" s="476">
        <f t="shared" si="57"/>
        <v>0</v>
      </c>
      <c r="AF66" s="476">
        <f t="shared" si="58"/>
        <v>0</v>
      </c>
      <c r="AG66" s="476">
        <f t="shared" si="59"/>
        <v>0</v>
      </c>
      <c r="AH66" s="476">
        <f t="shared" si="60"/>
        <v>0</v>
      </c>
      <c r="AI66" s="476">
        <f t="shared" si="61"/>
        <v>0</v>
      </c>
      <c r="AJ66" s="476">
        <f t="shared" si="62"/>
        <v>0</v>
      </c>
      <c r="AK66" s="476">
        <f t="shared" si="63"/>
        <v>0</v>
      </c>
      <c r="AL66" s="476">
        <f t="shared" si="64"/>
        <v>0</v>
      </c>
      <c r="AM66" s="476">
        <f t="shared" si="65"/>
        <v>0</v>
      </c>
      <c r="AN66" s="476">
        <f t="shared" si="66"/>
        <v>0</v>
      </c>
      <c r="AO66" s="476">
        <f t="shared" si="67"/>
        <v>0</v>
      </c>
      <c r="AP66" s="476">
        <f t="shared" si="68"/>
        <v>0</v>
      </c>
      <c r="AQ66" s="476">
        <f t="shared" si="69"/>
        <v>0</v>
      </c>
      <c r="AR66" s="476">
        <f t="shared" si="70"/>
        <v>0</v>
      </c>
      <c r="AS66" s="476">
        <f t="shared" si="71"/>
        <v>0</v>
      </c>
      <c r="AT66" s="476">
        <f t="shared" si="72"/>
        <v>0</v>
      </c>
      <c r="AU66" s="476">
        <f t="shared" si="73"/>
        <v>0</v>
      </c>
      <c r="AV66" s="476">
        <f t="shared" si="74"/>
        <v>0</v>
      </c>
      <c r="AW66" s="476">
        <f t="shared" si="75"/>
        <v>0</v>
      </c>
      <c r="AX66" s="476">
        <f t="shared" si="76"/>
        <v>0</v>
      </c>
      <c r="AY66" s="476">
        <f t="shared" si="77"/>
        <v>0</v>
      </c>
      <c r="AZ66" s="476">
        <f t="shared" si="78"/>
        <v>0</v>
      </c>
      <c r="BA66" s="476">
        <f t="shared" si="79"/>
        <v>0</v>
      </c>
      <c r="BB66" s="476">
        <f t="shared" si="80"/>
        <v>0</v>
      </c>
      <c r="BC66" s="476">
        <f t="shared" si="81"/>
        <v>0</v>
      </c>
      <c r="BD66" s="476">
        <f t="shared" si="82"/>
        <v>0</v>
      </c>
      <c r="BE66" s="476">
        <f t="shared" si="83"/>
        <v>0</v>
      </c>
      <c r="BF66" s="476">
        <f t="shared" si="84"/>
        <v>0</v>
      </c>
      <c r="BG66" s="476">
        <f t="shared" si="85"/>
        <v>0</v>
      </c>
    </row>
    <row r="67" spans="1:59" ht="16.5" customHeight="1">
      <c r="A67" s="583" t="s">
        <v>719</v>
      </c>
      <c r="B67" s="584" t="s">
        <v>1607</v>
      </c>
      <c r="C67" s="584" t="s">
        <v>77</v>
      </c>
      <c r="D67" s="413" t="s">
        <v>1051</v>
      </c>
      <c r="E67" s="412" t="s">
        <v>466</v>
      </c>
      <c r="F67" s="412" t="s">
        <v>1057</v>
      </c>
      <c r="G67" s="412" t="s">
        <v>1058</v>
      </c>
      <c r="H67" s="412" t="s">
        <v>974</v>
      </c>
      <c r="I67" s="477">
        <v>95</v>
      </c>
      <c r="J67" s="477">
        <v>0</v>
      </c>
      <c r="K67" s="477">
        <v>0</v>
      </c>
      <c r="L67" s="477">
        <v>0</v>
      </c>
      <c r="M67" s="477">
        <f t="shared" si="2"/>
        <v>95</v>
      </c>
      <c r="N67" s="477">
        <f t="shared" si="3"/>
        <v>0</v>
      </c>
      <c r="O67" s="477"/>
      <c r="P67" s="477"/>
      <c r="Q67" s="477">
        <f t="shared" si="44"/>
        <v>95</v>
      </c>
      <c r="R67" s="477">
        <f t="shared" si="42"/>
        <v>0</v>
      </c>
      <c r="S67" s="477">
        <f t="shared" si="43"/>
        <v>95</v>
      </c>
      <c r="U67" s="473"/>
      <c r="V67" s="476">
        <f t="shared" si="48"/>
        <v>95</v>
      </c>
      <c r="W67" s="476">
        <f t="shared" si="49"/>
        <v>0</v>
      </c>
      <c r="X67" s="476">
        <f t="shared" si="50"/>
        <v>0</v>
      </c>
      <c r="Y67" s="476">
        <f t="shared" si="51"/>
        <v>0</v>
      </c>
      <c r="Z67" s="476">
        <f t="shared" si="52"/>
        <v>0</v>
      </c>
      <c r="AA67" s="476">
        <f t="shared" si="53"/>
        <v>0</v>
      </c>
      <c r="AB67" s="476">
        <f t="shared" si="54"/>
        <v>0</v>
      </c>
      <c r="AC67" s="476">
        <f t="shared" si="55"/>
        <v>0</v>
      </c>
      <c r="AD67" s="476">
        <f t="shared" si="56"/>
        <v>0</v>
      </c>
      <c r="AE67" s="476">
        <f t="shared" si="57"/>
        <v>0</v>
      </c>
      <c r="AF67" s="476">
        <f t="shared" si="58"/>
        <v>0</v>
      </c>
      <c r="AG67" s="476">
        <f t="shared" si="59"/>
        <v>0</v>
      </c>
      <c r="AH67" s="476">
        <f t="shared" si="60"/>
        <v>0</v>
      </c>
      <c r="AI67" s="476">
        <f t="shared" si="61"/>
        <v>0</v>
      </c>
      <c r="AJ67" s="476">
        <f t="shared" si="62"/>
        <v>0</v>
      </c>
      <c r="AK67" s="476">
        <f t="shared" si="63"/>
        <v>0</v>
      </c>
      <c r="AL67" s="476">
        <f t="shared" si="64"/>
        <v>0</v>
      </c>
      <c r="AM67" s="476">
        <f t="shared" si="65"/>
        <v>0</v>
      </c>
      <c r="AN67" s="476">
        <f t="shared" si="66"/>
        <v>0</v>
      </c>
      <c r="AO67" s="476">
        <f t="shared" si="67"/>
        <v>0</v>
      </c>
      <c r="AP67" s="476">
        <f t="shared" si="68"/>
        <v>0</v>
      </c>
      <c r="AQ67" s="476">
        <f t="shared" si="69"/>
        <v>0</v>
      </c>
      <c r="AR67" s="476">
        <f t="shared" si="70"/>
        <v>0</v>
      </c>
      <c r="AS67" s="476">
        <f t="shared" si="71"/>
        <v>0</v>
      </c>
      <c r="AT67" s="476">
        <f t="shared" si="72"/>
        <v>0</v>
      </c>
      <c r="AU67" s="476">
        <f t="shared" si="73"/>
        <v>0</v>
      </c>
      <c r="AV67" s="476">
        <f t="shared" si="74"/>
        <v>0</v>
      </c>
      <c r="AW67" s="476">
        <f t="shared" si="75"/>
        <v>0</v>
      </c>
      <c r="AX67" s="476">
        <f t="shared" si="76"/>
        <v>0</v>
      </c>
      <c r="AY67" s="476">
        <f t="shared" si="77"/>
        <v>0</v>
      </c>
      <c r="AZ67" s="476">
        <f t="shared" si="78"/>
        <v>0</v>
      </c>
      <c r="BA67" s="476">
        <f t="shared" si="79"/>
        <v>0</v>
      </c>
      <c r="BB67" s="476">
        <f t="shared" si="80"/>
        <v>0</v>
      </c>
      <c r="BC67" s="476">
        <f t="shared" si="81"/>
        <v>0</v>
      </c>
      <c r="BD67" s="476">
        <f t="shared" si="82"/>
        <v>0</v>
      </c>
      <c r="BE67" s="476">
        <f t="shared" si="83"/>
        <v>0</v>
      </c>
      <c r="BF67" s="476">
        <f t="shared" si="84"/>
        <v>0</v>
      </c>
      <c r="BG67" s="476">
        <f t="shared" si="85"/>
        <v>0</v>
      </c>
    </row>
    <row r="68" spans="1:59" ht="16.5" customHeight="1">
      <c r="A68" s="583" t="s">
        <v>719</v>
      </c>
      <c r="B68" s="584" t="s">
        <v>1607</v>
      </c>
      <c r="C68" s="584" t="s">
        <v>78</v>
      </c>
      <c r="D68" s="413" t="s">
        <v>1051</v>
      </c>
      <c r="E68" s="412" t="s">
        <v>466</v>
      </c>
      <c r="F68" s="412" t="s">
        <v>1057</v>
      </c>
      <c r="G68" s="412" t="s">
        <v>1058</v>
      </c>
      <c r="H68" s="412" t="s">
        <v>1021</v>
      </c>
      <c r="I68" s="477">
        <v>50</v>
      </c>
      <c r="J68" s="477">
        <v>0</v>
      </c>
      <c r="K68" s="477">
        <v>0</v>
      </c>
      <c r="L68" s="477">
        <v>0</v>
      </c>
      <c r="M68" s="477">
        <f t="shared" si="2"/>
        <v>50</v>
      </c>
      <c r="N68" s="477">
        <f t="shared" si="3"/>
        <v>0</v>
      </c>
      <c r="O68" s="477"/>
      <c r="P68" s="477"/>
      <c r="Q68" s="477">
        <f t="shared" si="44"/>
        <v>50</v>
      </c>
      <c r="R68" s="477">
        <f t="shared" si="42"/>
        <v>0</v>
      </c>
      <c r="S68" s="477">
        <f t="shared" si="43"/>
        <v>50</v>
      </c>
      <c r="U68" s="473"/>
      <c r="V68" s="476">
        <f t="shared" si="48"/>
        <v>0</v>
      </c>
      <c r="W68" s="476">
        <f t="shared" si="49"/>
        <v>0</v>
      </c>
      <c r="X68" s="476">
        <f t="shared" si="50"/>
        <v>0</v>
      </c>
      <c r="Y68" s="476">
        <f t="shared" si="51"/>
        <v>0</v>
      </c>
      <c r="Z68" s="476">
        <f t="shared" si="52"/>
        <v>0</v>
      </c>
      <c r="AA68" s="476">
        <f t="shared" si="53"/>
        <v>0</v>
      </c>
      <c r="AB68" s="476">
        <f t="shared" si="54"/>
        <v>0</v>
      </c>
      <c r="AC68" s="476">
        <f t="shared" si="55"/>
        <v>0</v>
      </c>
      <c r="AD68" s="476">
        <f t="shared" si="56"/>
        <v>0</v>
      </c>
      <c r="AE68" s="476">
        <f t="shared" si="57"/>
        <v>0</v>
      </c>
      <c r="AF68" s="476">
        <f t="shared" si="58"/>
        <v>50</v>
      </c>
      <c r="AG68" s="476">
        <f t="shared" si="59"/>
        <v>0</v>
      </c>
      <c r="AH68" s="476">
        <f t="shared" si="60"/>
        <v>0</v>
      </c>
      <c r="AI68" s="476">
        <f t="shared" si="61"/>
        <v>0</v>
      </c>
      <c r="AJ68" s="476">
        <f t="shared" si="62"/>
        <v>0</v>
      </c>
      <c r="AK68" s="476">
        <f t="shared" si="63"/>
        <v>0</v>
      </c>
      <c r="AL68" s="476">
        <f t="shared" si="64"/>
        <v>0</v>
      </c>
      <c r="AM68" s="476">
        <f t="shared" si="65"/>
        <v>0</v>
      </c>
      <c r="AN68" s="476">
        <f t="shared" si="66"/>
        <v>0</v>
      </c>
      <c r="AO68" s="476">
        <f t="shared" si="67"/>
        <v>0</v>
      </c>
      <c r="AP68" s="476">
        <f t="shared" si="68"/>
        <v>0</v>
      </c>
      <c r="AQ68" s="476">
        <f t="shared" si="69"/>
        <v>0</v>
      </c>
      <c r="AR68" s="476">
        <f t="shared" si="70"/>
        <v>0</v>
      </c>
      <c r="AS68" s="476">
        <f t="shared" si="71"/>
        <v>0</v>
      </c>
      <c r="AT68" s="476">
        <f t="shared" si="72"/>
        <v>0</v>
      </c>
      <c r="AU68" s="476">
        <f t="shared" si="73"/>
        <v>0</v>
      </c>
      <c r="AV68" s="476">
        <f t="shared" si="74"/>
        <v>0</v>
      </c>
      <c r="AW68" s="476">
        <f t="shared" si="75"/>
        <v>0</v>
      </c>
      <c r="AX68" s="476">
        <f t="shared" si="76"/>
        <v>0</v>
      </c>
      <c r="AY68" s="476">
        <f t="shared" si="77"/>
        <v>0</v>
      </c>
      <c r="AZ68" s="476">
        <f t="shared" si="78"/>
        <v>0</v>
      </c>
      <c r="BA68" s="476">
        <f t="shared" si="79"/>
        <v>0</v>
      </c>
      <c r="BB68" s="476">
        <f t="shared" si="80"/>
        <v>0</v>
      </c>
      <c r="BC68" s="476">
        <f t="shared" si="81"/>
        <v>0</v>
      </c>
      <c r="BD68" s="476">
        <f t="shared" si="82"/>
        <v>0</v>
      </c>
      <c r="BE68" s="476">
        <f t="shared" si="83"/>
        <v>0</v>
      </c>
      <c r="BF68" s="476">
        <f t="shared" si="84"/>
        <v>0</v>
      </c>
      <c r="BG68" s="476">
        <f t="shared" si="85"/>
        <v>0</v>
      </c>
    </row>
    <row r="69" spans="1:59" ht="16.5" customHeight="1">
      <c r="A69" s="583" t="s">
        <v>723</v>
      </c>
      <c r="B69" s="584" t="s">
        <v>1608</v>
      </c>
      <c r="C69" s="584" t="s">
        <v>82</v>
      </c>
      <c r="D69" s="413" t="s">
        <v>1051</v>
      </c>
      <c r="E69" s="412" t="s">
        <v>466</v>
      </c>
      <c r="F69" s="412" t="s">
        <v>1057</v>
      </c>
      <c r="G69" s="412" t="s">
        <v>1058</v>
      </c>
      <c r="H69" s="412" t="s">
        <v>1013</v>
      </c>
      <c r="I69" s="477">
        <v>50</v>
      </c>
      <c r="J69" s="477">
        <v>0</v>
      </c>
      <c r="K69" s="477">
        <v>0</v>
      </c>
      <c r="L69" s="477">
        <v>0</v>
      </c>
      <c r="M69" s="477">
        <f t="shared" si="2"/>
        <v>50</v>
      </c>
      <c r="N69" s="477">
        <f t="shared" si="3"/>
        <v>0</v>
      </c>
      <c r="O69" s="477"/>
      <c r="P69" s="477"/>
      <c r="Q69" s="477">
        <f t="shared" si="44"/>
        <v>50</v>
      </c>
      <c r="R69" s="477">
        <f t="shared" si="42"/>
        <v>0</v>
      </c>
      <c r="S69" s="477">
        <f t="shared" si="43"/>
        <v>50</v>
      </c>
      <c r="U69" s="473"/>
      <c r="V69" s="476">
        <f t="shared" si="48"/>
        <v>0</v>
      </c>
      <c r="W69" s="476">
        <f t="shared" si="49"/>
        <v>0</v>
      </c>
      <c r="X69" s="476">
        <f t="shared" si="50"/>
        <v>0</v>
      </c>
      <c r="Y69" s="476">
        <f t="shared" si="51"/>
        <v>0</v>
      </c>
      <c r="Z69" s="476">
        <f t="shared" si="52"/>
        <v>0</v>
      </c>
      <c r="AA69" s="476">
        <f t="shared" si="53"/>
        <v>0</v>
      </c>
      <c r="AB69" s="476">
        <f t="shared" si="54"/>
        <v>0</v>
      </c>
      <c r="AC69" s="476">
        <f t="shared" si="55"/>
        <v>0</v>
      </c>
      <c r="AD69" s="476">
        <f t="shared" si="56"/>
        <v>0</v>
      </c>
      <c r="AE69" s="476">
        <f t="shared" si="57"/>
        <v>0</v>
      </c>
      <c r="AF69" s="476">
        <f t="shared" si="58"/>
        <v>0</v>
      </c>
      <c r="AG69" s="476">
        <f t="shared" si="59"/>
        <v>0</v>
      </c>
      <c r="AH69" s="476">
        <f t="shared" si="60"/>
        <v>0</v>
      </c>
      <c r="AI69" s="476">
        <f t="shared" si="61"/>
        <v>0</v>
      </c>
      <c r="AJ69" s="476">
        <f t="shared" si="62"/>
        <v>50</v>
      </c>
      <c r="AK69" s="476">
        <f t="shared" si="63"/>
        <v>0</v>
      </c>
      <c r="AL69" s="476">
        <f t="shared" si="64"/>
        <v>0</v>
      </c>
      <c r="AM69" s="476">
        <f t="shared" si="65"/>
        <v>0</v>
      </c>
      <c r="AN69" s="476">
        <f t="shared" si="66"/>
        <v>0</v>
      </c>
      <c r="AO69" s="476">
        <f t="shared" si="67"/>
        <v>0</v>
      </c>
      <c r="AP69" s="476">
        <f t="shared" si="68"/>
        <v>0</v>
      </c>
      <c r="AQ69" s="476">
        <f t="shared" si="69"/>
        <v>0</v>
      </c>
      <c r="AR69" s="476">
        <f t="shared" si="70"/>
        <v>0</v>
      </c>
      <c r="AS69" s="476">
        <f t="shared" si="71"/>
        <v>0</v>
      </c>
      <c r="AT69" s="476">
        <f t="shared" si="72"/>
        <v>0</v>
      </c>
      <c r="AU69" s="476">
        <f t="shared" si="73"/>
        <v>0</v>
      </c>
      <c r="AV69" s="476">
        <f t="shared" si="74"/>
        <v>0</v>
      </c>
      <c r="AW69" s="476">
        <f t="shared" si="75"/>
        <v>0</v>
      </c>
      <c r="AX69" s="476">
        <f t="shared" si="76"/>
        <v>0</v>
      </c>
      <c r="AY69" s="476">
        <f t="shared" si="77"/>
        <v>0</v>
      </c>
      <c r="AZ69" s="476">
        <f t="shared" si="78"/>
        <v>0</v>
      </c>
      <c r="BA69" s="476">
        <f t="shared" si="79"/>
        <v>0</v>
      </c>
      <c r="BB69" s="476">
        <f t="shared" si="80"/>
        <v>0</v>
      </c>
      <c r="BC69" s="476">
        <f t="shared" si="81"/>
        <v>0</v>
      </c>
      <c r="BD69" s="476">
        <f t="shared" si="82"/>
        <v>0</v>
      </c>
      <c r="BE69" s="476">
        <f t="shared" si="83"/>
        <v>0</v>
      </c>
      <c r="BF69" s="476">
        <f t="shared" si="84"/>
        <v>0</v>
      </c>
      <c r="BG69" s="476">
        <f t="shared" si="85"/>
        <v>0</v>
      </c>
    </row>
    <row r="70" spans="1:59" ht="16.5" customHeight="1">
      <c r="A70" s="583" t="s">
        <v>724</v>
      </c>
      <c r="B70" s="584" t="s">
        <v>1609</v>
      </c>
      <c r="C70" s="584" t="s">
        <v>84</v>
      </c>
      <c r="D70" s="413" t="s">
        <v>1051</v>
      </c>
      <c r="E70" s="412" t="s">
        <v>466</v>
      </c>
      <c r="F70" s="412" t="s">
        <v>1057</v>
      </c>
      <c r="G70" s="412" t="s">
        <v>1058</v>
      </c>
      <c r="H70" s="412" t="s">
        <v>1013</v>
      </c>
      <c r="I70" s="477">
        <v>50</v>
      </c>
      <c r="J70" s="477">
        <v>0</v>
      </c>
      <c r="K70" s="477">
        <v>0</v>
      </c>
      <c r="L70" s="477">
        <v>0</v>
      </c>
      <c r="M70" s="477">
        <f t="shared" si="2"/>
        <v>50</v>
      </c>
      <c r="N70" s="477">
        <f t="shared" si="3"/>
        <v>0</v>
      </c>
      <c r="O70" s="477"/>
      <c r="P70" s="477"/>
      <c r="Q70" s="477">
        <f t="shared" si="44"/>
        <v>50</v>
      </c>
      <c r="R70" s="477">
        <f t="shared" si="42"/>
        <v>0</v>
      </c>
      <c r="S70" s="477">
        <f t="shared" si="43"/>
        <v>50</v>
      </c>
      <c r="U70" s="473"/>
      <c r="V70" s="476">
        <f t="shared" si="48"/>
        <v>0</v>
      </c>
      <c r="W70" s="476">
        <f t="shared" si="49"/>
        <v>0</v>
      </c>
      <c r="X70" s="476">
        <f t="shared" si="50"/>
        <v>0</v>
      </c>
      <c r="Y70" s="476">
        <f t="shared" si="51"/>
        <v>0</v>
      </c>
      <c r="Z70" s="476">
        <f t="shared" si="52"/>
        <v>0</v>
      </c>
      <c r="AA70" s="476">
        <f t="shared" si="53"/>
        <v>0</v>
      </c>
      <c r="AB70" s="476">
        <f t="shared" si="54"/>
        <v>0</v>
      </c>
      <c r="AC70" s="476">
        <f t="shared" si="55"/>
        <v>0</v>
      </c>
      <c r="AD70" s="476">
        <f t="shared" si="56"/>
        <v>0</v>
      </c>
      <c r="AE70" s="476">
        <f t="shared" si="57"/>
        <v>0</v>
      </c>
      <c r="AF70" s="476">
        <f t="shared" si="58"/>
        <v>0</v>
      </c>
      <c r="AG70" s="476">
        <f t="shared" si="59"/>
        <v>0</v>
      </c>
      <c r="AH70" s="476">
        <f t="shared" si="60"/>
        <v>0</v>
      </c>
      <c r="AI70" s="476">
        <f t="shared" si="61"/>
        <v>0</v>
      </c>
      <c r="AJ70" s="476">
        <f t="shared" si="62"/>
        <v>50</v>
      </c>
      <c r="AK70" s="476">
        <f t="shared" si="63"/>
        <v>0</v>
      </c>
      <c r="AL70" s="476">
        <f t="shared" si="64"/>
        <v>0</v>
      </c>
      <c r="AM70" s="476">
        <f t="shared" si="65"/>
        <v>0</v>
      </c>
      <c r="AN70" s="476">
        <f t="shared" si="66"/>
        <v>0</v>
      </c>
      <c r="AO70" s="476">
        <f t="shared" si="67"/>
        <v>0</v>
      </c>
      <c r="AP70" s="476">
        <f t="shared" si="68"/>
        <v>0</v>
      </c>
      <c r="AQ70" s="476">
        <f t="shared" si="69"/>
        <v>0</v>
      </c>
      <c r="AR70" s="476">
        <f t="shared" si="70"/>
        <v>0</v>
      </c>
      <c r="AS70" s="476">
        <f t="shared" si="71"/>
        <v>0</v>
      </c>
      <c r="AT70" s="476">
        <f t="shared" si="72"/>
        <v>0</v>
      </c>
      <c r="AU70" s="476">
        <f t="shared" si="73"/>
        <v>0</v>
      </c>
      <c r="AV70" s="476">
        <f t="shared" si="74"/>
        <v>0</v>
      </c>
      <c r="AW70" s="476">
        <f t="shared" si="75"/>
        <v>0</v>
      </c>
      <c r="AX70" s="476">
        <f t="shared" si="76"/>
        <v>0</v>
      </c>
      <c r="AY70" s="476">
        <f t="shared" si="77"/>
        <v>0</v>
      </c>
      <c r="AZ70" s="476">
        <f t="shared" si="78"/>
        <v>0</v>
      </c>
      <c r="BA70" s="476">
        <f t="shared" si="79"/>
        <v>0</v>
      </c>
      <c r="BB70" s="476">
        <f t="shared" si="80"/>
        <v>0</v>
      </c>
      <c r="BC70" s="476">
        <f t="shared" si="81"/>
        <v>0</v>
      </c>
      <c r="BD70" s="476">
        <f t="shared" si="82"/>
        <v>0</v>
      </c>
      <c r="BE70" s="476">
        <f t="shared" si="83"/>
        <v>0</v>
      </c>
      <c r="BF70" s="476">
        <f t="shared" si="84"/>
        <v>0</v>
      </c>
      <c r="BG70" s="476">
        <f t="shared" si="85"/>
        <v>0</v>
      </c>
    </row>
    <row r="71" spans="1:59" ht="16.5" customHeight="1">
      <c r="A71" s="583" t="s">
        <v>724</v>
      </c>
      <c r="B71" s="584" t="s">
        <v>1609</v>
      </c>
      <c r="C71" s="584" t="s">
        <v>83</v>
      </c>
      <c r="D71" s="413" t="s">
        <v>1051</v>
      </c>
      <c r="E71" s="412" t="s">
        <v>466</v>
      </c>
      <c r="F71" s="412" t="s">
        <v>1057</v>
      </c>
      <c r="G71" s="412" t="s">
        <v>1058</v>
      </c>
      <c r="H71" s="412" t="s">
        <v>974</v>
      </c>
      <c r="I71" s="477">
        <v>129540</v>
      </c>
      <c r="J71" s="477">
        <v>0</v>
      </c>
      <c r="K71" s="477">
        <v>0</v>
      </c>
      <c r="L71" s="477">
        <v>0</v>
      </c>
      <c r="M71" s="477">
        <f t="shared" si="2"/>
        <v>129540</v>
      </c>
      <c r="N71" s="477">
        <f t="shared" si="3"/>
        <v>0</v>
      </c>
      <c r="O71" s="477"/>
      <c r="P71" s="477"/>
      <c r="Q71" s="477">
        <f t="shared" ref="Q71" si="86">+M71+O71</f>
        <v>129540</v>
      </c>
      <c r="R71" s="477">
        <f t="shared" ref="R71" si="87">+N71+P71</f>
        <v>0</v>
      </c>
      <c r="S71" s="477">
        <f t="shared" ref="S71" si="88">+Q71-R71</f>
        <v>129540</v>
      </c>
      <c r="U71" s="473"/>
      <c r="V71" s="476"/>
      <c r="W71" s="476"/>
      <c r="X71" s="476"/>
      <c r="Y71" s="476"/>
      <c r="Z71" s="476"/>
      <c r="AA71" s="476"/>
      <c r="AB71" s="476"/>
      <c r="AC71" s="476"/>
      <c r="AD71" s="476"/>
      <c r="AE71" s="476"/>
      <c r="AF71" s="476"/>
      <c r="AG71" s="476"/>
      <c r="AH71" s="476"/>
      <c r="AI71" s="476"/>
      <c r="AJ71" s="476"/>
      <c r="AK71" s="476"/>
      <c r="AL71" s="476"/>
      <c r="AM71" s="476"/>
      <c r="AN71" s="476"/>
      <c r="AO71" s="476"/>
      <c r="AP71" s="476"/>
      <c r="AQ71" s="476"/>
      <c r="AR71" s="476"/>
      <c r="AS71" s="476"/>
      <c r="AT71" s="476"/>
      <c r="AU71" s="476"/>
      <c r="AV71" s="476"/>
      <c r="AW71" s="476"/>
      <c r="AX71" s="476"/>
      <c r="AY71" s="476"/>
      <c r="AZ71" s="476"/>
      <c r="BA71" s="476"/>
      <c r="BB71" s="476"/>
      <c r="BC71" s="476"/>
      <c r="BD71" s="476"/>
      <c r="BE71" s="476"/>
      <c r="BF71" s="476"/>
      <c r="BG71" s="476"/>
    </row>
    <row r="72" spans="1:59" ht="16.5" customHeight="1">
      <c r="A72" s="583" t="s">
        <v>726</v>
      </c>
      <c r="B72" s="584" t="s">
        <v>1610</v>
      </c>
      <c r="C72" s="584" t="s">
        <v>86</v>
      </c>
      <c r="D72" s="413" t="s">
        <v>1051</v>
      </c>
      <c r="E72" s="412" t="s">
        <v>466</v>
      </c>
      <c r="F72" s="730" t="s">
        <v>1057</v>
      </c>
      <c r="G72" s="412" t="s">
        <v>1058</v>
      </c>
      <c r="H72" s="412" t="s">
        <v>1014</v>
      </c>
      <c r="I72" s="477">
        <v>11780</v>
      </c>
      <c r="J72" s="477">
        <v>0</v>
      </c>
      <c r="K72" s="477">
        <v>0</v>
      </c>
      <c r="L72" s="477">
        <v>0</v>
      </c>
      <c r="M72" s="477">
        <f t="shared" si="2"/>
        <v>11780</v>
      </c>
      <c r="N72" s="477">
        <f t="shared" si="3"/>
        <v>0</v>
      </c>
      <c r="O72" s="477"/>
      <c r="P72" s="477"/>
      <c r="Q72" s="477">
        <f t="shared" si="44"/>
        <v>11780</v>
      </c>
      <c r="R72" s="477">
        <f t="shared" si="42"/>
        <v>0</v>
      </c>
      <c r="S72" s="477">
        <f t="shared" si="43"/>
        <v>11780</v>
      </c>
      <c r="V72" s="476">
        <f t="shared" ref="V72:V86" si="89">IF($V$8=$H72,$Q72,0)</f>
        <v>0</v>
      </c>
      <c r="W72" s="476">
        <f t="shared" ref="W72:W86" si="90">IF($V$8=$H72,$R72,0)</f>
        <v>0</v>
      </c>
      <c r="X72" s="476">
        <f t="shared" ref="X72:X86" si="91">IF($X$8=$H72,$Q72,0)</f>
        <v>0</v>
      </c>
      <c r="Y72" s="476">
        <f t="shared" ref="Y72:Y86" si="92">IF($X$8=$H72,$R72,0)</f>
        <v>0</v>
      </c>
      <c r="Z72" s="476">
        <f t="shared" ref="Z72:Z86" si="93">IF($Z$8=$H72,$Q72,0)</f>
        <v>0</v>
      </c>
      <c r="AA72" s="476">
        <f t="shared" ref="AA72:AA86" si="94">IF($Z$8=$H72,$R72,0)</f>
        <v>0</v>
      </c>
      <c r="AB72" s="476">
        <f t="shared" ref="AB72:AB86" si="95">IF($AB$8=$H72,$Q72,0)</f>
        <v>0</v>
      </c>
      <c r="AC72" s="476">
        <f t="shared" ref="AC72:AC86" si="96">IF($AB$8=$H72,$R72,0)</f>
        <v>0</v>
      </c>
      <c r="AD72" s="476">
        <f t="shared" ref="AD72:AD86" si="97">IF($AD$8=$H72,$Q72,0)</f>
        <v>0</v>
      </c>
      <c r="AE72" s="476">
        <f t="shared" ref="AE72:AE86" si="98">IF($AD$8=$H72,$R72,0)</f>
        <v>0</v>
      </c>
      <c r="AF72" s="476">
        <f t="shared" ref="AF72:AF86" si="99">IF($AF$8=$H72,$Q72,0)</f>
        <v>0</v>
      </c>
      <c r="AG72" s="476">
        <f t="shared" ref="AG72:AG86" si="100">IF($AF$8=$H72,$R72,0)</f>
        <v>0</v>
      </c>
      <c r="AH72" s="476">
        <f t="shared" ref="AH72:AH86" si="101">IF($AH$8=$H72,$Q72,0)</f>
        <v>0</v>
      </c>
      <c r="AI72" s="476">
        <f t="shared" ref="AI72:AI86" si="102">IF($AH$8=$H72,$R72,0)</f>
        <v>0</v>
      </c>
      <c r="AJ72" s="476">
        <f t="shared" ref="AJ72:AJ86" si="103">IF($AJ$8=$H72,$Q72,0)</f>
        <v>0</v>
      </c>
      <c r="AK72" s="476">
        <f t="shared" ref="AK72:AK86" si="104">IF($AJ$8=$H72,$R72,0)</f>
        <v>0</v>
      </c>
      <c r="AL72" s="476">
        <f t="shared" ref="AL72:AL86" si="105">IF($AL$8=$H72,$Q72,0)</f>
        <v>0</v>
      </c>
      <c r="AM72" s="476">
        <f t="shared" ref="AM72:AM86" si="106">IF($AL$8=$H72,$R72,0)</f>
        <v>0</v>
      </c>
      <c r="AN72" s="476">
        <f t="shared" ref="AN72:AN86" si="107">IF($AN$8=$H72,$Q72,0)</f>
        <v>0</v>
      </c>
      <c r="AO72" s="476">
        <f t="shared" ref="AO72:AO86" si="108">IF($AN$8=$H72,$R72,0)</f>
        <v>0</v>
      </c>
      <c r="AP72" s="476">
        <f t="shared" ref="AP72:AP86" si="109">IF($AP$8=$H72,$Q72,0)</f>
        <v>11780</v>
      </c>
      <c r="AQ72" s="476">
        <f t="shared" ref="AQ72:AQ86" si="110">IF($AP$8=$H72,$R72,0)</f>
        <v>0</v>
      </c>
      <c r="AR72" s="476">
        <f t="shared" ref="AR72:AR86" si="111">IF($AR$8=$H72,$Q72,0)</f>
        <v>0</v>
      </c>
      <c r="AS72" s="476">
        <f t="shared" ref="AS72:AS86" si="112">IF($AR$8=$H72,$R72,0)</f>
        <v>0</v>
      </c>
      <c r="AT72" s="476">
        <f t="shared" ref="AT72:AT86" si="113">IF($AT$8=$H72,$Q72,0)</f>
        <v>0</v>
      </c>
      <c r="AU72" s="476">
        <f t="shared" ref="AU72:AU86" si="114">IF($AT$8=$H72,$R72,0)</f>
        <v>0</v>
      </c>
      <c r="AV72" s="476">
        <f t="shared" ref="AV72:AV86" si="115">IF($AV$8=$H72,$Q72,0)</f>
        <v>0</v>
      </c>
      <c r="AW72" s="476">
        <f t="shared" ref="AW72:AW86" si="116">IF($AV$8=$H72,$R72,0)</f>
        <v>0</v>
      </c>
      <c r="AX72" s="476">
        <f t="shared" ref="AX72:AX86" si="117">IF($AX$8=$H72,$Q72,0)</f>
        <v>0</v>
      </c>
      <c r="AY72" s="476">
        <f t="shared" ref="AY72:AY86" si="118">IF($AX$8=$H72,$R72,0)</f>
        <v>0</v>
      </c>
      <c r="AZ72" s="476">
        <f t="shared" ref="AZ72:AZ86" si="119">IF($AZ$8=$H72,$Q72,0)</f>
        <v>0</v>
      </c>
      <c r="BA72" s="476">
        <f t="shared" ref="BA72:BA86" si="120">IF($AZ$8=$H72,$R72,0)</f>
        <v>0</v>
      </c>
      <c r="BB72" s="476">
        <f t="shared" ref="BB72:BB86" si="121">IF($BB$8=$H72,$Q72,0)</f>
        <v>0</v>
      </c>
      <c r="BC72" s="476">
        <f t="shared" ref="BC72:BC86" si="122">IF($BB$8=$H72,$R72,0)</f>
        <v>0</v>
      </c>
      <c r="BD72" s="476">
        <f t="shared" ref="BD72:BD86" si="123">IF($BD$8=$H72,$Q72,0)</f>
        <v>0</v>
      </c>
      <c r="BE72" s="476">
        <f t="shared" ref="BE72:BE86" si="124">IF($BD$8=$H72,$R72,0)</f>
        <v>0</v>
      </c>
      <c r="BF72" s="476">
        <f t="shared" ref="BF72:BF86" si="125">IF($BF$8=$H72,$Q72,0)</f>
        <v>0</v>
      </c>
      <c r="BG72" s="476">
        <f t="shared" ref="BG72:BG86" si="126">IF($BF$8=$H72,$R72,0)</f>
        <v>0</v>
      </c>
    </row>
    <row r="73" spans="1:59" ht="16.5" customHeight="1">
      <c r="A73" s="583" t="s">
        <v>726</v>
      </c>
      <c r="B73" s="584" t="s">
        <v>1610</v>
      </c>
      <c r="C73" s="584" t="s">
        <v>87</v>
      </c>
      <c r="D73" s="413" t="s">
        <v>1051</v>
      </c>
      <c r="E73" s="412" t="s">
        <v>466</v>
      </c>
      <c r="F73" s="413" t="s">
        <v>1057</v>
      </c>
      <c r="G73" s="412" t="s">
        <v>1058</v>
      </c>
      <c r="H73" s="412" t="s">
        <v>974</v>
      </c>
      <c r="I73" s="477">
        <v>38713</v>
      </c>
      <c r="J73" s="477">
        <v>0</v>
      </c>
      <c r="K73" s="477">
        <v>0</v>
      </c>
      <c r="L73" s="477">
        <v>0</v>
      </c>
      <c r="M73" s="477">
        <f t="shared" ref="M73:M136" si="127">+I73+K73</f>
        <v>38713</v>
      </c>
      <c r="N73" s="477">
        <f t="shared" ref="N73:N136" si="128">+J73+L73</f>
        <v>0</v>
      </c>
      <c r="O73" s="477"/>
      <c r="P73" s="477"/>
      <c r="Q73" s="477">
        <f t="shared" si="44"/>
        <v>38713</v>
      </c>
      <c r="R73" s="477">
        <f t="shared" si="42"/>
        <v>0</v>
      </c>
      <c r="S73" s="477">
        <f t="shared" si="43"/>
        <v>38713</v>
      </c>
      <c r="V73" s="476">
        <f t="shared" si="89"/>
        <v>38713</v>
      </c>
      <c r="W73" s="476">
        <f t="shared" si="90"/>
        <v>0</v>
      </c>
      <c r="X73" s="476">
        <f t="shared" si="91"/>
        <v>0</v>
      </c>
      <c r="Y73" s="476">
        <f t="shared" si="92"/>
        <v>0</v>
      </c>
      <c r="Z73" s="476">
        <f t="shared" si="93"/>
        <v>0</v>
      </c>
      <c r="AA73" s="476">
        <f t="shared" si="94"/>
        <v>0</v>
      </c>
      <c r="AB73" s="476">
        <f t="shared" si="95"/>
        <v>0</v>
      </c>
      <c r="AC73" s="476">
        <f t="shared" si="96"/>
        <v>0</v>
      </c>
      <c r="AD73" s="476">
        <f t="shared" si="97"/>
        <v>0</v>
      </c>
      <c r="AE73" s="476">
        <f t="shared" si="98"/>
        <v>0</v>
      </c>
      <c r="AF73" s="476">
        <f t="shared" si="99"/>
        <v>0</v>
      </c>
      <c r="AG73" s="476">
        <f t="shared" si="100"/>
        <v>0</v>
      </c>
      <c r="AH73" s="476">
        <f t="shared" si="101"/>
        <v>0</v>
      </c>
      <c r="AI73" s="476">
        <f t="shared" si="102"/>
        <v>0</v>
      </c>
      <c r="AJ73" s="476">
        <f t="shared" si="103"/>
        <v>0</v>
      </c>
      <c r="AK73" s="476">
        <f t="shared" si="104"/>
        <v>0</v>
      </c>
      <c r="AL73" s="476">
        <f t="shared" si="105"/>
        <v>0</v>
      </c>
      <c r="AM73" s="476">
        <f t="shared" si="106"/>
        <v>0</v>
      </c>
      <c r="AN73" s="476">
        <f t="shared" si="107"/>
        <v>0</v>
      </c>
      <c r="AO73" s="476">
        <f t="shared" si="108"/>
        <v>0</v>
      </c>
      <c r="AP73" s="476">
        <f t="shared" si="109"/>
        <v>0</v>
      </c>
      <c r="AQ73" s="476">
        <f t="shared" si="110"/>
        <v>0</v>
      </c>
      <c r="AR73" s="476">
        <f t="shared" si="111"/>
        <v>0</v>
      </c>
      <c r="AS73" s="476">
        <f t="shared" si="112"/>
        <v>0</v>
      </c>
      <c r="AT73" s="476">
        <f t="shared" si="113"/>
        <v>0</v>
      </c>
      <c r="AU73" s="476">
        <f t="shared" si="114"/>
        <v>0</v>
      </c>
      <c r="AV73" s="476">
        <f t="shared" si="115"/>
        <v>0</v>
      </c>
      <c r="AW73" s="476">
        <f t="shared" si="116"/>
        <v>0</v>
      </c>
      <c r="AX73" s="476">
        <f t="shared" si="117"/>
        <v>0</v>
      </c>
      <c r="AY73" s="476">
        <f t="shared" si="118"/>
        <v>0</v>
      </c>
      <c r="AZ73" s="476">
        <f t="shared" si="119"/>
        <v>0</v>
      </c>
      <c r="BA73" s="476">
        <f t="shared" si="120"/>
        <v>0</v>
      </c>
      <c r="BB73" s="476">
        <f t="shared" si="121"/>
        <v>0</v>
      </c>
      <c r="BC73" s="476">
        <f t="shared" si="122"/>
        <v>0</v>
      </c>
      <c r="BD73" s="476">
        <f t="shared" si="123"/>
        <v>0</v>
      </c>
      <c r="BE73" s="476">
        <f t="shared" si="124"/>
        <v>0</v>
      </c>
      <c r="BF73" s="476">
        <f t="shared" si="125"/>
        <v>0</v>
      </c>
      <c r="BG73" s="476">
        <f t="shared" si="126"/>
        <v>0</v>
      </c>
    </row>
    <row r="74" spans="1:59" ht="16.5" customHeight="1">
      <c r="A74" s="583" t="s">
        <v>728</v>
      </c>
      <c r="B74" s="584" t="s">
        <v>1611</v>
      </c>
      <c r="C74" s="584" t="s">
        <v>91</v>
      </c>
      <c r="D74" s="413" t="s">
        <v>1051</v>
      </c>
      <c r="E74" s="412" t="s">
        <v>466</v>
      </c>
      <c r="F74" s="413" t="s">
        <v>1057</v>
      </c>
      <c r="G74" s="412" t="s">
        <v>1058</v>
      </c>
      <c r="H74" s="412" t="s">
        <v>1013</v>
      </c>
      <c r="I74" s="477">
        <v>50</v>
      </c>
      <c r="J74" s="477">
        <v>0</v>
      </c>
      <c r="K74" s="477">
        <v>0</v>
      </c>
      <c r="L74" s="477">
        <v>0</v>
      </c>
      <c r="M74" s="477">
        <f t="shared" si="127"/>
        <v>50</v>
      </c>
      <c r="N74" s="477">
        <f t="shared" si="128"/>
        <v>0</v>
      </c>
      <c r="O74" s="477"/>
      <c r="P74" s="477"/>
      <c r="Q74" s="477">
        <f t="shared" si="44"/>
        <v>50</v>
      </c>
      <c r="R74" s="477">
        <f t="shared" si="42"/>
        <v>0</v>
      </c>
      <c r="S74" s="477">
        <f t="shared" si="43"/>
        <v>50</v>
      </c>
      <c r="V74" s="476">
        <f t="shared" si="89"/>
        <v>0</v>
      </c>
      <c r="W74" s="476">
        <f t="shared" si="90"/>
        <v>0</v>
      </c>
      <c r="X74" s="476">
        <f t="shared" si="91"/>
        <v>0</v>
      </c>
      <c r="Y74" s="476">
        <f t="shared" si="92"/>
        <v>0</v>
      </c>
      <c r="Z74" s="476">
        <f t="shared" si="93"/>
        <v>0</v>
      </c>
      <c r="AA74" s="476">
        <f t="shared" si="94"/>
        <v>0</v>
      </c>
      <c r="AB74" s="476">
        <f t="shared" si="95"/>
        <v>0</v>
      </c>
      <c r="AC74" s="476">
        <f t="shared" si="96"/>
        <v>0</v>
      </c>
      <c r="AD74" s="476">
        <f t="shared" si="97"/>
        <v>0</v>
      </c>
      <c r="AE74" s="476">
        <f t="shared" si="98"/>
        <v>0</v>
      </c>
      <c r="AF74" s="476">
        <f t="shared" si="99"/>
        <v>0</v>
      </c>
      <c r="AG74" s="476">
        <f t="shared" si="100"/>
        <v>0</v>
      </c>
      <c r="AH74" s="476">
        <f t="shared" si="101"/>
        <v>0</v>
      </c>
      <c r="AI74" s="476">
        <f t="shared" si="102"/>
        <v>0</v>
      </c>
      <c r="AJ74" s="476">
        <f t="shared" si="103"/>
        <v>50</v>
      </c>
      <c r="AK74" s="476">
        <f t="shared" si="104"/>
        <v>0</v>
      </c>
      <c r="AL74" s="476">
        <f t="shared" si="105"/>
        <v>0</v>
      </c>
      <c r="AM74" s="476">
        <f t="shared" si="106"/>
        <v>0</v>
      </c>
      <c r="AN74" s="476">
        <f t="shared" si="107"/>
        <v>0</v>
      </c>
      <c r="AO74" s="476">
        <f t="shared" si="108"/>
        <v>0</v>
      </c>
      <c r="AP74" s="476">
        <f t="shared" si="109"/>
        <v>0</v>
      </c>
      <c r="AQ74" s="476">
        <f t="shared" si="110"/>
        <v>0</v>
      </c>
      <c r="AR74" s="476">
        <f t="shared" si="111"/>
        <v>0</v>
      </c>
      <c r="AS74" s="476">
        <f t="shared" si="112"/>
        <v>0</v>
      </c>
      <c r="AT74" s="476">
        <f t="shared" si="113"/>
        <v>0</v>
      </c>
      <c r="AU74" s="476">
        <f t="shared" si="114"/>
        <v>0</v>
      </c>
      <c r="AV74" s="476">
        <f t="shared" si="115"/>
        <v>0</v>
      </c>
      <c r="AW74" s="476">
        <f t="shared" si="116"/>
        <v>0</v>
      </c>
      <c r="AX74" s="476">
        <f t="shared" si="117"/>
        <v>0</v>
      </c>
      <c r="AY74" s="476">
        <f t="shared" si="118"/>
        <v>0</v>
      </c>
      <c r="AZ74" s="476">
        <f t="shared" si="119"/>
        <v>0</v>
      </c>
      <c r="BA74" s="476">
        <f t="shared" si="120"/>
        <v>0</v>
      </c>
      <c r="BB74" s="476">
        <f t="shared" si="121"/>
        <v>0</v>
      </c>
      <c r="BC74" s="476">
        <f t="shared" si="122"/>
        <v>0</v>
      </c>
      <c r="BD74" s="476">
        <f t="shared" si="123"/>
        <v>0</v>
      </c>
      <c r="BE74" s="476">
        <f t="shared" si="124"/>
        <v>0</v>
      </c>
      <c r="BF74" s="476">
        <f t="shared" si="125"/>
        <v>0</v>
      </c>
      <c r="BG74" s="476">
        <f t="shared" si="126"/>
        <v>0</v>
      </c>
    </row>
    <row r="75" spans="1:59" ht="16.5" customHeight="1">
      <c r="A75" s="583" t="s">
        <v>728</v>
      </c>
      <c r="B75" s="584" t="s">
        <v>1611</v>
      </c>
      <c r="C75" s="584" t="s">
        <v>90</v>
      </c>
      <c r="D75" s="413" t="s">
        <v>1051</v>
      </c>
      <c r="E75" s="412" t="s">
        <v>466</v>
      </c>
      <c r="F75" s="413" t="s">
        <v>1057</v>
      </c>
      <c r="G75" s="412" t="s">
        <v>1058</v>
      </c>
      <c r="H75" s="412" t="s">
        <v>1019</v>
      </c>
      <c r="I75" s="477">
        <v>90</v>
      </c>
      <c r="J75" s="477">
        <v>0</v>
      </c>
      <c r="K75" s="477">
        <v>0</v>
      </c>
      <c r="L75" s="477">
        <v>0</v>
      </c>
      <c r="M75" s="477">
        <f t="shared" si="127"/>
        <v>90</v>
      </c>
      <c r="N75" s="477">
        <f t="shared" si="128"/>
        <v>0</v>
      </c>
      <c r="O75" s="477"/>
      <c r="P75" s="477"/>
      <c r="Q75" s="477">
        <f t="shared" si="44"/>
        <v>90</v>
      </c>
      <c r="R75" s="477">
        <f t="shared" si="42"/>
        <v>0</v>
      </c>
      <c r="S75" s="477">
        <f t="shared" si="43"/>
        <v>90</v>
      </c>
      <c r="V75" s="476">
        <f t="shared" si="89"/>
        <v>0</v>
      </c>
      <c r="W75" s="476">
        <f t="shared" si="90"/>
        <v>0</v>
      </c>
      <c r="X75" s="476">
        <f t="shared" si="91"/>
        <v>0</v>
      </c>
      <c r="Y75" s="476">
        <f t="shared" si="92"/>
        <v>0</v>
      </c>
      <c r="Z75" s="476">
        <f t="shared" si="93"/>
        <v>0</v>
      </c>
      <c r="AA75" s="476">
        <f t="shared" si="94"/>
        <v>0</v>
      </c>
      <c r="AB75" s="476">
        <f t="shared" si="95"/>
        <v>0</v>
      </c>
      <c r="AC75" s="476">
        <f t="shared" si="96"/>
        <v>0</v>
      </c>
      <c r="AD75" s="476">
        <f t="shared" si="97"/>
        <v>90</v>
      </c>
      <c r="AE75" s="476">
        <f t="shared" si="98"/>
        <v>0</v>
      </c>
      <c r="AF75" s="476">
        <f t="shared" si="99"/>
        <v>0</v>
      </c>
      <c r="AG75" s="476">
        <f t="shared" si="100"/>
        <v>0</v>
      </c>
      <c r="AH75" s="476">
        <f t="shared" si="101"/>
        <v>0</v>
      </c>
      <c r="AI75" s="476">
        <f t="shared" si="102"/>
        <v>0</v>
      </c>
      <c r="AJ75" s="476">
        <f t="shared" si="103"/>
        <v>0</v>
      </c>
      <c r="AK75" s="476">
        <f t="shared" si="104"/>
        <v>0</v>
      </c>
      <c r="AL75" s="476">
        <f t="shared" si="105"/>
        <v>0</v>
      </c>
      <c r="AM75" s="476">
        <f t="shared" si="106"/>
        <v>0</v>
      </c>
      <c r="AN75" s="476">
        <f t="shared" si="107"/>
        <v>0</v>
      </c>
      <c r="AO75" s="476">
        <f t="shared" si="108"/>
        <v>0</v>
      </c>
      <c r="AP75" s="476">
        <f t="shared" si="109"/>
        <v>0</v>
      </c>
      <c r="AQ75" s="476">
        <f t="shared" si="110"/>
        <v>0</v>
      </c>
      <c r="AR75" s="476">
        <f t="shared" si="111"/>
        <v>0</v>
      </c>
      <c r="AS75" s="476">
        <f t="shared" si="112"/>
        <v>0</v>
      </c>
      <c r="AT75" s="476">
        <f t="shared" si="113"/>
        <v>0</v>
      </c>
      <c r="AU75" s="476">
        <f t="shared" si="114"/>
        <v>0</v>
      </c>
      <c r="AV75" s="476">
        <f t="shared" si="115"/>
        <v>0</v>
      </c>
      <c r="AW75" s="476">
        <f t="shared" si="116"/>
        <v>0</v>
      </c>
      <c r="AX75" s="476">
        <f t="shared" si="117"/>
        <v>0</v>
      </c>
      <c r="AY75" s="476">
        <f t="shared" si="118"/>
        <v>0</v>
      </c>
      <c r="AZ75" s="476">
        <f t="shared" si="119"/>
        <v>0</v>
      </c>
      <c r="BA75" s="476">
        <f t="shared" si="120"/>
        <v>0</v>
      </c>
      <c r="BB75" s="476">
        <f t="shared" si="121"/>
        <v>0</v>
      </c>
      <c r="BC75" s="476">
        <f t="shared" si="122"/>
        <v>0</v>
      </c>
      <c r="BD75" s="476">
        <f t="shared" si="123"/>
        <v>0</v>
      </c>
      <c r="BE75" s="476">
        <f t="shared" si="124"/>
        <v>0</v>
      </c>
      <c r="BF75" s="476">
        <f t="shared" si="125"/>
        <v>0</v>
      </c>
      <c r="BG75" s="476">
        <f t="shared" si="126"/>
        <v>0</v>
      </c>
    </row>
    <row r="76" spans="1:59" ht="16.5" customHeight="1">
      <c r="A76" s="583" t="s">
        <v>729</v>
      </c>
      <c r="B76" s="584" t="s">
        <v>1612</v>
      </c>
      <c r="C76" s="584" t="s">
        <v>92</v>
      </c>
      <c r="D76" s="413" t="s">
        <v>1051</v>
      </c>
      <c r="E76" s="412" t="s">
        <v>466</v>
      </c>
      <c r="F76" s="413" t="s">
        <v>1057</v>
      </c>
      <c r="G76" s="412" t="s">
        <v>1058</v>
      </c>
      <c r="H76" s="412" t="s">
        <v>1014</v>
      </c>
      <c r="I76" s="477">
        <v>80</v>
      </c>
      <c r="J76" s="477">
        <v>0</v>
      </c>
      <c r="K76" s="477">
        <v>0</v>
      </c>
      <c r="L76" s="477">
        <v>0</v>
      </c>
      <c r="M76" s="477">
        <f t="shared" si="127"/>
        <v>80</v>
      </c>
      <c r="N76" s="477">
        <f t="shared" si="128"/>
        <v>0</v>
      </c>
      <c r="O76" s="477"/>
      <c r="P76" s="477"/>
      <c r="Q76" s="477">
        <f t="shared" si="44"/>
        <v>80</v>
      </c>
      <c r="R76" s="477">
        <f t="shared" si="42"/>
        <v>0</v>
      </c>
      <c r="S76" s="477">
        <f t="shared" si="43"/>
        <v>80</v>
      </c>
      <c r="V76" s="476">
        <f t="shared" si="89"/>
        <v>0</v>
      </c>
      <c r="W76" s="476">
        <f t="shared" si="90"/>
        <v>0</v>
      </c>
      <c r="X76" s="476">
        <f t="shared" si="91"/>
        <v>0</v>
      </c>
      <c r="Y76" s="476">
        <f t="shared" si="92"/>
        <v>0</v>
      </c>
      <c r="Z76" s="476">
        <f t="shared" si="93"/>
        <v>0</v>
      </c>
      <c r="AA76" s="476">
        <f t="shared" si="94"/>
        <v>0</v>
      </c>
      <c r="AB76" s="476">
        <f t="shared" si="95"/>
        <v>0</v>
      </c>
      <c r="AC76" s="476">
        <f t="shared" si="96"/>
        <v>0</v>
      </c>
      <c r="AD76" s="476">
        <f t="shared" si="97"/>
        <v>0</v>
      </c>
      <c r="AE76" s="476">
        <f t="shared" si="98"/>
        <v>0</v>
      </c>
      <c r="AF76" s="476">
        <f t="shared" si="99"/>
        <v>0</v>
      </c>
      <c r="AG76" s="476">
        <f t="shared" si="100"/>
        <v>0</v>
      </c>
      <c r="AH76" s="476">
        <f t="shared" si="101"/>
        <v>0</v>
      </c>
      <c r="AI76" s="476">
        <f t="shared" si="102"/>
        <v>0</v>
      </c>
      <c r="AJ76" s="476">
        <f t="shared" si="103"/>
        <v>0</v>
      </c>
      <c r="AK76" s="476">
        <f t="shared" si="104"/>
        <v>0</v>
      </c>
      <c r="AL76" s="476">
        <f t="shared" si="105"/>
        <v>0</v>
      </c>
      <c r="AM76" s="476">
        <f t="shared" si="106"/>
        <v>0</v>
      </c>
      <c r="AN76" s="476">
        <f t="shared" si="107"/>
        <v>0</v>
      </c>
      <c r="AO76" s="476">
        <f t="shared" si="108"/>
        <v>0</v>
      </c>
      <c r="AP76" s="476">
        <f t="shared" si="109"/>
        <v>80</v>
      </c>
      <c r="AQ76" s="476">
        <f t="shared" si="110"/>
        <v>0</v>
      </c>
      <c r="AR76" s="476">
        <f t="shared" si="111"/>
        <v>0</v>
      </c>
      <c r="AS76" s="476">
        <f t="shared" si="112"/>
        <v>0</v>
      </c>
      <c r="AT76" s="476">
        <f t="shared" si="113"/>
        <v>0</v>
      </c>
      <c r="AU76" s="476">
        <f t="shared" si="114"/>
        <v>0</v>
      </c>
      <c r="AV76" s="476">
        <f t="shared" si="115"/>
        <v>0</v>
      </c>
      <c r="AW76" s="476">
        <f t="shared" si="116"/>
        <v>0</v>
      </c>
      <c r="AX76" s="476">
        <f t="shared" si="117"/>
        <v>0</v>
      </c>
      <c r="AY76" s="476">
        <f t="shared" si="118"/>
        <v>0</v>
      </c>
      <c r="AZ76" s="476">
        <f t="shared" si="119"/>
        <v>0</v>
      </c>
      <c r="BA76" s="476">
        <f t="shared" si="120"/>
        <v>0</v>
      </c>
      <c r="BB76" s="476">
        <f t="shared" si="121"/>
        <v>0</v>
      </c>
      <c r="BC76" s="476">
        <f t="shared" si="122"/>
        <v>0</v>
      </c>
      <c r="BD76" s="476">
        <f t="shared" si="123"/>
        <v>0</v>
      </c>
      <c r="BE76" s="476">
        <f t="shared" si="124"/>
        <v>0</v>
      </c>
      <c r="BF76" s="476">
        <f t="shared" si="125"/>
        <v>0</v>
      </c>
      <c r="BG76" s="476">
        <f t="shared" si="126"/>
        <v>0</v>
      </c>
    </row>
    <row r="77" spans="1:59" ht="16.5" customHeight="1">
      <c r="A77" s="583" t="s">
        <v>729</v>
      </c>
      <c r="B77" s="584" t="s">
        <v>1612</v>
      </c>
      <c r="C77" s="584" t="s">
        <v>94</v>
      </c>
      <c r="D77" s="413" t="s">
        <v>1051</v>
      </c>
      <c r="E77" s="412" t="s">
        <v>466</v>
      </c>
      <c r="F77" s="413" t="s">
        <v>1057</v>
      </c>
      <c r="G77" s="412" t="s">
        <v>1058</v>
      </c>
      <c r="H77" s="412" t="s">
        <v>974</v>
      </c>
      <c r="I77" s="477">
        <v>5591</v>
      </c>
      <c r="J77" s="477">
        <v>0</v>
      </c>
      <c r="K77" s="477">
        <v>0</v>
      </c>
      <c r="L77" s="477">
        <v>0</v>
      </c>
      <c r="M77" s="477">
        <f t="shared" si="127"/>
        <v>5591</v>
      </c>
      <c r="N77" s="477">
        <f t="shared" si="128"/>
        <v>0</v>
      </c>
      <c r="O77" s="477"/>
      <c r="P77" s="477"/>
      <c r="Q77" s="477">
        <f t="shared" ref="Q77:Q141" si="129">+M77+O77</f>
        <v>5591</v>
      </c>
      <c r="R77" s="477">
        <f t="shared" ref="R77:R141" si="130">+N77+P77</f>
        <v>0</v>
      </c>
      <c r="S77" s="477">
        <f t="shared" ref="S77:S141" si="131">+Q77-R77</f>
        <v>5591</v>
      </c>
      <c r="V77" s="476">
        <f t="shared" si="89"/>
        <v>5591</v>
      </c>
      <c r="W77" s="476">
        <f t="shared" si="90"/>
        <v>0</v>
      </c>
      <c r="X77" s="476">
        <f t="shared" si="91"/>
        <v>0</v>
      </c>
      <c r="Y77" s="476">
        <f t="shared" si="92"/>
        <v>0</v>
      </c>
      <c r="Z77" s="476">
        <f t="shared" si="93"/>
        <v>0</v>
      </c>
      <c r="AA77" s="476">
        <f t="shared" si="94"/>
        <v>0</v>
      </c>
      <c r="AB77" s="476">
        <f t="shared" si="95"/>
        <v>0</v>
      </c>
      <c r="AC77" s="476">
        <f t="shared" si="96"/>
        <v>0</v>
      </c>
      <c r="AD77" s="476">
        <f t="shared" si="97"/>
        <v>0</v>
      </c>
      <c r="AE77" s="476">
        <f t="shared" si="98"/>
        <v>0</v>
      </c>
      <c r="AF77" s="476">
        <f t="shared" si="99"/>
        <v>0</v>
      </c>
      <c r="AG77" s="476">
        <f t="shared" si="100"/>
        <v>0</v>
      </c>
      <c r="AH77" s="476">
        <f t="shared" si="101"/>
        <v>0</v>
      </c>
      <c r="AI77" s="476">
        <f t="shared" si="102"/>
        <v>0</v>
      </c>
      <c r="AJ77" s="476">
        <f t="shared" si="103"/>
        <v>0</v>
      </c>
      <c r="AK77" s="476">
        <f t="shared" si="104"/>
        <v>0</v>
      </c>
      <c r="AL77" s="476">
        <f t="shared" si="105"/>
        <v>0</v>
      </c>
      <c r="AM77" s="476">
        <f t="shared" si="106"/>
        <v>0</v>
      </c>
      <c r="AN77" s="476">
        <f t="shared" si="107"/>
        <v>0</v>
      </c>
      <c r="AO77" s="476">
        <f t="shared" si="108"/>
        <v>0</v>
      </c>
      <c r="AP77" s="476">
        <f t="shared" si="109"/>
        <v>0</v>
      </c>
      <c r="AQ77" s="476">
        <f t="shared" si="110"/>
        <v>0</v>
      </c>
      <c r="AR77" s="476">
        <f t="shared" si="111"/>
        <v>0</v>
      </c>
      <c r="AS77" s="476">
        <f t="shared" si="112"/>
        <v>0</v>
      </c>
      <c r="AT77" s="476">
        <f t="shared" si="113"/>
        <v>0</v>
      </c>
      <c r="AU77" s="476">
        <f t="shared" si="114"/>
        <v>0</v>
      </c>
      <c r="AV77" s="476">
        <f t="shared" si="115"/>
        <v>0</v>
      </c>
      <c r="AW77" s="476">
        <f t="shared" si="116"/>
        <v>0</v>
      </c>
      <c r="AX77" s="476">
        <f t="shared" si="117"/>
        <v>0</v>
      </c>
      <c r="AY77" s="476">
        <f t="shared" si="118"/>
        <v>0</v>
      </c>
      <c r="AZ77" s="476">
        <f t="shared" si="119"/>
        <v>0</v>
      </c>
      <c r="BA77" s="476">
        <f t="shared" si="120"/>
        <v>0</v>
      </c>
      <c r="BB77" s="476">
        <f t="shared" si="121"/>
        <v>0</v>
      </c>
      <c r="BC77" s="476">
        <f t="shared" si="122"/>
        <v>0</v>
      </c>
      <c r="BD77" s="476">
        <f t="shared" si="123"/>
        <v>0</v>
      </c>
      <c r="BE77" s="476">
        <f t="shared" si="124"/>
        <v>0</v>
      </c>
      <c r="BF77" s="476">
        <f t="shared" si="125"/>
        <v>0</v>
      </c>
      <c r="BG77" s="476">
        <f t="shared" si="126"/>
        <v>0</v>
      </c>
    </row>
    <row r="78" spans="1:59" ht="16.5" customHeight="1">
      <c r="A78" s="583" t="s">
        <v>729</v>
      </c>
      <c r="B78" s="584" t="s">
        <v>1612</v>
      </c>
      <c r="C78" s="584" t="s">
        <v>1733</v>
      </c>
      <c r="D78" s="413" t="s">
        <v>1051</v>
      </c>
      <c r="E78" s="412" t="s">
        <v>466</v>
      </c>
      <c r="F78" s="413" t="s">
        <v>1057</v>
      </c>
      <c r="G78" s="412" t="s">
        <v>1058</v>
      </c>
      <c r="H78" s="412" t="s">
        <v>1055</v>
      </c>
      <c r="I78" s="477">
        <v>22</v>
      </c>
      <c r="J78" s="477">
        <v>0</v>
      </c>
      <c r="K78" s="477">
        <v>0</v>
      </c>
      <c r="L78" s="477">
        <v>0</v>
      </c>
      <c r="M78" s="477">
        <f t="shared" si="127"/>
        <v>22</v>
      </c>
      <c r="N78" s="477">
        <f t="shared" si="128"/>
        <v>0</v>
      </c>
      <c r="O78" s="477"/>
      <c r="P78" s="477"/>
      <c r="Q78" s="477">
        <f t="shared" si="129"/>
        <v>22</v>
      </c>
      <c r="R78" s="477">
        <f t="shared" si="130"/>
        <v>0</v>
      </c>
      <c r="S78" s="477">
        <f t="shared" si="131"/>
        <v>22</v>
      </c>
      <c r="V78" s="476">
        <f t="shared" si="89"/>
        <v>0</v>
      </c>
      <c r="W78" s="476">
        <f t="shared" si="90"/>
        <v>0</v>
      </c>
      <c r="X78" s="476">
        <f t="shared" si="91"/>
        <v>0</v>
      </c>
      <c r="Y78" s="476">
        <f t="shared" si="92"/>
        <v>0</v>
      </c>
      <c r="Z78" s="476">
        <f t="shared" si="93"/>
        <v>0</v>
      </c>
      <c r="AA78" s="476">
        <f t="shared" si="94"/>
        <v>0</v>
      </c>
      <c r="AB78" s="476">
        <f t="shared" si="95"/>
        <v>0</v>
      </c>
      <c r="AC78" s="476">
        <f t="shared" si="96"/>
        <v>0</v>
      </c>
      <c r="AD78" s="476">
        <f t="shared" si="97"/>
        <v>0</v>
      </c>
      <c r="AE78" s="476">
        <f t="shared" si="98"/>
        <v>0</v>
      </c>
      <c r="AF78" s="476">
        <f t="shared" si="99"/>
        <v>0</v>
      </c>
      <c r="AG78" s="476">
        <f t="shared" si="100"/>
        <v>0</v>
      </c>
      <c r="AH78" s="476">
        <f t="shared" si="101"/>
        <v>0</v>
      </c>
      <c r="AI78" s="476">
        <f t="shared" si="102"/>
        <v>0</v>
      </c>
      <c r="AJ78" s="476">
        <f t="shared" si="103"/>
        <v>0</v>
      </c>
      <c r="AK78" s="476">
        <f t="shared" si="104"/>
        <v>0</v>
      </c>
      <c r="AL78" s="476">
        <f t="shared" si="105"/>
        <v>0</v>
      </c>
      <c r="AM78" s="476">
        <f t="shared" si="106"/>
        <v>0</v>
      </c>
      <c r="AN78" s="476">
        <f t="shared" si="107"/>
        <v>0</v>
      </c>
      <c r="AO78" s="476">
        <f t="shared" si="108"/>
        <v>0</v>
      </c>
      <c r="AP78" s="476">
        <f t="shared" si="109"/>
        <v>0</v>
      </c>
      <c r="AQ78" s="476">
        <f t="shared" si="110"/>
        <v>0</v>
      </c>
      <c r="AR78" s="476">
        <f t="shared" si="111"/>
        <v>0</v>
      </c>
      <c r="AS78" s="476">
        <f t="shared" si="112"/>
        <v>0</v>
      </c>
      <c r="AT78" s="476">
        <f t="shared" si="113"/>
        <v>0</v>
      </c>
      <c r="AU78" s="476">
        <f t="shared" si="114"/>
        <v>0</v>
      </c>
      <c r="AV78" s="476">
        <f t="shared" si="115"/>
        <v>0</v>
      </c>
      <c r="AW78" s="476">
        <f t="shared" si="116"/>
        <v>0</v>
      </c>
      <c r="AX78" s="476">
        <f t="shared" si="117"/>
        <v>0</v>
      </c>
      <c r="AY78" s="476">
        <f t="shared" si="118"/>
        <v>0</v>
      </c>
      <c r="AZ78" s="476">
        <f t="shared" si="119"/>
        <v>0</v>
      </c>
      <c r="BA78" s="476">
        <f t="shared" si="120"/>
        <v>0</v>
      </c>
      <c r="BB78" s="476">
        <f t="shared" si="121"/>
        <v>22</v>
      </c>
      <c r="BC78" s="476">
        <f t="shared" si="122"/>
        <v>0</v>
      </c>
      <c r="BD78" s="476">
        <f t="shared" si="123"/>
        <v>0</v>
      </c>
      <c r="BE78" s="476">
        <f t="shared" si="124"/>
        <v>0</v>
      </c>
      <c r="BF78" s="476">
        <f t="shared" si="125"/>
        <v>0</v>
      </c>
      <c r="BG78" s="476">
        <f t="shared" si="126"/>
        <v>0</v>
      </c>
    </row>
    <row r="79" spans="1:59" ht="16.5" customHeight="1">
      <c r="A79" s="583" t="s">
        <v>729</v>
      </c>
      <c r="B79" s="584" t="s">
        <v>1612</v>
      </c>
      <c r="C79" s="584" t="s">
        <v>95</v>
      </c>
      <c r="D79" s="413" t="s">
        <v>1051</v>
      </c>
      <c r="E79" s="412" t="s">
        <v>466</v>
      </c>
      <c r="F79" s="413" t="s">
        <v>1057</v>
      </c>
      <c r="G79" s="412" t="s">
        <v>1058</v>
      </c>
      <c r="H79" s="412" t="s">
        <v>1021</v>
      </c>
      <c r="I79" s="477">
        <v>0</v>
      </c>
      <c r="J79" s="477">
        <v>240</v>
      </c>
      <c r="K79" s="477">
        <v>0</v>
      </c>
      <c r="L79" s="477">
        <v>0</v>
      </c>
      <c r="M79" s="477">
        <f t="shared" si="127"/>
        <v>0</v>
      </c>
      <c r="N79" s="477">
        <f t="shared" si="128"/>
        <v>240</v>
      </c>
      <c r="O79" s="477"/>
      <c r="P79" s="477"/>
      <c r="Q79" s="477">
        <f t="shared" si="129"/>
        <v>0</v>
      </c>
      <c r="R79" s="477">
        <f t="shared" si="130"/>
        <v>240</v>
      </c>
      <c r="S79" s="477">
        <f t="shared" si="131"/>
        <v>-240</v>
      </c>
      <c r="V79" s="476">
        <f t="shared" si="89"/>
        <v>0</v>
      </c>
      <c r="W79" s="476">
        <f t="shared" si="90"/>
        <v>0</v>
      </c>
      <c r="X79" s="476">
        <f t="shared" si="91"/>
        <v>0</v>
      </c>
      <c r="Y79" s="476">
        <f t="shared" si="92"/>
        <v>0</v>
      </c>
      <c r="Z79" s="476">
        <f t="shared" si="93"/>
        <v>0</v>
      </c>
      <c r="AA79" s="476">
        <f t="shared" si="94"/>
        <v>0</v>
      </c>
      <c r="AB79" s="476">
        <f t="shared" si="95"/>
        <v>0</v>
      </c>
      <c r="AC79" s="476">
        <f t="shared" si="96"/>
        <v>0</v>
      </c>
      <c r="AD79" s="476">
        <f t="shared" si="97"/>
        <v>0</v>
      </c>
      <c r="AE79" s="476">
        <f t="shared" si="98"/>
        <v>0</v>
      </c>
      <c r="AF79" s="476">
        <f t="shared" si="99"/>
        <v>0</v>
      </c>
      <c r="AG79" s="476">
        <f t="shared" si="100"/>
        <v>240</v>
      </c>
      <c r="AH79" s="476">
        <f t="shared" si="101"/>
        <v>0</v>
      </c>
      <c r="AI79" s="476">
        <f t="shared" si="102"/>
        <v>0</v>
      </c>
      <c r="AJ79" s="476">
        <f t="shared" si="103"/>
        <v>0</v>
      </c>
      <c r="AK79" s="476">
        <f t="shared" si="104"/>
        <v>0</v>
      </c>
      <c r="AL79" s="476">
        <f t="shared" si="105"/>
        <v>0</v>
      </c>
      <c r="AM79" s="476">
        <f t="shared" si="106"/>
        <v>0</v>
      </c>
      <c r="AN79" s="476">
        <f t="shared" si="107"/>
        <v>0</v>
      </c>
      <c r="AO79" s="476">
        <f t="shared" si="108"/>
        <v>0</v>
      </c>
      <c r="AP79" s="476">
        <f t="shared" si="109"/>
        <v>0</v>
      </c>
      <c r="AQ79" s="476">
        <f t="shared" si="110"/>
        <v>0</v>
      </c>
      <c r="AR79" s="476">
        <f t="shared" si="111"/>
        <v>0</v>
      </c>
      <c r="AS79" s="476">
        <f t="shared" si="112"/>
        <v>0</v>
      </c>
      <c r="AT79" s="476">
        <f t="shared" si="113"/>
        <v>0</v>
      </c>
      <c r="AU79" s="476">
        <f t="shared" si="114"/>
        <v>0</v>
      </c>
      <c r="AV79" s="476">
        <f t="shared" si="115"/>
        <v>0</v>
      </c>
      <c r="AW79" s="476">
        <f t="shared" si="116"/>
        <v>0</v>
      </c>
      <c r="AX79" s="476">
        <f t="shared" si="117"/>
        <v>0</v>
      </c>
      <c r="AY79" s="476">
        <f t="shared" si="118"/>
        <v>0</v>
      </c>
      <c r="AZ79" s="476">
        <f t="shared" si="119"/>
        <v>0</v>
      </c>
      <c r="BA79" s="476">
        <f t="shared" si="120"/>
        <v>0</v>
      </c>
      <c r="BB79" s="476">
        <f t="shared" si="121"/>
        <v>0</v>
      </c>
      <c r="BC79" s="476">
        <f t="shared" si="122"/>
        <v>0</v>
      </c>
      <c r="BD79" s="476">
        <f t="shared" si="123"/>
        <v>0</v>
      </c>
      <c r="BE79" s="476">
        <f t="shared" si="124"/>
        <v>0</v>
      </c>
      <c r="BF79" s="476">
        <f t="shared" si="125"/>
        <v>0</v>
      </c>
      <c r="BG79" s="476">
        <f t="shared" si="126"/>
        <v>0</v>
      </c>
    </row>
    <row r="80" spans="1:59" ht="16.5" customHeight="1">
      <c r="A80" s="583" t="s">
        <v>729</v>
      </c>
      <c r="B80" s="584" t="s">
        <v>1612</v>
      </c>
      <c r="C80" s="584" t="s">
        <v>93</v>
      </c>
      <c r="D80" s="413" t="s">
        <v>1051</v>
      </c>
      <c r="E80" s="412" t="s">
        <v>466</v>
      </c>
      <c r="F80" s="413" t="s">
        <v>1057</v>
      </c>
      <c r="G80" s="412" t="s">
        <v>1058</v>
      </c>
      <c r="H80" s="412" t="s">
        <v>1027</v>
      </c>
      <c r="I80" s="477">
        <v>80</v>
      </c>
      <c r="J80" s="477">
        <v>0</v>
      </c>
      <c r="K80" s="477">
        <v>0</v>
      </c>
      <c r="L80" s="477">
        <v>0</v>
      </c>
      <c r="M80" s="477">
        <f t="shared" si="127"/>
        <v>80</v>
      </c>
      <c r="N80" s="477">
        <f t="shared" si="128"/>
        <v>0</v>
      </c>
      <c r="O80" s="477"/>
      <c r="P80" s="477"/>
      <c r="Q80" s="477">
        <f t="shared" si="129"/>
        <v>80</v>
      </c>
      <c r="R80" s="477">
        <f t="shared" si="130"/>
        <v>0</v>
      </c>
      <c r="S80" s="477">
        <f t="shared" si="131"/>
        <v>80</v>
      </c>
      <c r="V80" s="476">
        <f t="shared" si="89"/>
        <v>0</v>
      </c>
      <c r="W80" s="476">
        <f t="shared" si="90"/>
        <v>0</v>
      </c>
      <c r="X80" s="476">
        <f t="shared" si="91"/>
        <v>0</v>
      </c>
      <c r="Y80" s="476">
        <f t="shared" si="92"/>
        <v>0</v>
      </c>
      <c r="Z80" s="476">
        <f t="shared" si="93"/>
        <v>0</v>
      </c>
      <c r="AA80" s="476">
        <f t="shared" si="94"/>
        <v>0</v>
      </c>
      <c r="AB80" s="476">
        <f t="shared" si="95"/>
        <v>0</v>
      </c>
      <c r="AC80" s="476">
        <f t="shared" si="96"/>
        <v>0</v>
      </c>
      <c r="AD80" s="476">
        <f t="shared" si="97"/>
        <v>0</v>
      </c>
      <c r="AE80" s="476">
        <f t="shared" si="98"/>
        <v>0</v>
      </c>
      <c r="AF80" s="476">
        <f t="shared" si="99"/>
        <v>0</v>
      </c>
      <c r="AG80" s="476">
        <f t="shared" si="100"/>
        <v>0</v>
      </c>
      <c r="AH80" s="476">
        <f t="shared" si="101"/>
        <v>0</v>
      </c>
      <c r="AI80" s="476">
        <f t="shared" si="102"/>
        <v>0</v>
      </c>
      <c r="AJ80" s="476">
        <f t="shared" si="103"/>
        <v>0</v>
      </c>
      <c r="AK80" s="476">
        <f t="shared" si="104"/>
        <v>0</v>
      </c>
      <c r="AL80" s="476">
        <f t="shared" si="105"/>
        <v>0</v>
      </c>
      <c r="AM80" s="476">
        <f t="shared" si="106"/>
        <v>0</v>
      </c>
      <c r="AN80" s="476">
        <f t="shared" si="107"/>
        <v>0</v>
      </c>
      <c r="AO80" s="476">
        <f t="shared" si="108"/>
        <v>0</v>
      </c>
      <c r="AP80" s="476">
        <f t="shared" si="109"/>
        <v>0</v>
      </c>
      <c r="AQ80" s="476">
        <f t="shared" si="110"/>
        <v>0</v>
      </c>
      <c r="AR80" s="476">
        <f t="shared" si="111"/>
        <v>80</v>
      </c>
      <c r="AS80" s="476">
        <f t="shared" si="112"/>
        <v>0</v>
      </c>
      <c r="AT80" s="476">
        <f t="shared" si="113"/>
        <v>0</v>
      </c>
      <c r="AU80" s="476">
        <f t="shared" si="114"/>
        <v>0</v>
      </c>
      <c r="AV80" s="476">
        <f t="shared" si="115"/>
        <v>0</v>
      </c>
      <c r="AW80" s="476">
        <f t="shared" si="116"/>
        <v>0</v>
      </c>
      <c r="AX80" s="476">
        <f t="shared" si="117"/>
        <v>0</v>
      </c>
      <c r="AY80" s="476">
        <f t="shared" si="118"/>
        <v>0</v>
      </c>
      <c r="AZ80" s="476">
        <f t="shared" si="119"/>
        <v>0</v>
      </c>
      <c r="BA80" s="476">
        <f t="shared" si="120"/>
        <v>0</v>
      </c>
      <c r="BB80" s="476">
        <f t="shared" si="121"/>
        <v>0</v>
      </c>
      <c r="BC80" s="476">
        <f t="shared" si="122"/>
        <v>0</v>
      </c>
      <c r="BD80" s="476">
        <f t="shared" si="123"/>
        <v>0</v>
      </c>
      <c r="BE80" s="476">
        <f t="shared" si="124"/>
        <v>0</v>
      </c>
      <c r="BF80" s="476">
        <f t="shared" si="125"/>
        <v>0</v>
      </c>
      <c r="BG80" s="476">
        <f t="shared" si="126"/>
        <v>0</v>
      </c>
    </row>
    <row r="81" spans="1:59" ht="16.5" customHeight="1">
      <c r="A81" s="583" t="s">
        <v>731</v>
      </c>
      <c r="B81" s="584" t="s">
        <v>1613</v>
      </c>
      <c r="C81" s="584" t="s">
        <v>100</v>
      </c>
      <c r="D81" s="413" t="s">
        <v>1051</v>
      </c>
      <c r="E81" s="412" t="s">
        <v>466</v>
      </c>
      <c r="F81" s="413" t="s">
        <v>1057</v>
      </c>
      <c r="G81" s="412" t="s">
        <v>1058</v>
      </c>
      <c r="H81" s="412" t="s">
        <v>1012</v>
      </c>
      <c r="I81" s="477">
        <v>50</v>
      </c>
      <c r="J81" s="477">
        <v>0</v>
      </c>
      <c r="K81" s="477">
        <v>0</v>
      </c>
      <c r="L81" s="477">
        <v>0</v>
      </c>
      <c r="M81" s="477">
        <f t="shared" si="127"/>
        <v>50</v>
      </c>
      <c r="N81" s="477">
        <f t="shared" si="128"/>
        <v>0</v>
      </c>
      <c r="O81" s="477"/>
      <c r="P81" s="477"/>
      <c r="Q81" s="477">
        <f t="shared" si="129"/>
        <v>50</v>
      </c>
      <c r="R81" s="477">
        <f t="shared" si="130"/>
        <v>0</v>
      </c>
      <c r="S81" s="477">
        <f t="shared" si="131"/>
        <v>50</v>
      </c>
      <c r="V81" s="476">
        <f t="shared" si="89"/>
        <v>0</v>
      </c>
      <c r="W81" s="476">
        <f t="shared" si="90"/>
        <v>0</v>
      </c>
      <c r="X81" s="476">
        <f t="shared" si="91"/>
        <v>0</v>
      </c>
      <c r="Y81" s="476">
        <f t="shared" si="92"/>
        <v>0</v>
      </c>
      <c r="Z81" s="476">
        <f t="shared" si="93"/>
        <v>0</v>
      </c>
      <c r="AA81" s="476">
        <f t="shared" si="94"/>
        <v>0</v>
      </c>
      <c r="AB81" s="476">
        <f t="shared" si="95"/>
        <v>50</v>
      </c>
      <c r="AC81" s="476">
        <f t="shared" si="96"/>
        <v>0</v>
      </c>
      <c r="AD81" s="476">
        <f t="shared" si="97"/>
        <v>0</v>
      </c>
      <c r="AE81" s="476">
        <f t="shared" si="98"/>
        <v>0</v>
      </c>
      <c r="AF81" s="476">
        <f t="shared" si="99"/>
        <v>0</v>
      </c>
      <c r="AG81" s="476">
        <f t="shared" si="100"/>
        <v>0</v>
      </c>
      <c r="AH81" s="476">
        <f t="shared" si="101"/>
        <v>0</v>
      </c>
      <c r="AI81" s="476">
        <f t="shared" si="102"/>
        <v>0</v>
      </c>
      <c r="AJ81" s="476">
        <f t="shared" si="103"/>
        <v>0</v>
      </c>
      <c r="AK81" s="476">
        <f t="shared" si="104"/>
        <v>0</v>
      </c>
      <c r="AL81" s="476">
        <f t="shared" si="105"/>
        <v>0</v>
      </c>
      <c r="AM81" s="476">
        <f t="shared" si="106"/>
        <v>0</v>
      </c>
      <c r="AN81" s="476">
        <f t="shared" si="107"/>
        <v>0</v>
      </c>
      <c r="AO81" s="476">
        <f t="shared" si="108"/>
        <v>0</v>
      </c>
      <c r="AP81" s="476">
        <f t="shared" si="109"/>
        <v>0</v>
      </c>
      <c r="AQ81" s="476">
        <f t="shared" si="110"/>
        <v>0</v>
      </c>
      <c r="AR81" s="476">
        <f t="shared" si="111"/>
        <v>0</v>
      </c>
      <c r="AS81" s="476">
        <f t="shared" si="112"/>
        <v>0</v>
      </c>
      <c r="AT81" s="476">
        <f t="shared" si="113"/>
        <v>0</v>
      </c>
      <c r="AU81" s="476">
        <f t="shared" si="114"/>
        <v>0</v>
      </c>
      <c r="AV81" s="476">
        <f t="shared" si="115"/>
        <v>0</v>
      </c>
      <c r="AW81" s="476">
        <f t="shared" si="116"/>
        <v>0</v>
      </c>
      <c r="AX81" s="476">
        <f t="shared" si="117"/>
        <v>0</v>
      </c>
      <c r="AY81" s="476">
        <f t="shared" si="118"/>
        <v>0</v>
      </c>
      <c r="AZ81" s="476">
        <f t="shared" si="119"/>
        <v>0</v>
      </c>
      <c r="BA81" s="476">
        <f t="shared" si="120"/>
        <v>0</v>
      </c>
      <c r="BB81" s="476">
        <f t="shared" si="121"/>
        <v>0</v>
      </c>
      <c r="BC81" s="476">
        <f t="shared" si="122"/>
        <v>0</v>
      </c>
      <c r="BD81" s="476">
        <f t="shared" si="123"/>
        <v>0</v>
      </c>
      <c r="BE81" s="476">
        <f t="shared" si="124"/>
        <v>0</v>
      </c>
      <c r="BF81" s="476">
        <f t="shared" si="125"/>
        <v>0</v>
      </c>
      <c r="BG81" s="476">
        <f t="shared" si="126"/>
        <v>0</v>
      </c>
    </row>
    <row r="82" spans="1:59" ht="16.5" customHeight="1">
      <c r="A82" s="583" t="s">
        <v>732</v>
      </c>
      <c r="B82" s="584" t="s">
        <v>1614</v>
      </c>
      <c r="C82" s="584" t="s">
        <v>101</v>
      </c>
      <c r="D82" s="413" t="s">
        <v>1051</v>
      </c>
      <c r="E82" s="412" t="s">
        <v>466</v>
      </c>
      <c r="F82" s="413" t="s">
        <v>1057</v>
      </c>
      <c r="G82" s="412" t="s">
        <v>1058</v>
      </c>
      <c r="H82" s="412" t="s">
        <v>1012</v>
      </c>
      <c r="I82" s="477">
        <v>50</v>
      </c>
      <c r="J82" s="477">
        <v>0</v>
      </c>
      <c r="K82" s="477">
        <v>0</v>
      </c>
      <c r="L82" s="477">
        <v>0</v>
      </c>
      <c r="M82" s="477">
        <f t="shared" si="127"/>
        <v>50</v>
      </c>
      <c r="N82" s="477">
        <f t="shared" si="128"/>
        <v>0</v>
      </c>
      <c r="O82" s="477"/>
      <c r="P82" s="477"/>
      <c r="Q82" s="477">
        <f t="shared" si="129"/>
        <v>50</v>
      </c>
      <c r="R82" s="477">
        <f t="shared" si="130"/>
        <v>0</v>
      </c>
      <c r="S82" s="477">
        <f t="shared" si="131"/>
        <v>50</v>
      </c>
      <c r="V82" s="476">
        <f t="shared" si="89"/>
        <v>0</v>
      </c>
      <c r="W82" s="476">
        <f t="shared" si="90"/>
        <v>0</v>
      </c>
      <c r="X82" s="476">
        <f t="shared" si="91"/>
        <v>0</v>
      </c>
      <c r="Y82" s="476">
        <f t="shared" si="92"/>
        <v>0</v>
      </c>
      <c r="Z82" s="476">
        <f t="shared" si="93"/>
        <v>0</v>
      </c>
      <c r="AA82" s="476">
        <f t="shared" si="94"/>
        <v>0</v>
      </c>
      <c r="AB82" s="476">
        <f t="shared" si="95"/>
        <v>50</v>
      </c>
      <c r="AC82" s="476">
        <f t="shared" si="96"/>
        <v>0</v>
      </c>
      <c r="AD82" s="476">
        <f t="shared" si="97"/>
        <v>0</v>
      </c>
      <c r="AE82" s="476">
        <f t="shared" si="98"/>
        <v>0</v>
      </c>
      <c r="AF82" s="476">
        <f t="shared" si="99"/>
        <v>0</v>
      </c>
      <c r="AG82" s="476">
        <f t="shared" si="100"/>
        <v>0</v>
      </c>
      <c r="AH82" s="476">
        <f t="shared" si="101"/>
        <v>0</v>
      </c>
      <c r="AI82" s="476">
        <f t="shared" si="102"/>
        <v>0</v>
      </c>
      <c r="AJ82" s="476">
        <f t="shared" si="103"/>
        <v>0</v>
      </c>
      <c r="AK82" s="476">
        <f t="shared" si="104"/>
        <v>0</v>
      </c>
      <c r="AL82" s="476">
        <f t="shared" si="105"/>
        <v>0</v>
      </c>
      <c r="AM82" s="476">
        <f t="shared" si="106"/>
        <v>0</v>
      </c>
      <c r="AN82" s="476">
        <f t="shared" si="107"/>
        <v>0</v>
      </c>
      <c r="AO82" s="476">
        <f t="shared" si="108"/>
        <v>0</v>
      </c>
      <c r="AP82" s="476">
        <f t="shared" si="109"/>
        <v>0</v>
      </c>
      <c r="AQ82" s="476">
        <f t="shared" si="110"/>
        <v>0</v>
      </c>
      <c r="AR82" s="476">
        <f t="shared" si="111"/>
        <v>0</v>
      </c>
      <c r="AS82" s="476">
        <f t="shared" si="112"/>
        <v>0</v>
      </c>
      <c r="AT82" s="476">
        <f t="shared" si="113"/>
        <v>0</v>
      </c>
      <c r="AU82" s="476">
        <f t="shared" si="114"/>
        <v>0</v>
      </c>
      <c r="AV82" s="476">
        <f t="shared" si="115"/>
        <v>0</v>
      </c>
      <c r="AW82" s="476">
        <f t="shared" si="116"/>
        <v>0</v>
      </c>
      <c r="AX82" s="476">
        <f t="shared" si="117"/>
        <v>0</v>
      </c>
      <c r="AY82" s="476">
        <f t="shared" si="118"/>
        <v>0</v>
      </c>
      <c r="AZ82" s="476">
        <f t="shared" si="119"/>
        <v>0</v>
      </c>
      <c r="BA82" s="476">
        <f t="shared" si="120"/>
        <v>0</v>
      </c>
      <c r="BB82" s="476">
        <f t="shared" si="121"/>
        <v>0</v>
      </c>
      <c r="BC82" s="476">
        <f t="shared" si="122"/>
        <v>0</v>
      </c>
      <c r="BD82" s="476">
        <f t="shared" si="123"/>
        <v>0</v>
      </c>
      <c r="BE82" s="476">
        <f t="shared" si="124"/>
        <v>0</v>
      </c>
      <c r="BF82" s="476">
        <f t="shared" si="125"/>
        <v>0</v>
      </c>
      <c r="BG82" s="476">
        <f t="shared" si="126"/>
        <v>0</v>
      </c>
    </row>
    <row r="83" spans="1:59" ht="16.5" customHeight="1">
      <c r="A83" s="583" t="s">
        <v>734</v>
      </c>
      <c r="B83" s="584" t="s">
        <v>1615</v>
      </c>
      <c r="C83" s="584" t="s">
        <v>104</v>
      </c>
      <c r="D83" s="413" t="s">
        <v>1051</v>
      </c>
      <c r="E83" s="412" t="s">
        <v>466</v>
      </c>
      <c r="F83" s="413" t="s">
        <v>1057</v>
      </c>
      <c r="G83" s="412" t="s">
        <v>1058</v>
      </c>
      <c r="H83" s="412" t="s">
        <v>1013</v>
      </c>
      <c r="I83" s="477">
        <v>50</v>
      </c>
      <c r="J83" s="477">
        <v>0</v>
      </c>
      <c r="K83" s="477">
        <v>0</v>
      </c>
      <c r="L83" s="477">
        <v>0</v>
      </c>
      <c r="M83" s="477">
        <f t="shared" si="127"/>
        <v>50</v>
      </c>
      <c r="N83" s="477">
        <f t="shared" si="128"/>
        <v>0</v>
      </c>
      <c r="O83" s="477"/>
      <c r="P83" s="477"/>
      <c r="Q83" s="477">
        <f t="shared" si="129"/>
        <v>50</v>
      </c>
      <c r="R83" s="477">
        <f t="shared" si="130"/>
        <v>0</v>
      </c>
      <c r="S83" s="477">
        <f t="shared" si="131"/>
        <v>50</v>
      </c>
      <c r="V83" s="476">
        <f t="shared" si="89"/>
        <v>0</v>
      </c>
      <c r="W83" s="476">
        <f t="shared" si="90"/>
        <v>0</v>
      </c>
      <c r="X83" s="476">
        <f t="shared" si="91"/>
        <v>0</v>
      </c>
      <c r="Y83" s="476">
        <f t="shared" si="92"/>
        <v>0</v>
      </c>
      <c r="Z83" s="476">
        <f t="shared" si="93"/>
        <v>0</v>
      </c>
      <c r="AA83" s="476">
        <f t="shared" si="94"/>
        <v>0</v>
      </c>
      <c r="AB83" s="476">
        <f t="shared" si="95"/>
        <v>0</v>
      </c>
      <c r="AC83" s="476">
        <f t="shared" si="96"/>
        <v>0</v>
      </c>
      <c r="AD83" s="476">
        <f t="shared" si="97"/>
        <v>0</v>
      </c>
      <c r="AE83" s="476">
        <f t="shared" si="98"/>
        <v>0</v>
      </c>
      <c r="AF83" s="476">
        <f t="shared" si="99"/>
        <v>0</v>
      </c>
      <c r="AG83" s="476">
        <f t="shared" si="100"/>
        <v>0</v>
      </c>
      <c r="AH83" s="476">
        <f t="shared" si="101"/>
        <v>0</v>
      </c>
      <c r="AI83" s="476">
        <f t="shared" si="102"/>
        <v>0</v>
      </c>
      <c r="AJ83" s="476">
        <f t="shared" si="103"/>
        <v>50</v>
      </c>
      <c r="AK83" s="476">
        <f t="shared" si="104"/>
        <v>0</v>
      </c>
      <c r="AL83" s="476">
        <f t="shared" si="105"/>
        <v>0</v>
      </c>
      <c r="AM83" s="476">
        <f t="shared" si="106"/>
        <v>0</v>
      </c>
      <c r="AN83" s="476">
        <f t="shared" si="107"/>
        <v>0</v>
      </c>
      <c r="AO83" s="476">
        <f t="shared" si="108"/>
        <v>0</v>
      </c>
      <c r="AP83" s="476">
        <f t="shared" si="109"/>
        <v>0</v>
      </c>
      <c r="AQ83" s="476">
        <f t="shared" si="110"/>
        <v>0</v>
      </c>
      <c r="AR83" s="476">
        <f t="shared" si="111"/>
        <v>0</v>
      </c>
      <c r="AS83" s="476">
        <f t="shared" si="112"/>
        <v>0</v>
      </c>
      <c r="AT83" s="476">
        <f t="shared" si="113"/>
        <v>0</v>
      </c>
      <c r="AU83" s="476">
        <f t="shared" si="114"/>
        <v>0</v>
      </c>
      <c r="AV83" s="476">
        <f t="shared" si="115"/>
        <v>0</v>
      </c>
      <c r="AW83" s="476">
        <f t="shared" si="116"/>
        <v>0</v>
      </c>
      <c r="AX83" s="476">
        <f t="shared" si="117"/>
        <v>0</v>
      </c>
      <c r="AY83" s="476">
        <f t="shared" si="118"/>
        <v>0</v>
      </c>
      <c r="AZ83" s="476">
        <f t="shared" si="119"/>
        <v>0</v>
      </c>
      <c r="BA83" s="476">
        <f t="shared" si="120"/>
        <v>0</v>
      </c>
      <c r="BB83" s="476">
        <f t="shared" si="121"/>
        <v>0</v>
      </c>
      <c r="BC83" s="476">
        <f t="shared" si="122"/>
        <v>0</v>
      </c>
      <c r="BD83" s="476">
        <f t="shared" si="123"/>
        <v>0</v>
      </c>
      <c r="BE83" s="476">
        <f t="shared" si="124"/>
        <v>0</v>
      </c>
      <c r="BF83" s="476">
        <f t="shared" si="125"/>
        <v>0</v>
      </c>
      <c r="BG83" s="476">
        <f t="shared" si="126"/>
        <v>0</v>
      </c>
    </row>
    <row r="84" spans="1:59" ht="16.5" customHeight="1">
      <c r="A84" s="583" t="s">
        <v>735</v>
      </c>
      <c r="B84" s="584" t="s">
        <v>1616</v>
      </c>
      <c r="C84" s="584" t="s">
        <v>105</v>
      </c>
      <c r="D84" s="413" t="s">
        <v>1051</v>
      </c>
      <c r="E84" s="412" t="s">
        <v>466</v>
      </c>
      <c r="F84" s="413" t="s">
        <v>1057</v>
      </c>
      <c r="G84" s="412" t="s">
        <v>1058</v>
      </c>
      <c r="H84" s="412" t="s">
        <v>1013</v>
      </c>
      <c r="I84" s="477">
        <v>50</v>
      </c>
      <c r="J84" s="477">
        <v>0</v>
      </c>
      <c r="K84" s="477">
        <v>0</v>
      </c>
      <c r="L84" s="477">
        <v>0</v>
      </c>
      <c r="M84" s="477">
        <f t="shared" si="127"/>
        <v>50</v>
      </c>
      <c r="N84" s="477">
        <f t="shared" si="128"/>
        <v>0</v>
      </c>
      <c r="O84" s="477"/>
      <c r="P84" s="477"/>
      <c r="Q84" s="477">
        <f t="shared" si="129"/>
        <v>50</v>
      </c>
      <c r="R84" s="477">
        <f t="shared" si="130"/>
        <v>0</v>
      </c>
      <c r="S84" s="477">
        <f t="shared" si="131"/>
        <v>50</v>
      </c>
      <c r="V84" s="476">
        <f t="shared" si="89"/>
        <v>0</v>
      </c>
      <c r="W84" s="476">
        <f t="shared" si="90"/>
        <v>0</v>
      </c>
      <c r="X84" s="476">
        <f t="shared" si="91"/>
        <v>0</v>
      </c>
      <c r="Y84" s="476">
        <f t="shared" si="92"/>
        <v>0</v>
      </c>
      <c r="Z84" s="476">
        <f t="shared" si="93"/>
        <v>0</v>
      </c>
      <c r="AA84" s="476">
        <f t="shared" si="94"/>
        <v>0</v>
      </c>
      <c r="AB84" s="476">
        <f t="shared" si="95"/>
        <v>0</v>
      </c>
      <c r="AC84" s="476">
        <f t="shared" si="96"/>
        <v>0</v>
      </c>
      <c r="AD84" s="476">
        <f t="shared" si="97"/>
        <v>0</v>
      </c>
      <c r="AE84" s="476">
        <f t="shared" si="98"/>
        <v>0</v>
      </c>
      <c r="AF84" s="476">
        <f t="shared" si="99"/>
        <v>0</v>
      </c>
      <c r="AG84" s="476">
        <f t="shared" si="100"/>
        <v>0</v>
      </c>
      <c r="AH84" s="476">
        <f t="shared" si="101"/>
        <v>0</v>
      </c>
      <c r="AI84" s="476">
        <f t="shared" si="102"/>
        <v>0</v>
      </c>
      <c r="AJ84" s="476">
        <f t="shared" si="103"/>
        <v>50</v>
      </c>
      <c r="AK84" s="476">
        <f t="shared" si="104"/>
        <v>0</v>
      </c>
      <c r="AL84" s="476">
        <f t="shared" si="105"/>
        <v>0</v>
      </c>
      <c r="AM84" s="476">
        <f t="shared" si="106"/>
        <v>0</v>
      </c>
      <c r="AN84" s="476">
        <f t="shared" si="107"/>
        <v>0</v>
      </c>
      <c r="AO84" s="476">
        <f t="shared" si="108"/>
        <v>0</v>
      </c>
      <c r="AP84" s="476">
        <f t="shared" si="109"/>
        <v>0</v>
      </c>
      <c r="AQ84" s="476">
        <f t="shared" si="110"/>
        <v>0</v>
      </c>
      <c r="AR84" s="476">
        <f t="shared" si="111"/>
        <v>0</v>
      </c>
      <c r="AS84" s="476">
        <f t="shared" si="112"/>
        <v>0</v>
      </c>
      <c r="AT84" s="476">
        <f t="shared" si="113"/>
        <v>0</v>
      </c>
      <c r="AU84" s="476">
        <f t="shared" si="114"/>
        <v>0</v>
      </c>
      <c r="AV84" s="476">
        <f t="shared" si="115"/>
        <v>0</v>
      </c>
      <c r="AW84" s="476">
        <f t="shared" si="116"/>
        <v>0</v>
      </c>
      <c r="AX84" s="476">
        <f t="shared" si="117"/>
        <v>0</v>
      </c>
      <c r="AY84" s="476">
        <f t="shared" si="118"/>
        <v>0</v>
      </c>
      <c r="AZ84" s="476">
        <f t="shared" si="119"/>
        <v>0</v>
      </c>
      <c r="BA84" s="476">
        <f t="shared" si="120"/>
        <v>0</v>
      </c>
      <c r="BB84" s="476">
        <f t="shared" si="121"/>
        <v>0</v>
      </c>
      <c r="BC84" s="476">
        <f t="shared" si="122"/>
        <v>0</v>
      </c>
      <c r="BD84" s="476">
        <f t="shared" si="123"/>
        <v>0</v>
      </c>
      <c r="BE84" s="476">
        <f t="shared" si="124"/>
        <v>0</v>
      </c>
      <c r="BF84" s="476">
        <f t="shared" si="125"/>
        <v>0</v>
      </c>
      <c r="BG84" s="476">
        <f t="shared" si="126"/>
        <v>0</v>
      </c>
    </row>
    <row r="85" spans="1:59" ht="16.5" customHeight="1">
      <c r="A85" s="583" t="s">
        <v>736</v>
      </c>
      <c r="B85" s="584" t="s">
        <v>1617</v>
      </c>
      <c r="C85" s="584" t="s">
        <v>106</v>
      </c>
      <c r="D85" s="413" t="s">
        <v>1051</v>
      </c>
      <c r="E85" s="412" t="s">
        <v>466</v>
      </c>
      <c r="F85" s="413" t="s">
        <v>1057</v>
      </c>
      <c r="G85" s="412" t="s">
        <v>1058</v>
      </c>
      <c r="H85" s="412" t="s">
        <v>1013</v>
      </c>
      <c r="I85" s="477">
        <v>50</v>
      </c>
      <c r="J85" s="477">
        <v>0</v>
      </c>
      <c r="K85" s="477">
        <v>0</v>
      </c>
      <c r="L85" s="477">
        <v>0</v>
      </c>
      <c r="M85" s="477">
        <f t="shared" si="127"/>
        <v>50</v>
      </c>
      <c r="N85" s="477">
        <f t="shared" si="128"/>
        <v>0</v>
      </c>
      <c r="O85" s="477"/>
      <c r="P85" s="477"/>
      <c r="Q85" s="477">
        <f t="shared" si="129"/>
        <v>50</v>
      </c>
      <c r="R85" s="477">
        <f t="shared" si="130"/>
        <v>0</v>
      </c>
      <c r="S85" s="477">
        <f t="shared" si="131"/>
        <v>50</v>
      </c>
      <c r="V85" s="476">
        <f t="shared" si="89"/>
        <v>0</v>
      </c>
      <c r="W85" s="476">
        <f t="shared" si="90"/>
        <v>0</v>
      </c>
      <c r="X85" s="476">
        <f t="shared" si="91"/>
        <v>0</v>
      </c>
      <c r="Y85" s="476">
        <f t="shared" si="92"/>
        <v>0</v>
      </c>
      <c r="Z85" s="476">
        <f t="shared" si="93"/>
        <v>0</v>
      </c>
      <c r="AA85" s="476">
        <f t="shared" si="94"/>
        <v>0</v>
      </c>
      <c r="AB85" s="476">
        <f t="shared" si="95"/>
        <v>0</v>
      </c>
      <c r="AC85" s="476">
        <f t="shared" si="96"/>
        <v>0</v>
      </c>
      <c r="AD85" s="476">
        <f t="shared" si="97"/>
        <v>0</v>
      </c>
      <c r="AE85" s="476">
        <f t="shared" si="98"/>
        <v>0</v>
      </c>
      <c r="AF85" s="476">
        <f t="shared" si="99"/>
        <v>0</v>
      </c>
      <c r="AG85" s="476">
        <f t="shared" si="100"/>
        <v>0</v>
      </c>
      <c r="AH85" s="476">
        <f t="shared" si="101"/>
        <v>0</v>
      </c>
      <c r="AI85" s="476">
        <f t="shared" si="102"/>
        <v>0</v>
      </c>
      <c r="AJ85" s="476">
        <f t="shared" si="103"/>
        <v>50</v>
      </c>
      <c r="AK85" s="476">
        <f t="shared" si="104"/>
        <v>0</v>
      </c>
      <c r="AL85" s="476">
        <f t="shared" si="105"/>
        <v>0</v>
      </c>
      <c r="AM85" s="476">
        <f t="shared" si="106"/>
        <v>0</v>
      </c>
      <c r="AN85" s="476">
        <f t="shared" si="107"/>
        <v>0</v>
      </c>
      <c r="AO85" s="476">
        <f t="shared" si="108"/>
        <v>0</v>
      </c>
      <c r="AP85" s="476">
        <f t="shared" si="109"/>
        <v>0</v>
      </c>
      <c r="AQ85" s="476">
        <f t="shared" si="110"/>
        <v>0</v>
      </c>
      <c r="AR85" s="476">
        <f t="shared" si="111"/>
        <v>0</v>
      </c>
      <c r="AS85" s="476">
        <f t="shared" si="112"/>
        <v>0</v>
      </c>
      <c r="AT85" s="476">
        <f t="shared" si="113"/>
        <v>0</v>
      </c>
      <c r="AU85" s="476">
        <f t="shared" si="114"/>
        <v>0</v>
      </c>
      <c r="AV85" s="476">
        <f t="shared" si="115"/>
        <v>0</v>
      </c>
      <c r="AW85" s="476">
        <f t="shared" si="116"/>
        <v>0</v>
      </c>
      <c r="AX85" s="476">
        <f t="shared" si="117"/>
        <v>0</v>
      </c>
      <c r="AY85" s="476">
        <f t="shared" si="118"/>
        <v>0</v>
      </c>
      <c r="AZ85" s="476">
        <f t="shared" si="119"/>
        <v>0</v>
      </c>
      <c r="BA85" s="476">
        <f t="shared" si="120"/>
        <v>0</v>
      </c>
      <c r="BB85" s="476">
        <f t="shared" si="121"/>
        <v>0</v>
      </c>
      <c r="BC85" s="476">
        <f t="shared" si="122"/>
        <v>0</v>
      </c>
      <c r="BD85" s="476">
        <f t="shared" si="123"/>
        <v>0</v>
      </c>
      <c r="BE85" s="476">
        <f t="shared" si="124"/>
        <v>0</v>
      </c>
      <c r="BF85" s="476">
        <f t="shared" si="125"/>
        <v>0</v>
      </c>
      <c r="BG85" s="476">
        <f t="shared" si="126"/>
        <v>0</v>
      </c>
    </row>
    <row r="86" spans="1:59" ht="16.5" customHeight="1">
      <c r="A86" s="583" t="s">
        <v>737</v>
      </c>
      <c r="B86" s="584" t="s">
        <v>1618</v>
      </c>
      <c r="C86" s="584" t="s">
        <v>107</v>
      </c>
      <c r="D86" s="413" t="s">
        <v>1051</v>
      </c>
      <c r="E86" s="412" t="s">
        <v>466</v>
      </c>
      <c r="F86" s="413" t="s">
        <v>1057</v>
      </c>
      <c r="G86" s="412" t="s">
        <v>1058</v>
      </c>
      <c r="H86" s="412" t="s">
        <v>1014</v>
      </c>
      <c r="I86" s="477">
        <v>0</v>
      </c>
      <c r="J86" s="477">
        <v>240</v>
      </c>
      <c r="K86" s="477">
        <v>0</v>
      </c>
      <c r="L86" s="477">
        <v>0</v>
      </c>
      <c r="M86" s="477">
        <f t="shared" si="127"/>
        <v>0</v>
      </c>
      <c r="N86" s="477">
        <f t="shared" si="128"/>
        <v>240</v>
      </c>
      <c r="O86" s="477"/>
      <c r="P86" s="477"/>
      <c r="Q86" s="477">
        <f t="shared" si="129"/>
        <v>0</v>
      </c>
      <c r="R86" s="477">
        <f t="shared" si="130"/>
        <v>240</v>
      </c>
      <c r="S86" s="477">
        <f t="shared" si="131"/>
        <v>-240</v>
      </c>
      <c r="V86" s="476">
        <f t="shared" si="89"/>
        <v>0</v>
      </c>
      <c r="W86" s="476">
        <f t="shared" si="90"/>
        <v>0</v>
      </c>
      <c r="X86" s="476">
        <f t="shared" si="91"/>
        <v>0</v>
      </c>
      <c r="Y86" s="476">
        <f t="shared" si="92"/>
        <v>0</v>
      </c>
      <c r="Z86" s="476">
        <f t="shared" si="93"/>
        <v>0</v>
      </c>
      <c r="AA86" s="476">
        <f t="shared" si="94"/>
        <v>0</v>
      </c>
      <c r="AB86" s="476">
        <f t="shared" si="95"/>
        <v>0</v>
      </c>
      <c r="AC86" s="476">
        <f t="shared" si="96"/>
        <v>0</v>
      </c>
      <c r="AD86" s="476">
        <f t="shared" si="97"/>
        <v>0</v>
      </c>
      <c r="AE86" s="476">
        <f t="shared" si="98"/>
        <v>0</v>
      </c>
      <c r="AF86" s="476">
        <f t="shared" si="99"/>
        <v>0</v>
      </c>
      <c r="AG86" s="476">
        <f t="shared" si="100"/>
        <v>0</v>
      </c>
      <c r="AH86" s="476">
        <f t="shared" si="101"/>
        <v>0</v>
      </c>
      <c r="AI86" s="476">
        <f t="shared" si="102"/>
        <v>0</v>
      </c>
      <c r="AJ86" s="476">
        <f t="shared" si="103"/>
        <v>0</v>
      </c>
      <c r="AK86" s="476">
        <f t="shared" si="104"/>
        <v>0</v>
      </c>
      <c r="AL86" s="476">
        <f t="shared" si="105"/>
        <v>0</v>
      </c>
      <c r="AM86" s="476">
        <f t="shared" si="106"/>
        <v>0</v>
      </c>
      <c r="AN86" s="476">
        <f t="shared" si="107"/>
        <v>0</v>
      </c>
      <c r="AO86" s="476">
        <f t="shared" si="108"/>
        <v>0</v>
      </c>
      <c r="AP86" s="476">
        <f t="shared" si="109"/>
        <v>0</v>
      </c>
      <c r="AQ86" s="476">
        <f t="shared" si="110"/>
        <v>240</v>
      </c>
      <c r="AR86" s="476">
        <f t="shared" si="111"/>
        <v>0</v>
      </c>
      <c r="AS86" s="476">
        <f t="shared" si="112"/>
        <v>0</v>
      </c>
      <c r="AT86" s="476">
        <f t="shared" si="113"/>
        <v>0</v>
      </c>
      <c r="AU86" s="476">
        <f t="shared" si="114"/>
        <v>0</v>
      </c>
      <c r="AV86" s="476">
        <f t="shared" si="115"/>
        <v>0</v>
      </c>
      <c r="AW86" s="476">
        <f t="shared" si="116"/>
        <v>0</v>
      </c>
      <c r="AX86" s="476">
        <f t="shared" si="117"/>
        <v>0</v>
      </c>
      <c r="AY86" s="476">
        <f t="shared" si="118"/>
        <v>0</v>
      </c>
      <c r="AZ86" s="476">
        <f t="shared" si="119"/>
        <v>0</v>
      </c>
      <c r="BA86" s="476">
        <f t="shared" si="120"/>
        <v>0</v>
      </c>
      <c r="BB86" s="476">
        <f t="shared" si="121"/>
        <v>0</v>
      </c>
      <c r="BC86" s="476">
        <f t="shared" si="122"/>
        <v>0</v>
      </c>
      <c r="BD86" s="476">
        <f t="shared" si="123"/>
        <v>0</v>
      </c>
      <c r="BE86" s="476">
        <f t="shared" si="124"/>
        <v>0</v>
      </c>
      <c r="BF86" s="476">
        <f t="shared" si="125"/>
        <v>0</v>
      </c>
      <c r="BG86" s="476">
        <f t="shared" si="126"/>
        <v>0</v>
      </c>
    </row>
    <row r="87" spans="1:59" ht="16.5" customHeight="1">
      <c r="A87" s="583" t="s">
        <v>737</v>
      </c>
      <c r="B87" s="584" t="s">
        <v>1618</v>
      </c>
      <c r="C87" s="584" t="s">
        <v>108</v>
      </c>
      <c r="D87" s="413" t="s">
        <v>1051</v>
      </c>
      <c r="E87" s="412" t="s">
        <v>466</v>
      </c>
      <c r="F87" s="413" t="s">
        <v>1057</v>
      </c>
      <c r="G87" s="412" t="s">
        <v>1058</v>
      </c>
      <c r="H87" s="412" t="s">
        <v>974</v>
      </c>
      <c r="I87" s="477">
        <v>84</v>
      </c>
      <c r="J87" s="477">
        <v>0</v>
      </c>
      <c r="K87" s="477">
        <v>10247</v>
      </c>
      <c r="L87" s="477">
        <v>10247</v>
      </c>
      <c r="M87" s="477">
        <f t="shared" si="127"/>
        <v>10331</v>
      </c>
      <c r="N87" s="477">
        <f t="shared" si="128"/>
        <v>10247</v>
      </c>
      <c r="O87" s="477"/>
      <c r="P87" s="477">
        <f>'Adjustments 2025'!F23</f>
        <v>10247</v>
      </c>
      <c r="Q87" s="477">
        <f t="shared" ref="Q87" si="132">+M87+O87</f>
        <v>10331</v>
      </c>
      <c r="R87" s="477">
        <f t="shared" ref="R87" si="133">+N87+P87</f>
        <v>20494</v>
      </c>
      <c r="S87" s="477">
        <f t="shared" ref="S87" si="134">+Q87-R87</f>
        <v>-10163</v>
      </c>
      <c r="V87" s="476"/>
      <c r="W87" s="476"/>
      <c r="X87" s="476"/>
      <c r="Y87" s="476"/>
      <c r="Z87" s="476"/>
      <c r="AA87" s="476"/>
      <c r="AB87" s="476"/>
      <c r="AC87" s="476"/>
      <c r="AD87" s="476"/>
      <c r="AE87" s="476"/>
      <c r="AF87" s="476"/>
      <c r="AG87" s="476"/>
      <c r="AH87" s="476"/>
      <c r="AI87" s="476"/>
      <c r="AJ87" s="476"/>
      <c r="AK87" s="476"/>
      <c r="AL87" s="476"/>
      <c r="AM87" s="476"/>
      <c r="AN87" s="476"/>
      <c r="AO87" s="476"/>
      <c r="AP87" s="476"/>
      <c r="AQ87" s="476"/>
      <c r="AR87" s="476"/>
      <c r="AS87" s="476"/>
      <c r="AT87" s="476"/>
      <c r="AU87" s="476"/>
      <c r="AV87" s="476"/>
      <c r="AW87" s="476"/>
      <c r="AX87" s="476"/>
      <c r="AY87" s="476"/>
      <c r="AZ87" s="476"/>
      <c r="BA87" s="476"/>
      <c r="BB87" s="476"/>
      <c r="BC87" s="476"/>
      <c r="BD87" s="476"/>
      <c r="BE87" s="476"/>
      <c r="BF87" s="476"/>
      <c r="BG87" s="476"/>
    </row>
    <row r="88" spans="1:59" ht="16.5" customHeight="1">
      <c r="A88" s="583" t="s">
        <v>737</v>
      </c>
      <c r="B88" s="584" t="s">
        <v>1618</v>
      </c>
      <c r="C88" s="584" t="s">
        <v>109</v>
      </c>
      <c r="D88" s="413" t="s">
        <v>1051</v>
      </c>
      <c r="E88" s="412" t="s">
        <v>466</v>
      </c>
      <c r="F88" s="413" t="s">
        <v>1057</v>
      </c>
      <c r="G88" s="412" t="s">
        <v>1058</v>
      </c>
      <c r="H88" s="412" t="s">
        <v>1021</v>
      </c>
      <c r="I88" s="477">
        <v>50</v>
      </c>
      <c r="J88" s="477">
        <v>0</v>
      </c>
      <c r="K88" s="477">
        <v>0</v>
      </c>
      <c r="L88" s="477">
        <v>0</v>
      </c>
      <c r="M88" s="477">
        <f t="shared" si="127"/>
        <v>50</v>
      </c>
      <c r="N88" s="477">
        <f t="shared" si="128"/>
        <v>0</v>
      </c>
      <c r="O88" s="477"/>
      <c r="P88" s="477"/>
      <c r="Q88" s="477">
        <f t="shared" si="129"/>
        <v>50</v>
      </c>
      <c r="R88" s="477">
        <f t="shared" si="130"/>
        <v>0</v>
      </c>
      <c r="S88" s="477">
        <f t="shared" si="131"/>
        <v>50</v>
      </c>
      <c r="V88" s="476">
        <f t="shared" ref="V88:V119" si="135">IF($V$8=$H88,$Q88,0)</f>
        <v>0</v>
      </c>
      <c r="W88" s="476">
        <f t="shared" ref="W88:W119" si="136">IF($V$8=$H88,$R88,0)</f>
        <v>0</v>
      </c>
      <c r="X88" s="476">
        <f t="shared" ref="X88:X119" si="137">IF($X$8=$H88,$Q88,0)</f>
        <v>0</v>
      </c>
      <c r="Y88" s="476">
        <f t="shared" ref="Y88:Y119" si="138">IF($X$8=$H88,$R88,0)</f>
        <v>0</v>
      </c>
      <c r="Z88" s="476">
        <f t="shared" ref="Z88:Z119" si="139">IF($Z$8=$H88,$Q88,0)</f>
        <v>0</v>
      </c>
      <c r="AA88" s="476">
        <f t="shared" ref="AA88:AA119" si="140">IF($Z$8=$H88,$R88,0)</f>
        <v>0</v>
      </c>
      <c r="AB88" s="476">
        <f t="shared" ref="AB88:AB119" si="141">IF($AB$8=$H88,$Q88,0)</f>
        <v>0</v>
      </c>
      <c r="AC88" s="476">
        <f t="shared" ref="AC88:AC119" si="142">IF($AB$8=$H88,$R88,0)</f>
        <v>0</v>
      </c>
      <c r="AD88" s="476">
        <f t="shared" ref="AD88:AD119" si="143">IF($AD$8=$H88,$Q88,0)</f>
        <v>0</v>
      </c>
      <c r="AE88" s="476">
        <f t="shared" ref="AE88:AE119" si="144">IF($AD$8=$H88,$R88,0)</f>
        <v>0</v>
      </c>
      <c r="AF88" s="476">
        <f t="shared" ref="AF88:AF119" si="145">IF($AF$8=$H88,$Q88,0)</f>
        <v>50</v>
      </c>
      <c r="AG88" s="476">
        <f t="shared" ref="AG88:AG119" si="146">IF($AF$8=$H88,$R88,0)</f>
        <v>0</v>
      </c>
      <c r="AH88" s="476">
        <f t="shared" ref="AH88:AH119" si="147">IF($AH$8=$H88,$Q88,0)</f>
        <v>0</v>
      </c>
      <c r="AI88" s="476">
        <f t="shared" ref="AI88:AI119" si="148">IF($AH$8=$H88,$R88,0)</f>
        <v>0</v>
      </c>
      <c r="AJ88" s="476">
        <f t="shared" ref="AJ88:AJ119" si="149">IF($AJ$8=$H88,$Q88,0)</f>
        <v>0</v>
      </c>
      <c r="AK88" s="476">
        <f t="shared" ref="AK88:AK119" si="150">IF($AJ$8=$H88,$R88,0)</f>
        <v>0</v>
      </c>
      <c r="AL88" s="476">
        <f t="shared" ref="AL88:AL119" si="151">IF($AL$8=$H88,$Q88,0)</f>
        <v>0</v>
      </c>
      <c r="AM88" s="476">
        <f t="shared" ref="AM88:AM119" si="152">IF($AL$8=$H88,$R88,0)</f>
        <v>0</v>
      </c>
      <c r="AN88" s="476">
        <f t="shared" ref="AN88:AN119" si="153">IF($AN$8=$H88,$Q88,0)</f>
        <v>0</v>
      </c>
      <c r="AO88" s="476">
        <f t="shared" ref="AO88:AO119" si="154">IF($AN$8=$H88,$R88,0)</f>
        <v>0</v>
      </c>
      <c r="AP88" s="476">
        <f t="shared" ref="AP88:AP119" si="155">IF($AP$8=$H88,$Q88,0)</f>
        <v>0</v>
      </c>
      <c r="AQ88" s="476">
        <f t="shared" ref="AQ88:AQ119" si="156">IF($AP$8=$H88,$R88,0)</f>
        <v>0</v>
      </c>
      <c r="AR88" s="476">
        <f t="shared" ref="AR88:AR119" si="157">IF($AR$8=$H88,$Q88,0)</f>
        <v>0</v>
      </c>
      <c r="AS88" s="476">
        <f t="shared" ref="AS88:AS119" si="158">IF($AR$8=$H88,$R88,0)</f>
        <v>0</v>
      </c>
      <c r="AT88" s="476">
        <f t="shared" ref="AT88:AT119" si="159">IF($AT$8=$H88,$Q88,0)</f>
        <v>0</v>
      </c>
      <c r="AU88" s="476">
        <f t="shared" ref="AU88:AU119" si="160">IF($AT$8=$H88,$R88,0)</f>
        <v>0</v>
      </c>
      <c r="AV88" s="476">
        <f t="shared" ref="AV88:AV119" si="161">IF($AV$8=$H88,$Q88,0)</f>
        <v>0</v>
      </c>
      <c r="AW88" s="476">
        <f t="shared" ref="AW88:AW119" si="162">IF($AV$8=$H88,$R88,0)</f>
        <v>0</v>
      </c>
      <c r="AX88" s="476">
        <f t="shared" ref="AX88:AX119" si="163">IF($AX$8=$H88,$Q88,0)</f>
        <v>0</v>
      </c>
      <c r="AY88" s="476">
        <f t="shared" ref="AY88:AY119" si="164">IF($AX$8=$H88,$R88,0)</f>
        <v>0</v>
      </c>
      <c r="AZ88" s="476">
        <f t="shared" ref="AZ88:AZ119" si="165">IF($AZ$8=$H88,$Q88,0)</f>
        <v>0</v>
      </c>
      <c r="BA88" s="476">
        <f t="shared" ref="BA88:BA119" si="166">IF($AZ$8=$H88,$R88,0)</f>
        <v>0</v>
      </c>
      <c r="BB88" s="476">
        <f t="shared" ref="BB88:BB119" si="167">IF($BB$8=$H88,$Q88,0)</f>
        <v>0</v>
      </c>
      <c r="BC88" s="476">
        <f t="shared" ref="BC88:BC119" si="168">IF($BB$8=$H88,$R88,0)</f>
        <v>0</v>
      </c>
      <c r="BD88" s="476">
        <f t="shared" ref="BD88:BD119" si="169">IF($BD$8=$H88,$Q88,0)</f>
        <v>0</v>
      </c>
      <c r="BE88" s="476">
        <f t="shared" ref="BE88:BE119" si="170">IF($BD$8=$H88,$R88,0)</f>
        <v>0</v>
      </c>
      <c r="BF88" s="476">
        <f t="shared" ref="BF88:BF119" si="171">IF($BF$8=$H88,$Q88,0)</f>
        <v>0</v>
      </c>
      <c r="BG88" s="476">
        <f t="shared" ref="BG88:BG119" si="172">IF($BF$8=$H88,$R88,0)</f>
        <v>0</v>
      </c>
    </row>
    <row r="89" spans="1:59" ht="16.5" customHeight="1">
      <c r="A89" s="583" t="s">
        <v>737</v>
      </c>
      <c r="B89" s="584" t="s">
        <v>1618</v>
      </c>
      <c r="C89" s="584" t="s">
        <v>1734</v>
      </c>
      <c r="D89" s="413" t="s">
        <v>1051</v>
      </c>
      <c r="E89" s="412" t="s">
        <v>466</v>
      </c>
      <c r="F89" s="413" t="s">
        <v>1057</v>
      </c>
      <c r="G89" s="412" t="s">
        <v>1058</v>
      </c>
      <c r="H89" s="412" t="s">
        <v>1275</v>
      </c>
      <c r="I89" s="477">
        <v>0</v>
      </c>
      <c r="J89" s="477">
        <v>0</v>
      </c>
      <c r="K89" s="477">
        <v>1000000</v>
      </c>
      <c r="L89" s="477">
        <v>1000000</v>
      </c>
      <c r="M89" s="477">
        <f t="shared" si="127"/>
        <v>1000000</v>
      </c>
      <c r="N89" s="477">
        <f t="shared" si="128"/>
        <v>1000000</v>
      </c>
      <c r="O89" s="477"/>
      <c r="P89" s="477"/>
      <c r="Q89" s="477">
        <f t="shared" si="129"/>
        <v>1000000</v>
      </c>
      <c r="R89" s="477">
        <f t="shared" si="130"/>
        <v>1000000</v>
      </c>
      <c r="S89" s="477">
        <f t="shared" si="131"/>
        <v>0</v>
      </c>
      <c r="V89" s="476">
        <f t="shared" si="135"/>
        <v>0</v>
      </c>
      <c r="W89" s="476">
        <f t="shared" si="136"/>
        <v>0</v>
      </c>
      <c r="X89" s="476">
        <f t="shared" si="137"/>
        <v>0</v>
      </c>
      <c r="Y89" s="476">
        <f t="shared" si="138"/>
        <v>0</v>
      </c>
      <c r="Z89" s="476">
        <f t="shared" si="139"/>
        <v>0</v>
      </c>
      <c r="AA89" s="476">
        <f t="shared" si="140"/>
        <v>0</v>
      </c>
      <c r="AB89" s="476">
        <f t="shared" si="141"/>
        <v>0</v>
      </c>
      <c r="AC89" s="476">
        <f t="shared" si="142"/>
        <v>0</v>
      </c>
      <c r="AD89" s="476">
        <f t="shared" si="143"/>
        <v>0</v>
      </c>
      <c r="AE89" s="476">
        <f t="shared" si="144"/>
        <v>0</v>
      </c>
      <c r="AF89" s="476">
        <f t="shared" si="145"/>
        <v>0</v>
      </c>
      <c r="AG89" s="476">
        <f t="shared" si="146"/>
        <v>0</v>
      </c>
      <c r="AH89" s="476">
        <f t="shared" si="147"/>
        <v>0</v>
      </c>
      <c r="AI89" s="476">
        <f t="shared" si="148"/>
        <v>0</v>
      </c>
      <c r="AJ89" s="476">
        <f t="shared" si="149"/>
        <v>0</v>
      </c>
      <c r="AK89" s="476">
        <f t="shared" si="150"/>
        <v>0</v>
      </c>
      <c r="AL89" s="476">
        <f t="shared" si="151"/>
        <v>0</v>
      </c>
      <c r="AM89" s="476">
        <f t="shared" si="152"/>
        <v>0</v>
      </c>
      <c r="AN89" s="476">
        <f t="shared" si="153"/>
        <v>0</v>
      </c>
      <c r="AO89" s="476">
        <f t="shared" si="154"/>
        <v>0</v>
      </c>
      <c r="AP89" s="476">
        <f t="shared" si="155"/>
        <v>0</v>
      </c>
      <c r="AQ89" s="476">
        <f t="shared" si="156"/>
        <v>0</v>
      </c>
      <c r="AR89" s="476">
        <f t="shared" si="157"/>
        <v>0</v>
      </c>
      <c r="AS89" s="476">
        <f t="shared" si="158"/>
        <v>0</v>
      </c>
      <c r="AT89" s="476">
        <f t="shared" si="159"/>
        <v>0</v>
      </c>
      <c r="AU89" s="476">
        <f t="shared" si="160"/>
        <v>0</v>
      </c>
      <c r="AV89" s="476">
        <f t="shared" si="161"/>
        <v>0</v>
      </c>
      <c r="AW89" s="476">
        <f t="shared" si="162"/>
        <v>0</v>
      </c>
      <c r="AX89" s="476">
        <f t="shared" si="163"/>
        <v>0</v>
      </c>
      <c r="AY89" s="476">
        <f t="shared" si="164"/>
        <v>0</v>
      </c>
      <c r="AZ89" s="476">
        <f t="shared" si="165"/>
        <v>0</v>
      </c>
      <c r="BA89" s="476">
        <f t="shared" si="166"/>
        <v>0</v>
      </c>
      <c r="BB89" s="476">
        <f t="shared" si="167"/>
        <v>0</v>
      </c>
      <c r="BC89" s="476">
        <f t="shared" si="168"/>
        <v>0</v>
      </c>
      <c r="BD89" s="476">
        <f t="shared" si="169"/>
        <v>0</v>
      </c>
      <c r="BE89" s="476">
        <f t="shared" si="170"/>
        <v>0</v>
      </c>
      <c r="BF89" s="476">
        <f t="shared" si="171"/>
        <v>0</v>
      </c>
      <c r="BG89" s="476">
        <f t="shared" si="172"/>
        <v>0</v>
      </c>
    </row>
    <row r="90" spans="1:59" ht="16.5" customHeight="1">
      <c r="A90" s="583" t="s">
        <v>738</v>
      </c>
      <c r="B90" s="584" t="s">
        <v>1619</v>
      </c>
      <c r="C90" s="584" t="s">
        <v>110</v>
      </c>
      <c r="D90" s="413" t="s">
        <v>1051</v>
      </c>
      <c r="E90" s="412" t="s">
        <v>466</v>
      </c>
      <c r="F90" s="413" t="s">
        <v>1057</v>
      </c>
      <c r="G90" s="412" t="s">
        <v>1058</v>
      </c>
      <c r="H90" s="412" t="s">
        <v>1021</v>
      </c>
      <c r="I90" s="477">
        <v>50</v>
      </c>
      <c r="J90" s="477">
        <v>0</v>
      </c>
      <c r="K90" s="477">
        <v>0</v>
      </c>
      <c r="L90" s="477">
        <v>0</v>
      </c>
      <c r="M90" s="477">
        <f t="shared" si="127"/>
        <v>50</v>
      </c>
      <c r="N90" s="477">
        <f t="shared" si="128"/>
        <v>0</v>
      </c>
      <c r="O90" s="477"/>
      <c r="P90" s="477"/>
      <c r="Q90" s="477">
        <f t="shared" si="129"/>
        <v>50</v>
      </c>
      <c r="R90" s="477">
        <f t="shared" si="130"/>
        <v>0</v>
      </c>
      <c r="S90" s="477">
        <f t="shared" si="131"/>
        <v>50</v>
      </c>
      <c r="V90" s="476">
        <f t="shared" si="135"/>
        <v>0</v>
      </c>
      <c r="W90" s="476">
        <f t="shared" si="136"/>
        <v>0</v>
      </c>
      <c r="X90" s="476">
        <f t="shared" si="137"/>
        <v>0</v>
      </c>
      <c r="Y90" s="476">
        <f t="shared" si="138"/>
        <v>0</v>
      </c>
      <c r="Z90" s="476">
        <f t="shared" si="139"/>
        <v>0</v>
      </c>
      <c r="AA90" s="476">
        <f t="shared" si="140"/>
        <v>0</v>
      </c>
      <c r="AB90" s="476">
        <f t="shared" si="141"/>
        <v>0</v>
      </c>
      <c r="AC90" s="476">
        <f t="shared" si="142"/>
        <v>0</v>
      </c>
      <c r="AD90" s="476">
        <f t="shared" si="143"/>
        <v>0</v>
      </c>
      <c r="AE90" s="476">
        <f t="shared" si="144"/>
        <v>0</v>
      </c>
      <c r="AF90" s="476">
        <f t="shared" si="145"/>
        <v>50</v>
      </c>
      <c r="AG90" s="476">
        <f t="shared" si="146"/>
        <v>0</v>
      </c>
      <c r="AH90" s="476">
        <f t="shared" si="147"/>
        <v>0</v>
      </c>
      <c r="AI90" s="476">
        <f t="shared" si="148"/>
        <v>0</v>
      </c>
      <c r="AJ90" s="476">
        <f t="shared" si="149"/>
        <v>0</v>
      </c>
      <c r="AK90" s="476">
        <f t="shared" si="150"/>
        <v>0</v>
      </c>
      <c r="AL90" s="476">
        <f t="shared" si="151"/>
        <v>0</v>
      </c>
      <c r="AM90" s="476">
        <f t="shared" si="152"/>
        <v>0</v>
      </c>
      <c r="AN90" s="476">
        <f t="shared" si="153"/>
        <v>0</v>
      </c>
      <c r="AO90" s="476">
        <f t="shared" si="154"/>
        <v>0</v>
      </c>
      <c r="AP90" s="476">
        <f t="shared" si="155"/>
        <v>0</v>
      </c>
      <c r="AQ90" s="476">
        <f t="shared" si="156"/>
        <v>0</v>
      </c>
      <c r="AR90" s="476">
        <f t="shared" si="157"/>
        <v>0</v>
      </c>
      <c r="AS90" s="476">
        <f t="shared" si="158"/>
        <v>0</v>
      </c>
      <c r="AT90" s="476">
        <f t="shared" si="159"/>
        <v>0</v>
      </c>
      <c r="AU90" s="476">
        <f t="shared" si="160"/>
        <v>0</v>
      </c>
      <c r="AV90" s="476">
        <f t="shared" si="161"/>
        <v>0</v>
      </c>
      <c r="AW90" s="476">
        <f t="shared" si="162"/>
        <v>0</v>
      </c>
      <c r="AX90" s="476">
        <f t="shared" si="163"/>
        <v>0</v>
      </c>
      <c r="AY90" s="476">
        <f t="shared" si="164"/>
        <v>0</v>
      </c>
      <c r="AZ90" s="476">
        <f t="shared" si="165"/>
        <v>0</v>
      </c>
      <c r="BA90" s="476">
        <f t="shared" si="166"/>
        <v>0</v>
      </c>
      <c r="BB90" s="476">
        <f t="shared" si="167"/>
        <v>0</v>
      </c>
      <c r="BC90" s="476">
        <f t="shared" si="168"/>
        <v>0</v>
      </c>
      <c r="BD90" s="476">
        <f t="shared" si="169"/>
        <v>0</v>
      </c>
      <c r="BE90" s="476">
        <f t="shared" si="170"/>
        <v>0</v>
      </c>
      <c r="BF90" s="476">
        <f t="shared" si="171"/>
        <v>0</v>
      </c>
      <c r="BG90" s="476">
        <f t="shared" si="172"/>
        <v>0</v>
      </c>
    </row>
    <row r="91" spans="1:59" ht="16.5" customHeight="1">
      <c r="A91" s="583" t="s">
        <v>739</v>
      </c>
      <c r="B91" s="584" t="s">
        <v>1620</v>
      </c>
      <c r="C91" s="584" t="s">
        <v>111</v>
      </c>
      <c r="D91" s="413" t="s">
        <v>1051</v>
      </c>
      <c r="E91" s="412" t="s">
        <v>466</v>
      </c>
      <c r="F91" s="413" t="s">
        <v>1057</v>
      </c>
      <c r="G91" s="412" t="s">
        <v>1058</v>
      </c>
      <c r="H91" s="412" t="s">
        <v>1021</v>
      </c>
      <c r="I91" s="477">
        <v>50</v>
      </c>
      <c r="J91" s="477">
        <v>0</v>
      </c>
      <c r="K91" s="477">
        <v>0</v>
      </c>
      <c r="L91" s="477">
        <v>0</v>
      </c>
      <c r="M91" s="477">
        <f t="shared" si="127"/>
        <v>50</v>
      </c>
      <c r="N91" s="477">
        <f t="shared" si="128"/>
        <v>0</v>
      </c>
      <c r="O91" s="477"/>
      <c r="P91" s="477"/>
      <c r="Q91" s="477">
        <f t="shared" si="129"/>
        <v>50</v>
      </c>
      <c r="R91" s="477">
        <f t="shared" si="130"/>
        <v>0</v>
      </c>
      <c r="S91" s="477">
        <f t="shared" si="131"/>
        <v>50</v>
      </c>
      <c r="V91" s="476">
        <f t="shared" si="135"/>
        <v>0</v>
      </c>
      <c r="W91" s="476">
        <f t="shared" si="136"/>
        <v>0</v>
      </c>
      <c r="X91" s="476">
        <f t="shared" si="137"/>
        <v>0</v>
      </c>
      <c r="Y91" s="476">
        <f t="shared" si="138"/>
        <v>0</v>
      </c>
      <c r="Z91" s="476">
        <f t="shared" si="139"/>
        <v>0</v>
      </c>
      <c r="AA91" s="476">
        <f t="shared" si="140"/>
        <v>0</v>
      </c>
      <c r="AB91" s="476">
        <f t="shared" si="141"/>
        <v>0</v>
      </c>
      <c r="AC91" s="476">
        <f t="shared" si="142"/>
        <v>0</v>
      </c>
      <c r="AD91" s="476">
        <f t="shared" si="143"/>
        <v>0</v>
      </c>
      <c r="AE91" s="476">
        <f t="shared" si="144"/>
        <v>0</v>
      </c>
      <c r="AF91" s="476">
        <f t="shared" si="145"/>
        <v>50</v>
      </c>
      <c r="AG91" s="476">
        <f t="shared" si="146"/>
        <v>0</v>
      </c>
      <c r="AH91" s="476">
        <f t="shared" si="147"/>
        <v>0</v>
      </c>
      <c r="AI91" s="476">
        <f t="shared" si="148"/>
        <v>0</v>
      </c>
      <c r="AJ91" s="476">
        <f t="shared" si="149"/>
        <v>0</v>
      </c>
      <c r="AK91" s="476">
        <f t="shared" si="150"/>
        <v>0</v>
      </c>
      <c r="AL91" s="476">
        <f t="shared" si="151"/>
        <v>0</v>
      </c>
      <c r="AM91" s="476">
        <f t="shared" si="152"/>
        <v>0</v>
      </c>
      <c r="AN91" s="476">
        <f t="shared" si="153"/>
        <v>0</v>
      </c>
      <c r="AO91" s="476">
        <f t="shared" si="154"/>
        <v>0</v>
      </c>
      <c r="AP91" s="476">
        <f t="shared" si="155"/>
        <v>0</v>
      </c>
      <c r="AQ91" s="476">
        <f t="shared" si="156"/>
        <v>0</v>
      </c>
      <c r="AR91" s="476">
        <f t="shared" si="157"/>
        <v>0</v>
      </c>
      <c r="AS91" s="476">
        <f t="shared" si="158"/>
        <v>0</v>
      </c>
      <c r="AT91" s="476">
        <f t="shared" si="159"/>
        <v>0</v>
      </c>
      <c r="AU91" s="476">
        <f t="shared" si="160"/>
        <v>0</v>
      </c>
      <c r="AV91" s="476">
        <f t="shared" si="161"/>
        <v>0</v>
      </c>
      <c r="AW91" s="476">
        <f t="shared" si="162"/>
        <v>0</v>
      </c>
      <c r="AX91" s="476">
        <f t="shared" si="163"/>
        <v>0</v>
      </c>
      <c r="AY91" s="476">
        <f t="shared" si="164"/>
        <v>0</v>
      </c>
      <c r="AZ91" s="476">
        <f t="shared" si="165"/>
        <v>0</v>
      </c>
      <c r="BA91" s="476">
        <f t="shared" si="166"/>
        <v>0</v>
      </c>
      <c r="BB91" s="476">
        <f t="shared" si="167"/>
        <v>0</v>
      </c>
      <c r="BC91" s="476">
        <f t="shared" si="168"/>
        <v>0</v>
      </c>
      <c r="BD91" s="476">
        <f t="shared" si="169"/>
        <v>0</v>
      </c>
      <c r="BE91" s="476">
        <f t="shared" si="170"/>
        <v>0</v>
      </c>
      <c r="BF91" s="476">
        <f t="shared" si="171"/>
        <v>0</v>
      </c>
      <c r="BG91" s="476">
        <f t="shared" si="172"/>
        <v>0</v>
      </c>
    </row>
    <row r="92" spans="1:59" ht="16.5" customHeight="1">
      <c r="A92" s="583" t="s">
        <v>740</v>
      </c>
      <c r="B92" s="584" t="s">
        <v>1621</v>
      </c>
      <c r="C92" s="584" t="s">
        <v>112</v>
      </c>
      <c r="D92" s="413" t="s">
        <v>1051</v>
      </c>
      <c r="E92" s="412" t="s">
        <v>466</v>
      </c>
      <c r="F92" s="413" t="s">
        <v>1057</v>
      </c>
      <c r="G92" s="412" t="s">
        <v>1058</v>
      </c>
      <c r="H92" s="412" t="s">
        <v>1021</v>
      </c>
      <c r="I92" s="477">
        <v>50</v>
      </c>
      <c r="J92" s="477">
        <v>0</v>
      </c>
      <c r="K92" s="477">
        <v>0</v>
      </c>
      <c r="L92" s="477">
        <v>0</v>
      </c>
      <c r="M92" s="477">
        <f t="shared" si="127"/>
        <v>50</v>
      </c>
      <c r="N92" s="477">
        <f t="shared" si="128"/>
        <v>0</v>
      </c>
      <c r="O92" s="477"/>
      <c r="P92" s="477"/>
      <c r="Q92" s="477">
        <f t="shared" si="129"/>
        <v>50</v>
      </c>
      <c r="R92" s="477">
        <f t="shared" si="130"/>
        <v>0</v>
      </c>
      <c r="S92" s="477">
        <f t="shared" si="131"/>
        <v>50</v>
      </c>
      <c r="V92" s="476">
        <f t="shared" si="135"/>
        <v>0</v>
      </c>
      <c r="W92" s="476">
        <f t="shared" si="136"/>
        <v>0</v>
      </c>
      <c r="X92" s="476">
        <f t="shared" si="137"/>
        <v>0</v>
      </c>
      <c r="Y92" s="476">
        <f t="shared" si="138"/>
        <v>0</v>
      </c>
      <c r="Z92" s="476">
        <f t="shared" si="139"/>
        <v>0</v>
      </c>
      <c r="AA92" s="476">
        <f t="shared" si="140"/>
        <v>0</v>
      </c>
      <c r="AB92" s="476">
        <f t="shared" si="141"/>
        <v>0</v>
      </c>
      <c r="AC92" s="476">
        <f t="shared" si="142"/>
        <v>0</v>
      </c>
      <c r="AD92" s="476">
        <f t="shared" si="143"/>
        <v>0</v>
      </c>
      <c r="AE92" s="476">
        <f t="shared" si="144"/>
        <v>0</v>
      </c>
      <c r="AF92" s="476">
        <f t="shared" si="145"/>
        <v>50</v>
      </c>
      <c r="AG92" s="476">
        <f t="shared" si="146"/>
        <v>0</v>
      </c>
      <c r="AH92" s="476">
        <f t="shared" si="147"/>
        <v>0</v>
      </c>
      <c r="AI92" s="476">
        <f t="shared" si="148"/>
        <v>0</v>
      </c>
      <c r="AJ92" s="476">
        <f t="shared" si="149"/>
        <v>0</v>
      </c>
      <c r="AK92" s="476">
        <f t="shared" si="150"/>
        <v>0</v>
      </c>
      <c r="AL92" s="476">
        <f t="shared" si="151"/>
        <v>0</v>
      </c>
      <c r="AM92" s="476">
        <f t="shared" si="152"/>
        <v>0</v>
      </c>
      <c r="AN92" s="476">
        <f t="shared" si="153"/>
        <v>0</v>
      </c>
      <c r="AO92" s="476">
        <f t="shared" si="154"/>
        <v>0</v>
      </c>
      <c r="AP92" s="476">
        <f t="shared" si="155"/>
        <v>0</v>
      </c>
      <c r="AQ92" s="476">
        <f t="shared" si="156"/>
        <v>0</v>
      </c>
      <c r="AR92" s="476">
        <f t="shared" si="157"/>
        <v>0</v>
      </c>
      <c r="AS92" s="476">
        <f t="shared" si="158"/>
        <v>0</v>
      </c>
      <c r="AT92" s="476">
        <f t="shared" si="159"/>
        <v>0</v>
      </c>
      <c r="AU92" s="476">
        <f t="shared" si="160"/>
        <v>0</v>
      </c>
      <c r="AV92" s="476">
        <f t="shared" si="161"/>
        <v>0</v>
      </c>
      <c r="AW92" s="476">
        <f t="shared" si="162"/>
        <v>0</v>
      </c>
      <c r="AX92" s="476">
        <f t="shared" si="163"/>
        <v>0</v>
      </c>
      <c r="AY92" s="476">
        <f t="shared" si="164"/>
        <v>0</v>
      </c>
      <c r="AZ92" s="476">
        <f t="shared" si="165"/>
        <v>0</v>
      </c>
      <c r="BA92" s="476">
        <f t="shared" si="166"/>
        <v>0</v>
      </c>
      <c r="BB92" s="476">
        <f t="shared" si="167"/>
        <v>0</v>
      </c>
      <c r="BC92" s="476">
        <f t="shared" si="168"/>
        <v>0</v>
      </c>
      <c r="BD92" s="476">
        <f t="shared" si="169"/>
        <v>0</v>
      </c>
      <c r="BE92" s="476">
        <f t="shared" si="170"/>
        <v>0</v>
      </c>
      <c r="BF92" s="476">
        <f t="shared" si="171"/>
        <v>0</v>
      </c>
      <c r="BG92" s="476">
        <f t="shared" si="172"/>
        <v>0</v>
      </c>
    </row>
    <row r="93" spans="1:59" ht="16.5" customHeight="1">
      <c r="A93" s="583" t="s">
        <v>762</v>
      </c>
      <c r="B93" s="584" t="s">
        <v>1622</v>
      </c>
      <c r="C93" s="584" t="s">
        <v>141</v>
      </c>
      <c r="D93" s="413" t="s">
        <v>1051</v>
      </c>
      <c r="E93" s="412" t="s">
        <v>466</v>
      </c>
      <c r="F93" s="413" t="s">
        <v>1057</v>
      </c>
      <c r="G93" s="412" t="s">
        <v>1112</v>
      </c>
      <c r="H93" s="412" t="s">
        <v>974</v>
      </c>
      <c r="I93" s="477">
        <v>2450</v>
      </c>
      <c r="J93" s="477">
        <v>0</v>
      </c>
      <c r="K93" s="477">
        <v>0</v>
      </c>
      <c r="L93" s="477">
        <v>0</v>
      </c>
      <c r="M93" s="477">
        <f t="shared" si="127"/>
        <v>2450</v>
      </c>
      <c r="N93" s="477">
        <f t="shared" si="128"/>
        <v>0</v>
      </c>
      <c r="O93" s="477"/>
      <c r="P93" s="477"/>
      <c r="Q93" s="477">
        <f t="shared" si="129"/>
        <v>2450</v>
      </c>
      <c r="R93" s="477">
        <f t="shared" si="130"/>
        <v>0</v>
      </c>
      <c r="S93" s="477">
        <f t="shared" si="131"/>
        <v>2450</v>
      </c>
      <c r="V93" s="476">
        <f t="shared" si="135"/>
        <v>2450</v>
      </c>
      <c r="W93" s="476">
        <f t="shared" si="136"/>
        <v>0</v>
      </c>
      <c r="X93" s="476">
        <f t="shared" si="137"/>
        <v>0</v>
      </c>
      <c r="Y93" s="476">
        <f t="shared" si="138"/>
        <v>0</v>
      </c>
      <c r="Z93" s="476">
        <f t="shared" si="139"/>
        <v>0</v>
      </c>
      <c r="AA93" s="476">
        <f t="shared" si="140"/>
        <v>0</v>
      </c>
      <c r="AB93" s="476">
        <f t="shared" si="141"/>
        <v>0</v>
      </c>
      <c r="AC93" s="476">
        <f t="shared" si="142"/>
        <v>0</v>
      </c>
      <c r="AD93" s="476">
        <f t="shared" si="143"/>
        <v>0</v>
      </c>
      <c r="AE93" s="476">
        <f t="shared" si="144"/>
        <v>0</v>
      </c>
      <c r="AF93" s="476">
        <f t="shared" si="145"/>
        <v>0</v>
      </c>
      <c r="AG93" s="476">
        <f t="shared" si="146"/>
        <v>0</v>
      </c>
      <c r="AH93" s="476">
        <f t="shared" si="147"/>
        <v>0</v>
      </c>
      <c r="AI93" s="476">
        <f t="shared" si="148"/>
        <v>0</v>
      </c>
      <c r="AJ93" s="476">
        <f t="shared" si="149"/>
        <v>0</v>
      </c>
      <c r="AK93" s="476">
        <f t="shared" si="150"/>
        <v>0</v>
      </c>
      <c r="AL93" s="476">
        <f t="shared" si="151"/>
        <v>0</v>
      </c>
      <c r="AM93" s="476">
        <f t="shared" si="152"/>
        <v>0</v>
      </c>
      <c r="AN93" s="476">
        <f t="shared" si="153"/>
        <v>0</v>
      </c>
      <c r="AO93" s="476">
        <f t="shared" si="154"/>
        <v>0</v>
      </c>
      <c r="AP93" s="476">
        <f t="shared" si="155"/>
        <v>0</v>
      </c>
      <c r="AQ93" s="476">
        <f t="shared" si="156"/>
        <v>0</v>
      </c>
      <c r="AR93" s="476">
        <f t="shared" si="157"/>
        <v>0</v>
      </c>
      <c r="AS93" s="476">
        <f t="shared" si="158"/>
        <v>0</v>
      </c>
      <c r="AT93" s="476">
        <f t="shared" si="159"/>
        <v>0</v>
      </c>
      <c r="AU93" s="476">
        <f t="shared" si="160"/>
        <v>0</v>
      </c>
      <c r="AV93" s="476">
        <f t="shared" si="161"/>
        <v>0</v>
      </c>
      <c r="AW93" s="476">
        <f t="shared" si="162"/>
        <v>0</v>
      </c>
      <c r="AX93" s="476">
        <f t="shared" si="163"/>
        <v>0</v>
      </c>
      <c r="AY93" s="476">
        <f t="shared" si="164"/>
        <v>0</v>
      </c>
      <c r="AZ93" s="476">
        <f t="shared" si="165"/>
        <v>0</v>
      </c>
      <c r="BA93" s="476">
        <f t="shared" si="166"/>
        <v>0</v>
      </c>
      <c r="BB93" s="476">
        <f t="shared" si="167"/>
        <v>0</v>
      </c>
      <c r="BC93" s="476">
        <f t="shared" si="168"/>
        <v>0</v>
      </c>
      <c r="BD93" s="476">
        <f t="shared" si="169"/>
        <v>0</v>
      </c>
      <c r="BE93" s="476">
        <f t="shared" si="170"/>
        <v>0</v>
      </c>
      <c r="BF93" s="476">
        <f t="shared" si="171"/>
        <v>0</v>
      </c>
      <c r="BG93" s="476">
        <f t="shared" si="172"/>
        <v>0</v>
      </c>
    </row>
    <row r="94" spans="1:59" ht="16.5" customHeight="1">
      <c r="A94" s="583" t="s">
        <v>762</v>
      </c>
      <c r="B94" s="584" t="s">
        <v>1622</v>
      </c>
      <c r="C94" s="584" t="s">
        <v>142</v>
      </c>
      <c r="D94" s="413" t="s">
        <v>1051</v>
      </c>
      <c r="E94" s="412" t="s">
        <v>466</v>
      </c>
      <c r="F94" s="413" t="s">
        <v>1057</v>
      </c>
      <c r="G94" s="412" t="s">
        <v>1112</v>
      </c>
      <c r="H94" s="412" t="s">
        <v>1020</v>
      </c>
      <c r="I94" s="477">
        <v>0</v>
      </c>
      <c r="J94" s="477">
        <v>2450</v>
      </c>
      <c r="K94" s="477">
        <v>0</v>
      </c>
      <c r="L94" s="477">
        <v>0</v>
      </c>
      <c r="M94" s="477">
        <f t="shared" si="127"/>
        <v>0</v>
      </c>
      <c r="N94" s="477">
        <f t="shared" si="128"/>
        <v>2450</v>
      </c>
      <c r="O94" s="477"/>
      <c r="P94" s="477"/>
      <c r="Q94" s="477">
        <f t="shared" si="129"/>
        <v>0</v>
      </c>
      <c r="R94" s="477">
        <f t="shared" si="130"/>
        <v>2450</v>
      </c>
      <c r="S94" s="477">
        <f t="shared" si="131"/>
        <v>-2450</v>
      </c>
      <c r="V94" s="476">
        <f t="shared" si="135"/>
        <v>0</v>
      </c>
      <c r="W94" s="476">
        <f t="shared" si="136"/>
        <v>0</v>
      </c>
      <c r="X94" s="476">
        <f t="shared" si="137"/>
        <v>0</v>
      </c>
      <c r="Y94" s="476">
        <f t="shared" si="138"/>
        <v>0</v>
      </c>
      <c r="Z94" s="476">
        <f t="shared" si="139"/>
        <v>0</v>
      </c>
      <c r="AA94" s="476">
        <f t="shared" si="140"/>
        <v>2450</v>
      </c>
      <c r="AB94" s="476">
        <f t="shared" si="141"/>
        <v>0</v>
      </c>
      <c r="AC94" s="476">
        <f t="shared" si="142"/>
        <v>0</v>
      </c>
      <c r="AD94" s="476">
        <f t="shared" si="143"/>
        <v>0</v>
      </c>
      <c r="AE94" s="476">
        <f t="shared" si="144"/>
        <v>0</v>
      </c>
      <c r="AF94" s="476">
        <f t="shared" si="145"/>
        <v>0</v>
      </c>
      <c r="AG94" s="476">
        <f t="shared" si="146"/>
        <v>0</v>
      </c>
      <c r="AH94" s="476">
        <f t="shared" si="147"/>
        <v>0</v>
      </c>
      <c r="AI94" s="476">
        <f t="shared" si="148"/>
        <v>0</v>
      </c>
      <c r="AJ94" s="476">
        <f t="shared" si="149"/>
        <v>0</v>
      </c>
      <c r="AK94" s="476">
        <f t="shared" si="150"/>
        <v>0</v>
      </c>
      <c r="AL94" s="476">
        <f t="shared" si="151"/>
        <v>0</v>
      </c>
      <c r="AM94" s="476">
        <f t="shared" si="152"/>
        <v>0</v>
      </c>
      <c r="AN94" s="476">
        <f t="shared" si="153"/>
        <v>0</v>
      </c>
      <c r="AO94" s="476">
        <f t="shared" si="154"/>
        <v>0</v>
      </c>
      <c r="AP94" s="476">
        <f t="shared" si="155"/>
        <v>0</v>
      </c>
      <c r="AQ94" s="476">
        <f t="shared" si="156"/>
        <v>0</v>
      </c>
      <c r="AR94" s="476">
        <f t="shared" si="157"/>
        <v>0</v>
      </c>
      <c r="AS94" s="476">
        <f t="shared" si="158"/>
        <v>0</v>
      </c>
      <c r="AT94" s="476">
        <f t="shared" si="159"/>
        <v>0</v>
      </c>
      <c r="AU94" s="476">
        <f t="shared" si="160"/>
        <v>0</v>
      </c>
      <c r="AV94" s="476">
        <f t="shared" si="161"/>
        <v>0</v>
      </c>
      <c r="AW94" s="476">
        <f t="shared" si="162"/>
        <v>0</v>
      </c>
      <c r="AX94" s="476">
        <f t="shared" si="163"/>
        <v>0</v>
      </c>
      <c r="AY94" s="476">
        <f t="shared" si="164"/>
        <v>0</v>
      </c>
      <c r="AZ94" s="476">
        <f t="shared" si="165"/>
        <v>0</v>
      </c>
      <c r="BA94" s="476">
        <f t="shared" si="166"/>
        <v>0</v>
      </c>
      <c r="BB94" s="476">
        <f t="shared" si="167"/>
        <v>0</v>
      </c>
      <c r="BC94" s="476">
        <f t="shared" si="168"/>
        <v>0</v>
      </c>
      <c r="BD94" s="476">
        <f t="shared" si="169"/>
        <v>0</v>
      </c>
      <c r="BE94" s="476">
        <f t="shared" si="170"/>
        <v>0</v>
      </c>
      <c r="BF94" s="476">
        <f t="shared" si="171"/>
        <v>0</v>
      </c>
      <c r="BG94" s="476">
        <f t="shared" si="172"/>
        <v>0</v>
      </c>
    </row>
    <row r="95" spans="1:59" ht="16.5" customHeight="1">
      <c r="A95" s="583" t="s">
        <v>763</v>
      </c>
      <c r="B95" s="584" t="s">
        <v>1623</v>
      </c>
      <c r="C95" s="584" t="s">
        <v>145</v>
      </c>
      <c r="D95" s="413" t="s">
        <v>1051</v>
      </c>
      <c r="E95" s="412" t="s">
        <v>466</v>
      </c>
      <c r="F95" s="412" t="s">
        <v>1057</v>
      </c>
      <c r="G95" s="412" t="s">
        <v>1112</v>
      </c>
      <c r="H95" s="412" t="s">
        <v>974</v>
      </c>
      <c r="I95" s="477">
        <v>2406928</v>
      </c>
      <c r="J95" s="477">
        <v>2436928</v>
      </c>
      <c r="K95" s="477">
        <v>2317470</v>
      </c>
      <c r="L95" s="477">
        <v>2317470</v>
      </c>
      <c r="M95" s="477">
        <f t="shared" si="127"/>
        <v>4724398</v>
      </c>
      <c r="N95" s="477">
        <f t="shared" si="128"/>
        <v>4754398</v>
      </c>
      <c r="O95" s="477">
        <f>'Adjustments 2025'!E11</f>
        <v>30000</v>
      </c>
      <c r="P95" s="477"/>
      <c r="Q95" s="477">
        <f t="shared" si="129"/>
        <v>4754398</v>
      </c>
      <c r="R95" s="477">
        <f t="shared" si="130"/>
        <v>4754398</v>
      </c>
      <c r="S95" s="477">
        <f t="shared" si="131"/>
        <v>0</v>
      </c>
      <c r="U95" s="473"/>
      <c r="V95" s="476">
        <f t="shared" si="135"/>
        <v>4754398</v>
      </c>
      <c r="W95" s="476">
        <f t="shared" si="136"/>
        <v>4754398</v>
      </c>
      <c r="X95" s="476">
        <f t="shared" si="137"/>
        <v>0</v>
      </c>
      <c r="Y95" s="476">
        <f t="shared" si="138"/>
        <v>0</v>
      </c>
      <c r="Z95" s="476">
        <f t="shared" si="139"/>
        <v>0</v>
      </c>
      <c r="AA95" s="476">
        <f t="shared" si="140"/>
        <v>0</v>
      </c>
      <c r="AB95" s="476">
        <f t="shared" si="141"/>
        <v>0</v>
      </c>
      <c r="AC95" s="476">
        <f t="shared" si="142"/>
        <v>0</v>
      </c>
      <c r="AD95" s="476">
        <f t="shared" si="143"/>
        <v>0</v>
      </c>
      <c r="AE95" s="476">
        <f t="shared" si="144"/>
        <v>0</v>
      </c>
      <c r="AF95" s="476">
        <f t="shared" si="145"/>
        <v>0</v>
      </c>
      <c r="AG95" s="476">
        <f t="shared" si="146"/>
        <v>0</v>
      </c>
      <c r="AH95" s="476">
        <f t="shared" si="147"/>
        <v>0</v>
      </c>
      <c r="AI95" s="476">
        <f t="shared" si="148"/>
        <v>0</v>
      </c>
      <c r="AJ95" s="476">
        <f t="shared" si="149"/>
        <v>0</v>
      </c>
      <c r="AK95" s="476">
        <f t="shared" si="150"/>
        <v>0</v>
      </c>
      <c r="AL95" s="476">
        <f t="shared" si="151"/>
        <v>0</v>
      </c>
      <c r="AM95" s="476">
        <f t="shared" si="152"/>
        <v>0</v>
      </c>
      <c r="AN95" s="476">
        <f t="shared" si="153"/>
        <v>0</v>
      </c>
      <c r="AO95" s="476">
        <f t="shared" si="154"/>
        <v>0</v>
      </c>
      <c r="AP95" s="476">
        <f t="shared" si="155"/>
        <v>0</v>
      </c>
      <c r="AQ95" s="476">
        <f t="shared" si="156"/>
        <v>0</v>
      </c>
      <c r="AR95" s="476">
        <f t="shared" si="157"/>
        <v>0</v>
      </c>
      <c r="AS95" s="476">
        <f t="shared" si="158"/>
        <v>0</v>
      </c>
      <c r="AT95" s="476">
        <f t="shared" si="159"/>
        <v>0</v>
      </c>
      <c r="AU95" s="476">
        <f t="shared" si="160"/>
        <v>0</v>
      </c>
      <c r="AV95" s="476">
        <f t="shared" si="161"/>
        <v>0</v>
      </c>
      <c r="AW95" s="476">
        <f t="shared" si="162"/>
        <v>0</v>
      </c>
      <c r="AX95" s="476">
        <f t="shared" si="163"/>
        <v>0</v>
      </c>
      <c r="AY95" s="476">
        <f t="shared" si="164"/>
        <v>0</v>
      </c>
      <c r="AZ95" s="476">
        <f t="shared" si="165"/>
        <v>0</v>
      </c>
      <c r="BA95" s="476">
        <f t="shared" si="166"/>
        <v>0</v>
      </c>
      <c r="BB95" s="476">
        <f t="shared" si="167"/>
        <v>0</v>
      </c>
      <c r="BC95" s="476">
        <f t="shared" si="168"/>
        <v>0</v>
      </c>
      <c r="BD95" s="476">
        <f t="shared" si="169"/>
        <v>0</v>
      </c>
      <c r="BE95" s="476">
        <f t="shared" si="170"/>
        <v>0</v>
      </c>
      <c r="BF95" s="476">
        <f t="shared" si="171"/>
        <v>0</v>
      </c>
      <c r="BG95" s="476">
        <f t="shared" si="172"/>
        <v>0</v>
      </c>
    </row>
    <row r="96" spans="1:59" ht="16.5" customHeight="1">
      <c r="A96" s="583" t="s">
        <v>763</v>
      </c>
      <c r="B96" s="584" t="s">
        <v>1623</v>
      </c>
      <c r="C96" s="584" t="s">
        <v>144</v>
      </c>
      <c r="D96" s="413" t="s">
        <v>1051</v>
      </c>
      <c r="E96" s="412" t="s">
        <v>466</v>
      </c>
      <c r="F96" s="413" t="s">
        <v>1057</v>
      </c>
      <c r="G96" s="412" t="s">
        <v>1112</v>
      </c>
      <c r="H96" s="412" t="s">
        <v>1023</v>
      </c>
      <c r="I96" s="477">
        <v>50200</v>
      </c>
      <c r="J96" s="477">
        <v>0</v>
      </c>
      <c r="K96" s="477">
        <v>0</v>
      </c>
      <c r="L96" s="477">
        <v>0</v>
      </c>
      <c r="M96" s="477">
        <f t="shared" si="127"/>
        <v>50200</v>
      </c>
      <c r="N96" s="477">
        <f t="shared" si="128"/>
        <v>0</v>
      </c>
      <c r="O96" s="477"/>
      <c r="P96" s="477">
        <f>'Adjustments 2025'!F6</f>
        <v>50200</v>
      </c>
      <c r="Q96" s="477">
        <f t="shared" si="129"/>
        <v>50200</v>
      </c>
      <c r="R96" s="477">
        <f t="shared" si="130"/>
        <v>50200</v>
      </c>
      <c r="S96" s="477">
        <f t="shared" si="131"/>
        <v>0</v>
      </c>
      <c r="V96" s="476">
        <f t="shared" si="135"/>
        <v>0</v>
      </c>
      <c r="W96" s="476">
        <f t="shared" si="136"/>
        <v>0</v>
      </c>
      <c r="X96" s="476">
        <f t="shared" si="137"/>
        <v>0</v>
      </c>
      <c r="Y96" s="476">
        <f t="shared" si="138"/>
        <v>0</v>
      </c>
      <c r="Z96" s="476">
        <f t="shared" si="139"/>
        <v>0</v>
      </c>
      <c r="AA96" s="476">
        <f t="shared" si="140"/>
        <v>0</v>
      </c>
      <c r="AB96" s="476">
        <f t="shared" si="141"/>
        <v>0</v>
      </c>
      <c r="AC96" s="476">
        <f t="shared" si="142"/>
        <v>0</v>
      </c>
      <c r="AD96" s="476">
        <f t="shared" si="143"/>
        <v>0</v>
      </c>
      <c r="AE96" s="476">
        <f t="shared" si="144"/>
        <v>0</v>
      </c>
      <c r="AF96" s="476">
        <f t="shared" si="145"/>
        <v>0</v>
      </c>
      <c r="AG96" s="476">
        <f t="shared" si="146"/>
        <v>0</v>
      </c>
      <c r="AH96" s="476">
        <f t="shared" si="147"/>
        <v>0</v>
      </c>
      <c r="AI96" s="476">
        <f t="shared" si="148"/>
        <v>0</v>
      </c>
      <c r="AJ96" s="476">
        <f t="shared" si="149"/>
        <v>0</v>
      </c>
      <c r="AK96" s="476">
        <f t="shared" si="150"/>
        <v>0</v>
      </c>
      <c r="AL96" s="476">
        <f t="shared" si="151"/>
        <v>0</v>
      </c>
      <c r="AM96" s="476">
        <f t="shared" si="152"/>
        <v>0</v>
      </c>
      <c r="AN96" s="476">
        <f t="shared" si="153"/>
        <v>0</v>
      </c>
      <c r="AO96" s="476">
        <f t="shared" si="154"/>
        <v>0</v>
      </c>
      <c r="AP96" s="476">
        <f t="shared" si="155"/>
        <v>0</v>
      </c>
      <c r="AQ96" s="476">
        <f t="shared" si="156"/>
        <v>0</v>
      </c>
      <c r="AR96" s="476">
        <f t="shared" si="157"/>
        <v>0</v>
      </c>
      <c r="AS96" s="476">
        <f t="shared" si="158"/>
        <v>0</v>
      </c>
      <c r="AT96" s="476">
        <f t="shared" si="159"/>
        <v>0</v>
      </c>
      <c r="AU96" s="476">
        <f t="shared" si="160"/>
        <v>0</v>
      </c>
      <c r="AV96" s="476">
        <f t="shared" si="161"/>
        <v>0</v>
      </c>
      <c r="AW96" s="476">
        <f t="shared" si="162"/>
        <v>0</v>
      </c>
      <c r="AX96" s="476">
        <f t="shared" si="163"/>
        <v>0</v>
      </c>
      <c r="AY96" s="476">
        <f t="shared" si="164"/>
        <v>0</v>
      </c>
      <c r="AZ96" s="476">
        <f t="shared" si="165"/>
        <v>0</v>
      </c>
      <c r="BA96" s="476">
        <f t="shared" si="166"/>
        <v>0</v>
      </c>
      <c r="BB96" s="476">
        <f t="shared" si="167"/>
        <v>0</v>
      </c>
      <c r="BC96" s="476">
        <f t="shared" si="168"/>
        <v>0</v>
      </c>
      <c r="BD96" s="476">
        <f t="shared" si="169"/>
        <v>50200</v>
      </c>
      <c r="BE96" s="476">
        <f t="shared" si="170"/>
        <v>50200</v>
      </c>
      <c r="BF96" s="476">
        <f t="shared" si="171"/>
        <v>0</v>
      </c>
      <c r="BG96" s="476">
        <f t="shared" si="172"/>
        <v>0</v>
      </c>
    </row>
    <row r="97" spans="1:59" ht="16.5" customHeight="1">
      <c r="A97" s="583" t="s">
        <v>763</v>
      </c>
      <c r="B97" s="584" t="s">
        <v>1623</v>
      </c>
      <c r="C97" s="584" t="s">
        <v>1735</v>
      </c>
      <c r="D97" s="413" t="s">
        <v>1051</v>
      </c>
      <c r="E97" s="412" t="s">
        <v>466</v>
      </c>
      <c r="F97" s="413" t="s">
        <v>1057</v>
      </c>
      <c r="G97" s="412" t="s">
        <v>1112</v>
      </c>
      <c r="H97" s="412" t="s">
        <v>1055</v>
      </c>
      <c r="I97" s="477">
        <v>303365</v>
      </c>
      <c r="J97" s="477">
        <v>227500</v>
      </c>
      <c r="K97" s="477">
        <v>0</v>
      </c>
      <c r="L97" s="477">
        <v>0</v>
      </c>
      <c r="M97" s="477">
        <f t="shared" si="127"/>
        <v>303365</v>
      </c>
      <c r="N97" s="477">
        <f t="shared" si="128"/>
        <v>227500</v>
      </c>
      <c r="O97" s="477"/>
      <c r="P97" s="477">
        <f>'Adjustments 2025'!F9</f>
        <v>75865</v>
      </c>
      <c r="Q97" s="477">
        <f t="shared" si="129"/>
        <v>303365</v>
      </c>
      <c r="R97" s="477">
        <f t="shared" si="130"/>
        <v>303365</v>
      </c>
      <c r="S97" s="477">
        <f t="shared" si="131"/>
        <v>0</v>
      </c>
      <c r="V97" s="476">
        <f t="shared" si="135"/>
        <v>0</v>
      </c>
      <c r="W97" s="476">
        <f t="shared" si="136"/>
        <v>0</v>
      </c>
      <c r="X97" s="476">
        <f t="shared" si="137"/>
        <v>0</v>
      </c>
      <c r="Y97" s="476">
        <f t="shared" si="138"/>
        <v>0</v>
      </c>
      <c r="Z97" s="476">
        <f t="shared" si="139"/>
        <v>0</v>
      </c>
      <c r="AA97" s="476">
        <f t="shared" si="140"/>
        <v>0</v>
      </c>
      <c r="AB97" s="476">
        <f t="shared" si="141"/>
        <v>0</v>
      </c>
      <c r="AC97" s="476">
        <f t="shared" si="142"/>
        <v>0</v>
      </c>
      <c r="AD97" s="476">
        <f t="shared" si="143"/>
        <v>0</v>
      </c>
      <c r="AE97" s="476">
        <f t="shared" si="144"/>
        <v>0</v>
      </c>
      <c r="AF97" s="476">
        <f t="shared" si="145"/>
        <v>0</v>
      </c>
      <c r="AG97" s="476">
        <f t="shared" si="146"/>
        <v>0</v>
      </c>
      <c r="AH97" s="476">
        <f t="shared" si="147"/>
        <v>0</v>
      </c>
      <c r="AI97" s="476">
        <f t="shared" si="148"/>
        <v>0</v>
      </c>
      <c r="AJ97" s="476">
        <f t="shared" si="149"/>
        <v>0</v>
      </c>
      <c r="AK97" s="476">
        <f t="shared" si="150"/>
        <v>0</v>
      </c>
      <c r="AL97" s="476">
        <f t="shared" si="151"/>
        <v>0</v>
      </c>
      <c r="AM97" s="476">
        <f t="shared" si="152"/>
        <v>0</v>
      </c>
      <c r="AN97" s="476">
        <f t="shared" si="153"/>
        <v>0</v>
      </c>
      <c r="AO97" s="476">
        <f t="shared" si="154"/>
        <v>0</v>
      </c>
      <c r="AP97" s="476">
        <f t="shared" si="155"/>
        <v>0</v>
      </c>
      <c r="AQ97" s="476">
        <f t="shared" si="156"/>
        <v>0</v>
      </c>
      <c r="AR97" s="476">
        <f t="shared" si="157"/>
        <v>0</v>
      </c>
      <c r="AS97" s="476">
        <f t="shared" si="158"/>
        <v>0</v>
      </c>
      <c r="AT97" s="476">
        <f t="shared" si="159"/>
        <v>0</v>
      </c>
      <c r="AU97" s="476">
        <f t="shared" si="160"/>
        <v>0</v>
      </c>
      <c r="AV97" s="476">
        <f t="shared" si="161"/>
        <v>0</v>
      </c>
      <c r="AW97" s="476">
        <f t="shared" si="162"/>
        <v>0</v>
      </c>
      <c r="AX97" s="476">
        <f t="shared" si="163"/>
        <v>0</v>
      </c>
      <c r="AY97" s="476">
        <f t="shared" si="164"/>
        <v>0</v>
      </c>
      <c r="AZ97" s="476">
        <f t="shared" si="165"/>
        <v>0</v>
      </c>
      <c r="BA97" s="476">
        <f t="shared" si="166"/>
        <v>0</v>
      </c>
      <c r="BB97" s="476">
        <f t="shared" si="167"/>
        <v>303365</v>
      </c>
      <c r="BC97" s="476">
        <f t="shared" si="168"/>
        <v>303365</v>
      </c>
      <c r="BD97" s="476">
        <f t="shared" si="169"/>
        <v>0</v>
      </c>
      <c r="BE97" s="476">
        <f t="shared" si="170"/>
        <v>0</v>
      </c>
      <c r="BF97" s="476">
        <f t="shared" si="171"/>
        <v>0</v>
      </c>
      <c r="BG97" s="476">
        <f t="shared" si="172"/>
        <v>0</v>
      </c>
    </row>
    <row r="98" spans="1:59" ht="16.5" customHeight="1">
      <c r="A98" s="583" t="s">
        <v>763</v>
      </c>
      <c r="B98" s="584" t="s">
        <v>1113</v>
      </c>
      <c r="C98" s="584" t="s">
        <v>1736</v>
      </c>
      <c r="D98" s="413" t="s">
        <v>1051</v>
      </c>
      <c r="E98" s="412" t="s">
        <v>466</v>
      </c>
      <c r="F98" s="413" t="s">
        <v>1057</v>
      </c>
      <c r="G98" s="412" t="s">
        <v>1112</v>
      </c>
      <c r="H98" s="412" t="s">
        <v>1022</v>
      </c>
      <c r="I98" s="477">
        <v>98530</v>
      </c>
      <c r="J98" s="477">
        <v>98530</v>
      </c>
      <c r="K98" s="477"/>
      <c r="L98" s="477"/>
      <c r="M98" s="477">
        <f t="shared" si="127"/>
        <v>98530</v>
      </c>
      <c r="N98" s="477">
        <f t="shared" si="128"/>
        <v>98530</v>
      </c>
      <c r="O98" s="477"/>
      <c r="P98" s="477"/>
      <c r="Q98" s="477">
        <f t="shared" si="129"/>
        <v>98530</v>
      </c>
      <c r="R98" s="477">
        <f t="shared" si="130"/>
        <v>98530</v>
      </c>
      <c r="S98" s="477">
        <f t="shared" si="131"/>
        <v>0</v>
      </c>
      <c r="V98" s="476">
        <f t="shared" si="135"/>
        <v>0</v>
      </c>
      <c r="W98" s="476">
        <f t="shared" si="136"/>
        <v>0</v>
      </c>
      <c r="X98" s="476">
        <f t="shared" si="137"/>
        <v>0</v>
      </c>
      <c r="Y98" s="476">
        <f t="shared" si="138"/>
        <v>0</v>
      </c>
      <c r="Z98" s="476">
        <f t="shared" si="139"/>
        <v>0</v>
      </c>
      <c r="AA98" s="476">
        <f t="shared" si="140"/>
        <v>0</v>
      </c>
      <c r="AB98" s="476">
        <f t="shared" si="141"/>
        <v>0</v>
      </c>
      <c r="AC98" s="476">
        <f t="shared" si="142"/>
        <v>0</v>
      </c>
      <c r="AD98" s="476">
        <f t="shared" si="143"/>
        <v>0</v>
      </c>
      <c r="AE98" s="476">
        <f t="shared" si="144"/>
        <v>0</v>
      </c>
      <c r="AF98" s="476">
        <f t="shared" si="145"/>
        <v>0</v>
      </c>
      <c r="AG98" s="476">
        <f t="shared" si="146"/>
        <v>0</v>
      </c>
      <c r="AH98" s="476">
        <f t="shared" si="147"/>
        <v>0</v>
      </c>
      <c r="AI98" s="476">
        <f t="shared" si="148"/>
        <v>0</v>
      </c>
      <c r="AJ98" s="476">
        <f t="shared" si="149"/>
        <v>0</v>
      </c>
      <c r="AK98" s="476">
        <f t="shared" si="150"/>
        <v>0</v>
      </c>
      <c r="AL98" s="476">
        <f t="shared" si="151"/>
        <v>0</v>
      </c>
      <c r="AM98" s="476">
        <f t="shared" si="152"/>
        <v>0</v>
      </c>
      <c r="AN98" s="476">
        <f t="shared" si="153"/>
        <v>0</v>
      </c>
      <c r="AO98" s="476">
        <f t="shared" si="154"/>
        <v>0</v>
      </c>
      <c r="AP98" s="476">
        <f t="shared" si="155"/>
        <v>0</v>
      </c>
      <c r="AQ98" s="476">
        <f t="shared" si="156"/>
        <v>0</v>
      </c>
      <c r="AR98" s="476">
        <f t="shared" si="157"/>
        <v>0</v>
      </c>
      <c r="AS98" s="476">
        <f t="shared" si="158"/>
        <v>0</v>
      </c>
      <c r="AT98" s="476">
        <f t="shared" si="159"/>
        <v>0</v>
      </c>
      <c r="AU98" s="476">
        <f t="shared" si="160"/>
        <v>0</v>
      </c>
      <c r="AV98" s="476">
        <f t="shared" si="161"/>
        <v>98530</v>
      </c>
      <c r="AW98" s="476">
        <f t="shared" si="162"/>
        <v>98530</v>
      </c>
      <c r="AX98" s="476">
        <f t="shared" si="163"/>
        <v>0</v>
      </c>
      <c r="AY98" s="476">
        <f t="shared" si="164"/>
        <v>0</v>
      </c>
      <c r="AZ98" s="476">
        <f t="shared" si="165"/>
        <v>0</v>
      </c>
      <c r="BA98" s="476">
        <f t="shared" si="166"/>
        <v>0</v>
      </c>
      <c r="BB98" s="476">
        <f t="shared" si="167"/>
        <v>0</v>
      </c>
      <c r="BC98" s="476">
        <f t="shared" si="168"/>
        <v>0</v>
      </c>
      <c r="BD98" s="476">
        <f t="shared" si="169"/>
        <v>0</v>
      </c>
      <c r="BE98" s="476">
        <f t="shared" si="170"/>
        <v>0</v>
      </c>
      <c r="BF98" s="476">
        <f t="shared" si="171"/>
        <v>0</v>
      </c>
      <c r="BG98" s="476">
        <f t="shared" si="172"/>
        <v>0</v>
      </c>
    </row>
    <row r="99" spans="1:59" ht="16.5" customHeight="1">
      <c r="A99" s="583" t="s">
        <v>763</v>
      </c>
      <c r="B99" s="584" t="s">
        <v>1623</v>
      </c>
      <c r="C99" s="584" t="s">
        <v>1737</v>
      </c>
      <c r="D99" s="413" t="s">
        <v>1051</v>
      </c>
      <c r="E99" s="412" t="s">
        <v>466</v>
      </c>
      <c r="F99" s="413" t="s">
        <v>1057</v>
      </c>
      <c r="G99" s="412" t="s">
        <v>1112</v>
      </c>
      <c r="H99" s="412" t="s">
        <v>992</v>
      </c>
      <c r="I99" s="477">
        <v>15150</v>
      </c>
      <c r="J99" s="477">
        <v>6000</v>
      </c>
      <c r="K99" s="477">
        <v>0</v>
      </c>
      <c r="L99" s="477">
        <v>0</v>
      </c>
      <c r="M99" s="477">
        <f t="shared" si="127"/>
        <v>15150</v>
      </c>
      <c r="N99" s="477">
        <f t="shared" si="128"/>
        <v>6000</v>
      </c>
      <c r="O99" s="477"/>
      <c r="P99" s="477">
        <f>'Adjustments 2025'!F12</f>
        <v>9150</v>
      </c>
      <c r="Q99" s="477">
        <f t="shared" si="129"/>
        <v>15150</v>
      </c>
      <c r="R99" s="477">
        <f t="shared" si="130"/>
        <v>15150</v>
      </c>
      <c r="S99" s="477">
        <f t="shared" si="131"/>
        <v>0</v>
      </c>
      <c r="V99" s="476">
        <f t="shared" si="135"/>
        <v>0</v>
      </c>
      <c r="W99" s="476">
        <f t="shared" si="136"/>
        <v>0</v>
      </c>
      <c r="X99" s="476">
        <f t="shared" si="137"/>
        <v>0</v>
      </c>
      <c r="Y99" s="476">
        <f t="shared" si="138"/>
        <v>0</v>
      </c>
      <c r="Z99" s="476">
        <f t="shared" si="139"/>
        <v>0</v>
      </c>
      <c r="AA99" s="476">
        <f t="shared" si="140"/>
        <v>0</v>
      </c>
      <c r="AB99" s="476">
        <f t="shared" si="141"/>
        <v>0</v>
      </c>
      <c r="AC99" s="476">
        <f t="shared" si="142"/>
        <v>0</v>
      </c>
      <c r="AD99" s="476">
        <f t="shared" si="143"/>
        <v>0</v>
      </c>
      <c r="AE99" s="476">
        <f t="shared" si="144"/>
        <v>0</v>
      </c>
      <c r="AF99" s="476">
        <f t="shared" si="145"/>
        <v>0</v>
      </c>
      <c r="AG99" s="476">
        <f t="shared" si="146"/>
        <v>0</v>
      </c>
      <c r="AH99" s="476">
        <f t="shared" si="147"/>
        <v>0</v>
      </c>
      <c r="AI99" s="476">
        <f t="shared" si="148"/>
        <v>0</v>
      </c>
      <c r="AJ99" s="476">
        <f t="shared" si="149"/>
        <v>0</v>
      </c>
      <c r="AK99" s="476">
        <f t="shared" si="150"/>
        <v>0</v>
      </c>
      <c r="AL99" s="476">
        <f t="shared" si="151"/>
        <v>0</v>
      </c>
      <c r="AM99" s="476">
        <f t="shared" si="152"/>
        <v>0</v>
      </c>
      <c r="AN99" s="476">
        <f t="shared" si="153"/>
        <v>15150</v>
      </c>
      <c r="AO99" s="476">
        <f t="shared" si="154"/>
        <v>15150</v>
      </c>
      <c r="AP99" s="476">
        <f t="shared" si="155"/>
        <v>0</v>
      </c>
      <c r="AQ99" s="476">
        <f t="shared" si="156"/>
        <v>0</v>
      </c>
      <c r="AR99" s="476">
        <f t="shared" si="157"/>
        <v>0</v>
      </c>
      <c r="AS99" s="476">
        <f t="shared" si="158"/>
        <v>0</v>
      </c>
      <c r="AT99" s="476">
        <f t="shared" si="159"/>
        <v>0</v>
      </c>
      <c r="AU99" s="476">
        <f t="shared" si="160"/>
        <v>0</v>
      </c>
      <c r="AV99" s="476">
        <f t="shared" si="161"/>
        <v>0</v>
      </c>
      <c r="AW99" s="476">
        <f t="shared" si="162"/>
        <v>0</v>
      </c>
      <c r="AX99" s="476">
        <f t="shared" si="163"/>
        <v>0</v>
      </c>
      <c r="AY99" s="476">
        <f t="shared" si="164"/>
        <v>0</v>
      </c>
      <c r="AZ99" s="476">
        <f t="shared" si="165"/>
        <v>0</v>
      </c>
      <c r="BA99" s="476">
        <f t="shared" si="166"/>
        <v>0</v>
      </c>
      <c r="BB99" s="476">
        <f t="shared" si="167"/>
        <v>0</v>
      </c>
      <c r="BC99" s="476">
        <f t="shared" si="168"/>
        <v>0</v>
      </c>
      <c r="BD99" s="476">
        <f t="shared" si="169"/>
        <v>0</v>
      </c>
      <c r="BE99" s="476">
        <f t="shared" si="170"/>
        <v>0</v>
      </c>
      <c r="BF99" s="476">
        <f t="shared" si="171"/>
        <v>0</v>
      </c>
      <c r="BG99" s="476">
        <f t="shared" si="172"/>
        <v>0</v>
      </c>
    </row>
    <row r="100" spans="1:59" ht="16.5" customHeight="1">
      <c r="A100" s="583" t="s">
        <v>763</v>
      </c>
      <c r="B100" s="584" t="s">
        <v>1623</v>
      </c>
      <c r="C100" s="584" t="s">
        <v>1738</v>
      </c>
      <c r="D100" s="413" t="s">
        <v>1051</v>
      </c>
      <c r="E100" s="412" t="s">
        <v>466</v>
      </c>
      <c r="F100" s="413" t="s">
        <v>1057</v>
      </c>
      <c r="G100" s="412" t="s">
        <v>1112</v>
      </c>
      <c r="H100" s="412" t="s">
        <v>1275</v>
      </c>
      <c r="I100" s="477">
        <v>350100</v>
      </c>
      <c r="J100" s="477">
        <v>350100</v>
      </c>
      <c r="K100" s="477">
        <v>330000</v>
      </c>
      <c r="L100" s="477">
        <v>310000</v>
      </c>
      <c r="M100" s="477">
        <f t="shared" si="127"/>
        <v>680100</v>
      </c>
      <c r="N100" s="477">
        <f t="shared" si="128"/>
        <v>660100</v>
      </c>
      <c r="O100" s="477"/>
      <c r="P100" s="477">
        <f>'Adjustments 2025'!F13</f>
        <v>20000</v>
      </c>
      <c r="Q100" s="477">
        <f t="shared" si="129"/>
        <v>680100</v>
      </c>
      <c r="R100" s="477">
        <f t="shared" si="130"/>
        <v>680100</v>
      </c>
      <c r="S100" s="477">
        <f t="shared" si="131"/>
        <v>0</v>
      </c>
      <c r="V100" s="476">
        <f t="shared" si="135"/>
        <v>0</v>
      </c>
      <c r="W100" s="476">
        <f t="shared" si="136"/>
        <v>0</v>
      </c>
      <c r="X100" s="476">
        <f t="shared" si="137"/>
        <v>0</v>
      </c>
      <c r="Y100" s="476">
        <f t="shared" si="138"/>
        <v>0</v>
      </c>
      <c r="Z100" s="476">
        <f t="shared" si="139"/>
        <v>0</v>
      </c>
      <c r="AA100" s="476">
        <f t="shared" si="140"/>
        <v>0</v>
      </c>
      <c r="AB100" s="476">
        <f t="shared" si="141"/>
        <v>0</v>
      </c>
      <c r="AC100" s="476">
        <f t="shared" si="142"/>
        <v>0</v>
      </c>
      <c r="AD100" s="476">
        <f t="shared" si="143"/>
        <v>0</v>
      </c>
      <c r="AE100" s="476">
        <f t="shared" si="144"/>
        <v>0</v>
      </c>
      <c r="AF100" s="476">
        <f t="shared" si="145"/>
        <v>0</v>
      </c>
      <c r="AG100" s="476">
        <f t="shared" si="146"/>
        <v>0</v>
      </c>
      <c r="AH100" s="476">
        <f t="shared" si="147"/>
        <v>0</v>
      </c>
      <c r="AI100" s="476">
        <f t="shared" si="148"/>
        <v>0</v>
      </c>
      <c r="AJ100" s="476">
        <f t="shared" si="149"/>
        <v>0</v>
      </c>
      <c r="AK100" s="476">
        <f t="shared" si="150"/>
        <v>0</v>
      </c>
      <c r="AL100" s="476">
        <f t="shared" si="151"/>
        <v>0</v>
      </c>
      <c r="AM100" s="476">
        <f t="shared" si="152"/>
        <v>0</v>
      </c>
      <c r="AN100" s="476">
        <f t="shared" si="153"/>
        <v>0</v>
      </c>
      <c r="AO100" s="476">
        <f t="shared" si="154"/>
        <v>0</v>
      </c>
      <c r="AP100" s="476">
        <f t="shared" si="155"/>
        <v>0</v>
      </c>
      <c r="AQ100" s="476">
        <f t="shared" si="156"/>
        <v>0</v>
      </c>
      <c r="AR100" s="476">
        <f t="shared" si="157"/>
        <v>0</v>
      </c>
      <c r="AS100" s="476">
        <f t="shared" si="158"/>
        <v>0</v>
      </c>
      <c r="AT100" s="476">
        <f t="shared" si="159"/>
        <v>0</v>
      </c>
      <c r="AU100" s="476">
        <f t="shared" si="160"/>
        <v>0</v>
      </c>
      <c r="AV100" s="476">
        <f t="shared" si="161"/>
        <v>0</v>
      </c>
      <c r="AW100" s="476">
        <f t="shared" si="162"/>
        <v>0</v>
      </c>
      <c r="AX100" s="476">
        <f t="shared" si="163"/>
        <v>0</v>
      </c>
      <c r="AY100" s="476">
        <f t="shared" si="164"/>
        <v>0</v>
      </c>
      <c r="AZ100" s="476">
        <f t="shared" si="165"/>
        <v>0</v>
      </c>
      <c r="BA100" s="476">
        <f t="shared" si="166"/>
        <v>0</v>
      </c>
      <c r="BB100" s="476">
        <f t="shared" si="167"/>
        <v>0</v>
      </c>
      <c r="BC100" s="476">
        <f t="shared" si="168"/>
        <v>0</v>
      </c>
      <c r="BD100" s="476">
        <f t="shared" si="169"/>
        <v>0</v>
      </c>
      <c r="BE100" s="476">
        <f t="shared" si="170"/>
        <v>0</v>
      </c>
      <c r="BF100" s="476">
        <f t="shared" si="171"/>
        <v>0</v>
      </c>
      <c r="BG100" s="476">
        <f t="shared" si="172"/>
        <v>0</v>
      </c>
    </row>
    <row r="101" spans="1:59" ht="16.5" customHeight="1">
      <c r="A101" s="583" t="s">
        <v>763</v>
      </c>
      <c r="B101" s="584" t="s">
        <v>1623</v>
      </c>
      <c r="C101" s="584" t="s">
        <v>1739</v>
      </c>
      <c r="D101" s="413" t="s">
        <v>1051</v>
      </c>
      <c r="E101" s="412" t="s">
        <v>466</v>
      </c>
      <c r="F101" s="412" t="s">
        <v>1057</v>
      </c>
      <c r="G101" s="412" t="s">
        <v>1112</v>
      </c>
      <c r="H101" s="412" t="s">
        <v>1723</v>
      </c>
      <c r="I101" s="477">
        <v>0</v>
      </c>
      <c r="J101" s="477">
        <v>0</v>
      </c>
      <c r="K101" s="477">
        <v>186000</v>
      </c>
      <c r="L101" s="477">
        <v>0</v>
      </c>
      <c r="M101" s="477">
        <f t="shared" si="127"/>
        <v>186000</v>
      </c>
      <c r="N101" s="477">
        <f t="shared" si="128"/>
        <v>0</v>
      </c>
      <c r="O101" s="477"/>
      <c r="P101" s="477"/>
      <c r="Q101" s="477">
        <f t="shared" si="129"/>
        <v>186000</v>
      </c>
      <c r="R101" s="477">
        <f t="shared" si="130"/>
        <v>0</v>
      </c>
      <c r="S101" s="477">
        <f t="shared" si="131"/>
        <v>186000</v>
      </c>
      <c r="U101" s="473"/>
      <c r="V101" s="476">
        <f t="shared" si="135"/>
        <v>0</v>
      </c>
      <c r="W101" s="476">
        <f t="shared" si="136"/>
        <v>0</v>
      </c>
      <c r="X101" s="476">
        <f t="shared" si="137"/>
        <v>0</v>
      </c>
      <c r="Y101" s="476">
        <f t="shared" si="138"/>
        <v>0</v>
      </c>
      <c r="Z101" s="476">
        <f t="shared" si="139"/>
        <v>0</v>
      </c>
      <c r="AA101" s="476">
        <f t="shared" si="140"/>
        <v>0</v>
      </c>
      <c r="AB101" s="476">
        <f t="shared" si="141"/>
        <v>0</v>
      </c>
      <c r="AC101" s="476">
        <f t="shared" si="142"/>
        <v>0</v>
      </c>
      <c r="AD101" s="476">
        <f t="shared" si="143"/>
        <v>0</v>
      </c>
      <c r="AE101" s="476">
        <f t="shared" si="144"/>
        <v>0</v>
      </c>
      <c r="AF101" s="476">
        <f t="shared" si="145"/>
        <v>0</v>
      </c>
      <c r="AG101" s="476">
        <f t="shared" si="146"/>
        <v>0</v>
      </c>
      <c r="AH101" s="476">
        <f t="shared" si="147"/>
        <v>0</v>
      </c>
      <c r="AI101" s="476">
        <f t="shared" si="148"/>
        <v>0</v>
      </c>
      <c r="AJ101" s="476">
        <f t="shared" si="149"/>
        <v>0</v>
      </c>
      <c r="AK101" s="476">
        <f t="shared" si="150"/>
        <v>0</v>
      </c>
      <c r="AL101" s="476">
        <f t="shared" si="151"/>
        <v>0</v>
      </c>
      <c r="AM101" s="476">
        <f t="shared" si="152"/>
        <v>0</v>
      </c>
      <c r="AN101" s="476">
        <f t="shared" si="153"/>
        <v>0</v>
      </c>
      <c r="AO101" s="476">
        <f t="shared" si="154"/>
        <v>0</v>
      </c>
      <c r="AP101" s="476">
        <f t="shared" si="155"/>
        <v>0</v>
      </c>
      <c r="AQ101" s="476">
        <f t="shared" si="156"/>
        <v>0</v>
      </c>
      <c r="AR101" s="476">
        <f t="shared" si="157"/>
        <v>0</v>
      </c>
      <c r="AS101" s="476">
        <f t="shared" si="158"/>
        <v>0</v>
      </c>
      <c r="AT101" s="476">
        <f t="shared" si="159"/>
        <v>0</v>
      </c>
      <c r="AU101" s="476">
        <f t="shared" si="160"/>
        <v>0</v>
      </c>
      <c r="AV101" s="476">
        <f t="shared" si="161"/>
        <v>0</v>
      </c>
      <c r="AW101" s="476">
        <f t="shared" si="162"/>
        <v>0</v>
      </c>
      <c r="AX101" s="476">
        <f t="shared" si="163"/>
        <v>0</v>
      </c>
      <c r="AY101" s="476">
        <f t="shared" si="164"/>
        <v>0</v>
      </c>
      <c r="AZ101" s="476">
        <f t="shared" si="165"/>
        <v>0</v>
      </c>
      <c r="BA101" s="476">
        <f t="shared" si="166"/>
        <v>0</v>
      </c>
      <c r="BB101" s="476">
        <f t="shared" si="167"/>
        <v>0</v>
      </c>
      <c r="BC101" s="476">
        <f t="shared" si="168"/>
        <v>0</v>
      </c>
      <c r="BD101" s="476">
        <f t="shared" si="169"/>
        <v>0</v>
      </c>
      <c r="BE101" s="476">
        <f t="shared" si="170"/>
        <v>0</v>
      </c>
      <c r="BF101" s="476">
        <f t="shared" si="171"/>
        <v>0</v>
      </c>
      <c r="BG101" s="476">
        <f t="shared" si="172"/>
        <v>0</v>
      </c>
    </row>
    <row r="102" spans="1:59" ht="16.5" customHeight="1">
      <c r="A102" s="583" t="s">
        <v>768</v>
      </c>
      <c r="B102" s="584" t="s">
        <v>1624</v>
      </c>
      <c r="C102" s="584" t="s">
        <v>153</v>
      </c>
      <c r="D102" s="413" t="s">
        <v>1051</v>
      </c>
      <c r="E102" s="412" t="s">
        <v>466</v>
      </c>
      <c r="F102" s="412" t="s">
        <v>1057</v>
      </c>
      <c r="G102" s="412" t="s">
        <v>1112</v>
      </c>
      <c r="H102" s="412" t="s">
        <v>974</v>
      </c>
      <c r="I102" s="477">
        <v>564350</v>
      </c>
      <c r="J102" s="477">
        <v>477300</v>
      </c>
      <c r="K102" s="477">
        <v>42000</v>
      </c>
      <c r="L102" s="477">
        <v>0</v>
      </c>
      <c r="M102" s="477">
        <f t="shared" si="127"/>
        <v>606350</v>
      </c>
      <c r="N102" s="477">
        <f t="shared" si="128"/>
        <v>477300</v>
      </c>
      <c r="O102" s="477"/>
      <c r="P102" s="477">
        <f>'Adjustments 2025'!F19</f>
        <v>87050</v>
      </c>
      <c r="Q102" s="477">
        <f t="shared" si="129"/>
        <v>606350</v>
      </c>
      <c r="R102" s="477">
        <f t="shared" si="130"/>
        <v>564350</v>
      </c>
      <c r="S102" s="477">
        <f t="shared" si="131"/>
        <v>42000</v>
      </c>
      <c r="U102" s="473"/>
      <c r="V102" s="476">
        <f t="shared" si="135"/>
        <v>606350</v>
      </c>
      <c r="W102" s="476">
        <f t="shared" si="136"/>
        <v>564350</v>
      </c>
      <c r="X102" s="476">
        <f t="shared" si="137"/>
        <v>0</v>
      </c>
      <c r="Y102" s="476">
        <f t="shared" si="138"/>
        <v>0</v>
      </c>
      <c r="Z102" s="476">
        <f t="shared" si="139"/>
        <v>0</v>
      </c>
      <c r="AA102" s="476">
        <f t="shared" si="140"/>
        <v>0</v>
      </c>
      <c r="AB102" s="476">
        <f t="shared" si="141"/>
        <v>0</v>
      </c>
      <c r="AC102" s="476">
        <f t="shared" si="142"/>
        <v>0</v>
      </c>
      <c r="AD102" s="476">
        <f t="shared" si="143"/>
        <v>0</v>
      </c>
      <c r="AE102" s="476">
        <f t="shared" si="144"/>
        <v>0</v>
      </c>
      <c r="AF102" s="476">
        <f t="shared" si="145"/>
        <v>0</v>
      </c>
      <c r="AG102" s="476">
        <f t="shared" si="146"/>
        <v>0</v>
      </c>
      <c r="AH102" s="476">
        <f t="shared" si="147"/>
        <v>0</v>
      </c>
      <c r="AI102" s="476">
        <f t="shared" si="148"/>
        <v>0</v>
      </c>
      <c r="AJ102" s="476">
        <f t="shared" si="149"/>
        <v>0</v>
      </c>
      <c r="AK102" s="476">
        <f t="shared" si="150"/>
        <v>0</v>
      </c>
      <c r="AL102" s="476">
        <f t="shared" si="151"/>
        <v>0</v>
      </c>
      <c r="AM102" s="476">
        <f t="shared" si="152"/>
        <v>0</v>
      </c>
      <c r="AN102" s="476">
        <f t="shared" si="153"/>
        <v>0</v>
      </c>
      <c r="AO102" s="476">
        <f t="shared" si="154"/>
        <v>0</v>
      </c>
      <c r="AP102" s="476">
        <f t="shared" si="155"/>
        <v>0</v>
      </c>
      <c r="AQ102" s="476">
        <f t="shared" si="156"/>
        <v>0</v>
      </c>
      <c r="AR102" s="476">
        <f t="shared" si="157"/>
        <v>0</v>
      </c>
      <c r="AS102" s="476">
        <f t="shared" si="158"/>
        <v>0</v>
      </c>
      <c r="AT102" s="476">
        <f t="shared" si="159"/>
        <v>0</v>
      </c>
      <c r="AU102" s="476">
        <f t="shared" si="160"/>
        <v>0</v>
      </c>
      <c r="AV102" s="476">
        <f t="shared" si="161"/>
        <v>0</v>
      </c>
      <c r="AW102" s="476">
        <f t="shared" si="162"/>
        <v>0</v>
      </c>
      <c r="AX102" s="476">
        <f t="shared" si="163"/>
        <v>0</v>
      </c>
      <c r="AY102" s="476">
        <f t="shared" si="164"/>
        <v>0</v>
      </c>
      <c r="AZ102" s="476">
        <f t="shared" si="165"/>
        <v>0</v>
      </c>
      <c r="BA102" s="476">
        <f t="shared" si="166"/>
        <v>0</v>
      </c>
      <c r="BB102" s="476">
        <f t="shared" si="167"/>
        <v>0</v>
      </c>
      <c r="BC102" s="476">
        <f t="shared" si="168"/>
        <v>0</v>
      </c>
      <c r="BD102" s="476">
        <f t="shared" si="169"/>
        <v>0</v>
      </c>
      <c r="BE102" s="476">
        <f t="shared" si="170"/>
        <v>0</v>
      </c>
      <c r="BF102" s="476">
        <f t="shared" si="171"/>
        <v>0</v>
      </c>
      <c r="BG102" s="476">
        <f t="shared" si="172"/>
        <v>0</v>
      </c>
    </row>
    <row r="103" spans="1:59" ht="16.5" customHeight="1">
      <c r="A103" s="583" t="s">
        <v>768</v>
      </c>
      <c r="B103" s="584" t="s">
        <v>1624</v>
      </c>
      <c r="C103" s="584" t="s">
        <v>1740</v>
      </c>
      <c r="D103" s="413" t="s">
        <v>1051</v>
      </c>
      <c r="E103" s="412" t="s">
        <v>466</v>
      </c>
      <c r="F103" s="412" t="s">
        <v>1057</v>
      </c>
      <c r="G103" s="412" t="s">
        <v>1112</v>
      </c>
      <c r="H103" s="412" t="s">
        <v>1055</v>
      </c>
      <c r="I103" s="477">
        <v>647000</v>
      </c>
      <c r="J103" s="477">
        <v>697000</v>
      </c>
      <c r="K103" s="477">
        <v>0</v>
      </c>
      <c r="L103" s="477">
        <v>0</v>
      </c>
      <c r="M103" s="477">
        <f t="shared" si="127"/>
        <v>647000</v>
      </c>
      <c r="N103" s="477">
        <f t="shared" si="128"/>
        <v>697000</v>
      </c>
      <c r="O103" s="477">
        <f>'Adjustments 2025'!E17</f>
        <v>50000</v>
      </c>
      <c r="P103" s="477"/>
      <c r="Q103" s="477">
        <f t="shared" si="129"/>
        <v>697000</v>
      </c>
      <c r="R103" s="477">
        <f t="shared" si="130"/>
        <v>697000</v>
      </c>
      <c r="S103" s="477">
        <f t="shared" si="131"/>
        <v>0</v>
      </c>
      <c r="U103" s="473"/>
      <c r="V103" s="476">
        <f t="shared" si="135"/>
        <v>0</v>
      </c>
      <c r="W103" s="476">
        <f t="shared" si="136"/>
        <v>0</v>
      </c>
      <c r="X103" s="476">
        <f t="shared" si="137"/>
        <v>0</v>
      </c>
      <c r="Y103" s="476">
        <f t="shared" si="138"/>
        <v>0</v>
      </c>
      <c r="Z103" s="476">
        <f t="shared" si="139"/>
        <v>0</v>
      </c>
      <c r="AA103" s="476">
        <f t="shared" si="140"/>
        <v>0</v>
      </c>
      <c r="AB103" s="476">
        <f t="shared" si="141"/>
        <v>0</v>
      </c>
      <c r="AC103" s="476">
        <f t="shared" si="142"/>
        <v>0</v>
      </c>
      <c r="AD103" s="476">
        <f t="shared" si="143"/>
        <v>0</v>
      </c>
      <c r="AE103" s="476">
        <f t="shared" si="144"/>
        <v>0</v>
      </c>
      <c r="AF103" s="476">
        <f t="shared" si="145"/>
        <v>0</v>
      </c>
      <c r="AG103" s="476">
        <f t="shared" si="146"/>
        <v>0</v>
      </c>
      <c r="AH103" s="476">
        <f t="shared" si="147"/>
        <v>0</v>
      </c>
      <c r="AI103" s="476">
        <f t="shared" si="148"/>
        <v>0</v>
      </c>
      <c r="AJ103" s="476">
        <f t="shared" si="149"/>
        <v>0</v>
      </c>
      <c r="AK103" s="476">
        <f t="shared" si="150"/>
        <v>0</v>
      </c>
      <c r="AL103" s="476">
        <f t="shared" si="151"/>
        <v>0</v>
      </c>
      <c r="AM103" s="476">
        <f t="shared" si="152"/>
        <v>0</v>
      </c>
      <c r="AN103" s="476">
        <f t="shared" si="153"/>
        <v>0</v>
      </c>
      <c r="AO103" s="476">
        <f t="shared" si="154"/>
        <v>0</v>
      </c>
      <c r="AP103" s="476">
        <f t="shared" si="155"/>
        <v>0</v>
      </c>
      <c r="AQ103" s="476">
        <f t="shared" si="156"/>
        <v>0</v>
      </c>
      <c r="AR103" s="476">
        <f t="shared" si="157"/>
        <v>0</v>
      </c>
      <c r="AS103" s="476">
        <f t="shared" si="158"/>
        <v>0</v>
      </c>
      <c r="AT103" s="476">
        <f t="shared" si="159"/>
        <v>0</v>
      </c>
      <c r="AU103" s="476">
        <f t="shared" si="160"/>
        <v>0</v>
      </c>
      <c r="AV103" s="476">
        <f t="shared" si="161"/>
        <v>0</v>
      </c>
      <c r="AW103" s="476">
        <f t="shared" si="162"/>
        <v>0</v>
      </c>
      <c r="AX103" s="476">
        <f t="shared" si="163"/>
        <v>0</v>
      </c>
      <c r="AY103" s="476">
        <f t="shared" si="164"/>
        <v>0</v>
      </c>
      <c r="AZ103" s="476">
        <f t="shared" si="165"/>
        <v>0</v>
      </c>
      <c r="BA103" s="476">
        <f t="shared" si="166"/>
        <v>0</v>
      </c>
      <c r="BB103" s="476">
        <f t="shared" si="167"/>
        <v>697000</v>
      </c>
      <c r="BC103" s="476">
        <f t="shared" si="168"/>
        <v>697000</v>
      </c>
      <c r="BD103" s="476">
        <f t="shared" si="169"/>
        <v>0</v>
      </c>
      <c r="BE103" s="476">
        <f t="shared" si="170"/>
        <v>0</v>
      </c>
      <c r="BF103" s="476">
        <f t="shared" si="171"/>
        <v>0</v>
      </c>
      <c r="BG103" s="476">
        <f t="shared" si="172"/>
        <v>0</v>
      </c>
    </row>
    <row r="104" spans="1:59" ht="16.5" customHeight="1">
      <c r="A104" s="583" t="s">
        <v>768</v>
      </c>
      <c r="B104" s="584" t="s">
        <v>1624</v>
      </c>
      <c r="C104" s="584" t="s">
        <v>154</v>
      </c>
      <c r="D104" s="413" t="s">
        <v>1051</v>
      </c>
      <c r="E104" s="412" t="s">
        <v>466</v>
      </c>
      <c r="F104" s="412" t="s">
        <v>1057</v>
      </c>
      <c r="G104" s="412" t="s">
        <v>1112</v>
      </c>
      <c r="H104" s="412" t="s">
        <v>1024</v>
      </c>
      <c r="I104" s="477">
        <v>4000</v>
      </c>
      <c r="J104" s="477">
        <v>0</v>
      </c>
      <c r="K104" s="477">
        <v>0</v>
      </c>
      <c r="L104" s="477">
        <v>0</v>
      </c>
      <c r="M104" s="477">
        <f t="shared" si="127"/>
        <v>4000</v>
      </c>
      <c r="N104" s="477">
        <f t="shared" si="128"/>
        <v>0</v>
      </c>
      <c r="O104" s="477"/>
      <c r="P104" s="477">
        <f>'Adjustments 2025'!F20</f>
        <v>4000</v>
      </c>
      <c r="Q104" s="477">
        <f t="shared" si="129"/>
        <v>4000</v>
      </c>
      <c r="R104" s="477">
        <f t="shared" si="130"/>
        <v>4000</v>
      </c>
      <c r="S104" s="477">
        <f t="shared" si="131"/>
        <v>0</v>
      </c>
      <c r="U104" s="473"/>
      <c r="V104" s="476">
        <f t="shared" si="135"/>
        <v>0</v>
      </c>
      <c r="W104" s="476">
        <f t="shared" si="136"/>
        <v>0</v>
      </c>
      <c r="X104" s="476">
        <f t="shared" si="137"/>
        <v>0</v>
      </c>
      <c r="Y104" s="476">
        <f t="shared" si="138"/>
        <v>0</v>
      </c>
      <c r="Z104" s="476">
        <f t="shared" si="139"/>
        <v>0</v>
      </c>
      <c r="AA104" s="476">
        <f t="shared" si="140"/>
        <v>0</v>
      </c>
      <c r="AB104" s="476">
        <f t="shared" si="141"/>
        <v>0</v>
      </c>
      <c r="AC104" s="476">
        <f t="shared" si="142"/>
        <v>0</v>
      </c>
      <c r="AD104" s="476">
        <f t="shared" si="143"/>
        <v>0</v>
      </c>
      <c r="AE104" s="476">
        <f t="shared" si="144"/>
        <v>0</v>
      </c>
      <c r="AF104" s="476">
        <f t="shared" si="145"/>
        <v>0</v>
      </c>
      <c r="AG104" s="476">
        <f t="shared" si="146"/>
        <v>0</v>
      </c>
      <c r="AH104" s="476">
        <f t="shared" si="147"/>
        <v>0</v>
      </c>
      <c r="AI104" s="476">
        <f t="shared" si="148"/>
        <v>0</v>
      </c>
      <c r="AJ104" s="476">
        <f t="shared" si="149"/>
        <v>0</v>
      </c>
      <c r="AK104" s="476">
        <f t="shared" si="150"/>
        <v>0</v>
      </c>
      <c r="AL104" s="476">
        <f t="shared" si="151"/>
        <v>0</v>
      </c>
      <c r="AM104" s="476">
        <f t="shared" si="152"/>
        <v>0</v>
      </c>
      <c r="AN104" s="476">
        <f t="shared" si="153"/>
        <v>0</v>
      </c>
      <c r="AO104" s="476">
        <f t="shared" si="154"/>
        <v>0</v>
      </c>
      <c r="AP104" s="476">
        <f t="shared" si="155"/>
        <v>0</v>
      </c>
      <c r="AQ104" s="476">
        <f t="shared" si="156"/>
        <v>0</v>
      </c>
      <c r="AR104" s="476">
        <f t="shared" si="157"/>
        <v>0</v>
      </c>
      <c r="AS104" s="476">
        <f t="shared" si="158"/>
        <v>0</v>
      </c>
      <c r="AT104" s="476">
        <f t="shared" si="159"/>
        <v>0</v>
      </c>
      <c r="AU104" s="476">
        <f t="shared" si="160"/>
        <v>0</v>
      </c>
      <c r="AV104" s="476">
        <f t="shared" si="161"/>
        <v>0</v>
      </c>
      <c r="AW104" s="476">
        <f t="shared" si="162"/>
        <v>0</v>
      </c>
      <c r="AX104" s="476">
        <f t="shared" si="163"/>
        <v>0</v>
      </c>
      <c r="AY104" s="476">
        <f t="shared" si="164"/>
        <v>0</v>
      </c>
      <c r="AZ104" s="476">
        <f t="shared" si="165"/>
        <v>4000</v>
      </c>
      <c r="BA104" s="476">
        <f t="shared" si="166"/>
        <v>4000</v>
      </c>
      <c r="BB104" s="476">
        <f t="shared" si="167"/>
        <v>0</v>
      </c>
      <c r="BC104" s="476">
        <f t="shared" si="168"/>
        <v>0</v>
      </c>
      <c r="BD104" s="476">
        <f t="shared" si="169"/>
        <v>0</v>
      </c>
      <c r="BE104" s="476">
        <f t="shared" si="170"/>
        <v>0</v>
      </c>
      <c r="BF104" s="476">
        <f t="shared" si="171"/>
        <v>0</v>
      </c>
      <c r="BG104" s="476">
        <f t="shared" si="172"/>
        <v>0</v>
      </c>
    </row>
    <row r="105" spans="1:59" ht="16.5" customHeight="1">
      <c r="A105" s="583" t="s">
        <v>771</v>
      </c>
      <c r="B105" s="584" t="s">
        <v>1625</v>
      </c>
      <c r="C105" s="584" t="s">
        <v>157</v>
      </c>
      <c r="D105" s="413" t="s">
        <v>1051</v>
      </c>
      <c r="E105" s="412" t="s">
        <v>466</v>
      </c>
      <c r="F105" s="412" t="s">
        <v>1057</v>
      </c>
      <c r="G105" s="412" t="s">
        <v>1112</v>
      </c>
      <c r="H105" s="412" t="s">
        <v>1011</v>
      </c>
      <c r="I105" s="477">
        <v>300000</v>
      </c>
      <c r="J105" s="477">
        <v>5050</v>
      </c>
      <c r="K105" s="477">
        <v>0</v>
      </c>
      <c r="L105" s="477">
        <v>300000</v>
      </c>
      <c r="M105" s="477">
        <f t="shared" si="127"/>
        <v>300000</v>
      </c>
      <c r="N105" s="477">
        <f t="shared" si="128"/>
        <v>305050</v>
      </c>
      <c r="O105" s="477">
        <f>'Adjustments 2025'!E18</f>
        <v>5050</v>
      </c>
      <c r="P105" s="477"/>
      <c r="Q105" s="477">
        <f t="shared" si="129"/>
        <v>305050</v>
      </c>
      <c r="R105" s="477">
        <f t="shared" si="130"/>
        <v>305050</v>
      </c>
      <c r="S105" s="477">
        <f t="shared" si="131"/>
        <v>0</v>
      </c>
      <c r="U105" s="473"/>
      <c r="V105" s="476">
        <f t="shared" si="135"/>
        <v>0</v>
      </c>
      <c r="W105" s="476">
        <f t="shared" si="136"/>
        <v>0</v>
      </c>
      <c r="X105" s="476">
        <f t="shared" si="137"/>
        <v>305050</v>
      </c>
      <c r="Y105" s="476">
        <f t="shared" si="138"/>
        <v>305050</v>
      </c>
      <c r="Z105" s="476">
        <f t="shared" si="139"/>
        <v>0</v>
      </c>
      <c r="AA105" s="476">
        <f t="shared" si="140"/>
        <v>0</v>
      </c>
      <c r="AB105" s="476">
        <f t="shared" si="141"/>
        <v>0</v>
      </c>
      <c r="AC105" s="476">
        <f t="shared" si="142"/>
        <v>0</v>
      </c>
      <c r="AD105" s="476">
        <f t="shared" si="143"/>
        <v>0</v>
      </c>
      <c r="AE105" s="476">
        <f t="shared" si="144"/>
        <v>0</v>
      </c>
      <c r="AF105" s="476">
        <f t="shared" si="145"/>
        <v>0</v>
      </c>
      <c r="AG105" s="476">
        <f t="shared" si="146"/>
        <v>0</v>
      </c>
      <c r="AH105" s="476">
        <f t="shared" si="147"/>
        <v>0</v>
      </c>
      <c r="AI105" s="476">
        <f t="shared" si="148"/>
        <v>0</v>
      </c>
      <c r="AJ105" s="476">
        <f t="shared" si="149"/>
        <v>0</v>
      </c>
      <c r="AK105" s="476">
        <f t="shared" si="150"/>
        <v>0</v>
      </c>
      <c r="AL105" s="476">
        <f t="shared" si="151"/>
        <v>0</v>
      </c>
      <c r="AM105" s="476">
        <f t="shared" si="152"/>
        <v>0</v>
      </c>
      <c r="AN105" s="476">
        <f t="shared" si="153"/>
        <v>0</v>
      </c>
      <c r="AO105" s="476">
        <f t="shared" si="154"/>
        <v>0</v>
      </c>
      <c r="AP105" s="476">
        <f t="shared" si="155"/>
        <v>0</v>
      </c>
      <c r="AQ105" s="476">
        <f t="shared" si="156"/>
        <v>0</v>
      </c>
      <c r="AR105" s="476">
        <f t="shared" si="157"/>
        <v>0</v>
      </c>
      <c r="AS105" s="476">
        <f t="shared" si="158"/>
        <v>0</v>
      </c>
      <c r="AT105" s="476">
        <f t="shared" si="159"/>
        <v>0</v>
      </c>
      <c r="AU105" s="476">
        <f t="shared" si="160"/>
        <v>0</v>
      </c>
      <c r="AV105" s="476">
        <f t="shared" si="161"/>
        <v>0</v>
      </c>
      <c r="AW105" s="476">
        <f t="shared" si="162"/>
        <v>0</v>
      </c>
      <c r="AX105" s="476">
        <f t="shared" si="163"/>
        <v>0</v>
      </c>
      <c r="AY105" s="476">
        <f t="shared" si="164"/>
        <v>0</v>
      </c>
      <c r="AZ105" s="476">
        <f t="shared" si="165"/>
        <v>0</v>
      </c>
      <c r="BA105" s="476">
        <f t="shared" si="166"/>
        <v>0</v>
      </c>
      <c r="BB105" s="476">
        <f t="shared" si="167"/>
        <v>0</v>
      </c>
      <c r="BC105" s="476">
        <f t="shared" si="168"/>
        <v>0</v>
      </c>
      <c r="BD105" s="476">
        <f t="shared" si="169"/>
        <v>0</v>
      </c>
      <c r="BE105" s="476">
        <f t="shared" si="170"/>
        <v>0</v>
      </c>
      <c r="BF105" s="476">
        <f t="shared" si="171"/>
        <v>0</v>
      </c>
      <c r="BG105" s="476">
        <f t="shared" si="172"/>
        <v>0</v>
      </c>
    </row>
    <row r="106" spans="1:59" ht="16.5" customHeight="1">
      <c r="A106" s="583" t="s">
        <v>773</v>
      </c>
      <c r="B106" s="584" t="s">
        <v>1626</v>
      </c>
      <c r="C106" s="584" t="s">
        <v>1741</v>
      </c>
      <c r="D106" s="413" t="s">
        <v>1051</v>
      </c>
      <c r="E106" s="412" t="s">
        <v>466</v>
      </c>
      <c r="F106" s="413" t="s">
        <v>1057</v>
      </c>
      <c r="G106" s="412" t="s">
        <v>1112</v>
      </c>
      <c r="H106" s="412" t="s">
        <v>974</v>
      </c>
      <c r="I106" s="477">
        <v>70000</v>
      </c>
      <c r="J106" s="477">
        <v>70000</v>
      </c>
      <c r="K106" s="477">
        <v>321000</v>
      </c>
      <c r="L106" s="477">
        <v>321000</v>
      </c>
      <c r="M106" s="477">
        <f t="shared" si="127"/>
        <v>391000</v>
      </c>
      <c r="N106" s="477">
        <f t="shared" si="128"/>
        <v>391000</v>
      </c>
      <c r="O106" s="477"/>
      <c r="P106" s="477"/>
      <c r="Q106" s="477">
        <f t="shared" si="129"/>
        <v>391000</v>
      </c>
      <c r="R106" s="477">
        <f t="shared" si="130"/>
        <v>391000</v>
      </c>
      <c r="S106" s="477">
        <f t="shared" si="131"/>
        <v>0</v>
      </c>
      <c r="V106" s="476">
        <f t="shared" si="135"/>
        <v>391000</v>
      </c>
      <c r="W106" s="476">
        <f t="shared" si="136"/>
        <v>391000</v>
      </c>
      <c r="X106" s="476">
        <f t="shared" si="137"/>
        <v>0</v>
      </c>
      <c r="Y106" s="476">
        <f t="shared" si="138"/>
        <v>0</v>
      </c>
      <c r="Z106" s="476">
        <f t="shared" si="139"/>
        <v>0</v>
      </c>
      <c r="AA106" s="476">
        <f t="shared" si="140"/>
        <v>0</v>
      </c>
      <c r="AB106" s="476">
        <f t="shared" si="141"/>
        <v>0</v>
      </c>
      <c r="AC106" s="476">
        <f t="shared" si="142"/>
        <v>0</v>
      </c>
      <c r="AD106" s="476">
        <f t="shared" si="143"/>
        <v>0</v>
      </c>
      <c r="AE106" s="476">
        <f t="shared" si="144"/>
        <v>0</v>
      </c>
      <c r="AF106" s="476">
        <f t="shared" si="145"/>
        <v>0</v>
      </c>
      <c r="AG106" s="476">
        <f t="shared" si="146"/>
        <v>0</v>
      </c>
      <c r="AH106" s="476">
        <f t="shared" si="147"/>
        <v>0</v>
      </c>
      <c r="AI106" s="476">
        <f t="shared" si="148"/>
        <v>0</v>
      </c>
      <c r="AJ106" s="476">
        <f t="shared" si="149"/>
        <v>0</v>
      </c>
      <c r="AK106" s="476">
        <f t="shared" si="150"/>
        <v>0</v>
      </c>
      <c r="AL106" s="476">
        <f t="shared" si="151"/>
        <v>0</v>
      </c>
      <c r="AM106" s="476">
        <f t="shared" si="152"/>
        <v>0</v>
      </c>
      <c r="AN106" s="476">
        <f t="shared" si="153"/>
        <v>0</v>
      </c>
      <c r="AO106" s="476">
        <f t="shared" si="154"/>
        <v>0</v>
      </c>
      <c r="AP106" s="476">
        <f t="shared" si="155"/>
        <v>0</v>
      </c>
      <c r="AQ106" s="476">
        <f t="shared" si="156"/>
        <v>0</v>
      </c>
      <c r="AR106" s="476">
        <f t="shared" si="157"/>
        <v>0</v>
      </c>
      <c r="AS106" s="476">
        <f t="shared" si="158"/>
        <v>0</v>
      </c>
      <c r="AT106" s="476">
        <f t="shared" si="159"/>
        <v>0</v>
      </c>
      <c r="AU106" s="476">
        <f t="shared" si="160"/>
        <v>0</v>
      </c>
      <c r="AV106" s="476">
        <f t="shared" si="161"/>
        <v>0</v>
      </c>
      <c r="AW106" s="476">
        <f t="shared" si="162"/>
        <v>0</v>
      </c>
      <c r="AX106" s="476">
        <f t="shared" si="163"/>
        <v>0</v>
      </c>
      <c r="AY106" s="476">
        <f t="shared" si="164"/>
        <v>0</v>
      </c>
      <c r="AZ106" s="476">
        <f t="shared" si="165"/>
        <v>0</v>
      </c>
      <c r="BA106" s="476">
        <f t="shared" si="166"/>
        <v>0</v>
      </c>
      <c r="BB106" s="476">
        <f t="shared" si="167"/>
        <v>0</v>
      </c>
      <c r="BC106" s="476">
        <f t="shared" si="168"/>
        <v>0</v>
      </c>
      <c r="BD106" s="476">
        <f t="shared" si="169"/>
        <v>0</v>
      </c>
      <c r="BE106" s="476">
        <f t="shared" si="170"/>
        <v>0</v>
      </c>
      <c r="BF106" s="476">
        <f t="shared" si="171"/>
        <v>0</v>
      </c>
      <c r="BG106" s="476">
        <f t="shared" si="172"/>
        <v>0</v>
      </c>
    </row>
    <row r="107" spans="1:59" ht="16.5" customHeight="1">
      <c r="A107" s="583" t="s">
        <v>1334</v>
      </c>
      <c r="B107" s="584" t="s">
        <v>1335</v>
      </c>
      <c r="C107" s="584" t="s">
        <v>1336</v>
      </c>
      <c r="D107" s="413" t="s">
        <v>1051</v>
      </c>
      <c r="E107" s="412" t="s">
        <v>466</v>
      </c>
      <c r="F107" s="413" t="s">
        <v>1057</v>
      </c>
      <c r="G107" s="412" t="s">
        <v>1112</v>
      </c>
      <c r="H107" s="412" t="s">
        <v>974</v>
      </c>
      <c r="I107" s="477">
        <v>231282</v>
      </c>
      <c r="J107" s="477">
        <v>70000</v>
      </c>
      <c r="K107" s="477">
        <v>560500</v>
      </c>
      <c r="L107" s="477">
        <v>670500</v>
      </c>
      <c r="M107" s="477">
        <f t="shared" si="127"/>
        <v>791782</v>
      </c>
      <c r="N107" s="477">
        <f t="shared" si="128"/>
        <v>740500</v>
      </c>
      <c r="O107" s="477"/>
      <c r="P107" s="477"/>
      <c r="Q107" s="477">
        <f t="shared" si="129"/>
        <v>791782</v>
      </c>
      <c r="R107" s="477">
        <f t="shared" si="130"/>
        <v>740500</v>
      </c>
      <c r="S107" s="477">
        <f t="shared" si="131"/>
        <v>51282</v>
      </c>
      <c r="V107" s="476">
        <f t="shared" si="135"/>
        <v>791782</v>
      </c>
      <c r="W107" s="476">
        <f t="shared" si="136"/>
        <v>740500</v>
      </c>
      <c r="X107" s="476">
        <f t="shared" si="137"/>
        <v>0</v>
      </c>
      <c r="Y107" s="476">
        <f t="shared" si="138"/>
        <v>0</v>
      </c>
      <c r="Z107" s="476">
        <f t="shared" si="139"/>
        <v>0</v>
      </c>
      <c r="AA107" s="476">
        <f t="shared" si="140"/>
        <v>0</v>
      </c>
      <c r="AB107" s="476">
        <f t="shared" si="141"/>
        <v>0</v>
      </c>
      <c r="AC107" s="476">
        <f t="shared" si="142"/>
        <v>0</v>
      </c>
      <c r="AD107" s="476">
        <f t="shared" si="143"/>
        <v>0</v>
      </c>
      <c r="AE107" s="476">
        <f t="shared" si="144"/>
        <v>0</v>
      </c>
      <c r="AF107" s="476">
        <f t="shared" si="145"/>
        <v>0</v>
      </c>
      <c r="AG107" s="476">
        <f t="shared" si="146"/>
        <v>0</v>
      </c>
      <c r="AH107" s="476">
        <f t="shared" si="147"/>
        <v>0</v>
      </c>
      <c r="AI107" s="476">
        <f t="shared" si="148"/>
        <v>0</v>
      </c>
      <c r="AJ107" s="476">
        <f t="shared" si="149"/>
        <v>0</v>
      </c>
      <c r="AK107" s="476">
        <f t="shared" si="150"/>
        <v>0</v>
      </c>
      <c r="AL107" s="476">
        <f t="shared" si="151"/>
        <v>0</v>
      </c>
      <c r="AM107" s="476">
        <f t="shared" si="152"/>
        <v>0</v>
      </c>
      <c r="AN107" s="476">
        <f t="shared" si="153"/>
        <v>0</v>
      </c>
      <c r="AO107" s="476">
        <f t="shared" si="154"/>
        <v>0</v>
      </c>
      <c r="AP107" s="476">
        <f t="shared" si="155"/>
        <v>0</v>
      </c>
      <c r="AQ107" s="476">
        <f t="shared" si="156"/>
        <v>0</v>
      </c>
      <c r="AR107" s="476">
        <f t="shared" si="157"/>
        <v>0</v>
      </c>
      <c r="AS107" s="476">
        <f t="shared" si="158"/>
        <v>0</v>
      </c>
      <c r="AT107" s="476">
        <f t="shared" si="159"/>
        <v>0</v>
      </c>
      <c r="AU107" s="476">
        <f t="shared" si="160"/>
        <v>0</v>
      </c>
      <c r="AV107" s="476">
        <f t="shared" si="161"/>
        <v>0</v>
      </c>
      <c r="AW107" s="476">
        <f t="shared" si="162"/>
        <v>0</v>
      </c>
      <c r="AX107" s="476">
        <f t="shared" si="163"/>
        <v>0</v>
      </c>
      <c r="AY107" s="476">
        <f t="shared" si="164"/>
        <v>0</v>
      </c>
      <c r="AZ107" s="476">
        <f t="shared" si="165"/>
        <v>0</v>
      </c>
      <c r="BA107" s="476">
        <f t="shared" si="166"/>
        <v>0</v>
      </c>
      <c r="BB107" s="476">
        <f t="shared" si="167"/>
        <v>0</v>
      </c>
      <c r="BC107" s="476">
        <f t="shared" si="168"/>
        <v>0</v>
      </c>
      <c r="BD107" s="476">
        <f t="shared" si="169"/>
        <v>0</v>
      </c>
      <c r="BE107" s="476">
        <f t="shared" si="170"/>
        <v>0</v>
      </c>
      <c r="BF107" s="476">
        <f t="shared" si="171"/>
        <v>0</v>
      </c>
      <c r="BG107" s="476">
        <f t="shared" si="172"/>
        <v>0</v>
      </c>
    </row>
    <row r="108" spans="1:59" ht="16.5" customHeight="1">
      <c r="A108" s="583" t="s">
        <v>1334</v>
      </c>
      <c r="B108" s="584" t="s">
        <v>1335</v>
      </c>
      <c r="C108" s="584" t="s">
        <v>1742</v>
      </c>
      <c r="D108" s="413" t="s">
        <v>1051</v>
      </c>
      <c r="E108" s="412" t="s">
        <v>466</v>
      </c>
      <c r="F108" s="413" t="s">
        <v>1057</v>
      </c>
      <c r="G108" s="412" t="s">
        <v>1112</v>
      </c>
      <c r="H108" s="412" t="s">
        <v>1275</v>
      </c>
      <c r="I108" s="477">
        <v>0</v>
      </c>
      <c r="J108" s="477">
        <v>0</v>
      </c>
      <c r="K108" s="477">
        <v>134750</v>
      </c>
      <c r="L108" s="477">
        <v>186032</v>
      </c>
      <c r="M108" s="477">
        <f t="shared" si="127"/>
        <v>134750</v>
      </c>
      <c r="N108" s="477">
        <f t="shared" si="128"/>
        <v>186032</v>
      </c>
      <c r="O108" s="477"/>
      <c r="P108" s="477"/>
      <c r="Q108" s="477">
        <f t="shared" si="129"/>
        <v>134750</v>
      </c>
      <c r="R108" s="477">
        <f t="shared" si="130"/>
        <v>186032</v>
      </c>
      <c r="S108" s="477">
        <f t="shared" si="131"/>
        <v>-51282</v>
      </c>
      <c r="V108" s="476">
        <f t="shared" si="135"/>
        <v>0</v>
      </c>
      <c r="W108" s="476">
        <f t="shared" si="136"/>
        <v>0</v>
      </c>
      <c r="X108" s="476">
        <f t="shared" si="137"/>
        <v>0</v>
      </c>
      <c r="Y108" s="476">
        <f t="shared" si="138"/>
        <v>0</v>
      </c>
      <c r="Z108" s="476">
        <f t="shared" si="139"/>
        <v>0</v>
      </c>
      <c r="AA108" s="476">
        <f t="shared" si="140"/>
        <v>0</v>
      </c>
      <c r="AB108" s="476">
        <f t="shared" si="141"/>
        <v>0</v>
      </c>
      <c r="AC108" s="476">
        <f t="shared" si="142"/>
        <v>0</v>
      </c>
      <c r="AD108" s="476">
        <f t="shared" si="143"/>
        <v>0</v>
      </c>
      <c r="AE108" s="476">
        <f t="shared" si="144"/>
        <v>0</v>
      </c>
      <c r="AF108" s="476">
        <f t="shared" si="145"/>
        <v>0</v>
      </c>
      <c r="AG108" s="476">
        <f t="shared" si="146"/>
        <v>0</v>
      </c>
      <c r="AH108" s="476">
        <f t="shared" si="147"/>
        <v>0</v>
      </c>
      <c r="AI108" s="476">
        <f t="shared" si="148"/>
        <v>0</v>
      </c>
      <c r="AJ108" s="476">
        <f t="shared" si="149"/>
        <v>0</v>
      </c>
      <c r="AK108" s="476">
        <f t="shared" si="150"/>
        <v>0</v>
      </c>
      <c r="AL108" s="476">
        <f t="shared" si="151"/>
        <v>0</v>
      </c>
      <c r="AM108" s="476">
        <f t="shared" si="152"/>
        <v>0</v>
      </c>
      <c r="AN108" s="476">
        <f t="shared" si="153"/>
        <v>0</v>
      </c>
      <c r="AO108" s="476">
        <f t="shared" si="154"/>
        <v>0</v>
      </c>
      <c r="AP108" s="476">
        <f t="shared" si="155"/>
        <v>0</v>
      </c>
      <c r="AQ108" s="476">
        <f t="shared" si="156"/>
        <v>0</v>
      </c>
      <c r="AR108" s="476">
        <f t="shared" si="157"/>
        <v>0</v>
      </c>
      <c r="AS108" s="476">
        <f t="shared" si="158"/>
        <v>0</v>
      </c>
      <c r="AT108" s="476">
        <f t="shared" si="159"/>
        <v>0</v>
      </c>
      <c r="AU108" s="476">
        <f t="shared" si="160"/>
        <v>0</v>
      </c>
      <c r="AV108" s="476">
        <f t="shared" si="161"/>
        <v>0</v>
      </c>
      <c r="AW108" s="476">
        <f t="shared" si="162"/>
        <v>0</v>
      </c>
      <c r="AX108" s="476">
        <f t="shared" si="163"/>
        <v>0</v>
      </c>
      <c r="AY108" s="476">
        <f t="shared" si="164"/>
        <v>0</v>
      </c>
      <c r="AZ108" s="476">
        <f t="shared" si="165"/>
        <v>0</v>
      </c>
      <c r="BA108" s="476">
        <f t="shared" si="166"/>
        <v>0</v>
      </c>
      <c r="BB108" s="476">
        <f t="shared" si="167"/>
        <v>0</v>
      </c>
      <c r="BC108" s="476">
        <f t="shared" si="168"/>
        <v>0</v>
      </c>
      <c r="BD108" s="476">
        <f t="shared" si="169"/>
        <v>0</v>
      </c>
      <c r="BE108" s="476">
        <f t="shared" si="170"/>
        <v>0</v>
      </c>
      <c r="BF108" s="476">
        <f t="shared" si="171"/>
        <v>0</v>
      </c>
      <c r="BG108" s="476">
        <f t="shared" si="172"/>
        <v>0</v>
      </c>
    </row>
    <row r="109" spans="1:59" ht="16.5" customHeight="1">
      <c r="A109" s="583" t="s">
        <v>1334</v>
      </c>
      <c r="B109" s="584" t="s">
        <v>1335</v>
      </c>
      <c r="C109" s="584" t="s">
        <v>1743</v>
      </c>
      <c r="D109" s="413" t="s">
        <v>1051</v>
      </c>
      <c r="E109" s="412" t="s">
        <v>466</v>
      </c>
      <c r="F109" s="412" t="s">
        <v>1057</v>
      </c>
      <c r="G109" s="412" t="s">
        <v>1112</v>
      </c>
      <c r="H109" s="412" t="s">
        <v>1723</v>
      </c>
      <c r="I109" s="477">
        <v>0</v>
      </c>
      <c r="J109" s="477">
        <v>0</v>
      </c>
      <c r="K109" s="477">
        <v>10000</v>
      </c>
      <c r="L109" s="477">
        <v>10000</v>
      </c>
      <c r="M109" s="477">
        <f t="shared" si="127"/>
        <v>10000</v>
      </c>
      <c r="N109" s="477">
        <f t="shared" si="128"/>
        <v>10000</v>
      </c>
      <c r="O109" s="477"/>
      <c r="P109" s="477"/>
      <c r="Q109" s="477">
        <f t="shared" si="129"/>
        <v>10000</v>
      </c>
      <c r="R109" s="477">
        <f t="shared" si="130"/>
        <v>10000</v>
      </c>
      <c r="S109" s="477">
        <f t="shared" si="131"/>
        <v>0</v>
      </c>
      <c r="U109" s="473"/>
      <c r="V109" s="476">
        <f t="shared" si="135"/>
        <v>0</v>
      </c>
      <c r="W109" s="476">
        <f t="shared" si="136"/>
        <v>0</v>
      </c>
      <c r="X109" s="476">
        <f t="shared" si="137"/>
        <v>0</v>
      </c>
      <c r="Y109" s="476">
        <f t="shared" si="138"/>
        <v>0</v>
      </c>
      <c r="Z109" s="476">
        <f t="shared" si="139"/>
        <v>0</v>
      </c>
      <c r="AA109" s="476">
        <f t="shared" si="140"/>
        <v>0</v>
      </c>
      <c r="AB109" s="476">
        <f t="shared" si="141"/>
        <v>0</v>
      </c>
      <c r="AC109" s="476">
        <f t="shared" si="142"/>
        <v>0</v>
      </c>
      <c r="AD109" s="476">
        <f t="shared" si="143"/>
        <v>0</v>
      </c>
      <c r="AE109" s="476">
        <f t="shared" si="144"/>
        <v>0</v>
      </c>
      <c r="AF109" s="476">
        <f t="shared" si="145"/>
        <v>0</v>
      </c>
      <c r="AG109" s="476">
        <f t="shared" si="146"/>
        <v>0</v>
      </c>
      <c r="AH109" s="476">
        <f t="shared" si="147"/>
        <v>0</v>
      </c>
      <c r="AI109" s="476">
        <f t="shared" si="148"/>
        <v>0</v>
      </c>
      <c r="AJ109" s="476">
        <f t="shared" si="149"/>
        <v>0</v>
      </c>
      <c r="AK109" s="476">
        <f t="shared" si="150"/>
        <v>0</v>
      </c>
      <c r="AL109" s="476">
        <f t="shared" si="151"/>
        <v>0</v>
      </c>
      <c r="AM109" s="476">
        <f t="shared" si="152"/>
        <v>0</v>
      </c>
      <c r="AN109" s="476">
        <f t="shared" si="153"/>
        <v>0</v>
      </c>
      <c r="AO109" s="476">
        <f t="shared" si="154"/>
        <v>0</v>
      </c>
      <c r="AP109" s="476">
        <f t="shared" si="155"/>
        <v>0</v>
      </c>
      <c r="AQ109" s="476">
        <f t="shared" si="156"/>
        <v>0</v>
      </c>
      <c r="AR109" s="476">
        <f t="shared" si="157"/>
        <v>0</v>
      </c>
      <c r="AS109" s="476">
        <f t="shared" si="158"/>
        <v>0</v>
      </c>
      <c r="AT109" s="476">
        <f t="shared" si="159"/>
        <v>0</v>
      </c>
      <c r="AU109" s="476">
        <f t="shared" si="160"/>
        <v>0</v>
      </c>
      <c r="AV109" s="476">
        <f t="shared" si="161"/>
        <v>0</v>
      </c>
      <c r="AW109" s="476">
        <f t="shared" si="162"/>
        <v>0</v>
      </c>
      <c r="AX109" s="476">
        <f t="shared" si="163"/>
        <v>0</v>
      </c>
      <c r="AY109" s="476">
        <f t="shared" si="164"/>
        <v>0</v>
      </c>
      <c r="AZ109" s="476">
        <f t="shared" si="165"/>
        <v>0</v>
      </c>
      <c r="BA109" s="476">
        <f t="shared" si="166"/>
        <v>0</v>
      </c>
      <c r="BB109" s="476">
        <f t="shared" si="167"/>
        <v>0</v>
      </c>
      <c r="BC109" s="476">
        <f t="shared" si="168"/>
        <v>0</v>
      </c>
      <c r="BD109" s="476">
        <f t="shared" si="169"/>
        <v>0</v>
      </c>
      <c r="BE109" s="476">
        <f t="shared" si="170"/>
        <v>0</v>
      </c>
      <c r="BF109" s="476">
        <f t="shared" si="171"/>
        <v>0</v>
      </c>
      <c r="BG109" s="476">
        <f t="shared" si="172"/>
        <v>0</v>
      </c>
    </row>
    <row r="110" spans="1:59" ht="16.5" customHeight="1">
      <c r="A110" s="583" t="s">
        <v>774</v>
      </c>
      <c r="B110" s="584" t="s">
        <v>335</v>
      </c>
      <c r="C110" s="584" t="s">
        <v>160</v>
      </c>
      <c r="D110" s="413" t="s">
        <v>1051</v>
      </c>
      <c r="E110" s="412" t="s">
        <v>466</v>
      </c>
      <c r="F110" s="412" t="s">
        <v>1057</v>
      </c>
      <c r="G110" s="412" t="s">
        <v>1118</v>
      </c>
      <c r="H110" s="412" t="s">
        <v>974</v>
      </c>
      <c r="I110" s="477">
        <v>2732235</v>
      </c>
      <c r="J110" s="477">
        <v>2702235</v>
      </c>
      <c r="K110" s="477">
        <v>193947</v>
      </c>
      <c r="L110" s="477">
        <v>183947</v>
      </c>
      <c r="M110" s="477">
        <f t="shared" si="127"/>
        <v>2926182</v>
      </c>
      <c r="N110" s="477">
        <f t="shared" si="128"/>
        <v>2886182</v>
      </c>
      <c r="O110" s="477"/>
      <c r="P110" s="477"/>
      <c r="Q110" s="477">
        <f t="shared" si="129"/>
        <v>2926182</v>
      </c>
      <c r="R110" s="477">
        <f t="shared" si="130"/>
        <v>2886182</v>
      </c>
      <c r="S110" s="477">
        <f t="shared" si="131"/>
        <v>40000</v>
      </c>
      <c r="U110" s="473"/>
      <c r="V110" s="476">
        <f t="shared" si="135"/>
        <v>2926182</v>
      </c>
      <c r="W110" s="476">
        <f t="shared" si="136"/>
        <v>2886182</v>
      </c>
      <c r="X110" s="476">
        <f t="shared" si="137"/>
        <v>0</v>
      </c>
      <c r="Y110" s="476">
        <f t="shared" si="138"/>
        <v>0</v>
      </c>
      <c r="Z110" s="476">
        <f t="shared" si="139"/>
        <v>0</v>
      </c>
      <c r="AA110" s="476">
        <f t="shared" si="140"/>
        <v>0</v>
      </c>
      <c r="AB110" s="476">
        <f t="shared" si="141"/>
        <v>0</v>
      </c>
      <c r="AC110" s="476">
        <f t="shared" si="142"/>
        <v>0</v>
      </c>
      <c r="AD110" s="476">
        <f t="shared" si="143"/>
        <v>0</v>
      </c>
      <c r="AE110" s="476">
        <f t="shared" si="144"/>
        <v>0</v>
      </c>
      <c r="AF110" s="476">
        <f t="shared" si="145"/>
        <v>0</v>
      </c>
      <c r="AG110" s="476">
        <f t="shared" si="146"/>
        <v>0</v>
      </c>
      <c r="AH110" s="476">
        <f t="shared" si="147"/>
        <v>0</v>
      </c>
      <c r="AI110" s="476">
        <f t="shared" si="148"/>
        <v>0</v>
      </c>
      <c r="AJ110" s="476">
        <f t="shared" si="149"/>
        <v>0</v>
      </c>
      <c r="AK110" s="476">
        <f t="shared" si="150"/>
        <v>0</v>
      </c>
      <c r="AL110" s="476">
        <f t="shared" si="151"/>
        <v>0</v>
      </c>
      <c r="AM110" s="476">
        <f t="shared" si="152"/>
        <v>0</v>
      </c>
      <c r="AN110" s="476">
        <f t="shared" si="153"/>
        <v>0</v>
      </c>
      <c r="AO110" s="476">
        <f t="shared" si="154"/>
        <v>0</v>
      </c>
      <c r="AP110" s="476">
        <f t="shared" si="155"/>
        <v>0</v>
      </c>
      <c r="AQ110" s="476">
        <f t="shared" si="156"/>
        <v>0</v>
      </c>
      <c r="AR110" s="476">
        <f t="shared" si="157"/>
        <v>0</v>
      </c>
      <c r="AS110" s="476">
        <f t="shared" si="158"/>
        <v>0</v>
      </c>
      <c r="AT110" s="476">
        <f t="shared" si="159"/>
        <v>0</v>
      </c>
      <c r="AU110" s="476">
        <f t="shared" si="160"/>
        <v>0</v>
      </c>
      <c r="AV110" s="476">
        <f t="shared" si="161"/>
        <v>0</v>
      </c>
      <c r="AW110" s="476">
        <f t="shared" si="162"/>
        <v>0</v>
      </c>
      <c r="AX110" s="476">
        <f t="shared" si="163"/>
        <v>0</v>
      </c>
      <c r="AY110" s="476">
        <f t="shared" si="164"/>
        <v>0</v>
      </c>
      <c r="AZ110" s="476">
        <f t="shared" si="165"/>
        <v>0</v>
      </c>
      <c r="BA110" s="476">
        <f t="shared" si="166"/>
        <v>0</v>
      </c>
      <c r="BB110" s="476">
        <f t="shared" si="167"/>
        <v>0</v>
      </c>
      <c r="BC110" s="476">
        <f t="shared" si="168"/>
        <v>0</v>
      </c>
      <c r="BD110" s="476">
        <f t="shared" si="169"/>
        <v>0</v>
      </c>
      <c r="BE110" s="476">
        <f t="shared" si="170"/>
        <v>0</v>
      </c>
      <c r="BF110" s="476">
        <f t="shared" si="171"/>
        <v>0</v>
      </c>
      <c r="BG110" s="476">
        <f t="shared" si="172"/>
        <v>0</v>
      </c>
    </row>
    <row r="111" spans="1:59" ht="16.5" customHeight="1">
      <c r="A111" s="583" t="s">
        <v>774</v>
      </c>
      <c r="B111" s="584" t="s">
        <v>335</v>
      </c>
      <c r="C111" s="584" t="s">
        <v>1744</v>
      </c>
      <c r="D111" s="413" t="s">
        <v>1051</v>
      </c>
      <c r="E111" s="412" t="s">
        <v>466</v>
      </c>
      <c r="F111" s="412" t="s">
        <v>1057</v>
      </c>
      <c r="G111" s="412" t="s">
        <v>1118</v>
      </c>
      <c r="H111" s="412" t="s">
        <v>1055</v>
      </c>
      <c r="I111" s="477">
        <v>0</v>
      </c>
      <c r="J111" s="477">
        <v>0</v>
      </c>
      <c r="K111" s="477">
        <v>0</v>
      </c>
      <c r="L111" s="477">
        <v>0</v>
      </c>
      <c r="M111" s="477">
        <f t="shared" si="127"/>
        <v>0</v>
      </c>
      <c r="N111" s="477">
        <f t="shared" si="128"/>
        <v>0</v>
      </c>
      <c r="O111" s="477"/>
      <c r="P111" s="477"/>
      <c r="Q111" s="477">
        <f t="shared" si="129"/>
        <v>0</v>
      </c>
      <c r="R111" s="477">
        <f t="shared" si="130"/>
        <v>0</v>
      </c>
      <c r="S111" s="477">
        <f t="shared" si="131"/>
        <v>0</v>
      </c>
      <c r="U111" s="473"/>
      <c r="V111" s="476">
        <f t="shared" si="135"/>
        <v>0</v>
      </c>
      <c r="W111" s="476">
        <f t="shared" si="136"/>
        <v>0</v>
      </c>
      <c r="X111" s="476">
        <f t="shared" si="137"/>
        <v>0</v>
      </c>
      <c r="Y111" s="476">
        <f t="shared" si="138"/>
        <v>0</v>
      </c>
      <c r="Z111" s="476">
        <f t="shared" si="139"/>
        <v>0</v>
      </c>
      <c r="AA111" s="476">
        <f t="shared" si="140"/>
        <v>0</v>
      </c>
      <c r="AB111" s="476">
        <f t="shared" si="141"/>
        <v>0</v>
      </c>
      <c r="AC111" s="476">
        <f t="shared" si="142"/>
        <v>0</v>
      </c>
      <c r="AD111" s="476">
        <f t="shared" si="143"/>
        <v>0</v>
      </c>
      <c r="AE111" s="476">
        <f t="shared" si="144"/>
        <v>0</v>
      </c>
      <c r="AF111" s="476">
        <f t="shared" si="145"/>
        <v>0</v>
      </c>
      <c r="AG111" s="476">
        <f t="shared" si="146"/>
        <v>0</v>
      </c>
      <c r="AH111" s="476">
        <f t="shared" si="147"/>
        <v>0</v>
      </c>
      <c r="AI111" s="476">
        <f t="shared" si="148"/>
        <v>0</v>
      </c>
      <c r="AJ111" s="476">
        <f t="shared" si="149"/>
        <v>0</v>
      </c>
      <c r="AK111" s="476">
        <f t="shared" si="150"/>
        <v>0</v>
      </c>
      <c r="AL111" s="476">
        <f t="shared" si="151"/>
        <v>0</v>
      </c>
      <c r="AM111" s="476">
        <f t="shared" si="152"/>
        <v>0</v>
      </c>
      <c r="AN111" s="476">
        <f t="shared" si="153"/>
        <v>0</v>
      </c>
      <c r="AO111" s="476">
        <f t="shared" si="154"/>
        <v>0</v>
      </c>
      <c r="AP111" s="476">
        <f t="shared" si="155"/>
        <v>0</v>
      </c>
      <c r="AQ111" s="476">
        <f t="shared" si="156"/>
        <v>0</v>
      </c>
      <c r="AR111" s="476">
        <f t="shared" si="157"/>
        <v>0</v>
      </c>
      <c r="AS111" s="476">
        <f t="shared" si="158"/>
        <v>0</v>
      </c>
      <c r="AT111" s="476">
        <f t="shared" si="159"/>
        <v>0</v>
      </c>
      <c r="AU111" s="476">
        <f t="shared" si="160"/>
        <v>0</v>
      </c>
      <c r="AV111" s="476">
        <f t="shared" si="161"/>
        <v>0</v>
      </c>
      <c r="AW111" s="476">
        <f t="shared" si="162"/>
        <v>0</v>
      </c>
      <c r="AX111" s="476">
        <f t="shared" si="163"/>
        <v>0</v>
      </c>
      <c r="AY111" s="476">
        <f t="shared" si="164"/>
        <v>0</v>
      </c>
      <c r="AZ111" s="476">
        <f t="shared" si="165"/>
        <v>0</v>
      </c>
      <c r="BA111" s="476">
        <f t="shared" si="166"/>
        <v>0</v>
      </c>
      <c r="BB111" s="476">
        <f t="shared" si="167"/>
        <v>0</v>
      </c>
      <c r="BC111" s="476">
        <f t="shared" si="168"/>
        <v>0</v>
      </c>
      <c r="BD111" s="476">
        <f t="shared" si="169"/>
        <v>0</v>
      </c>
      <c r="BE111" s="476">
        <f t="shared" si="170"/>
        <v>0</v>
      </c>
      <c r="BF111" s="476">
        <f t="shared" si="171"/>
        <v>0</v>
      </c>
      <c r="BG111" s="476">
        <f t="shared" si="172"/>
        <v>0</v>
      </c>
    </row>
    <row r="112" spans="1:59" ht="16.5" customHeight="1">
      <c r="A112" s="583" t="s">
        <v>774</v>
      </c>
      <c r="B112" s="584" t="s">
        <v>335</v>
      </c>
      <c r="C112" s="584" t="s">
        <v>1118</v>
      </c>
      <c r="D112" s="413" t="s">
        <v>1051</v>
      </c>
      <c r="E112" s="412" t="s">
        <v>466</v>
      </c>
      <c r="F112" s="413" t="s">
        <v>1057</v>
      </c>
      <c r="G112" s="412" t="s">
        <v>1118</v>
      </c>
      <c r="H112" s="412" t="s">
        <v>1275</v>
      </c>
      <c r="I112" s="477">
        <v>95000</v>
      </c>
      <c r="J112" s="477">
        <v>95000</v>
      </c>
      <c r="K112" s="477">
        <v>40000</v>
      </c>
      <c r="L112" s="477">
        <v>40000</v>
      </c>
      <c r="M112" s="477">
        <f t="shared" si="127"/>
        <v>135000</v>
      </c>
      <c r="N112" s="477">
        <f t="shared" si="128"/>
        <v>135000</v>
      </c>
      <c r="O112" s="477"/>
      <c r="P112" s="477"/>
      <c r="Q112" s="477">
        <f t="shared" si="129"/>
        <v>135000</v>
      </c>
      <c r="R112" s="477">
        <f t="shared" si="130"/>
        <v>135000</v>
      </c>
      <c r="S112" s="477">
        <f t="shared" si="131"/>
        <v>0</v>
      </c>
      <c r="V112" s="476">
        <f t="shared" si="135"/>
        <v>0</v>
      </c>
      <c r="W112" s="476">
        <f t="shared" si="136"/>
        <v>0</v>
      </c>
      <c r="X112" s="476">
        <f t="shared" si="137"/>
        <v>0</v>
      </c>
      <c r="Y112" s="476">
        <f t="shared" si="138"/>
        <v>0</v>
      </c>
      <c r="Z112" s="476">
        <f t="shared" si="139"/>
        <v>0</v>
      </c>
      <c r="AA112" s="476">
        <f t="shared" si="140"/>
        <v>0</v>
      </c>
      <c r="AB112" s="476">
        <f t="shared" si="141"/>
        <v>0</v>
      </c>
      <c r="AC112" s="476">
        <f t="shared" si="142"/>
        <v>0</v>
      </c>
      <c r="AD112" s="476">
        <f t="shared" si="143"/>
        <v>0</v>
      </c>
      <c r="AE112" s="476">
        <f t="shared" si="144"/>
        <v>0</v>
      </c>
      <c r="AF112" s="476">
        <f t="shared" si="145"/>
        <v>0</v>
      </c>
      <c r="AG112" s="476">
        <f t="shared" si="146"/>
        <v>0</v>
      </c>
      <c r="AH112" s="476">
        <f t="shared" si="147"/>
        <v>0</v>
      </c>
      <c r="AI112" s="476">
        <f t="shared" si="148"/>
        <v>0</v>
      </c>
      <c r="AJ112" s="476">
        <f t="shared" si="149"/>
        <v>0</v>
      </c>
      <c r="AK112" s="476">
        <f t="shared" si="150"/>
        <v>0</v>
      </c>
      <c r="AL112" s="476">
        <f t="shared" si="151"/>
        <v>0</v>
      </c>
      <c r="AM112" s="476">
        <f t="shared" si="152"/>
        <v>0</v>
      </c>
      <c r="AN112" s="476">
        <f t="shared" si="153"/>
        <v>0</v>
      </c>
      <c r="AO112" s="476">
        <f t="shared" si="154"/>
        <v>0</v>
      </c>
      <c r="AP112" s="476">
        <f t="shared" si="155"/>
        <v>0</v>
      </c>
      <c r="AQ112" s="476">
        <f t="shared" si="156"/>
        <v>0</v>
      </c>
      <c r="AR112" s="476">
        <f t="shared" si="157"/>
        <v>0</v>
      </c>
      <c r="AS112" s="476">
        <f t="shared" si="158"/>
        <v>0</v>
      </c>
      <c r="AT112" s="476">
        <f t="shared" si="159"/>
        <v>0</v>
      </c>
      <c r="AU112" s="476">
        <f t="shared" si="160"/>
        <v>0</v>
      </c>
      <c r="AV112" s="476">
        <f t="shared" si="161"/>
        <v>0</v>
      </c>
      <c r="AW112" s="476">
        <f t="shared" si="162"/>
        <v>0</v>
      </c>
      <c r="AX112" s="476">
        <f t="shared" si="163"/>
        <v>0</v>
      </c>
      <c r="AY112" s="476">
        <f t="shared" si="164"/>
        <v>0</v>
      </c>
      <c r="AZ112" s="476">
        <f t="shared" si="165"/>
        <v>0</v>
      </c>
      <c r="BA112" s="476">
        <f t="shared" si="166"/>
        <v>0</v>
      </c>
      <c r="BB112" s="476">
        <f t="shared" si="167"/>
        <v>0</v>
      </c>
      <c r="BC112" s="476">
        <f t="shared" si="168"/>
        <v>0</v>
      </c>
      <c r="BD112" s="476">
        <f t="shared" si="169"/>
        <v>0</v>
      </c>
      <c r="BE112" s="476">
        <f t="shared" si="170"/>
        <v>0</v>
      </c>
      <c r="BF112" s="476">
        <f t="shared" si="171"/>
        <v>0</v>
      </c>
      <c r="BG112" s="476">
        <f t="shared" si="172"/>
        <v>0</v>
      </c>
    </row>
    <row r="113" spans="1:59" ht="16.5" customHeight="1">
      <c r="A113" s="583" t="s">
        <v>774</v>
      </c>
      <c r="B113" s="584" t="s">
        <v>335</v>
      </c>
      <c r="C113" s="584" t="s">
        <v>1745</v>
      </c>
      <c r="D113" s="413" t="s">
        <v>1051</v>
      </c>
      <c r="E113" s="412" t="s">
        <v>466</v>
      </c>
      <c r="F113" s="412" t="s">
        <v>1057</v>
      </c>
      <c r="G113" s="412" t="s">
        <v>1118</v>
      </c>
      <c r="H113" s="412" t="s">
        <v>1723</v>
      </c>
      <c r="I113" s="477">
        <v>0</v>
      </c>
      <c r="J113" s="477">
        <v>0</v>
      </c>
      <c r="K113" s="477">
        <v>80000</v>
      </c>
      <c r="L113" s="477">
        <v>30000</v>
      </c>
      <c r="M113" s="477">
        <f t="shared" si="127"/>
        <v>80000</v>
      </c>
      <c r="N113" s="477">
        <f t="shared" si="128"/>
        <v>30000</v>
      </c>
      <c r="O113" s="477"/>
      <c r="P113" s="477"/>
      <c r="Q113" s="477">
        <f t="shared" si="129"/>
        <v>80000</v>
      </c>
      <c r="R113" s="477">
        <f t="shared" si="130"/>
        <v>30000</v>
      </c>
      <c r="S113" s="477">
        <f t="shared" si="131"/>
        <v>50000</v>
      </c>
      <c r="U113" s="473"/>
      <c r="V113" s="476">
        <f t="shared" si="135"/>
        <v>0</v>
      </c>
      <c r="W113" s="476">
        <f t="shared" si="136"/>
        <v>0</v>
      </c>
      <c r="X113" s="476">
        <f t="shared" si="137"/>
        <v>0</v>
      </c>
      <c r="Y113" s="476">
        <f t="shared" si="138"/>
        <v>0</v>
      </c>
      <c r="Z113" s="476">
        <f t="shared" si="139"/>
        <v>0</v>
      </c>
      <c r="AA113" s="476">
        <f t="shared" si="140"/>
        <v>0</v>
      </c>
      <c r="AB113" s="476">
        <f t="shared" si="141"/>
        <v>0</v>
      </c>
      <c r="AC113" s="476">
        <f t="shared" si="142"/>
        <v>0</v>
      </c>
      <c r="AD113" s="476">
        <f t="shared" si="143"/>
        <v>0</v>
      </c>
      <c r="AE113" s="476">
        <f t="shared" si="144"/>
        <v>0</v>
      </c>
      <c r="AF113" s="476">
        <f t="shared" si="145"/>
        <v>0</v>
      </c>
      <c r="AG113" s="476">
        <f t="shared" si="146"/>
        <v>0</v>
      </c>
      <c r="AH113" s="476">
        <f t="shared" si="147"/>
        <v>0</v>
      </c>
      <c r="AI113" s="476">
        <f t="shared" si="148"/>
        <v>0</v>
      </c>
      <c r="AJ113" s="476">
        <f t="shared" si="149"/>
        <v>0</v>
      </c>
      <c r="AK113" s="476">
        <f t="shared" si="150"/>
        <v>0</v>
      </c>
      <c r="AL113" s="476">
        <f t="shared" si="151"/>
        <v>0</v>
      </c>
      <c r="AM113" s="476">
        <f t="shared" si="152"/>
        <v>0</v>
      </c>
      <c r="AN113" s="476">
        <f t="shared" si="153"/>
        <v>0</v>
      </c>
      <c r="AO113" s="476">
        <f t="shared" si="154"/>
        <v>0</v>
      </c>
      <c r="AP113" s="476">
        <f t="shared" si="155"/>
        <v>0</v>
      </c>
      <c r="AQ113" s="476">
        <f t="shared" si="156"/>
        <v>0</v>
      </c>
      <c r="AR113" s="476">
        <f t="shared" si="157"/>
        <v>0</v>
      </c>
      <c r="AS113" s="476">
        <f t="shared" si="158"/>
        <v>0</v>
      </c>
      <c r="AT113" s="476">
        <f t="shared" si="159"/>
        <v>0</v>
      </c>
      <c r="AU113" s="476">
        <f t="shared" si="160"/>
        <v>0</v>
      </c>
      <c r="AV113" s="476">
        <f t="shared" si="161"/>
        <v>0</v>
      </c>
      <c r="AW113" s="476">
        <f t="shared" si="162"/>
        <v>0</v>
      </c>
      <c r="AX113" s="476">
        <f t="shared" si="163"/>
        <v>0</v>
      </c>
      <c r="AY113" s="476">
        <f t="shared" si="164"/>
        <v>0</v>
      </c>
      <c r="AZ113" s="476">
        <f t="shared" si="165"/>
        <v>0</v>
      </c>
      <c r="BA113" s="476">
        <f t="shared" si="166"/>
        <v>0</v>
      </c>
      <c r="BB113" s="476">
        <f t="shared" si="167"/>
        <v>0</v>
      </c>
      <c r="BC113" s="476">
        <f t="shared" si="168"/>
        <v>0</v>
      </c>
      <c r="BD113" s="476">
        <f t="shared" si="169"/>
        <v>0</v>
      </c>
      <c r="BE113" s="476">
        <f t="shared" si="170"/>
        <v>0</v>
      </c>
      <c r="BF113" s="476">
        <f t="shared" si="171"/>
        <v>0</v>
      </c>
      <c r="BG113" s="476">
        <f t="shared" si="172"/>
        <v>0</v>
      </c>
    </row>
    <row r="114" spans="1:59" ht="16.5" customHeight="1">
      <c r="A114" s="583" t="s">
        <v>775</v>
      </c>
      <c r="B114" s="584" t="s">
        <v>1627</v>
      </c>
      <c r="C114" s="584" t="s">
        <v>161</v>
      </c>
      <c r="D114" s="413" t="s">
        <v>1051</v>
      </c>
      <c r="E114" s="412" t="s">
        <v>466</v>
      </c>
      <c r="F114" s="412" t="s">
        <v>1057</v>
      </c>
      <c r="G114" s="412" t="s">
        <v>1119</v>
      </c>
      <c r="H114" s="412" t="s">
        <v>974</v>
      </c>
      <c r="I114" s="477">
        <v>0</v>
      </c>
      <c r="J114" s="477">
        <v>0</v>
      </c>
      <c r="K114" s="477">
        <v>305000</v>
      </c>
      <c r="L114" s="477">
        <v>73000</v>
      </c>
      <c r="M114" s="477">
        <f t="shared" si="127"/>
        <v>305000</v>
      </c>
      <c r="N114" s="477">
        <f t="shared" si="128"/>
        <v>73000</v>
      </c>
      <c r="O114" s="477"/>
      <c r="P114" s="477"/>
      <c r="Q114" s="477">
        <f t="shared" si="129"/>
        <v>305000</v>
      </c>
      <c r="R114" s="477">
        <f t="shared" si="130"/>
        <v>73000</v>
      </c>
      <c r="S114" s="477">
        <f t="shared" si="131"/>
        <v>232000</v>
      </c>
      <c r="U114" s="473"/>
      <c r="V114" s="476">
        <f t="shared" si="135"/>
        <v>305000</v>
      </c>
      <c r="W114" s="476">
        <f t="shared" si="136"/>
        <v>73000</v>
      </c>
      <c r="X114" s="476">
        <f t="shared" si="137"/>
        <v>0</v>
      </c>
      <c r="Y114" s="476">
        <f t="shared" si="138"/>
        <v>0</v>
      </c>
      <c r="Z114" s="476">
        <f t="shared" si="139"/>
        <v>0</v>
      </c>
      <c r="AA114" s="476">
        <f t="shared" si="140"/>
        <v>0</v>
      </c>
      <c r="AB114" s="476">
        <f t="shared" si="141"/>
        <v>0</v>
      </c>
      <c r="AC114" s="476">
        <f t="shared" si="142"/>
        <v>0</v>
      </c>
      <c r="AD114" s="476">
        <f t="shared" si="143"/>
        <v>0</v>
      </c>
      <c r="AE114" s="476">
        <f t="shared" si="144"/>
        <v>0</v>
      </c>
      <c r="AF114" s="476">
        <f t="shared" si="145"/>
        <v>0</v>
      </c>
      <c r="AG114" s="476">
        <f t="shared" si="146"/>
        <v>0</v>
      </c>
      <c r="AH114" s="476">
        <f t="shared" si="147"/>
        <v>0</v>
      </c>
      <c r="AI114" s="476">
        <f t="shared" si="148"/>
        <v>0</v>
      </c>
      <c r="AJ114" s="476">
        <f t="shared" si="149"/>
        <v>0</v>
      </c>
      <c r="AK114" s="476">
        <f t="shared" si="150"/>
        <v>0</v>
      </c>
      <c r="AL114" s="476">
        <f t="shared" si="151"/>
        <v>0</v>
      </c>
      <c r="AM114" s="476">
        <f t="shared" si="152"/>
        <v>0</v>
      </c>
      <c r="AN114" s="476">
        <f t="shared" si="153"/>
        <v>0</v>
      </c>
      <c r="AO114" s="476">
        <f t="shared" si="154"/>
        <v>0</v>
      </c>
      <c r="AP114" s="476">
        <f t="shared" si="155"/>
        <v>0</v>
      </c>
      <c r="AQ114" s="476">
        <f t="shared" si="156"/>
        <v>0</v>
      </c>
      <c r="AR114" s="476">
        <f t="shared" si="157"/>
        <v>0</v>
      </c>
      <c r="AS114" s="476">
        <f t="shared" si="158"/>
        <v>0</v>
      </c>
      <c r="AT114" s="476">
        <f t="shared" si="159"/>
        <v>0</v>
      </c>
      <c r="AU114" s="476">
        <f t="shared" si="160"/>
        <v>0</v>
      </c>
      <c r="AV114" s="476">
        <f t="shared" si="161"/>
        <v>0</v>
      </c>
      <c r="AW114" s="476">
        <f t="shared" si="162"/>
        <v>0</v>
      </c>
      <c r="AX114" s="476">
        <f t="shared" si="163"/>
        <v>0</v>
      </c>
      <c r="AY114" s="476">
        <f t="shared" si="164"/>
        <v>0</v>
      </c>
      <c r="AZ114" s="476">
        <f t="shared" si="165"/>
        <v>0</v>
      </c>
      <c r="BA114" s="476">
        <f t="shared" si="166"/>
        <v>0</v>
      </c>
      <c r="BB114" s="476">
        <f t="shared" si="167"/>
        <v>0</v>
      </c>
      <c r="BC114" s="476">
        <f t="shared" si="168"/>
        <v>0</v>
      </c>
      <c r="BD114" s="476">
        <f t="shared" si="169"/>
        <v>0</v>
      </c>
      <c r="BE114" s="476">
        <f t="shared" si="170"/>
        <v>0</v>
      </c>
      <c r="BF114" s="476">
        <f t="shared" si="171"/>
        <v>0</v>
      </c>
      <c r="BG114" s="476">
        <f t="shared" si="172"/>
        <v>0</v>
      </c>
    </row>
    <row r="115" spans="1:59" ht="16.5" customHeight="1">
      <c r="A115" s="583" t="s">
        <v>775</v>
      </c>
      <c r="B115" s="584" t="s">
        <v>1627</v>
      </c>
      <c r="C115" s="584" t="s">
        <v>1746</v>
      </c>
      <c r="D115" s="413" t="s">
        <v>1051</v>
      </c>
      <c r="E115" s="412" t="s">
        <v>466</v>
      </c>
      <c r="F115" s="413" t="s">
        <v>1057</v>
      </c>
      <c r="G115" s="412" t="s">
        <v>1119</v>
      </c>
      <c r="H115" s="412" t="s">
        <v>1275</v>
      </c>
      <c r="I115" s="477">
        <v>0</v>
      </c>
      <c r="J115" s="477">
        <v>0</v>
      </c>
      <c r="K115" s="477">
        <v>0</v>
      </c>
      <c r="L115" s="477">
        <v>30000</v>
      </c>
      <c r="M115" s="477">
        <f t="shared" si="127"/>
        <v>0</v>
      </c>
      <c r="N115" s="477">
        <f t="shared" si="128"/>
        <v>30000</v>
      </c>
      <c r="O115" s="477"/>
      <c r="P115" s="477"/>
      <c r="Q115" s="477">
        <f t="shared" si="129"/>
        <v>0</v>
      </c>
      <c r="R115" s="477">
        <f t="shared" si="130"/>
        <v>30000</v>
      </c>
      <c r="S115" s="477">
        <f t="shared" si="131"/>
        <v>-30000</v>
      </c>
      <c r="V115" s="476">
        <f t="shared" si="135"/>
        <v>0</v>
      </c>
      <c r="W115" s="476">
        <f t="shared" si="136"/>
        <v>0</v>
      </c>
      <c r="X115" s="476">
        <f t="shared" si="137"/>
        <v>0</v>
      </c>
      <c r="Y115" s="476">
        <f t="shared" si="138"/>
        <v>0</v>
      </c>
      <c r="Z115" s="476">
        <f t="shared" si="139"/>
        <v>0</v>
      </c>
      <c r="AA115" s="476">
        <f t="shared" si="140"/>
        <v>0</v>
      </c>
      <c r="AB115" s="476">
        <f t="shared" si="141"/>
        <v>0</v>
      </c>
      <c r="AC115" s="476">
        <f t="shared" si="142"/>
        <v>0</v>
      </c>
      <c r="AD115" s="476">
        <f t="shared" si="143"/>
        <v>0</v>
      </c>
      <c r="AE115" s="476">
        <f t="shared" si="144"/>
        <v>0</v>
      </c>
      <c r="AF115" s="476">
        <f t="shared" si="145"/>
        <v>0</v>
      </c>
      <c r="AG115" s="476">
        <f t="shared" si="146"/>
        <v>0</v>
      </c>
      <c r="AH115" s="476">
        <f t="shared" si="147"/>
        <v>0</v>
      </c>
      <c r="AI115" s="476">
        <f t="shared" si="148"/>
        <v>0</v>
      </c>
      <c r="AJ115" s="476">
        <f t="shared" si="149"/>
        <v>0</v>
      </c>
      <c r="AK115" s="476">
        <f t="shared" si="150"/>
        <v>0</v>
      </c>
      <c r="AL115" s="476">
        <f t="shared" si="151"/>
        <v>0</v>
      </c>
      <c r="AM115" s="476">
        <f t="shared" si="152"/>
        <v>0</v>
      </c>
      <c r="AN115" s="476">
        <f t="shared" si="153"/>
        <v>0</v>
      </c>
      <c r="AO115" s="476">
        <f t="shared" si="154"/>
        <v>0</v>
      </c>
      <c r="AP115" s="476">
        <f t="shared" si="155"/>
        <v>0</v>
      </c>
      <c r="AQ115" s="476">
        <f t="shared" si="156"/>
        <v>0</v>
      </c>
      <c r="AR115" s="476">
        <f t="shared" si="157"/>
        <v>0</v>
      </c>
      <c r="AS115" s="476">
        <f t="shared" si="158"/>
        <v>0</v>
      </c>
      <c r="AT115" s="476">
        <f t="shared" si="159"/>
        <v>0</v>
      </c>
      <c r="AU115" s="476">
        <f t="shared" si="160"/>
        <v>0</v>
      </c>
      <c r="AV115" s="476">
        <f t="shared" si="161"/>
        <v>0</v>
      </c>
      <c r="AW115" s="476">
        <f t="shared" si="162"/>
        <v>0</v>
      </c>
      <c r="AX115" s="476">
        <f t="shared" si="163"/>
        <v>0</v>
      </c>
      <c r="AY115" s="476">
        <f t="shared" si="164"/>
        <v>0</v>
      </c>
      <c r="AZ115" s="476">
        <f t="shared" si="165"/>
        <v>0</v>
      </c>
      <c r="BA115" s="476">
        <f t="shared" si="166"/>
        <v>0</v>
      </c>
      <c r="BB115" s="476">
        <f t="shared" si="167"/>
        <v>0</v>
      </c>
      <c r="BC115" s="476">
        <f t="shared" si="168"/>
        <v>0</v>
      </c>
      <c r="BD115" s="476">
        <f t="shared" si="169"/>
        <v>0</v>
      </c>
      <c r="BE115" s="476">
        <f t="shared" si="170"/>
        <v>0</v>
      </c>
      <c r="BF115" s="476">
        <f t="shared" si="171"/>
        <v>0</v>
      </c>
      <c r="BG115" s="476">
        <f t="shared" si="172"/>
        <v>0</v>
      </c>
    </row>
    <row r="116" spans="1:59" ht="16.5" customHeight="1">
      <c r="A116" s="583" t="s">
        <v>1120</v>
      </c>
      <c r="B116" s="584" t="s">
        <v>1628</v>
      </c>
      <c r="C116" s="584" t="s">
        <v>1747</v>
      </c>
      <c r="D116" s="413" t="s">
        <v>1051</v>
      </c>
      <c r="E116" s="412" t="s">
        <v>466</v>
      </c>
      <c r="F116" s="413" t="s">
        <v>1057</v>
      </c>
      <c r="G116" s="412" t="s">
        <v>1112</v>
      </c>
      <c r="H116" s="412" t="s">
        <v>974</v>
      </c>
      <c r="I116" s="477">
        <v>111000</v>
      </c>
      <c r="J116" s="477">
        <v>111000</v>
      </c>
      <c r="K116" s="477">
        <v>5000</v>
      </c>
      <c r="L116" s="477">
        <v>5000</v>
      </c>
      <c r="M116" s="477">
        <f t="shared" si="127"/>
        <v>116000</v>
      </c>
      <c r="N116" s="477">
        <f t="shared" si="128"/>
        <v>116000</v>
      </c>
      <c r="O116" s="477"/>
      <c r="P116" s="477"/>
      <c r="Q116" s="477">
        <f t="shared" si="129"/>
        <v>116000</v>
      </c>
      <c r="R116" s="477">
        <f t="shared" si="130"/>
        <v>116000</v>
      </c>
      <c r="S116" s="477">
        <f t="shared" si="131"/>
        <v>0</v>
      </c>
      <c r="V116" s="476">
        <f t="shared" si="135"/>
        <v>116000</v>
      </c>
      <c r="W116" s="476">
        <f t="shared" si="136"/>
        <v>116000</v>
      </c>
      <c r="X116" s="476">
        <f t="shared" si="137"/>
        <v>0</v>
      </c>
      <c r="Y116" s="476">
        <f t="shared" si="138"/>
        <v>0</v>
      </c>
      <c r="Z116" s="476">
        <f t="shared" si="139"/>
        <v>0</v>
      </c>
      <c r="AA116" s="476">
        <f t="shared" si="140"/>
        <v>0</v>
      </c>
      <c r="AB116" s="476">
        <f t="shared" si="141"/>
        <v>0</v>
      </c>
      <c r="AC116" s="476">
        <f t="shared" si="142"/>
        <v>0</v>
      </c>
      <c r="AD116" s="476">
        <f t="shared" si="143"/>
        <v>0</v>
      </c>
      <c r="AE116" s="476">
        <f t="shared" si="144"/>
        <v>0</v>
      </c>
      <c r="AF116" s="476">
        <f t="shared" si="145"/>
        <v>0</v>
      </c>
      <c r="AG116" s="476">
        <f t="shared" si="146"/>
        <v>0</v>
      </c>
      <c r="AH116" s="476">
        <f t="shared" si="147"/>
        <v>0</v>
      </c>
      <c r="AI116" s="476">
        <f t="shared" si="148"/>
        <v>0</v>
      </c>
      <c r="AJ116" s="476">
        <f t="shared" si="149"/>
        <v>0</v>
      </c>
      <c r="AK116" s="476">
        <f t="shared" si="150"/>
        <v>0</v>
      </c>
      <c r="AL116" s="476">
        <f t="shared" si="151"/>
        <v>0</v>
      </c>
      <c r="AM116" s="476">
        <f t="shared" si="152"/>
        <v>0</v>
      </c>
      <c r="AN116" s="476">
        <f t="shared" si="153"/>
        <v>0</v>
      </c>
      <c r="AO116" s="476">
        <f t="shared" si="154"/>
        <v>0</v>
      </c>
      <c r="AP116" s="476">
        <f t="shared" si="155"/>
        <v>0</v>
      </c>
      <c r="AQ116" s="476">
        <f t="shared" si="156"/>
        <v>0</v>
      </c>
      <c r="AR116" s="476">
        <f t="shared" si="157"/>
        <v>0</v>
      </c>
      <c r="AS116" s="476">
        <f t="shared" si="158"/>
        <v>0</v>
      </c>
      <c r="AT116" s="476">
        <f t="shared" si="159"/>
        <v>0</v>
      </c>
      <c r="AU116" s="476">
        <f t="shared" si="160"/>
        <v>0</v>
      </c>
      <c r="AV116" s="476">
        <f t="shared" si="161"/>
        <v>0</v>
      </c>
      <c r="AW116" s="476">
        <f t="shared" si="162"/>
        <v>0</v>
      </c>
      <c r="AX116" s="476">
        <f t="shared" si="163"/>
        <v>0</v>
      </c>
      <c r="AY116" s="476">
        <f t="shared" si="164"/>
        <v>0</v>
      </c>
      <c r="AZ116" s="476">
        <f t="shared" si="165"/>
        <v>0</v>
      </c>
      <c r="BA116" s="476">
        <f t="shared" si="166"/>
        <v>0</v>
      </c>
      <c r="BB116" s="476">
        <f t="shared" si="167"/>
        <v>0</v>
      </c>
      <c r="BC116" s="476">
        <f t="shared" si="168"/>
        <v>0</v>
      </c>
      <c r="BD116" s="476">
        <f t="shared" si="169"/>
        <v>0</v>
      </c>
      <c r="BE116" s="476">
        <f t="shared" si="170"/>
        <v>0</v>
      </c>
      <c r="BF116" s="476">
        <f t="shared" si="171"/>
        <v>0</v>
      </c>
      <c r="BG116" s="476">
        <f t="shared" si="172"/>
        <v>0</v>
      </c>
    </row>
    <row r="117" spans="1:59" ht="16.5" customHeight="1">
      <c r="A117" s="583" t="s">
        <v>1225</v>
      </c>
      <c r="B117" s="584" t="s">
        <v>1629</v>
      </c>
      <c r="C117" s="584" t="s">
        <v>337</v>
      </c>
      <c r="D117" s="413" t="s">
        <v>1051</v>
      </c>
      <c r="E117" s="412" t="s">
        <v>466</v>
      </c>
      <c r="F117" s="412" t="s">
        <v>1057</v>
      </c>
      <c r="G117" s="412" t="s">
        <v>337</v>
      </c>
      <c r="H117" s="412" t="s">
        <v>974</v>
      </c>
      <c r="I117" s="477">
        <v>0</v>
      </c>
      <c r="J117" s="477">
        <v>0</v>
      </c>
      <c r="K117" s="477">
        <v>0</v>
      </c>
      <c r="L117" s="477">
        <v>0</v>
      </c>
      <c r="M117" s="477">
        <f t="shared" si="127"/>
        <v>0</v>
      </c>
      <c r="N117" s="477">
        <f t="shared" si="128"/>
        <v>0</v>
      </c>
      <c r="O117" s="477"/>
      <c r="P117" s="477"/>
      <c r="Q117" s="477">
        <f t="shared" si="129"/>
        <v>0</v>
      </c>
      <c r="R117" s="477">
        <f t="shared" si="130"/>
        <v>0</v>
      </c>
      <c r="S117" s="477">
        <f t="shared" si="131"/>
        <v>0</v>
      </c>
      <c r="U117" s="473"/>
      <c r="V117" s="476">
        <f t="shared" si="135"/>
        <v>0</v>
      </c>
      <c r="W117" s="476">
        <f t="shared" si="136"/>
        <v>0</v>
      </c>
      <c r="X117" s="476">
        <f t="shared" si="137"/>
        <v>0</v>
      </c>
      <c r="Y117" s="476">
        <f t="shared" si="138"/>
        <v>0</v>
      </c>
      <c r="Z117" s="476">
        <f t="shared" si="139"/>
        <v>0</v>
      </c>
      <c r="AA117" s="476">
        <f t="shared" si="140"/>
        <v>0</v>
      </c>
      <c r="AB117" s="476">
        <f t="shared" si="141"/>
        <v>0</v>
      </c>
      <c r="AC117" s="476">
        <f t="shared" si="142"/>
        <v>0</v>
      </c>
      <c r="AD117" s="476">
        <f t="shared" si="143"/>
        <v>0</v>
      </c>
      <c r="AE117" s="476">
        <f t="shared" si="144"/>
        <v>0</v>
      </c>
      <c r="AF117" s="476">
        <f t="shared" si="145"/>
        <v>0</v>
      </c>
      <c r="AG117" s="476">
        <f t="shared" si="146"/>
        <v>0</v>
      </c>
      <c r="AH117" s="476">
        <f t="shared" si="147"/>
        <v>0</v>
      </c>
      <c r="AI117" s="476">
        <f t="shared" si="148"/>
        <v>0</v>
      </c>
      <c r="AJ117" s="476">
        <f t="shared" si="149"/>
        <v>0</v>
      </c>
      <c r="AK117" s="476">
        <f t="shared" si="150"/>
        <v>0</v>
      </c>
      <c r="AL117" s="476">
        <f t="shared" si="151"/>
        <v>0</v>
      </c>
      <c r="AM117" s="476">
        <f t="shared" si="152"/>
        <v>0</v>
      </c>
      <c r="AN117" s="476">
        <f t="shared" si="153"/>
        <v>0</v>
      </c>
      <c r="AO117" s="476">
        <f t="shared" si="154"/>
        <v>0</v>
      </c>
      <c r="AP117" s="476">
        <f t="shared" si="155"/>
        <v>0</v>
      </c>
      <c r="AQ117" s="476">
        <f t="shared" si="156"/>
        <v>0</v>
      </c>
      <c r="AR117" s="476">
        <f t="shared" si="157"/>
        <v>0</v>
      </c>
      <c r="AS117" s="476">
        <f t="shared" si="158"/>
        <v>0</v>
      </c>
      <c r="AT117" s="476">
        <f t="shared" si="159"/>
        <v>0</v>
      </c>
      <c r="AU117" s="476">
        <f t="shared" si="160"/>
        <v>0</v>
      </c>
      <c r="AV117" s="476">
        <f t="shared" si="161"/>
        <v>0</v>
      </c>
      <c r="AW117" s="476">
        <f t="shared" si="162"/>
        <v>0</v>
      </c>
      <c r="AX117" s="476">
        <f t="shared" si="163"/>
        <v>0</v>
      </c>
      <c r="AY117" s="476">
        <f t="shared" si="164"/>
        <v>0</v>
      </c>
      <c r="AZ117" s="476">
        <f t="shared" si="165"/>
        <v>0</v>
      </c>
      <c r="BA117" s="476">
        <f t="shared" si="166"/>
        <v>0</v>
      </c>
      <c r="BB117" s="476">
        <f t="shared" si="167"/>
        <v>0</v>
      </c>
      <c r="BC117" s="476">
        <f t="shared" si="168"/>
        <v>0</v>
      </c>
      <c r="BD117" s="476">
        <f t="shared" si="169"/>
        <v>0</v>
      </c>
      <c r="BE117" s="476">
        <f t="shared" si="170"/>
        <v>0</v>
      </c>
      <c r="BF117" s="476">
        <f t="shared" si="171"/>
        <v>0</v>
      </c>
      <c r="BG117" s="476">
        <f t="shared" si="172"/>
        <v>0</v>
      </c>
    </row>
    <row r="118" spans="1:59" ht="16.5" customHeight="1">
      <c r="A118" s="583" t="s">
        <v>776</v>
      </c>
      <c r="B118" s="584" t="s">
        <v>1630</v>
      </c>
      <c r="C118" s="584" t="s">
        <v>162</v>
      </c>
      <c r="D118" s="413" t="s">
        <v>1051</v>
      </c>
      <c r="E118" s="412" t="s">
        <v>466</v>
      </c>
      <c r="F118" s="412" t="s">
        <v>1057</v>
      </c>
      <c r="G118" s="412" t="s">
        <v>337</v>
      </c>
      <c r="H118" s="412" t="s">
        <v>974</v>
      </c>
      <c r="I118" s="477">
        <v>9167</v>
      </c>
      <c r="J118" s="477">
        <v>9167</v>
      </c>
      <c r="K118" s="477">
        <v>0</v>
      </c>
      <c r="L118" s="477">
        <v>0</v>
      </c>
      <c r="M118" s="477">
        <f t="shared" si="127"/>
        <v>9167</v>
      </c>
      <c r="N118" s="477">
        <f t="shared" si="128"/>
        <v>9167</v>
      </c>
      <c r="O118" s="477"/>
      <c r="P118" s="477"/>
      <c r="Q118" s="477">
        <f t="shared" si="129"/>
        <v>9167</v>
      </c>
      <c r="R118" s="477">
        <f t="shared" si="130"/>
        <v>9167</v>
      </c>
      <c r="S118" s="477">
        <f t="shared" si="131"/>
        <v>0</v>
      </c>
      <c r="U118" s="473"/>
      <c r="V118" s="476">
        <f t="shared" si="135"/>
        <v>9167</v>
      </c>
      <c r="W118" s="476">
        <f t="shared" si="136"/>
        <v>9167</v>
      </c>
      <c r="X118" s="476">
        <f t="shared" si="137"/>
        <v>0</v>
      </c>
      <c r="Y118" s="476">
        <f t="shared" si="138"/>
        <v>0</v>
      </c>
      <c r="Z118" s="476">
        <f t="shared" si="139"/>
        <v>0</v>
      </c>
      <c r="AA118" s="476">
        <f t="shared" si="140"/>
        <v>0</v>
      </c>
      <c r="AB118" s="476">
        <f t="shared" si="141"/>
        <v>0</v>
      </c>
      <c r="AC118" s="476">
        <f t="shared" si="142"/>
        <v>0</v>
      </c>
      <c r="AD118" s="476">
        <f t="shared" si="143"/>
        <v>0</v>
      </c>
      <c r="AE118" s="476">
        <f t="shared" si="144"/>
        <v>0</v>
      </c>
      <c r="AF118" s="476">
        <f t="shared" si="145"/>
        <v>0</v>
      </c>
      <c r="AG118" s="476">
        <f t="shared" si="146"/>
        <v>0</v>
      </c>
      <c r="AH118" s="476">
        <f t="shared" si="147"/>
        <v>0</v>
      </c>
      <c r="AI118" s="476">
        <f t="shared" si="148"/>
        <v>0</v>
      </c>
      <c r="AJ118" s="476">
        <f t="shared" si="149"/>
        <v>0</v>
      </c>
      <c r="AK118" s="476">
        <f t="shared" si="150"/>
        <v>0</v>
      </c>
      <c r="AL118" s="476">
        <f t="shared" si="151"/>
        <v>0</v>
      </c>
      <c r="AM118" s="476">
        <f t="shared" si="152"/>
        <v>0</v>
      </c>
      <c r="AN118" s="476">
        <f t="shared" si="153"/>
        <v>0</v>
      </c>
      <c r="AO118" s="476">
        <f t="shared" si="154"/>
        <v>0</v>
      </c>
      <c r="AP118" s="476">
        <f t="shared" si="155"/>
        <v>0</v>
      </c>
      <c r="AQ118" s="476">
        <f t="shared" si="156"/>
        <v>0</v>
      </c>
      <c r="AR118" s="476">
        <f t="shared" si="157"/>
        <v>0</v>
      </c>
      <c r="AS118" s="476">
        <f t="shared" si="158"/>
        <v>0</v>
      </c>
      <c r="AT118" s="476">
        <f t="shared" si="159"/>
        <v>0</v>
      </c>
      <c r="AU118" s="476">
        <f t="shared" si="160"/>
        <v>0</v>
      </c>
      <c r="AV118" s="476">
        <f t="shared" si="161"/>
        <v>0</v>
      </c>
      <c r="AW118" s="476">
        <f t="shared" si="162"/>
        <v>0</v>
      </c>
      <c r="AX118" s="476">
        <f t="shared" si="163"/>
        <v>0</v>
      </c>
      <c r="AY118" s="476">
        <f t="shared" si="164"/>
        <v>0</v>
      </c>
      <c r="AZ118" s="476">
        <f t="shared" si="165"/>
        <v>0</v>
      </c>
      <c r="BA118" s="476">
        <f t="shared" si="166"/>
        <v>0</v>
      </c>
      <c r="BB118" s="476">
        <f t="shared" si="167"/>
        <v>0</v>
      </c>
      <c r="BC118" s="476">
        <f t="shared" si="168"/>
        <v>0</v>
      </c>
      <c r="BD118" s="476">
        <f t="shared" si="169"/>
        <v>0</v>
      </c>
      <c r="BE118" s="476">
        <f t="shared" si="170"/>
        <v>0</v>
      </c>
      <c r="BF118" s="476">
        <f t="shared" si="171"/>
        <v>0</v>
      </c>
      <c r="BG118" s="476">
        <f t="shared" si="172"/>
        <v>0</v>
      </c>
    </row>
    <row r="119" spans="1:59" ht="16.5" customHeight="1">
      <c r="A119" s="583" t="s">
        <v>777</v>
      </c>
      <c r="B119" s="584" t="s">
        <v>1631</v>
      </c>
      <c r="C119" s="584" t="s">
        <v>163</v>
      </c>
      <c r="D119" s="413" t="s">
        <v>1051</v>
      </c>
      <c r="E119" s="412" t="s">
        <v>637</v>
      </c>
      <c r="F119" s="412" t="s">
        <v>638</v>
      </c>
      <c r="G119" s="412" t="s">
        <v>1122</v>
      </c>
      <c r="H119" s="412" t="s">
        <v>974</v>
      </c>
      <c r="I119" s="477">
        <v>1721000</v>
      </c>
      <c r="J119" s="477">
        <v>0</v>
      </c>
      <c r="K119" s="477">
        <v>0</v>
      </c>
      <c r="L119" s="477">
        <v>0</v>
      </c>
      <c r="M119" s="477">
        <f t="shared" si="127"/>
        <v>1721000</v>
      </c>
      <c r="N119" s="477">
        <f t="shared" si="128"/>
        <v>0</v>
      </c>
      <c r="O119" s="477"/>
      <c r="P119" s="477"/>
      <c r="Q119" s="477">
        <f t="shared" si="129"/>
        <v>1721000</v>
      </c>
      <c r="R119" s="477">
        <f t="shared" si="130"/>
        <v>0</v>
      </c>
      <c r="S119" s="477">
        <f t="shared" si="131"/>
        <v>1721000</v>
      </c>
      <c r="U119" s="473"/>
      <c r="V119" s="476">
        <f t="shared" si="135"/>
        <v>1721000</v>
      </c>
      <c r="W119" s="476">
        <f t="shared" si="136"/>
        <v>0</v>
      </c>
      <c r="X119" s="476">
        <f t="shared" si="137"/>
        <v>0</v>
      </c>
      <c r="Y119" s="476">
        <f t="shared" si="138"/>
        <v>0</v>
      </c>
      <c r="Z119" s="476">
        <f t="shared" si="139"/>
        <v>0</v>
      </c>
      <c r="AA119" s="476">
        <f t="shared" si="140"/>
        <v>0</v>
      </c>
      <c r="AB119" s="476">
        <f t="shared" si="141"/>
        <v>0</v>
      </c>
      <c r="AC119" s="476">
        <f t="shared" si="142"/>
        <v>0</v>
      </c>
      <c r="AD119" s="476">
        <f t="shared" si="143"/>
        <v>0</v>
      </c>
      <c r="AE119" s="476">
        <f t="shared" si="144"/>
        <v>0</v>
      </c>
      <c r="AF119" s="476">
        <f t="shared" si="145"/>
        <v>0</v>
      </c>
      <c r="AG119" s="476">
        <f t="shared" si="146"/>
        <v>0</v>
      </c>
      <c r="AH119" s="476">
        <f t="shared" si="147"/>
        <v>0</v>
      </c>
      <c r="AI119" s="476">
        <f t="shared" si="148"/>
        <v>0</v>
      </c>
      <c r="AJ119" s="476">
        <f t="shared" si="149"/>
        <v>0</v>
      </c>
      <c r="AK119" s="476">
        <f t="shared" si="150"/>
        <v>0</v>
      </c>
      <c r="AL119" s="476">
        <f t="shared" si="151"/>
        <v>0</v>
      </c>
      <c r="AM119" s="476">
        <f t="shared" si="152"/>
        <v>0</v>
      </c>
      <c r="AN119" s="476">
        <f t="shared" si="153"/>
        <v>0</v>
      </c>
      <c r="AO119" s="476">
        <f t="shared" si="154"/>
        <v>0</v>
      </c>
      <c r="AP119" s="476">
        <f t="shared" si="155"/>
        <v>0</v>
      </c>
      <c r="AQ119" s="476">
        <f t="shared" si="156"/>
        <v>0</v>
      </c>
      <c r="AR119" s="476">
        <f t="shared" si="157"/>
        <v>0</v>
      </c>
      <c r="AS119" s="476">
        <f t="shared" si="158"/>
        <v>0</v>
      </c>
      <c r="AT119" s="476">
        <f t="shared" si="159"/>
        <v>0</v>
      </c>
      <c r="AU119" s="476">
        <f t="shared" si="160"/>
        <v>0</v>
      </c>
      <c r="AV119" s="476">
        <f t="shared" si="161"/>
        <v>0</v>
      </c>
      <c r="AW119" s="476">
        <f t="shared" si="162"/>
        <v>0</v>
      </c>
      <c r="AX119" s="476">
        <f t="shared" si="163"/>
        <v>0</v>
      </c>
      <c r="AY119" s="476">
        <f t="shared" si="164"/>
        <v>0</v>
      </c>
      <c r="AZ119" s="476">
        <f t="shared" si="165"/>
        <v>0</v>
      </c>
      <c r="BA119" s="476">
        <f t="shared" si="166"/>
        <v>0</v>
      </c>
      <c r="BB119" s="476">
        <f t="shared" si="167"/>
        <v>0</v>
      </c>
      <c r="BC119" s="476">
        <f t="shared" si="168"/>
        <v>0</v>
      </c>
      <c r="BD119" s="476">
        <f t="shared" si="169"/>
        <v>0</v>
      </c>
      <c r="BE119" s="476">
        <f t="shared" si="170"/>
        <v>0</v>
      </c>
      <c r="BF119" s="476">
        <f t="shared" si="171"/>
        <v>0</v>
      </c>
      <c r="BG119" s="476">
        <f t="shared" si="172"/>
        <v>0</v>
      </c>
    </row>
    <row r="120" spans="1:59" ht="16.5" customHeight="1">
      <c r="A120" s="583" t="s">
        <v>778</v>
      </c>
      <c r="B120" s="584" t="s">
        <v>1632</v>
      </c>
      <c r="C120" s="584" t="s">
        <v>164</v>
      </c>
      <c r="D120" s="413" t="s">
        <v>1051</v>
      </c>
      <c r="E120" s="412" t="s">
        <v>637</v>
      </c>
      <c r="F120" s="412" t="s">
        <v>638</v>
      </c>
      <c r="G120" s="412" t="s">
        <v>1123</v>
      </c>
      <c r="H120" s="412" t="s">
        <v>974</v>
      </c>
      <c r="I120" s="477">
        <v>22763814</v>
      </c>
      <c r="J120" s="477">
        <v>0</v>
      </c>
      <c r="K120" s="477">
        <v>0</v>
      </c>
      <c r="L120" s="477">
        <v>0</v>
      </c>
      <c r="M120" s="477">
        <f t="shared" si="127"/>
        <v>22763814</v>
      </c>
      <c r="N120" s="477">
        <f t="shared" si="128"/>
        <v>0</v>
      </c>
      <c r="O120" s="477"/>
      <c r="P120" s="477"/>
      <c r="Q120" s="477">
        <f t="shared" si="129"/>
        <v>22763814</v>
      </c>
      <c r="R120" s="477">
        <f t="shared" si="130"/>
        <v>0</v>
      </c>
      <c r="S120" s="477">
        <f t="shared" si="131"/>
        <v>22763814</v>
      </c>
      <c r="U120" s="473"/>
      <c r="V120" s="476">
        <f t="shared" ref="V120:V151" si="173">IF($V$8=$H120,$Q120,0)</f>
        <v>22763814</v>
      </c>
      <c r="W120" s="476">
        <f t="shared" ref="W120:W151" si="174">IF($V$8=$H120,$R120,0)</f>
        <v>0</v>
      </c>
      <c r="X120" s="476">
        <f t="shared" ref="X120:X151" si="175">IF($X$8=$H120,$Q120,0)</f>
        <v>0</v>
      </c>
      <c r="Y120" s="476">
        <f t="shared" ref="Y120:Y151" si="176">IF($X$8=$H120,$R120,0)</f>
        <v>0</v>
      </c>
      <c r="Z120" s="476">
        <f t="shared" ref="Z120:Z151" si="177">IF($Z$8=$H120,$Q120,0)</f>
        <v>0</v>
      </c>
      <c r="AA120" s="476">
        <f t="shared" ref="AA120:AA151" si="178">IF($Z$8=$H120,$R120,0)</f>
        <v>0</v>
      </c>
      <c r="AB120" s="476">
        <f t="shared" ref="AB120:AB151" si="179">IF($AB$8=$H120,$Q120,0)</f>
        <v>0</v>
      </c>
      <c r="AC120" s="476">
        <f t="shared" ref="AC120:AC151" si="180">IF($AB$8=$H120,$R120,0)</f>
        <v>0</v>
      </c>
      <c r="AD120" s="476">
        <f t="shared" ref="AD120:AD151" si="181">IF($AD$8=$H120,$Q120,0)</f>
        <v>0</v>
      </c>
      <c r="AE120" s="476">
        <f t="shared" ref="AE120:AE151" si="182">IF($AD$8=$H120,$R120,0)</f>
        <v>0</v>
      </c>
      <c r="AF120" s="476">
        <f t="shared" ref="AF120:AF151" si="183">IF($AF$8=$H120,$Q120,0)</f>
        <v>0</v>
      </c>
      <c r="AG120" s="476">
        <f t="shared" ref="AG120:AG151" si="184">IF($AF$8=$H120,$R120,0)</f>
        <v>0</v>
      </c>
      <c r="AH120" s="476">
        <f t="shared" ref="AH120:AH151" si="185">IF($AH$8=$H120,$Q120,0)</f>
        <v>0</v>
      </c>
      <c r="AI120" s="476">
        <f t="shared" ref="AI120:AI151" si="186">IF($AH$8=$H120,$R120,0)</f>
        <v>0</v>
      </c>
      <c r="AJ120" s="476">
        <f t="shared" ref="AJ120:AJ151" si="187">IF($AJ$8=$H120,$Q120,0)</f>
        <v>0</v>
      </c>
      <c r="AK120" s="476">
        <f t="shared" ref="AK120:AK151" si="188">IF($AJ$8=$H120,$R120,0)</f>
        <v>0</v>
      </c>
      <c r="AL120" s="476">
        <f t="shared" ref="AL120:AL151" si="189">IF($AL$8=$H120,$Q120,0)</f>
        <v>0</v>
      </c>
      <c r="AM120" s="476">
        <f t="shared" ref="AM120:AM151" si="190">IF($AL$8=$H120,$R120,0)</f>
        <v>0</v>
      </c>
      <c r="AN120" s="476">
        <f t="shared" ref="AN120:AN151" si="191">IF($AN$8=$H120,$Q120,0)</f>
        <v>0</v>
      </c>
      <c r="AO120" s="476">
        <f t="shared" ref="AO120:AO151" si="192">IF($AN$8=$H120,$R120,0)</f>
        <v>0</v>
      </c>
      <c r="AP120" s="476">
        <f t="shared" ref="AP120:AP151" si="193">IF($AP$8=$H120,$Q120,0)</f>
        <v>0</v>
      </c>
      <c r="AQ120" s="476">
        <f t="shared" ref="AQ120:AQ151" si="194">IF($AP$8=$H120,$R120,0)</f>
        <v>0</v>
      </c>
      <c r="AR120" s="476">
        <f t="shared" ref="AR120:AR151" si="195">IF($AR$8=$H120,$Q120,0)</f>
        <v>0</v>
      </c>
      <c r="AS120" s="476">
        <f t="shared" ref="AS120:AS151" si="196">IF($AR$8=$H120,$R120,0)</f>
        <v>0</v>
      </c>
      <c r="AT120" s="476">
        <f t="shared" ref="AT120:AT151" si="197">IF($AT$8=$H120,$Q120,0)</f>
        <v>0</v>
      </c>
      <c r="AU120" s="476">
        <f t="shared" ref="AU120:AU151" si="198">IF($AT$8=$H120,$R120,0)</f>
        <v>0</v>
      </c>
      <c r="AV120" s="476">
        <f t="shared" ref="AV120:AV151" si="199">IF($AV$8=$H120,$Q120,0)</f>
        <v>0</v>
      </c>
      <c r="AW120" s="476">
        <f t="shared" ref="AW120:AW151" si="200">IF($AV$8=$H120,$R120,0)</f>
        <v>0</v>
      </c>
      <c r="AX120" s="476">
        <f t="shared" ref="AX120:AX151" si="201">IF($AX$8=$H120,$Q120,0)</f>
        <v>0</v>
      </c>
      <c r="AY120" s="476">
        <f t="shared" ref="AY120:AY151" si="202">IF($AX$8=$H120,$R120,0)</f>
        <v>0</v>
      </c>
      <c r="AZ120" s="476">
        <f t="shared" ref="AZ120:AZ151" si="203">IF($AZ$8=$H120,$Q120,0)</f>
        <v>0</v>
      </c>
      <c r="BA120" s="476">
        <f t="shared" ref="BA120:BA151" si="204">IF($AZ$8=$H120,$R120,0)</f>
        <v>0</v>
      </c>
      <c r="BB120" s="476">
        <f t="shared" ref="BB120:BB151" si="205">IF($BB$8=$H120,$Q120,0)</f>
        <v>0</v>
      </c>
      <c r="BC120" s="476">
        <f t="shared" ref="BC120:BC151" si="206">IF($BB$8=$H120,$R120,0)</f>
        <v>0</v>
      </c>
      <c r="BD120" s="476">
        <f t="shared" ref="BD120:BD151" si="207">IF($BD$8=$H120,$Q120,0)</f>
        <v>0</v>
      </c>
      <c r="BE120" s="476">
        <f t="shared" ref="BE120:BE151" si="208">IF($BD$8=$H120,$R120,0)</f>
        <v>0</v>
      </c>
      <c r="BF120" s="476">
        <f t="shared" ref="BF120:BF151" si="209">IF($BF$8=$H120,$Q120,0)</f>
        <v>0</v>
      </c>
      <c r="BG120" s="476">
        <f t="shared" ref="BG120:BG151" si="210">IF($BF$8=$H120,$R120,0)</f>
        <v>0</v>
      </c>
    </row>
    <row r="121" spans="1:59" ht="16.5" customHeight="1">
      <c r="A121" s="583" t="s">
        <v>779</v>
      </c>
      <c r="B121" s="584" t="s">
        <v>1633</v>
      </c>
      <c r="C121" s="584" t="s">
        <v>165</v>
      </c>
      <c r="D121" s="413" t="s">
        <v>1051</v>
      </c>
      <c r="E121" s="412" t="s">
        <v>637</v>
      </c>
      <c r="F121" s="412" t="s">
        <v>638</v>
      </c>
      <c r="G121" s="412" t="s">
        <v>1124</v>
      </c>
      <c r="H121" s="412" t="s">
        <v>974</v>
      </c>
      <c r="I121" s="477">
        <v>0</v>
      </c>
      <c r="J121" s="477">
        <v>9631348</v>
      </c>
      <c r="K121" s="477">
        <v>0</v>
      </c>
      <c r="L121" s="477">
        <v>455276</v>
      </c>
      <c r="M121" s="477">
        <f t="shared" si="127"/>
        <v>0</v>
      </c>
      <c r="N121" s="477">
        <f t="shared" si="128"/>
        <v>10086624</v>
      </c>
      <c r="O121" s="477"/>
      <c r="P121" s="477"/>
      <c r="Q121" s="477">
        <f t="shared" si="129"/>
        <v>0</v>
      </c>
      <c r="R121" s="477">
        <f t="shared" si="130"/>
        <v>10086624</v>
      </c>
      <c r="S121" s="477">
        <f t="shared" si="131"/>
        <v>-10086624</v>
      </c>
      <c r="U121" s="473"/>
      <c r="V121" s="476">
        <f t="shared" si="173"/>
        <v>0</v>
      </c>
      <c r="W121" s="476">
        <f t="shared" si="174"/>
        <v>10086624</v>
      </c>
      <c r="X121" s="476">
        <f t="shared" si="175"/>
        <v>0</v>
      </c>
      <c r="Y121" s="476">
        <f t="shared" si="176"/>
        <v>0</v>
      </c>
      <c r="Z121" s="476">
        <f t="shared" si="177"/>
        <v>0</v>
      </c>
      <c r="AA121" s="476">
        <f t="shared" si="178"/>
        <v>0</v>
      </c>
      <c r="AB121" s="476">
        <f t="shared" si="179"/>
        <v>0</v>
      </c>
      <c r="AC121" s="476">
        <f t="shared" si="180"/>
        <v>0</v>
      </c>
      <c r="AD121" s="476">
        <f t="shared" si="181"/>
        <v>0</v>
      </c>
      <c r="AE121" s="476">
        <f t="shared" si="182"/>
        <v>0</v>
      </c>
      <c r="AF121" s="476">
        <f t="shared" si="183"/>
        <v>0</v>
      </c>
      <c r="AG121" s="476">
        <f t="shared" si="184"/>
        <v>0</v>
      </c>
      <c r="AH121" s="476">
        <f t="shared" si="185"/>
        <v>0</v>
      </c>
      <c r="AI121" s="476">
        <f t="shared" si="186"/>
        <v>0</v>
      </c>
      <c r="AJ121" s="476">
        <f t="shared" si="187"/>
        <v>0</v>
      </c>
      <c r="AK121" s="476">
        <f t="shared" si="188"/>
        <v>0</v>
      </c>
      <c r="AL121" s="476">
        <f t="shared" si="189"/>
        <v>0</v>
      </c>
      <c r="AM121" s="476">
        <f t="shared" si="190"/>
        <v>0</v>
      </c>
      <c r="AN121" s="476">
        <f t="shared" si="191"/>
        <v>0</v>
      </c>
      <c r="AO121" s="476">
        <f t="shared" si="192"/>
        <v>0</v>
      </c>
      <c r="AP121" s="476">
        <f t="shared" si="193"/>
        <v>0</v>
      </c>
      <c r="AQ121" s="476">
        <f t="shared" si="194"/>
        <v>0</v>
      </c>
      <c r="AR121" s="476">
        <f t="shared" si="195"/>
        <v>0</v>
      </c>
      <c r="AS121" s="476">
        <f t="shared" si="196"/>
        <v>0</v>
      </c>
      <c r="AT121" s="476">
        <f t="shared" si="197"/>
        <v>0</v>
      </c>
      <c r="AU121" s="476">
        <f t="shared" si="198"/>
        <v>0</v>
      </c>
      <c r="AV121" s="476">
        <f t="shared" si="199"/>
        <v>0</v>
      </c>
      <c r="AW121" s="476">
        <f t="shared" si="200"/>
        <v>0</v>
      </c>
      <c r="AX121" s="476">
        <f t="shared" si="201"/>
        <v>0</v>
      </c>
      <c r="AY121" s="476">
        <f t="shared" si="202"/>
        <v>0</v>
      </c>
      <c r="AZ121" s="476">
        <f t="shared" si="203"/>
        <v>0</v>
      </c>
      <c r="BA121" s="476">
        <f t="shared" si="204"/>
        <v>0</v>
      </c>
      <c r="BB121" s="476">
        <f t="shared" si="205"/>
        <v>0</v>
      </c>
      <c r="BC121" s="476">
        <f t="shared" si="206"/>
        <v>0</v>
      </c>
      <c r="BD121" s="476">
        <f t="shared" si="207"/>
        <v>0</v>
      </c>
      <c r="BE121" s="476">
        <f t="shared" si="208"/>
        <v>0</v>
      </c>
      <c r="BF121" s="476">
        <f t="shared" si="209"/>
        <v>0</v>
      </c>
      <c r="BG121" s="476">
        <f t="shared" si="210"/>
        <v>0</v>
      </c>
    </row>
    <row r="122" spans="1:59" ht="16.5" customHeight="1">
      <c r="A122" s="583" t="s">
        <v>780</v>
      </c>
      <c r="B122" s="584" t="s">
        <v>1634</v>
      </c>
      <c r="C122" s="584" t="s">
        <v>166</v>
      </c>
      <c r="D122" s="413" t="s">
        <v>1051</v>
      </c>
      <c r="E122" s="412" t="s">
        <v>637</v>
      </c>
      <c r="F122" s="412" t="s">
        <v>638</v>
      </c>
      <c r="G122" s="412" t="s">
        <v>342</v>
      </c>
      <c r="H122" s="412" t="s">
        <v>974</v>
      </c>
      <c r="I122" s="477">
        <v>1244075</v>
      </c>
      <c r="J122" s="477">
        <v>0</v>
      </c>
      <c r="K122" s="477">
        <v>0</v>
      </c>
      <c r="L122" s="477">
        <v>0</v>
      </c>
      <c r="M122" s="477">
        <f t="shared" si="127"/>
        <v>1244075</v>
      </c>
      <c r="N122" s="477">
        <f t="shared" si="128"/>
        <v>0</v>
      </c>
      <c r="O122" s="477"/>
      <c r="P122" s="477"/>
      <c r="Q122" s="477">
        <f t="shared" si="129"/>
        <v>1244075</v>
      </c>
      <c r="R122" s="477">
        <f t="shared" si="130"/>
        <v>0</v>
      </c>
      <c r="S122" s="477">
        <f t="shared" si="131"/>
        <v>1244075</v>
      </c>
      <c r="U122" s="473"/>
      <c r="V122" s="476">
        <f t="shared" si="173"/>
        <v>1244075</v>
      </c>
      <c r="W122" s="476">
        <f t="shared" si="174"/>
        <v>0</v>
      </c>
      <c r="X122" s="476">
        <f t="shared" si="175"/>
        <v>0</v>
      </c>
      <c r="Y122" s="476">
        <f t="shared" si="176"/>
        <v>0</v>
      </c>
      <c r="Z122" s="476">
        <f t="shared" si="177"/>
        <v>0</v>
      </c>
      <c r="AA122" s="476">
        <f t="shared" si="178"/>
        <v>0</v>
      </c>
      <c r="AB122" s="476">
        <f t="shared" si="179"/>
        <v>0</v>
      </c>
      <c r="AC122" s="476">
        <f t="shared" si="180"/>
        <v>0</v>
      </c>
      <c r="AD122" s="476">
        <f t="shared" si="181"/>
        <v>0</v>
      </c>
      <c r="AE122" s="476">
        <f t="shared" si="182"/>
        <v>0</v>
      </c>
      <c r="AF122" s="476">
        <f t="shared" si="183"/>
        <v>0</v>
      </c>
      <c r="AG122" s="476">
        <f t="shared" si="184"/>
        <v>0</v>
      </c>
      <c r="AH122" s="476">
        <f t="shared" si="185"/>
        <v>0</v>
      </c>
      <c r="AI122" s="476">
        <f t="shared" si="186"/>
        <v>0</v>
      </c>
      <c r="AJ122" s="476">
        <f t="shared" si="187"/>
        <v>0</v>
      </c>
      <c r="AK122" s="476">
        <f t="shared" si="188"/>
        <v>0</v>
      </c>
      <c r="AL122" s="476">
        <f t="shared" si="189"/>
        <v>0</v>
      </c>
      <c r="AM122" s="476">
        <f t="shared" si="190"/>
        <v>0</v>
      </c>
      <c r="AN122" s="476">
        <f t="shared" si="191"/>
        <v>0</v>
      </c>
      <c r="AO122" s="476">
        <f t="shared" si="192"/>
        <v>0</v>
      </c>
      <c r="AP122" s="476">
        <f t="shared" si="193"/>
        <v>0</v>
      </c>
      <c r="AQ122" s="476">
        <f t="shared" si="194"/>
        <v>0</v>
      </c>
      <c r="AR122" s="476">
        <f t="shared" si="195"/>
        <v>0</v>
      </c>
      <c r="AS122" s="476">
        <f t="shared" si="196"/>
        <v>0</v>
      </c>
      <c r="AT122" s="476">
        <f t="shared" si="197"/>
        <v>0</v>
      </c>
      <c r="AU122" s="476">
        <f t="shared" si="198"/>
        <v>0</v>
      </c>
      <c r="AV122" s="476">
        <f t="shared" si="199"/>
        <v>0</v>
      </c>
      <c r="AW122" s="476">
        <f t="shared" si="200"/>
        <v>0</v>
      </c>
      <c r="AX122" s="476">
        <f t="shared" si="201"/>
        <v>0</v>
      </c>
      <c r="AY122" s="476">
        <f t="shared" si="202"/>
        <v>0</v>
      </c>
      <c r="AZ122" s="476">
        <f t="shared" si="203"/>
        <v>0</v>
      </c>
      <c r="BA122" s="476">
        <f t="shared" si="204"/>
        <v>0</v>
      </c>
      <c r="BB122" s="476">
        <f t="shared" si="205"/>
        <v>0</v>
      </c>
      <c r="BC122" s="476">
        <f t="shared" si="206"/>
        <v>0</v>
      </c>
      <c r="BD122" s="476">
        <f t="shared" si="207"/>
        <v>0</v>
      </c>
      <c r="BE122" s="476">
        <f t="shared" si="208"/>
        <v>0</v>
      </c>
      <c r="BF122" s="476">
        <f t="shared" si="209"/>
        <v>0</v>
      </c>
      <c r="BG122" s="476">
        <f t="shared" si="210"/>
        <v>0</v>
      </c>
    </row>
    <row r="123" spans="1:59" ht="16.5" customHeight="1">
      <c r="A123" s="583" t="s">
        <v>781</v>
      </c>
      <c r="B123" s="584" t="s">
        <v>1635</v>
      </c>
      <c r="C123" s="584" t="s">
        <v>167</v>
      </c>
      <c r="D123" s="413" t="s">
        <v>1051</v>
      </c>
      <c r="E123" s="412" t="s">
        <v>637</v>
      </c>
      <c r="F123" s="412" t="s">
        <v>638</v>
      </c>
      <c r="G123" s="412" t="s">
        <v>343</v>
      </c>
      <c r="H123" s="412" t="s">
        <v>974</v>
      </c>
      <c r="I123" s="477">
        <v>10368</v>
      </c>
      <c r="J123" s="477">
        <v>1193771</v>
      </c>
      <c r="K123" s="477">
        <v>0</v>
      </c>
      <c r="L123" s="477">
        <v>62204</v>
      </c>
      <c r="M123" s="477">
        <f t="shared" si="127"/>
        <v>10368</v>
      </c>
      <c r="N123" s="477">
        <f t="shared" si="128"/>
        <v>1255975</v>
      </c>
      <c r="O123" s="477">
        <f>'Adjustments 2025'!E25</f>
        <v>19881</v>
      </c>
      <c r="P123" s="477"/>
      <c r="Q123" s="477">
        <f t="shared" si="129"/>
        <v>30249</v>
      </c>
      <c r="R123" s="477">
        <f t="shared" si="130"/>
        <v>1255975</v>
      </c>
      <c r="S123" s="477">
        <f t="shared" si="131"/>
        <v>-1225726</v>
      </c>
      <c r="U123" s="473"/>
      <c r="V123" s="476">
        <f t="shared" si="173"/>
        <v>30249</v>
      </c>
      <c r="W123" s="476">
        <f t="shared" si="174"/>
        <v>1255975</v>
      </c>
      <c r="X123" s="476">
        <f t="shared" si="175"/>
        <v>0</v>
      </c>
      <c r="Y123" s="476">
        <f t="shared" si="176"/>
        <v>0</v>
      </c>
      <c r="Z123" s="476">
        <f t="shared" si="177"/>
        <v>0</v>
      </c>
      <c r="AA123" s="476">
        <f t="shared" si="178"/>
        <v>0</v>
      </c>
      <c r="AB123" s="476">
        <f t="shared" si="179"/>
        <v>0</v>
      </c>
      <c r="AC123" s="476">
        <f t="shared" si="180"/>
        <v>0</v>
      </c>
      <c r="AD123" s="476">
        <f t="shared" si="181"/>
        <v>0</v>
      </c>
      <c r="AE123" s="476">
        <f t="shared" si="182"/>
        <v>0</v>
      </c>
      <c r="AF123" s="476">
        <f t="shared" si="183"/>
        <v>0</v>
      </c>
      <c r="AG123" s="476">
        <f t="shared" si="184"/>
        <v>0</v>
      </c>
      <c r="AH123" s="476">
        <f t="shared" si="185"/>
        <v>0</v>
      </c>
      <c r="AI123" s="476">
        <f t="shared" si="186"/>
        <v>0</v>
      </c>
      <c r="AJ123" s="476">
        <f t="shared" si="187"/>
        <v>0</v>
      </c>
      <c r="AK123" s="476">
        <f t="shared" si="188"/>
        <v>0</v>
      </c>
      <c r="AL123" s="476">
        <f t="shared" si="189"/>
        <v>0</v>
      </c>
      <c r="AM123" s="476">
        <f t="shared" si="190"/>
        <v>0</v>
      </c>
      <c r="AN123" s="476">
        <f t="shared" si="191"/>
        <v>0</v>
      </c>
      <c r="AO123" s="476">
        <f t="shared" si="192"/>
        <v>0</v>
      </c>
      <c r="AP123" s="476">
        <f t="shared" si="193"/>
        <v>0</v>
      </c>
      <c r="AQ123" s="476">
        <f t="shared" si="194"/>
        <v>0</v>
      </c>
      <c r="AR123" s="476">
        <f t="shared" si="195"/>
        <v>0</v>
      </c>
      <c r="AS123" s="476">
        <f t="shared" si="196"/>
        <v>0</v>
      </c>
      <c r="AT123" s="476">
        <f t="shared" si="197"/>
        <v>0</v>
      </c>
      <c r="AU123" s="476">
        <f t="shared" si="198"/>
        <v>0</v>
      </c>
      <c r="AV123" s="476">
        <f t="shared" si="199"/>
        <v>0</v>
      </c>
      <c r="AW123" s="476">
        <f t="shared" si="200"/>
        <v>0</v>
      </c>
      <c r="AX123" s="476">
        <f t="shared" si="201"/>
        <v>0</v>
      </c>
      <c r="AY123" s="476">
        <f t="shared" si="202"/>
        <v>0</v>
      </c>
      <c r="AZ123" s="476">
        <f t="shared" si="203"/>
        <v>0</v>
      </c>
      <c r="BA123" s="476">
        <f t="shared" si="204"/>
        <v>0</v>
      </c>
      <c r="BB123" s="476">
        <f t="shared" si="205"/>
        <v>0</v>
      </c>
      <c r="BC123" s="476">
        <f t="shared" si="206"/>
        <v>0</v>
      </c>
      <c r="BD123" s="476">
        <f t="shared" si="207"/>
        <v>0</v>
      </c>
      <c r="BE123" s="476">
        <f t="shared" si="208"/>
        <v>0</v>
      </c>
      <c r="BF123" s="476">
        <f t="shared" si="209"/>
        <v>0</v>
      </c>
      <c r="BG123" s="476">
        <f t="shared" si="210"/>
        <v>0</v>
      </c>
    </row>
    <row r="124" spans="1:59" ht="16.5" customHeight="1">
      <c r="A124" s="583" t="s">
        <v>782</v>
      </c>
      <c r="B124" s="584" t="s">
        <v>1636</v>
      </c>
      <c r="C124" s="584" t="s">
        <v>168</v>
      </c>
      <c r="D124" s="413" t="s">
        <v>1051</v>
      </c>
      <c r="E124" s="412" t="s">
        <v>637</v>
      </c>
      <c r="F124" s="413" t="s">
        <v>638</v>
      </c>
      <c r="G124" s="412" t="s">
        <v>524</v>
      </c>
      <c r="H124" s="412" t="s">
        <v>974</v>
      </c>
      <c r="I124" s="477">
        <v>4945458</v>
      </c>
      <c r="J124" s="477">
        <v>0</v>
      </c>
      <c r="K124" s="477">
        <v>25000</v>
      </c>
      <c r="L124" s="477">
        <v>0</v>
      </c>
      <c r="M124" s="477">
        <f t="shared" si="127"/>
        <v>4970458</v>
      </c>
      <c r="N124" s="477">
        <f t="shared" si="128"/>
        <v>0</v>
      </c>
      <c r="O124" s="477"/>
      <c r="P124" s="477"/>
      <c r="Q124" s="477">
        <f t="shared" si="129"/>
        <v>4970458</v>
      </c>
      <c r="R124" s="477">
        <f t="shared" si="130"/>
        <v>0</v>
      </c>
      <c r="S124" s="477">
        <f t="shared" si="131"/>
        <v>4970458</v>
      </c>
      <c r="V124" s="476">
        <f t="shared" si="173"/>
        <v>4970458</v>
      </c>
      <c r="W124" s="476">
        <f t="shared" si="174"/>
        <v>0</v>
      </c>
      <c r="X124" s="476">
        <f t="shared" si="175"/>
        <v>0</v>
      </c>
      <c r="Y124" s="476">
        <f t="shared" si="176"/>
        <v>0</v>
      </c>
      <c r="Z124" s="476">
        <f t="shared" si="177"/>
        <v>0</v>
      </c>
      <c r="AA124" s="476">
        <f t="shared" si="178"/>
        <v>0</v>
      </c>
      <c r="AB124" s="476">
        <f t="shared" si="179"/>
        <v>0</v>
      </c>
      <c r="AC124" s="476">
        <f t="shared" si="180"/>
        <v>0</v>
      </c>
      <c r="AD124" s="476">
        <f t="shared" si="181"/>
        <v>0</v>
      </c>
      <c r="AE124" s="476">
        <f t="shared" si="182"/>
        <v>0</v>
      </c>
      <c r="AF124" s="476">
        <f t="shared" si="183"/>
        <v>0</v>
      </c>
      <c r="AG124" s="476">
        <f t="shared" si="184"/>
        <v>0</v>
      </c>
      <c r="AH124" s="476">
        <f t="shared" si="185"/>
        <v>0</v>
      </c>
      <c r="AI124" s="476">
        <f t="shared" si="186"/>
        <v>0</v>
      </c>
      <c r="AJ124" s="476">
        <f t="shared" si="187"/>
        <v>0</v>
      </c>
      <c r="AK124" s="476">
        <f t="shared" si="188"/>
        <v>0</v>
      </c>
      <c r="AL124" s="476">
        <f t="shared" si="189"/>
        <v>0</v>
      </c>
      <c r="AM124" s="476">
        <f t="shared" si="190"/>
        <v>0</v>
      </c>
      <c r="AN124" s="476">
        <f t="shared" si="191"/>
        <v>0</v>
      </c>
      <c r="AO124" s="476">
        <f t="shared" si="192"/>
        <v>0</v>
      </c>
      <c r="AP124" s="476">
        <f t="shared" si="193"/>
        <v>0</v>
      </c>
      <c r="AQ124" s="476">
        <f t="shared" si="194"/>
        <v>0</v>
      </c>
      <c r="AR124" s="476">
        <f t="shared" si="195"/>
        <v>0</v>
      </c>
      <c r="AS124" s="476">
        <f t="shared" si="196"/>
        <v>0</v>
      </c>
      <c r="AT124" s="476">
        <f t="shared" si="197"/>
        <v>0</v>
      </c>
      <c r="AU124" s="476">
        <f t="shared" si="198"/>
        <v>0</v>
      </c>
      <c r="AV124" s="476">
        <f t="shared" si="199"/>
        <v>0</v>
      </c>
      <c r="AW124" s="476">
        <f t="shared" si="200"/>
        <v>0</v>
      </c>
      <c r="AX124" s="476">
        <f t="shared" si="201"/>
        <v>0</v>
      </c>
      <c r="AY124" s="476">
        <f t="shared" si="202"/>
        <v>0</v>
      </c>
      <c r="AZ124" s="476">
        <f t="shared" si="203"/>
        <v>0</v>
      </c>
      <c r="BA124" s="476">
        <f t="shared" si="204"/>
        <v>0</v>
      </c>
      <c r="BB124" s="476">
        <f t="shared" si="205"/>
        <v>0</v>
      </c>
      <c r="BC124" s="476">
        <f t="shared" si="206"/>
        <v>0</v>
      </c>
      <c r="BD124" s="476">
        <f t="shared" si="207"/>
        <v>0</v>
      </c>
      <c r="BE124" s="476">
        <f t="shared" si="208"/>
        <v>0</v>
      </c>
      <c r="BF124" s="476">
        <f t="shared" si="209"/>
        <v>0</v>
      </c>
      <c r="BG124" s="476">
        <f t="shared" si="210"/>
        <v>0</v>
      </c>
    </row>
    <row r="125" spans="1:59" ht="16.5" customHeight="1">
      <c r="A125" s="583" t="s">
        <v>783</v>
      </c>
      <c r="B125" s="584" t="s">
        <v>1637</v>
      </c>
      <c r="C125" s="584" t="s">
        <v>169</v>
      </c>
      <c r="D125" s="413" t="s">
        <v>1051</v>
      </c>
      <c r="E125" s="412" t="s">
        <v>637</v>
      </c>
      <c r="F125" s="413" t="s">
        <v>638</v>
      </c>
      <c r="G125" s="412" t="s">
        <v>1125</v>
      </c>
      <c r="H125" s="412" t="s">
        <v>974</v>
      </c>
      <c r="I125" s="477">
        <v>68126</v>
      </c>
      <c r="J125" s="477">
        <v>3848932</v>
      </c>
      <c r="K125" s="477">
        <v>0</v>
      </c>
      <c r="L125" s="477">
        <v>355637</v>
      </c>
      <c r="M125" s="477">
        <f t="shared" si="127"/>
        <v>68126</v>
      </c>
      <c r="N125" s="477">
        <f t="shared" si="128"/>
        <v>4204569</v>
      </c>
      <c r="O125" s="477"/>
      <c r="P125" s="477"/>
      <c r="Q125" s="477">
        <f t="shared" si="129"/>
        <v>68126</v>
      </c>
      <c r="R125" s="477">
        <f t="shared" si="130"/>
        <v>4204569</v>
      </c>
      <c r="S125" s="477">
        <f t="shared" si="131"/>
        <v>-4136443</v>
      </c>
      <c r="V125" s="476">
        <f t="shared" si="173"/>
        <v>68126</v>
      </c>
      <c r="W125" s="476">
        <f t="shared" si="174"/>
        <v>4204569</v>
      </c>
      <c r="X125" s="476">
        <f t="shared" si="175"/>
        <v>0</v>
      </c>
      <c r="Y125" s="476">
        <f t="shared" si="176"/>
        <v>0</v>
      </c>
      <c r="Z125" s="476">
        <f t="shared" si="177"/>
        <v>0</v>
      </c>
      <c r="AA125" s="476">
        <f t="shared" si="178"/>
        <v>0</v>
      </c>
      <c r="AB125" s="476">
        <f t="shared" si="179"/>
        <v>0</v>
      </c>
      <c r="AC125" s="476">
        <f t="shared" si="180"/>
        <v>0</v>
      </c>
      <c r="AD125" s="476">
        <f t="shared" si="181"/>
        <v>0</v>
      </c>
      <c r="AE125" s="476">
        <f t="shared" si="182"/>
        <v>0</v>
      </c>
      <c r="AF125" s="476">
        <f t="shared" si="183"/>
        <v>0</v>
      </c>
      <c r="AG125" s="476">
        <f t="shared" si="184"/>
        <v>0</v>
      </c>
      <c r="AH125" s="476">
        <f t="shared" si="185"/>
        <v>0</v>
      </c>
      <c r="AI125" s="476">
        <f t="shared" si="186"/>
        <v>0</v>
      </c>
      <c r="AJ125" s="476">
        <f t="shared" si="187"/>
        <v>0</v>
      </c>
      <c r="AK125" s="476">
        <f t="shared" si="188"/>
        <v>0</v>
      </c>
      <c r="AL125" s="476">
        <f t="shared" si="189"/>
        <v>0</v>
      </c>
      <c r="AM125" s="476">
        <f t="shared" si="190"/>
        <v>0</v>
      </c>
      <c r="AN125" s="476">
        <f t="shared" si="191"/>
        <v>0</v>
      </c>
      <c r="AO125" s="476">
        <f t="shared" si="192"/>
        <v>0</v>
      </c>
      <c r="AP125" s="476">
        <f t="shared" si="193"/>
        <v>0</v>
      </c>
      <c r="AQ125" s="476">
        <f t="shared" si="194"/>
        <v>0</v>
      </c>
      <c r="AR125" s="476">
        <f t="shared" si="195"/>
        <v>0</v>
      </c>
      <c r="AS125" s="476">
        <f t="shared" si="196"/>
        <v>0</v>
      </c>
      <c r="AT125" s="476">
        <f t="shared" si="197"/>
        <v>0</v>
      </c>
      <c r="AU125" s="476">
        <f t="shared" si="198"/>
        <v>0</v>
      </c>
      <c r="AV125" s="476">
        <f t="shared" si="199"/>
        <v>0</v>
      </c>
      <c r="AW125" s="476">
        <f t="shared" si="200"/>
        <v>0</v>
      </c>
      <c r="AX125" s="476">
        <f t="shared" si="201"/>
        <v>0</v>
      </c>
      <c r="AY125" s="476">
        <f t="shared" si="202"/>
        <v>0</v>
      </c>
      <c r="AZ125" s="476">
        <f t="shared" si="203"/>
        <v>0</v>
      </c>
      <c r="BA125" s="476">
        <f t="shared" si="204"/>
        <v>0</v>
      </c>
      <c r="BB125" s="476">
        <f t="shared" si="205"/>
        <v>0</v>
      </c>
      <c r="BC125" s="476">
        <f t="shared" si="206"/>
        <v>0</v>
      </c>
      <c r="BD125" s="476">
        <f t="shared" si="207"/>
        <v>0</v>
      </c>
      <c r="BE125" s="476">
        <f t="shared" si="208"/>
        <v>0</v>
      </c>
      <c r="BF125" s="476">
        <f t="shared" si="209"/>
        <v>0</v>
      </c>
      <c r="BG125" s="476">
        <f t="shared" si="210"/>
        <v>0</v>
      </c>
    </row>
    <row r="126" spans="1:59" ht="16.5" customHeight="1">
      <c r="A126" s="583" t="s">
        <v>784</v>
      </c>
      <c r="B126" s="584" t="s">
        <v>1638</v>
      </c>
      <c r="C126" s="584" t="s">
        <v>170</v>
      </c>
      <c r="D126" s="413" t="s">
        <v>1051</v>
      </c>
      <c r="E126" s="412" t="s">
        <v>637</v>
      </c>
      <c r="F126" s="413" t="s">
        <v>638</v>
      </c>
      <c r="G126" s="412" t="s">
        <v>525</v>
      </c>
      <c r="H126" s="412" t="s">
        <v>974</v>
      </c>
      <c r="I126" s="477">
        <v>911914</v>
      </c>
      <c r="J126" s="477">
        <v>0</v>
      </c>
      <c r="K126" s="477">
        <v>0</v>
      </c>
      <c r="L126" s="477">
        <v>0</v>
      </c>
      <c r="M126" s="477">
        <f t="shared" si="127"/>
        <v>911914</v>
      </c>
      <c r="N126" s="477">
        <f t="shared" si="128"/>
        <v>0</v>
      </c>
      <c r="O126" s="477"/>
      <c r="P126" s="477"/>
      <c r="Q126" s="477">
        <f t="shared" si="129"/>
        <v>911914</v>
      </c>
      <c r="R126" s="477">
        <f t="shared" si="130"/>
        <v>0</v>
      </c>
      <c r="S126" s="477">
        <f t="shared" si="131"/>
        <v>911914</v>
      </c>
      <c r="V126" s="476">
        <f t="shared" si="173"/>
        <v>911914</v>
      </c>
      <c r="W126" s="476">
        <f t="shared" si="174"/>
        <v>0</v>
      </c>
      <c r="X126" s="476">
        <f t="shared" si="175"/>
        <v>0</v>
      </c>
      <c r="Y126" s="476">
        <f t="shared" si="176"/>
        <v>0</v>
      </c>
      <c r="Z126" s="476">
        <f t="shared" si="177"/>
        <v>0</v>
      </c>
      <c r="AA126" s="476">
        <f t="shared" si="178"/>
        <v>0</v>
      </c>
      <c r="AB126" s="476">
        <f t="shared" si="179"/>
        <v>0</v>
      </c>
      <c r="AC126" s="476">
        <f t="shared" si="180"/>
        <v>0</v>
      </c>
      <c r="AD126" s="476">
        <f t="shared" si="181"/>
        <v>0</v>
      </c>
      <c r="AE126" s="476">
        <f t="shared" si="182"/>
        <v>0</v>
      </c>
      <c r="AF126" s="476">
        <f t="shared" si="183"/>
        <v>0</v>
      </c>
      <c r="AG126" s="476">
        <f t="shared" si="184"/>
        <v>0</v>
      </c>
      <c r="AH126" s="476">
        <f t="shared" si="185"/>
        <v>0</v>
      </c>
      <c r="AI126" s="476">
        <f t="shared" si="186"/>
        <v>0</v>
      </c>
      <c r="AJ126" s="476">
        <f t="shared" si="187"/>
        <v>0</v>
      </c>
      <c r="AK126" s="476">
        <f t="shared" si="188"/>
        <v>0</v>
      </c>
      <c r="AL126" s="476">
        <f t="shared" si="189"/>
        <v>0</v>
      </c>
      <c r="AM126" s="476">
        <f t="shared" si="190"/>
        <v>0</v>
      </c>
      <c r="AN126" s="476">
        <f t="shared" si="191"/>
        <v>0</v>
      </c>
      <c r="AO126" s="476">
        <f t="shared" si="192"/>
        <v>0</v>
      </c>
      <c r="AP126" s="476">
        <f t="shared" si="193"/>
        <v>0</v>
      </c>
      <c r="AQ126" s="476">
        <f t="shared" si="194"/>
        <v>0</v>
      </c>
      <c r="AR126" s="476">
        <f t="shared" si="195"/>
        <v>0</v>
      </c>
      <c r="AS126" s="476">
        <f t="shared" si="196"/>
        <v>0</v>
      </c>
      <c r="AT126" s="476">
        <f t="shared" si="197"/>
        <v>0</v>
      </c>
      <c r="AU126" s="476">
        <f t="shared" si="198"/>
        <v>0</v>
      </c>
      <c r="AV126" s="476">
        <f t="shared" si="199"/>
        <v>0</v>
      </c>
      <c r="AW126" s="476">
        <f t="shared" si="200"/>
        <v>0</v>
      </c>
      <c r="AX126" s="476">
        <f t="shared" si="201"/>
        <v>0</v>
      </c>
      <c r="AY126" s="476">
        <f t="shared" si="202"/>
        <v>0</v>
      </c>
      <c r="AZ126" s="476">
        <f t="shared" si="203"/>
        <v>0</v>
      </c>
      <c r="BA126" s="476">
        <f t="shared" si="204"/>
        <v>0</v>
      </c>
      <c r="BB126" s="476">
        <f t="shared" si="205"/>
        <v>0</v>
      </c>
      <c r="BC126" s="476">
        <f t="shared" si="206"/>
        <v>0</v>
      </c>
      <c r="BD126" s="476">
        <f t="shared" si="207"/>
        <v>0</v>
      </c>
      <c r="BE126" s="476">
        <f t="shared" si="208"/>
        <v>0</v>
      </c>
      <c r="BF126" s="476">
        <f t="shared" si="209"/>
        <v>0</v>
      </c>
      <c r="BG126" s="476">
        <f t="shared" si="210"/>
        <v>0</v>
      </c>
    </row>
    <row r="127" spans="1:59" ht="16.5" customHeight="1">
      <c r="A127" s="583" t="s">
        <v>785</v>
      </c>
      <c r="B127" s="584" t="s">
        <v>1639</v>
      </c>
      <c r="C127" s="584" t="s">
        <v>171</v>
      </c>
      <c r="D127" s="413" t="s">
        <v>1051</v>
      </c>
      <c r="E127" s="412" t="s">
        <v>637</v>
      </c>
      <c r="F127" s="413" t="s">
        <v>638</v>
      </c>
      <c r="G127" s="412" t="s">
        <v>1126</v>
      </c>
      <c r="H127" s="412" t="s">
        <v>974</v>
      </c>
      <c r="I127" s="477">
        <v>77185</v>
      </c>
      <c r="J127" s="477">
        <v>958595</v>
      </c>
      <c r="K127" s="477">
        <v>0</v>
      </c>
      <c r="L127" s="477">
        <v>7068</v>
      </c>
      <c r="M127" s="477">
        <f t="shared" si="127"/>
        <v>77185</v>
      </c>
      <c r="N127" s="477">
        <f t="shared" si="128"/>
        <v>965663</v>
      </c>
      <c r="O127" s="477"/>
      <c r="P127" s="477"/>
      <c r="Q127" s="477">
        <f t="shared" si="129"/>
        <v>77185</v>
      </c>
      <c r="R127" s="477">
        <f t="shared" si="130"/>
        <v>965663</v>
      </c>
      <c r="S127" s="477">
        <f t="shared" si="131"/>
        <v>-888478</v>
      </c>
      <c r="V127" s="476">
        <f t="shared" si="173"/>
        <v>77185</v>
      </c>
      <c r="W127" s="476">
        <f t="shared" si="174"/>
        <v>965663</v>
      </c>
      <c r="X127" s="476">
        <f t="shared" si="175"/>
        <v>0</v>
      </c>
      <c r="Y127" s="476">
        <f t="shared" si="176"/>
        <v>0</v>
      </c>
      <c r="Z127" s="476">
        <f t="shared" si="177"/>
        <v>0</v>
      </c>
      <c r="AA127" s="476">
        <f t="shared" si="178"/>
        <v>0</v>
      </c>
      <c r="AB127" s="476">
        <f t="shared" si="179"/>
        <v>0</v>
      </c>
      <c r="AC127" s="476">
        <f t="shared" si="180"/>
        <v>0</v>
      </c>
      <c r="AD127" s="476">
        <f t="shared" si="181"/>
        <v>0</v>
      </c>
      <c r="AE127" s="476">
        <f t="shared" si="182"/>
        <v>0</v>
      </c>
      <c r="AF127" s="476">
        <f t="shared" si="183"/>
        <v>0</v>
      </c>
      <c r="AG127" s="476">
        <f t="shared" si="184"/>
        <v>0</v>
      </c>
      <c r="AH127" s="476">
        <f t="shared" si="185"/>
        <v>0</v>
      </c>
      <c r="AI127" s="476">
        <f t="shared" si="186"/>
        <v>0</v>
      </c>
      <c r="AJ127" s="476">
        <f t="shared" si="187"/>
        <v>0</v>
      </c>
      <c r="AK127" s="476">
        <f t="shared" si="188"/>
        <v>0</v>
      </c>
      <c r="AL127" s="476">
        <f t="shared" si="189"/>
        <v>0</v>
      </c>
      <c r="AM127" s="476">
        <f t="shared" si="190"/>
        <v>0</v>
      </c>
      <c r="AN127" s="476">
        <f t="shared" si="191"/>
        <v>0</v>
      </c>
      <c r="AO127" s="476">
        <f t="shared" si="192"/>
        <v>0</v>
      </c>
      <c r="AP127" s="476">
        <f t="shared" si="193"/>
        <v>0</v>
      </c>
      <c r="AQ127" s="476">
        <f t="shared" si="194"/>
        <v>0</v>
      </c>
      <c r="AR127" s="476">
        <f t="shared" si="195"/>
        <v>0</v>
      </c>
      <c r="AS127" s="476">
        <f t="shared" si="196"/>
        <v>0</v>
      </c>
      <c r="AT127" s="476">
        <f t="shared" si="197"/>
        <v>0</v>
      </c>
      <c r="AU127" s="476">
        <f t="shared" si="198"/>
        <v>0</v>
      </c>
      <c r="AV127" s="476">
        <f t="shared" si="199"/>
        <v>0</v>
      </c>
      <c r="AW127" s="476">
        <f t="shared" si="200"/>
        <v>0</v>
      </c>
      <c r="AX127" s="476">
        <f t="shared" si="201"/>
        <v>0</v>
      </c>
      <c r="AY127" s="476">
        <f t="shared" si="202"/>
        <v>0</v>
      </c>
      <c r="AZ127" s="476">
        <f t="shared" si="203"/>
        <v>0</v>
      </c>
      <c r="BA127" s="476">
        <f t="shared" si="204"/>
        <v>0</v>
      </c>
      <c r="BB127" s="476">
        <f t="shared" si="205"/>
        <v>0</v>
      </c>
      <c r="BC127" s="476">
        <f t="shared" si="206"/>
        <v>0</v>
      </c>
      <c r="BD127" s="476">
        <f t="shared" si="207"/>
        <v>0</v>
      </c>
      <c r="BE127" s="476">
        <f t="shared" si="208"/>
        <v>0</v>
      </c>
      <c r="BF127" s="476">
        <f t="shared" si="209"/>
        <v>0</v>
      </c>
      <c r="BG127" s="476">
        <f t="shared" si="210"/>
        <v>0</v>
      </c>
    </row>
    <row r="128" spans="1:59" ht="16.5" customHeight="1">
      <c r="A128" s="583" t="s">
        <v>786</v>
      </c>
      <c r="B128" s="584" t="s">
        <v>1127</v>
      </c>
      <c r="C128" s="584" t="s">
        <v>1748</v>
      </c>
      <c r="D128" s="413" t="s">
        <v>1051</v>
      </c>
      <c r="E128" s="412" t="s">
        <v>637</v>
      </c>
      <c r="F128" s="413" t="s">
        <v>638</v>
      </c>
      <c r="G128" s="412" t="s">
        <v>1128</v>
      </c>
      <c r="H128" s="412" t="s">
        <v>1275</v>
      </c>
      <c r="I128" s="477">
        <v>170000</v>
      </c>
      <c r="J128" s="477">
        <v>170000</v>
      </c>
      <c r="K128" s="477"/>
      <c r="L128" s="477"/>
      <c r="M128" s="477">
        <f t="shared" si="127"/>
        <v>170000</v>
      </c>
      <c r="N128" s="477">
        <f t="shared" si="128"/>
        <v>170000</v>
      </c>
      <c r="O128" s="477"/>
      <c r="P128" s="477"/>
      <c r="Q128" s="477">
        <f t="shared" si="129"/>
        <v>170000</v>
      </c>
      <c r="R128" s="477">
        <f t="shared" si="130"/>
        <v>170000</v>
      </c>
      <c r="S128" s="477">
        <f t="shared" si="131"/>
        <v>0</v>
      </c>
      <c r="V128" s="476">
        <f t="shared" si="173"/>
        <v>0</v>
      </c>
      <c r="W128" s="476">
        <f t="shared" si="174"/>
        <v>0</v>
      </c>
      <c r="X128" s="476">
        <f t="shared" si="175"/>
        <v>0</v>
      </c>
      <c r="Y128" s="476">
        <f t="shared" si="176"/>
        <v>0</v>
      </c>
      <c r="Z128" s="476">
        <f t="shared" si="177"/>
        <v>0</v>
      </c>
      <c r="AA128" s="476">
        <f t="shared" si="178"/>
        <v>0</v>
      </c>
      <c r="AB128" s="476">
        <f t="shared" si="179"/>
        <v>0</v>
      </c>
      <c r="AC128" s="476">
        <f t="shared" si="180"/>
        <v>0</v>
      </c>
      <c r="AD128" s="476">
        <f t="shared" si="181"/>
        <v>0</v>
      </c>
      <c r="AE128" s="476">
        <f t="shared" si="182"/>
        <v>0</v>
      </c>
      <c r="AF128" s="476">
        <f t="shared" si="183"/>
        <v>0</v>
      </c>
      <c r="AG128" s="476">
        <f t="shared" si="184"/>
        <v>0</v>
      </c>
      <c r="AH128" s="476">
        <f t="shared" si="185"/>
        <v>0</v>
      </c>
      <c r="AI128" s="476">
        <f t="shared" si="186"/>
        <v>0</v>
      </c>
      <c r="AJ128" s="476">
        <f t="shared" si="187"/>
        <v>0</v>
      </c>
      <c r="AK128" s="476">
        <f t="shared" si="188"/>
        <v>0</v>
      </c>
      <c r="AL128" s="476">
        <f t="shared" si="189"/>
        <v>0</v>
      </c>
      <c r="AM128" s="476">
        <f t="shared" si="190"/>
        <v>0</v>
      </c>
      <c r="AN128" s="476">
        <f t="shared" si="191"/>
        <v>0</v>
      </c>
      <c r="AO128" s="476">
        <f t="shared" si="192"/>
        <v>0</v>
      </c>
      <c r="AP128" s="476">
        <f t="shared" si="193"/>
        <v>0</v>
      </c>
      <c r="AQ128" s="476">
        <f t="shared" si="194"/>
        <v>0</v>
      </c>
      <c r="AR128" s="476">
        <f t="shared" si="195"/>
        <v>0</v>
      </c>
      <c r="AS128" s="476">
        <f t="shared" si="196"/>
        <v>0</v>
      </c>
      <c r="AT128" s="476">
        <f t="shared" si="197"/>
        <v>0</v>
      </c>
      <c r="AU128" s="476">
        <f t="shared" si="198"/>
        <v>0</v>
      </c>
      <c r="AV128" s="476">
        <f t="shared" si="199"/>
        <v>0</v>
      </c>
      <c r="AW128" s="476">
        <f t="shared" si="200"/>
        <v>0</v>
      </c>
      <c r="AX128" s="476">
        <f t="shared" si="201"/>
        <v>0</v>
      </c>
      <c r="AY128" s="476">
        <f t="shared" si="202"/>
        <v>0</v>
      </c>
      <c r="AZ128" s="476">
        <f t="shared" si="203"/>
        <v>0</v>
      </c>
      <c r="BA128" s="476">
        <f t="shared" si="204"/>
        <v>0</v>
      </c>
      <c r="BB128" s="476">
        <f t="shared" si="205"/>
        <v>0</v>
      </c>
      <c r="BC128" s="476">
        <f t="shared" si="206"/>
        <v>0</v>
      </c>
      <c r="BD128" s="476">
        <f t="shared" si="207"/>
        <v>0</v>
      </c>
      <c r="BE128" s="476">
        <f t="shared" si="208"/>
        <v>0</v>
      </c>
      <c r="BF128" s="476">
        <f t="shared" si="209"/>
        <v>0</v>
      </c>
      <c r="BG128" s="476">
        <f t="shared" si="210"/>
        <v>0</v>
      </c>
    </row>
    <row r="129" spans="1:59" ht="16.5" customHeight="1">
      <c r="A129" s="583" t="s">
        <v>786</v>
      </c>
      <c r="B129" s="584" t="s">
        <v>1640</v>
      </c>
      <c r="C129" s="584" t="s">
        <v>172</v>
      </c>
      <c r="D129" s="413" t="s">
        <v>1051</v>
      </c>
      <c r="E129" s="412" t="s">
        <v>637</v>
      </c>
      <c r="F129" s="412" t="s">
        <v>638</v>
      </c>
      <c r="G129" s="412" t="s">
        <v>1128</v>
      </c>
      <c r="H129" s="412" t="s">
        <v>974</v>
      </c>
      <c r="I129" s="477">
        <v>868377</v>
      </c>
      <c r="J129" s="477">
        <v>0</v>
      </c>
      <c r="K129" s="477">
        <v>0</v>
      </c>
      <c r="L129" s="477">
        <v>0</v>
      </c>
      <c r="M129" s="477">
        <f t="shared" si="127"/>
        <v>868377</v>
      </c>
      <c r="N129" s="477">
        <f t="shared" si="128"/>
        <v>0</v>
      </c>
      <c r="O129" s="477"/>
      <c r="P129" s="477"/>
      <c r="Q129" s="477">
        <f t="shared" si="129"/>
        <v>868377</v>
      </c>
      <c r="R129" s="477">
        <f t="shared" si="130"/>
        <v>0</v>
      </c>
      <c r="S129" s="477">
        <f t="shared" si="131"/>
        <v>868377</v>
      </c>
      <c r="U129" s="473"/>
      <c r="V129" s="476">
        <f t="shared" si="173"/>
        <v>868377</v>
      </c>
      <c r="W129" s="476">
        <f t="shared" si="174"/>
        <v>0</v>
      </c>
      <c r="X129" s="476">
        <f t="shared" si="175"/>
        <v>0</v>
      </c>
      <c r="Y129" s="476">
        <f t="shared" si="176"/>
        <v>0</v>
      </c>
      <c r="Z129" s="476">
        <f t="shared" si="177"/>
        <v>0</v>
      </c>
      <c r="AA129" s="476">
        <f t="shared" si="178"/>
        <v>0</v>
      </c>
      <c r="AB129" s="476">
        <f t="shared" si="179"/>
        <v>0</v>
      </c>
      <c r="AC129" s="476">
        <f t="shared" si="180"/>
        <v>0</v>
      </c>
      <c r="AD129" s="476">
        <f t="shared" si="181"/>
        <v>0</v>
      </c>
      <c r="AE129" s="476">
        <f t="shared" si="182"/>
        <v>0</v>
      </c>
      <c r="AF129" s="476">
        <f t="shared" si="183"/>
        <v>0</v>
      </c>
      <c r="AG129" s="476">
        <f t="shared" si="184"/>
        <v>0</v>
      </c>
      <c r="AH129" s="476">
        <f t="shared" si="185"/>
        <v>0</v>
      </c>
      <c r="AI129" s="476">
        <f t="shared" si="186"/>
        <v>0</v>
      </c>
      <c r="AJ129" s="476">
        <f t="shared" si="187"/>
        <v>0</v>
      </c>
      <c r="AK129" s="476">
        <f t="shared" si="188"/>
        <v>0</v>
      </c>
      <c r="AL129" s="476">
        <f t="shared" si="189"/>
        <v>0</v>
      </c>
      <c r="AM129" s="476">
        <f t="shared" si="190"/>
        <v>0</v>
      </c>
      <c r="AN129" s="476">
        <f t="shared" si="191"/>
        <v>0</v>
      </c>
      <c r="AO129" s="476">
        <f t="shared" si="192"/>
        <v>0</v>
      </c>
      <c r="AP129" s="476">
        <f t="shared" si="193"/>
        <v>0</v>
      </c>
      <c r="AQ129" s="476">
        <f t="shared" si="194"/>
        <v>0</v>
      </c>
      <c r="AR129" s="476">
        <f t="shared" si="195"/>
        <v>0</v>
      </c>
      <c r="AS129" s="476">
        <f t="shared" si="196"/>
        <v>0</v>
      </c>
      <c r="AT129" s="476">
        <f t="shared" si="197"/>
        <v>0</v>
      </c>
      <c r="AU129" s="476">
        <f t="shared" si="198"/>
        <v>0</v>
      </c>
      <c r="AV129" s="476">
        <f t="shared" si="199"/>
        <v>0</v>
      </c>
      <c r="AW129" s="476">
        <f t="shared" si="200"/>
        <v>0</v>
      </c>
      <c r="AX129" s="476">
        <f t="shared" si="201"/>
        <v>0</v>
      </c>
      <c r="AY129" s="476">
        <f t="shared" si="202"/>
        <v>0</v>
      </c>
      <c r="AZ129" s="476">
        <f t="shared" si="203"/>
        <v>0</v>
      </c>
      <c r="BA129" s="476">
        <f t="shared" si="204"/>
        <v>0</v>
      </c>
      <c r="BB129" s="476">
        <f t="shared" si="205"/>
        <v>0</v>
      </c>
      <c r="BC129" s="476">
        <f t="shared" si="206"/>
        <v>0</v>
      </c>
      <c r="BD129" s="476">
        <f t="shared" si="207"/>
        <v>0</v>
      </c>
      <c r="BE129" s="476">
        <f t="shared" si="208"/>
        <v>0</v>
      </c>
      <c r="BF129" s="476">
        <f t="shared" si="209"/>
        <v>0</v>
      </c>
      <c r="BG129" s="476">
        <f t="shared" si="210"/>
        <v>0</v>
      </c>
    </row>
    <row r="130" spans="1:59" ht="16.5" customHeight="1">
      <c r="A130" s="583" t="s">
        <v>787</v>
      </c>
      <c r="B130" s="584" t="s">
        <v>1641</v>
      </c>
      <c r="C130" s="584" t="s">
        <v>173</v>
      </c>
      <c r="D130" s="413" t="s">
        <v>1051</v>
      </c>
      <c r="E130" s="412" t="s">
        <v>637</v>
      </c>
      <c r="F130" s="412" t="s">
        <v>638</v>
      </c>
      <c r="G130" s="412" t="s">
        <v>1129</v>
      </c>
      <c r="H130" s="412" t="s">
        <v>974</v>
      </c>
      <c r="I130" s="477">
        <v>45012</v>
      </c>
      <c r="J130" s="477">
        <v>882613</v>
      </c>
      <c r="K130" s="477">
        <v>0</v>
      </c>
      <c r="L130" s="477">
        <v>9680</v>
      </c>
      <c r="M130" s="477">
        <f t="shared" si="127"/>
        <v>45012</v>
      </c>
      <c r="N130" s="477">
        <f t="shared" si="128"/>
        <v>892293</v>
      </c>
      <c r="O130" s="477"/>
      <c r="P130" s="477"/>
      <c r="Q130" s="477">
        <f t="shared" si="129"/>
        <v>45012</v>
      </c>
      <c r="R130" s="477">
        <f t="shared" si="130"/>
        <v>892293</v>
      </c>
      <c r="S130" s="477">
        <f t="shared" si="131"/>
        <v>-847281</v>
      </c>
      <c r="U130" s="473"/>
      <c r="V130" s="476">
        <f t="shared" si="173"/>
        <v>45012</v>
      </c>
      <c r="W130" s="476">
        <f t="shared" si="174"/>
        <v>892293</v>
      </c>
      <c r="X130" s="476">
        <f t="shared" si="175"/>
        <v>0</v>
      </c>
      <c r="Y130" s="476">
        <f t="shared" si="176"/>
        <v>0</v>
      </c>
      <c r="Z130" s="476">
        <f t="shared" si="177"/>
        <v>0</v>
      </c>
      <c r="AA130" s="476">
        <f t="shared" si="178"/>
        <v>0</v>
      </c>
      <c r="AB130" s="476">
        <f t="shared" si="179"/>
        <v>0</v>
      </c>
      <c r="AC130" s="476">
        <f t="shared" si="180"/>
        <v>0</v>
      </c>
      <c r="AD130" s="476">
        <f t="shared" si="181"/>
        <v>0</v>
      </c>
      <c r="AE130" s="476">
        <f t="shared" si="182"/>
        <v>0</v>
      </c>
      <c r="AF130" s="476">
        <f t="shared" si="183"/>
        <v>0</v>
      </c>
      <c r="AG130" s="476">
        <f t="shared" si="184"/>
        <v>0</v>
      </c>
      <c r="AH130" s="476">
        <f t="shared" si="185"/>
        <v>0</v>
      </c>
      <c r="AI130" s="476">
        <f t="shared" si="186"/>
        <v>0</v>
      </c>
      <c r="AJ130" s="476">
        <f t="shared" si="187"/>
        <v>0</v>
      </c>
      <c r="AK130" s="476">
        <f t="shared" si="188"/>
        <v>0</v>
      </c>
      <c r="AL130" s="476">
        <f t="shared" si="189"/>
        <v>0</v>
      </c>
      <c r="AM130" s="476">
        <f t="shared" si="190"/>
        <v>0</v>
      </c>
      <c r="AN130" s="476">
        <f t="shared" si="191"/>
        <v>0</v>
      </c>
      <c r="AO130" s="476">
        <f t="shared" si="192"/>
        <v>0</v>
      </c>
      <c r="AP130" s="476">
        <f t="shared" si="193"/>
        <v>0</v>
      </c>
      <c r="AQ130" s="476">
        <f t="shared" si="194"/>
        <v>0</v>
      </c>
      <c r="AR130" s="476">
        <f t="shared" si="195"/>
        <v>0</v>
      </c>
      <c r="AS130" s="476">
        <f t="shared" si="196"/>
        <v>0</v>
      </c>
      <c r="AT130" s="476">
        <f t="shared" si="197"/>
        <v>0</v>
      </c>
      <c r="AU130" s="476">
        <f t="shared" si="198"/>
        <v>0</v>
      </c>
      <c r="AV130" s="476">
        <f t="shared" si="199"/>
        <v>0</v>
      </c>
      <c r="AW130" s="476">
        <f t="shared" si="200"/>
        <v>0</v>
      </c>
      <c r="AX130" s="476">
        <f t="shared" si="201"/>
        <v>0</v>
      </c>
      <c r="AY130" s="476">
        <f t="shared" si="202"/>
        <v>0</v>
      </c>
      <c r="AZ130" s="476">
        <f t="shared" si="203"/>
        <v>0</v>
      </c>
      <c r="BA130" s="476">
        <f t="shared" si="204"/>
        <v>0</v>
      </c>
      <c r="BB130" s="476">
        <f t="shared" si="205"/>
        <v>0</v>
      </c>
      <c r="BC130" s="476">
        <f t="shared" si="206"/>
        <v>0</v>
      </c>
      <c r="BD130" s="476">
        <f t="shared" si="207"/>
        <v>0</v>
      </c>
      <c r="BE130" s="476">
        <f t="shared" si="208"/>
        <v>0</v>
      </c>
      <c r="BF130" s="476">
        <f t="shared" si="209"/>
        <v>0</v>
      </c>
      <c r="BG130" s="476">
        <f t="shared" si="210"/>
        <v>0</v>
      </c>
    </row>
    <row r="131" spans="1:59" ht="16.5" customHeight="1">
      <c r="A131" s="583" t="s">
        <v>788</v>
      </c>
      <c r="B131" s="584" t="s">
        <v>1642</v>
      </c>
      <c r="C131" s="584" t="s">
        <v>174</v>
      </c>
      <c r="D131" s="413" t="s">
        <v>1051</v>
      </c>
      <c r="E131" s="412" t="s">
        <v>637</v>
      </c>
      <c r="F131" s="413" t="s">
        <v>638</v>
      </c>
      <c r="G131" s="412" t="s">
        <v>1130</v>
      </c>
      <c r="H131" s="412" t="s">
        <v>974</v>
      </c>
      <c r="I131" s="477">
        <v>2903533</v>
      </c>
      <c r="J131" s="477">
        <v>0</v>
      </c>
      <c r="K131" s="477">
        <v>0</v>
      </c>
      <c r="L131" s="477">
        <v>0</v>
      </c>
      <c r="M131" s="477">
        <f t="shared" si="127"/>
        <v>2903533</v>
      </c>
      <c r="N131" s="477">
        <f t="shared" si="128"/>
        <v>0</v>
      </c>
      <c r="O131" s="477">
        <f>'Adjustments 2025'!E28</f>
        <v>0</v>
      </c>
      <c r="P131" s="477"/>
      <c r="Q131" s="477">
        <f t="shared" si="129"/>
        <v>2903533</v>
      </c>
      <c r="R131" s="477">
        <f t="shared" si="130"/>
        <v>0</v>
      </c>
      <c r="S131" s="477">
        <f t="shared" si="131"/>
        <v>2903533</v>
      </c>
      <c r="V131" s="476">
        <f t="shared" si="173"/>
        <v>2903533</v>
      </c>
      <c r="W131" s="476">
        <f t="shared" si="174"/>
        <v>0</v>
      </c>
      <c r="X131" s="476">
        <f t="shared" si="175"/>
        <v>0</v>
      </c>
      <c r="Y131" s="476">
        <f t="shared" si="176"/>
        <v>0</v>
      </c>
      <c r="Z131" s="476">
        <f t="shared" si="177"/>
        <v>0</v>
      </c>
      <c r="AA131" s="476">
        <f t="shared" si="178"/>
        <v>0</v>
      </c>
      <c r="AB131" s="476">
        <f t="shared" si="179"/>
        <v>0</v>
      </c>
      <c r="AC131" s="476">
        <f t="shared" si="180"/>
        <v>0</v>
      </c>
      <c r="AD131" s="476">
        <f t="shared" si="181"/>
        <v>0</v>
      </c>
      <c r="AE131" s="476">
        <f t="shared" si="182"/>
        <v>0</v>
      </c>
      <c r="AF131" s="476">
        <f t="shared" si="183"/>
        <v>0</v>
      </c>
      <c r="AG131" s="476">
        <f t="shared" si="184"/>
        <v>0</v>
      </c>
      <c r="AH131" s="476">
        <f t="shared" si="185"/>
        <v>0</v>
      </c>
      <c r="AI131" s="476">
        <f t="shared" si="186"/>
        <v>0</v>
      </c>
      <c r="AJ131" s="476">
        <f t="shared" si="187"/>
        <v>0</v>
      </c>
      <c r="AK131" s="476">
        <f t="shared" si="188"/>
        <v>0</v>
      </c>
      <c r="AL131" s="476">
        <f t="shared" si="189"/>
        <v>0</v>
      </c>
      <c r="AM131" s="476">
        <f t="shared" si="190"/>
        <v>0</v>
      </c>
      <c r="AN131" s="476">
        <f t="shared" si="191"/>
        <v>0</v>
      </c>
      <c r="AO131" s="476">
        <f t="shared" si="192"/>
        <v>0</v>
      </c>
      <c r="AP131" s="476">
        <f t="shared" si="193"/>
        <v>0</v>
      </c>
      <c r="AQ131" s="476">
        <f t="shared" si="194"/>
        <v>0</v>
      </c>
      <c r="AR131" s="476">
        <f t="shared" si="195"/>
        <v>0</v>
      </c>
      <c r="AS131" s="476">
        <f t="shared" si="196"/>
        <v>0</v>
      </c>
      <c r="AT131" s="476">
        <f t="shared" si="197"/>
        <v>0</v>
      </c>
      <c r="AU131" s="476">
        <f t="shared" si="198"/>
        <v>0</v>
      </c>
      <c r="AV131" s="476">
        <f t="shared" si="199"/>
        <v>0</v>
      </c>
      <c r="AW131" s="476">
        <f t="shared" si="200"/>
        <v>0</v>
      </c>
      <c r="AX131" s="476">
        <f t="shared" si="201"/>
        <v>0</v>
      </c>
      <c r="AY131" s="476">
        <f t="shared" si="202"/>
        <v>0</v>
      </c>
      <c r="AZ131" s="476">
        <f t="shared" si="203"/>
        <v>0</v>
      </c>
      <c r="BA131" s="476">
        <f t="shared" si="204"/>
        <v>0</v>
      </c>
      <c r="BB131" s="476">
        <f t="shared" si="205"/>
        <v>0</v>
      </c>
      <c r="BC131" s="476">
        <f t="shared" si="206"/>
        <v>0</v>
      </c>
      <c r="BD131" s="476">
        <f t="shared" si="207"/>
        <v>0</v>
      </c>
      <c r="BE131" s="476">
        <f t="shared" si="208"/>
        <v>0</v>
      </c>
      <c r="BF131" s="476">
        <f t="shared" si="209"/>
        <v>0</v>
      </c>
      <c r="BG131" s="476">
        <f t="shared" si="210"/>
        <v>0</v>
      </c>
    </row>
    <row r="132" spans="1:59" ht="16.5" customHeight="1">
      <c r="A132" s="583" t="s">
        <v>789</v>
      </c>
      <c r="B132" s="584" t="s">
        <v>1643</v>
      </c>
      <c r="C132" s="584" t="s">
        <v>175</v>
      </c>
      <c r="D132" s="413" t="s">
        <v>1051</v>
      </c>
      <c r="E132" s="412" t="s">
        <v>637</v>
      </c>
      <c r="F132" s="413" t="s">
        <v>638</v>
      </c>
      <c r="G132" s="412" t="s">
        <v>1131</v>
      </c>
      <c r="H132" s="412" t="s">
        <v>974</v>
      </c>
      <c r="I132" s="477">
        <v>5854</v>
      </c>
      <c r="J132" s="477">
        <v>2909388</v>
      </c>
      <c r="K132" s="477">
        <v>0</v>
      </c>
      <c r="L132" s="477">
        <v>0</v>
      </c>
      <c r="M132" s="477">
        <f t="shared" si="127"/>
        <v>5854</v>
      </c>
      <c r="N132" s="477">
        <f t="shared" si="128"/>
        <v>2909388</v>
      </c>
      <c r="O132" s="477"/>
      <c r="P132" s="477">
        <f>'Adjustments 2025'!F32</f>
        <v>0</v>
      </c>
      <c r="Q132" s="477">
        <f t="shared" si="129"/>
        <v>5854</v>
      </c>
      <c r="R132" s="477">
        <f t="shared" si="130"/>
        <v>2909388</v>
      </c>
      <c r="S132" s="477">
        <f t="shared" si="131"/>
        <v>-2903534</v>
      </c>
      <c r="V132" s="476">
        <f t="shared" si="173"/>
        <v>5854</v>
      </c>
      <c r="W132" s="476">
        <f t="shared" si="174"/>
        <v>2909388</v>
      </c>
      <c r="X132" s="476">
        <f t="shared" si="175"/>
        <v>0</v>
      </c>
      <c r="Y132" s="476">
        <f t="shared" si="176"/>
        <v>0</v>
      </c>
      <c r="Z132" s="476">
        <f t="shared" si="177"/>
        <v>0</v>
      </c>
      <c r="AA132" s="476">
        <f t="shared" si="178"/>
        <v>0</v>
      </c>
      <c r="AB132" s="476">
        <f t="shared" si="179"/>
        <v>0</v>
      </c>
      <c r="AC132" s="476">
        <f t="shared" si="180"/>
        <v>0</v>
      </c>
      <c r="AD132" s="476">
        <f t="shared" si="181"/>
        <v>0</v>
      </c>
      <c r="AE132" s="476">
        <f t="shared" si="182"/>
        <v>0</v>
      </c>
      <c r="AF132" s="476">
        <f t="shared" si="183"/>
        <v>0</v>
      </c>
      <c r="AG132" s="476">
        <f t="shared" si="184"/>
        <v>0</v>
      </c>
      <c r="AH132" s="476">
        <f t="shared" si="185"/>
        <v>0</v>
      </c>
      <c r="AI132" s="476">
        <f t="shared" si="186"/>
        <v>0</v>
      </c>
      <c r="AJ132" s="476">
        <f t="shared" si="187"/>
        <v>0</v>
      </c>
      <c r="AK132" s="476">
        <f t="shared" si="188"/>
        <v>0</v>
      </c>
      <c r="AL132" s="476">
        <f t="shared" si="189"/>
        <v>0</v>
      </c>
      <c r="AM132" s="476">
        <f t="shared" si="190"/>
        <v>0</v>
      </c>
      <c r="AN132" s="476">
        <f t="shared" si="191"/>
        <v>0</v>
      </c>
      <c r="AO132" s="476">
        <f t="shared" si="192"/>
        <v>0</v>
      </c>
      <c r="AP132" s="476">
        <f t="shared" si="193"/>
        <v>0</v>
      </c>
      <c r="AQ132" s="476">
        <f t="shared" si="194"/>
        <v>0</v>
      </c>
      <c r="AR132" s="476">
        <f t="shared" si="195"/>
        <v>0</v>
      </c>
      <c r="AS132" s="476">
        <f t="shared" si="196"/>
        <v>0</v>
      </c>
      <c r="AT132" s="476">
        <f t="shared" si="197"/>
        <v>0</v>
      </c>
      <c r="AU132" s="476">
        <f t="shared" si="198"/>
        <v>0</v>
      </c>
      <c r="AV132" s="476">
        <f t="shared" si="199"/>
        <v>0</v>
      </c>
      <c r="AW132" s="476">
        <f t="shared" si="200"/>
        <v>0</v>
      </c>
      <c r="AX132" s="476">
        <f t="shared" si="201"/>
        <v>0</v>
      </c>
      <c r="AY132" s="476">
        <f t="shared" si="202"/>
        <v>0</v>
      </c>
      <c r="AZ132" s="476">
        <f t="shared" si="203"/>
        <v>0</v>
      </c>
      <c r="BA132" s="476">
        <f t="shared" si="204"/>
        <v>0</v>
      </c>
      <c r="BB132" s="476">
        <f t="shared" si="205"/>
        <v>0</v>
      </c>
      <c r="BC132" s="476">
        <f t="shared" si="206"/>
        <v>0</v>
      </c>
      <c r="BD132" s="476">
        <f t="shared" si="207"/>
        <v>0</v>
      </c>
      <c r="BE132" s="476">
        <f t="shared" si="208"/>
        <v>0</v>
      </c>
      <c r="BF132" s="476">
        <f t="shared" si="209"/>
        <v>0</v>
      </c>
      <c r="BG132" s="476">
        <f t="shared" si="210"/>
        <v>0</v>
      </c>
    </row>
    <row r="133" spans="1:59" ht="16.5" customHeight="1">
      <c r="A133" s="583" t="s">
        <v>790</v>
      </c>
      <c r="B133" s="584" t="s">
        <v>1644</v>
      </c>
      <c r="C133" s="584" t="s">
        <v>176</v>
      </c>
      <c r="D133" s="413" t="s">
        <v>1051</v>
      </c>
      <c r="E133" s="412" t="s">
        <v>637</v>
      </c>
      <c r="F133" s="412" t="s">
        <v>639</v>
      </c>
      <c r="G133" s="412" t="s">
        <v>352</v>
      </c>
      <c r="H133" s="412" t="s">
        <v>974</v>
      </c>
      <c r="I133" s="477">
        <v>549421</v>
      </c>
      <c r="J133" s="477">
        <v>89325</v>
      </c>
      <c r="K133" s="477">
        <v>337290</v>
      </c>
      <c r="L133" s="477">
        <v>0</v>
      </c>
      <c r="M133" s="477">
        <f t="shared" si="127"/>
        <v>886711</v>
      </c>
      <c r="N133" s="477">
        <f t="shared" si="128"/>
        <v>89325</v>
      </c>
      <c r="O133" s="477"/>
      <c r="P133" s="477">
        <f>'Adjustments 2025'!F38+2907</f>
        <v>340197</v>
      </c>
      <c r="Q133" s="477">
        <f t="shared" si="129"/>
        <v>886711</v>
      </c>
      <c r="R133" s="477">
        <f t="shared" si="130"/>
        <v>429522</v>
      </c>
      <c r="S133" s="477">
        <f t="shared" si="131"/>
        <v>457189</v>
      </c>
      <c r="U133" s="473"/>
      <c r="V133" s="476">
        <f t="shared" si="173"/>
        <v>886711</v>
      </c>
      <c r="W133" s="476">
        <f t="shared" si="174"/>
        <v>429522</v>
      </c>
      <c r="X133" s="476">
        <f t="shared" si="175"/>
        <v>0</v>
      </c>
      <c r="Y133" s="476">
        <f t="shared" si="176"/>
        <v>0</v>
      </c>
      <c r="Z133" s="476">
        <f t="shared" si="177"/>
        <v>0</v>
      </c>
      <c r="AA133" s="476">
        <f t="shared" si="178"/>
        <v>0</v>
      </c>
      <c r="AB133" s="476">
        <f t="shared" si="179"/>
        <v>0</v>
      </c>
      <c r="AC133" s="476">
        <f t="shared" si="180"/>
        <v>0</v>
      </c>
      <c r="AD133" s="476">
        <f t="shared" si="181"/>
        <v>0</v>
      </c>
      <c r="AE133" s="476">
        <f t="shared" si="182"/>
        <v>0</v>
      </c>
      <c r="AF133" s="476">
        <f t="shared" si="183"/>
        <v>0</v>
      </c>
      <c r="AG133" s="476">
        <f t="shared" si="184"/>
        <v>0</v>
      </c>
      <c r="AH133" s="476">
        <f t="shared" si="185"/>
        <v>0</v>
      </c>
      <c r="AI133" s="476">
        <f t="shared" si="186"/>
        <v>0</v>
      </c>
      <c r="AJ133" s="476">
        <f t="shared" si="187"/>
        <v>0</v>
      </c>
      <c r="AK133" s="476">
        <f t="shared" si="188"/>
        <v>0</v>
      </c>
      <c r="AL133" s="476">
        <f t="shared" si="189"/>
        <v>0</v>
      </c>
      <c r="AM133" s="476">
        <f t="shared" si="190"/>
        <v>0</v>
      </c>
      <c r="AN133" s="476">
        <f t="shared" si="191"/>
        <v>0</v>
      </c>
      <c r="AO133" s="476">
        <f t="shared" si="192"/>
        <v>0</v>
      </c>
      <c r="AP133" s="476">
        <f t="shared" si="193"/>
        <v>0</v>
      </c>
      <c r="AQ133" s="476">
        <f t="shared" si="194"/>
        <v>0</v>
      </c>
      <c r="AR133" s="476">
        <f t="shared" si="195"/>
        <v>0</v>
      </c>
      <c r="AS133" s="476">
        <f t="shared" si="196"/>
        <v>0</v>
      </c>
      <c r="AT133" s="476">
        <f t="shared" si="197"/>
        <v>0</v>
      </c>
      <c r="AU133" s="476">
        <f t="shared" si="198"/>
        <v>0</v>
      </c>
      <c r="AV133" s="476">
        <f t="shared" si="199"/>
        <v>0</v>
      </c>
      <c r="AW133" s="476">
        <f t="shared" si="200"/>
        <v>0</v>
      </c>
      <c r="AX133" s="476">
        <f t="shared" si="201"/>
        <v>0</v>
      </c>
      <c r="AY133" s="476">
        <f t="shared" si="202"/>
        <v>0</v>
      </c>
      <c r="AZ133" s="476">
        <f t="shared" si="203"/>
        <v>0</v>
      </c>
      <c r="BA133" s="476">
        <f t="shared" si="204"/>
        <v>0</v>
      </c>
      <c r="BB133" s="476">
        <f t="shared" si="205"/>
        <v>0</v>
      </c>
      <c r="BC133" s="476">
        <f t="shared" si="206"/>
        <v>0</v>
      </c>
      <c r="BD133" s="476">
        <f t="shared" si="207"/>
        <v>0</v>
      </c>
      <c r="BE133" s="476">
        <f t="shared" si="208"/>
        <v>0</v>
      </c>
      <c r="BF133" s="476">
        <f t="shared" si="209"/>
        <v>0</v>
      </c>
      <c r="BG133" s="476">
        <f t="shared" si="210"/>
        <v>0</v>
      </c>
    </row>
    <row r="134" spans="1:59" ht="16.5" customHeight="1">
      <c r="A134" s="583" t="s">
        <v>791</v>
      </c>
      <c r="B134" s="584" t="s">
        <v>1645</v>
      </c>
      <c r="C134" s="584" t="s">
        <v>177</v>
      </c>
      <c r="D134" s="413" t="s">
        <v>1051</v>
      </c>
      <c r="E134" s="412" t="s">
        <v>637</v>
      </c>
      <c r="F134" s="412" t="s">
        <v>639</v>
      </c>
      <c r="G134" s="412" t="s">
        <v>1133</v>
      </c>
      <c r="H134" s="412" t="s">
        <v>974</v>
      </c>
      <c r="I134" s="477">
        <v>7487</v>
      </c>
      <c r="J134" s="477">
        <v>458860.66666666669</v>
      </c>
      <c r="K134" s="477">
        <v>0</v>
      </c>
      <c r="L134" s="477">
        <v>115326</v>
      </c>
      <c r="M134" s="477">
        <f t="shared" si="127"/>
        <v>7487</v>
      </c>
      <c r="N134" s="477">
        <f t="shared" si="128"/>
        <v>574186.66666666674</v>
      </c>
      <c r="O134" s="477">
        <f>'Adjustments 2025'!E34</f>
        <v>115326</v>
      </c>
      <c r="P134" s="477"/>
      <c r="Q134" s="477">
        <f t="shared" si="129"/>
        <v>122813</v>
      </c>
      <c r="R134" s="477">
        <f t="shared" si="130"/>
        <v>574186.66666666674</v>
      </c>
      <c r="S134" s="477">
        <f t="shared" si="131"/>
        <v>-451373.66666666674</v>
      </c>
      <c r="U134" s="473"/>
      <c r="V134" s="476">
        <f t="shared" si="173"/>
        <v>122813</v>
      </c>
      <c r="W134" s="476">
        <f t="shared" si="174"/>
        <v>574186.66666666674</v>
      </c>
      <c r="X134" s="476">
        <f t="shared" si="175"/>
        <v>0</v>
      </c>
      <c r="Y134" s="476">
        <f t="shared" si="176"/>
        <v>0</v>
      </c>
      <c r="Z134" s="476">
        <f t="shared" si="177"/>
        <v>0</v>
      </c>
      <c r="AA134" s="476">
        <f t="shared" si="178"/>
        <v>0</v>
      </c>
      <c r="AB134" s="476">
        <f t="shared" si="179"/>
        <v>0</v>
      </c>
      <c r="AC134" s="476">
        <f t="shared" si="180"/>
        <v>0</v>
      </c>
      <c r="AD134" s="476">
        <f t="shared" si="181"/>
        <v>0</v>
      </c>
      <c r="AE134" s="476">
        <f t="shared" si="182"/>
        <v>0</v>
      </c>
      <c r="AF134" s="476">
        <f t="shared" si="183"/>
        <v>0</v>
      </c>
      <c r="AG134" s="476">
        <f t="shared" si="184"/>
        <v>0</v>
      </c>
      <c r="AH134" s="476">
        <f t="shared" si="185"/>
        <v>0</v>
      </c>
      <c r="AI134" s="476">
        <f t="shared" si="186"/>
        <v>0</v>
      </c>
      <c r="AJ134" s="476">
        <f t="shared" si="187"/>
        <v>0</v>
      </c>
      <c r="AK134" s="476">
        <f t="shared" si="188"/>
        <v>0</v>
      </c>
      <c r="AL134" s="476">
        <f t="shared" si="189"/>
        <v>0</v>
      </c>
      <c r="AM134" s="476">
        <f t="shared" si="190"/>
        <v>0</v>
      </c>
      <c r="AN134" s="476">
        <f t="shared" si="191"/>
        <v>0</v>
      </c>
      <c r="AO134" s="476">
        <f t="shared" si="192"/>
        <v>0</v>
      </c>
      <c r="AP134" s="476">
        <f t="shared" si="193"/>
        <v>0</v>
      </c>
      <c r="AQ134" s="476">
        <f t="shared" si="194"/>
        <v>0</v>
      </c>
      <c r="AR134" s="476">
        <f t="shared" si="195"/>
        <v>0</v>
      </c>
      <c r="AS134" s="476">
        <f t="shared" si="196"/>
        <v>0</v>
      </c>
      <c r="AT134" s="476">
        <f t="shared" si="197"/>
        <v>0</v>
      </c>
      <c r="AU134" s="476">
        <f t="shared" si="198"/>
        <v>0</v>
      </c>
      <c r="AV134" s="476">
        <f t="shared" si="199"/>
        <v>0</v>
      </c>
      <c r="AW134" s="476">
        <f t="shared" si="200"/>
        <v>0</v>
      </c>
      <c r="AX134" s="476">
        <f t="shared" si="201"/>
        <v>0</v>
      </c>
      <c r="AY134" s="476">
        <f t="shared" si="202"/>
        <v>0</v>
      </c>
      <c r="AZ134" s="476">
        <f t="shared" si="203"/>
        <v>0</v>
      </c>
      <c r="BA134" s="476">
        <f t="shared" si="204"/>
        <v>0</v>
      </c>
      <c r="BB134" s="476">
        <f t="shared" si="205"/>
        <v>0</v>
      </c>
      <c r="BC134" s="476">
        <f t="shared" si="206"/>
        <v>0</v>
      </c>
      <c r="BD134" s="476">
        <f t="shared" si="207"/>
        <v>0</v>
      </c>
      <c r="BE134" s="476">
        <f t="shared" si="208"/>
        <v>0</v>
      </c>
      <c r="BF134" s="476">
        <f t="shared" si="209"/>
        <v>0</v>
      </c>
      <c r="BG134" s="476">
        <f t="shared" si="210"/>
        <v>0</v>
      </c>
    </row>
    <row r="135" spans="1:59" ht="16.5" customHeight="1">
      <c r="A135" s="583" t="s">
        <v>791</v>
      </c>
      <c r="B135" s="584" t="s">
        <v>1645</v>
      </c>
      <c r="C135" s="584" t="s">
        <v>1132</v>
      </c>
      <c r="D135" s="413" t="s">
        <v>1051</v>
      </c>
      <c r="E135" s="412" t="s">
        <v>637</v>
      </c>
      <c r="F135" s="412" t="s">
        <v>639</v>
      </c>
      <c r="G135" s="412" t="s">
        <v>1133</v>
      </c>
      <c r="H135" s="412" t="s">
        <v>1019</v>
      </c>
      <c r="I135" s="477">
        <v>0</v>
      </c>
      <c r="J135" s="477">
        <v>0</v>
      </c>
      <c r="K135" s="477">
        <v>0</v>
      </c>
      <c r="L135" s="477">
        <v>0</v>
      </c>
      <c r="M135" s="477">
        <f t="shared" si="127"/>
        <v>0</v>
      </c>
      <c r="N135" s="477">
        <f t="shared" si="128"/>
        <v>0</v>
      </c>
      <c r="O135" s="477"/>
      <c r="P135" s="477"/>
      <c r="Q135" s="477">
        <f t="shared" si="129"/>
        <v>0</v>
      </c>
      <c r="R135" s="477">
        <f t="shared" si="130"/>
        <v>0</v>
      </c>
      <c r="S135" s="477">
        <f t="shared" si="131"/>
        <v>0</v>
      </c>
      <c r="U135" s="473"/>
      <c r="V135" s="476">
        <f t="shared" si="173"/>
        <v>0</v>
      </c>
      <c r="W135" s="476">
        <f t="shared" si="174"/>
        <v>0</v>
      </c>
      <c r="X135" s="476">
        <f t="shared" si="175"/>
        <v>0</v>
      </c>
      <c r="Y135" s="476">
        <f t="shared" si="176"/>
        <v>0</v>
      </c>
      <c r="Z135" s="476">
        <f t="shared" si="177"/>
        <v>0</v>
      </c>
      <c r="AA135" s="476">
        <f t="shared" si="178"/>
        <v>0</v>
      </c>
      <c r="AB135" s="476">
        <f t="shared" si="179"/>
        <v>0</v>
      </c>
      <c r="AC135" s="476">
        <f t="shared" si="180"/>
        <v>0</v>
      </c>
      <c r="AD135" s="476">
        <f t="shared" si="181"/>
        <v>0</v>
      </c>
      <c r="AE135" s="476">
        <f t="shared" si="182"/>
        <v>0</v>
      </c>
      <c r="AF135" s="476">
        <f t="shared" si="183"/>
        <v>0</v>
      </c>
      <c r="AG135" s="476">
        <f t="shared" si="184"/>
        <v>0</v>
      </c>
      <c r="AH135" s="476">
        <f t="shared" si="185"/>
        <v>0</v>
      </c>
      <c r="AI135" s="476">
        <f t="shared" si="186"/>
        <v>0</v>
      </c>
      <c r="AJ135" s="476">
        <f t="shared" si="187"/>
        <v>0</v>
      </c>
      <c r="AK135" s="476">
        <f t="shared" si="188"/>
        <v>0</v>
      </c>
      <c r="AL135" s="476">
        <f t="shared" si="189"/>
        <v>0</v>
      </c>
      <c r="AM135" s="476">
        <f t="shared" si="190"/>
        <v>0</v>
      </c>
      <c r="AN135" s="476">
        <f t="shared" si="191"/>
        <v>0</v>
      </c>
      <c r="AO135" s="476">
        <f t="shared" si="192"/>
        <v>0</v>
      </c>
      <c r="AP135" s="476">
        <f t="shared" si="193"/>
        <v>0</v>
      </c>
      <c r="AQ135" s="476">
        <f t="shared" si="194"/>
        <v>0</v>
      </c>
      <c r="AR135" s="476">
        <f t="shared" si="195"/>
        <v>0</v>
      </c>
      <c r="AS135" s="476">
        <f t="shared" si="196"/>
        <v>0</v>
      </c>
      <c r="AT135" s="476">
        <f t="shared" si="197"/>
        <v>0</v>
      </c>
      <c r="AU135" s="476">
        <f t="shared" si="198"/>
        <v>0</v>
      </c>
      <c r="AV135" s="476">
        <f t="shared" si="199"/>
        <v>0</v>
      </c>
      <c r="AW135" s="476">
        <f t="shared" si="200"/>
        <v>0</v>
      </c>
      <c r="AX135" s="476">
        <f t="shared" si="201"/>
        <v>0</v>
      </c>
      <c r="AY135" s="476">
        <f t="shared" si="202"/>
        <v>0</v>
      </c>
      <c r="AZ135" s="476">
        <f t="shared" si="203"/>
        <v>0</v>
      </c>
      <c r="BA135" s="476">
        <f t="shared" si="204"/>
        <v>0</v>
      </c>
      <c r="BB135" s="476">
        <f t="shared" si="205"/>
        <v>0</v>
      </c>
      <c r="BC135" s="476">
        <f t="shared" si="206"/>
        <v>0</v>
      </c>
      <c r="BD135" s="476">
        <f t="shared" si="207"/>
        <v>0</v>
      </c>
      <c r="BE135" s="476">
        <f t="shared" si="208"/>
        <v>0</v>
      </c>
      <c r="BF135" s="476">
        <f t="shared" si="209"/>
        <v>0</v>
      </c>
      <c r="BG135" s="476">
        <f t="shared" si="210"/>
        <v>0</v>
      </c>
    </row>
    <row r="136" spans="1:59" ht="16.5" customHeight="1">
      <c r="A136" s="583" t="s">
        <v>792</v>
      </c>
      <c r="B136" s="584" t="s">
        <v>1646</v>
      </c>
      <c r="C136" s="584" t="s">
        <v>178</v>
      </c>
      <c r="D136" s="413" t="s">
        <v>1051</v>
      </c>
      <c r="E136" s="412" t="s">
        <v>637</v>
      </c>
      <c r="F136" s="412" t="s">
        <v>638</v>
      </c>
      <c r="G136" s="412" t="s">
        <v>354</v>
      </c>
      <c r="H136" s="412" t="s">
        <v>974</v>
      </c>
      <c r="I136" s="477">
        <v>2534605</v>
      </c>
      <c r="J136" s="477">
        <v>1426000</v>
      </c>
      <c r="K136" s="477">
        <v>0</v>
      </c>
      <c r="L136" s="477">
        <v>0</v>
      </c>
      <c r="M136" s="477">
        <f t="shared" si="127"/>
        <v>2534605</v>
      </c>
      <c r="N136" s="477">
        <f t="shared" si="128"/>
        <v>1426000</v>
      </c>
      <c r="O136" s="477"/>
      <c r="P136" s="477"/>
      <c r="Q136" s="477">
        <f t="shared" si="129"/>
        <v>2534605</v>
      </c>
      <c r="R136" s="477">
        <f t="shared" si="130"/>
        <v>1426000</v>
      </c>
      <c r="S136" s="477">
        <f t="shared" si="131"/>
        <v>1108605</v>
      </c>
      <c r="U136" s="473"/>
      <c r="V136" s="476">
        <f t="shared" si="173"/>
        <v>2534605</v>
      </c>
      <c r="W136" s="476">
        <f t="shared" si="174"/>
        <v>1426000</v>
      </c>
      <c r="X136" s="476">
        <f t="shared" si="175"/>
        <v>0</v>
      </c>
      <c r="Y136" s="476">
        <f t="shared" si="176"/>
        <v>0</v>
      </c>
      <c r="Z136" s="476">
        <f t="shared" si="177"/>
        <v>0</v>
      </c>
      <c r="AA136" s="476">
        <f t="shared" si="178"/>
        <v>0</v>
      </c>
      <c r="AB136" s="476">
        <f t="shared" si="179"/>
        <v>0</v>
      </c>
      <c r="AC136" s="476">
        <f t="shared" si="180"/>
        <v>0</v>
      </c>
      <c r="AD136" s="476">
        <f t="shared" si="181"/>
        <v>0</v>
      </c>
      <c r="AE136" s="476">
        <f t="shared" si="182"/>
        <v>0</v>
      </c>
      <c r="AF136" s="476">
        <f t="shared" si="183"/>
        <v>0</v>
      </c>
      <c r="AG136" s="476">
        <f t="shared" si="184"/>
        <v>0</v>
      </c>
      <c r="AH136" s="476">
        <f t="shared" si="185"/>
        <v>0</v>
      </c>
      <c r="AI136" s="476">
        <f t="shared" si="186"/>
        <v>0</v>
      </c>
      <c r="AJ136" s="476">
        <f t="shared" si="187"/>
        <v>0</v>
      </c>
      <c r="AK136" s="476">
        <f t="shared" si="188"/>
        <v>0</v>
      </c>
      <c r="AL136" s="476">
        <f t="shared" si="189"/>
        <v>0</v>
      </c>
      <c r="AM136" s="476">
        <f t="shared" si="190"/>
        <v>0</v>
      </c>
      <c r="AN136" s="476">
        <f t="shared" si="191"/>
        <v>0</v>
      </c>
      <c r="AO136" s="476">
        <f t="shared" si="192"/>
        <v>0</v>
      </c>
      <c r="AP136" s="476">
        <f t="shared" si="193"/>
        <v>0</v>
      </c>
      <c r="AQ136" s="476">
        <f t="shared" si="194"/>
        <v>0</v>
      </c>
      <c r="AR136" s="476">
        <f t="shared" si="195"/>
        <v>0</v>
      </c>
      <c r="AS136" s="476">
        <f t="shared" si="196"/>
        <v>0</v>
      </c>
      <c r="AT136" s="476">
        <f t="shared" si="197"/>
        <v>0</v>
      </c>
      <c r="AU136" s="476">
        <f t="shared" si="198"/>
        <v>0</v>
      </c>
      <c r="AV136" s="476">
        <f t="shared" si="199"/>
        <v>0</v>
      </c>
      <c r="AW136" s="476">
        <f t="shared" si="200"/>
        <v>0</v>
      </c>
      <c r="AX136" s="476">
        <f t="shared" si="201"/>
        <v>0</v>
      </c>
      <c r="AY136" s="476">
        <f t="shared" si="202"/>
        <v>0</v>
      </c>
      <c r="AZ136" s="476">
        <f t="shared" si="203"/>
        <v>0</v>
      </c>
      <c r="BA136" s="476">
        <f t="shared" si="204"/>
        <v>0</v>
      </c>
      <c r="BB136" s="476">
        <f t="shared" si="205"/>
        <v>0</v>
      </c>
      <c r="BC136" s="476">
        <f t="shared" si="206"/>
        <v>0</v>
      </c>
      <c r="BD136" s="476">
        <f t="shared" si="207"/>
        <v>0</v>
      </c>
      <c r="BE136" s="476">
        <f t="shared" si="208"/>
        <v>0</v>
      </c>
      <c r="BF136" s="476">
        <f t="shared" si="209"/>
        <v>0</v>
      </c>
      <c r="BG136" s="476">
        <f t="shared" si="210"/>
        <v>0</v>
      </c>
    </row>
    <row r="137" spans="1:59" ht="16.5" customHeight="1">
      <c r="A137" s="583" t="s">
        <v>793</v>
      </c>
      <c r="B137" s="584" t="s">
        <v>1647</v>
      </c>
      <c r="C137" s="584" t="s">
        <v>179</v>
      </c>
      <c r="D137" s="413" t="s">
        <v>1051</v>
      </c>
      <c r="E137" s="412" t="s">
        <v>637</v>
      </c>
      <c r="F137" s="412" t="s">
        <v>638</v>
      </c>
      <c r="G137" s="412" t="s">
        <v>355</v>
      </c>
      <c r="H137" s="412" t="s">
        <v>974</v>
      </c>
      <c r="I137" s="477">
        <v>1384994</v>
      </c>
      <c r="J137" s="477">
        <v>2493599</v>
      </c>
      <c r="K137" s="477">
        <v>0</v>
      </c>
      <c r="L137" s="477">
        <v>0</v>
      </c>
      <c r="M137" s="477">
        <f t="shared" ref="M137:M200" si="211">+I137+K137</f>
        <v>1384994</v>
      </c>
      <c r="N137" s="477">
        <f t="shared" ref="N137:N200" si="212">+J137+L137</f>
        <v>2493599</v>
      </c>
      <c r="O137" s="477"/>
      <c r="P137" s="477"/>
      <c r="Q137" s="477">
        <f t="shared" si="129"/>
        <v>1384994</v>
      </c>
      <c r="R137" s="477">
        <f t="shared" si="130"/>
        <v>2493599</v>
      </c>
      <c r="S137" s="477">
        <f t="shared" si="131"/>
        <v>-1108605</v>
      </c>
      <c r="U137" s="473"/>
      <c r="V137" s="476">
        <f t="shared" si="173"/>
        <v>1384994</v>
      </c>
      <c r="W137" s="476">
        <f t="shared" si="174"/>
        <v>2493599</v>
      </c>
      <c r="X137" s="476">
        <f t="shared" si="175"/>
        <v>0</v>
      </c>
      <c r="Y137" s="476">
        <f t="shared" si="176"/>
        <v>0</v>
      </c>
      <c r="Z137" s="476">
        <f t="shared" si="177"/>
        <v>0</v>
      </c>
      <c r="AA137" s="476">
        <f t="shared" si="178"/>
        <v>0</v>
      </c>
      <c r="AB137" s="476">
        <f t="shared" si="179"/>
        <v>0</v>
      </c>
      <c r="AC137" s="476">
        <f t="shared" si="180"/>
        <v>0</v>
      </c>
      <c r="AD137" s="476">
        <f t="shared" si="181"/>
        <v>0</v>
      </c>
      <c r="AE137" s="476">
        <f t="shared" si="182"/>
        <v>0</v>
      </c>
      <c r="AF137" s="476">
        <f t="shared" si="183"/>
        <v>0</v>
      </c>
      <c r="AG137" s="476">
        <f t="shared" si="184"/>
        <v>0</v>
      </c>
      <c r="AH137" s="476">
        <f t="shared" si="185"/>
        <v>0</v>
      </c>
      <c r="AI137" s="476">
        <f t="shared" si="186"/>
        <v>0</v>
      </c>
      <c r="AJ137" s="476">
        <f t="shared" si="187"/>
        <v>0</v>
      </c>
      <c r="AK137" s="476">
        <f t="shared" si="188"/>
        <v>0</v>
      </c>
      <c r="AL137" s="476">
        <f t="shared" si="189"/>
        <v>0</v>
      </c>
      <c r="AM137" s="476">
        <f t="shared" si="190"/>
        <v>0</v>
      </c>
      <c r="AN137" s="476">
        <f t="shared" si="191"/>
        <v>0</v>
      </c>
      <c r="AO137" s="476">
        <f t="shared" si="192"/>
        <v>0</v>
      </c>
      <c r="AP137" s="476">
        <f t="shared" si="193"/>
        <v>0</v>
      </c>
      <c r="AQ137" s="476">
        <f t="shared" si="194"/>
        <v>0</v>
      </c>
      <c r="AR137" s="476">
        <f t="shared" si="195"/>
        <v>0</v>
      </c>
      <c r="AS137" s="476">
        <f t="shared" si="196"/>
        <v>0</v>
      </c>
      <c r="AT137" s="476">
        <f t="shared" si="197"/>
        <v>0</v>
      </c>
      <c r="AU137" s="476">
        <f t="shared" si="198"/>
        <v>0</v>
      </c>
      <c r="AV137" s="476">
        <f t="shared" si="199"/>
        <v>0</v>
      </c>
      <c r="AW137" s="476">
        <f t="shared" si="200"/>
        <v>0</v>
      </c>
      <c r="AX137" s="476">
        <f t="shared" si="201"/>
        <v>0</v>
      </c>
      <c r="AY137" s="476">
        <f t="shared" si="202"/>
        <v>0</v>
      </c>
      <c r="AZ137" s="476">
        <f t="shared" si="203"/>
        <v>0</v>
      </c>
      <c r="BA137" s="476">
        <f t="shared" si="204"/>
        <v>0</v>
      </c>
      <c r="BB137" s="476">
        <f t="shared" si="205"/>
        <v>0</v>
      </c>
      <c r="BC137" s="476">
        <f t="shared" si="206"/>
        <v>0</v>
      </c>
      <c r="BD137" s="476">
        <f t="shared" si="207"/>
        <v>0</v>
      </c>
      <c r="BE137" s="476">
        <f t="shared" si="208"/>
        <v>0</v>
      </c>
      <c r="BF137" s="476">
        <f t="shared" si="209"/>
        <v>0</v>
      </c>
      <c r="BG137" s="476">
        <f t="shared" si="210"/>
        <v>0</v>
      </c>
    </row>
    <row r="138" spans="1:59" ht="16.5" customHeight="1">
      <c r="A138" s="583" t="s">
        <v>794</v>
      </c>
      <c r="B138" s="584" t="s">
        <v>1648</v>
      </c>
      <c r="C138" s="584" t="s">
        <v>180</v>
      </c>
      <c r="D138" s="413" t="s">
        <v>1051</v>
      </c>
      <c r="E138" s="412" t="s">
        <v>637</v>
      </c>
      <c r="F138" s="412" t="s">
        <v>638</v>
      </c>
      <c r="G138" s="412" t="s">
        <v>356</v>
      </c>
      <c r="H138" s="412" t="s">
        <v>974</v>
      </c>
      <c r="I138" s="477">
        <v>308439</v>
      </c>
      <c r="J138" s="477">
        <v>0</v>
      </c>
      <c r="K138" s="477">
        <v>0</v>
      </c>
      <c r="L138" s="477">
        <v>0</v>
      </c>
      <c r="M138" s="477">
        <f t="shared" si="211"/>
        <v>308439</v>
      </c>
      <c r="N138" s="477">
        <f t="shared" si="212"/>
        <v>0</v>
      </c>
      <c r="O138" s="477"/>
      <c r="P138" s="477"/>
      <c r="Q138" s="477">
        <f t="shared" si="129"/>
        <v>308439</v>
      </c>
      <c r="R138" s="477">
        <f t="shared" si="130"/>
        <v>0</v>
      </c>
      <c r="S138" s="477">
        <f t="shared" si="131"/>
        <v>308439</v>
      </c>
      <c r="U138" s="473"/>
      <c r="V138" s="476">
        <f t="shared" si="173"/>
        <v>308439</v>
      </c>
      <c r="W138" s="476">
        <f t="shared" si="174"/>
        <v>0</v>
      </c>
      <c r="X138" s="476">
        <f t="shared" si="175"/>
        <v>0</v>
      </c>
      <c r="Y138" s="476">
        <f t="shared" si="176"/>
        <v>0</v>
      </c>
      <c r="Z138" s="476">
        <f t="shared" si="177"/>
        <v>0</v>
      </c>
      <c r="AA138" s="476">
        <f t="shared" si="178"/>
        <v>0</v>
      </c>
      <c r="AB138" s="476">
        <f t="shared" si="179"/>
        <v>0</v>
      </c>
      <c r="AC138" s="476">
        <f t="shared" si="180"/>
        <v>0</v>
      </c>
      <c r="AD138" s="476">
        <f t="shared" si="181"/>
        <v>0</v>
      </c>
      <c r="AE138" s="476">
        <f t="shared" si="182"/>
        <v>0</v>
      </c>
      <c r="AF138" s="476">
        <f t="shared" si="183"/>
        <v>0</v>
      </c>
      <c r="AG138" s="476">
        <f t="shared" si="184"/>
        <v>0</v>
      </c>
      <c r="AH138" s="476">
        <f t="shared" si="185"/>
        <v>0</v>
      </c>
      <c r="AI138" s="476">
        <f t="shared" si="186"/>
        <v>0</v>
      </c>
      <c r="AJ138" s="476">
        <f t="shared" si="187"/>
        <v>0</v>
      </c>
      <c r="AK138" s="476">
        <f t="shared" si="188"/>
        <v>0</v>
      </c>
      <c r="AL138" s="476">
        <f t="shared" si="189"/>
        <v>0</v>
      </c>
      <c r="AM138" s="476">
        <f t="shared" si="190"/>
        <v>0</v>
      </c>
      <c r="AN138" s="476">
        <f t="shared" si="191"/>
        <v>0</v>
      </c>
      <c r="AO138" s="476">
        <f t="shared" si="192"/>
        <v>0</v>
      </c>
      <c r="AP138" s="476">
        <f t="shared" si="193"/>
        <v>0</v>
      </c>
      <c r="AQ138" s="476">
        <f t="shared" si="194"/>
        <v>0</v>
      </c>
      <c r="AR138" s="476">
        <f t="shared" si="195"/>
        <v>0</v>
      </c>
      <c r="AS138" s="476">
        <f t="shared" si="196"/>
        <v>0</v>
      </c>
      <c r="AT138" s="476">
        <f t="shared" si="197"/>
        <v>0</v>
      </c>
      <c r="AU138" s="476">
        <f t="shared" si="198"/>
        <v>0</v>
      </c>
      <c r="AV138" s="476">
        <f t="shared" si="199"/>
        <v>0</v>
      </c>
      <c r="AW138" s="476">
        <f t="shared" si="200"/>
        <v>0</v>
      </c>
      <c r="AX138" s="476">
        <f t="shared" si="201"/>
        <v>0</v>
      </c>
      <c r="AY138" s="476">
        <f t="shared" si="202"/>
        <v>0</v>
      </c>
      <c r="AZ138" s="476">
        <f t="shared" si="203"/>
        <v>0</v>
      </c>
      <c r="BA138" s="476">
        <f t="shared" si="204"/>
        <v>0</v>
      </c>
      <c r="BB138" s="476">
        <f t="shared" si="205"/>
        <v>0</v>
      </c>
      <c r="BC138" s="476">
        <f t="shared" si="206"/>
        <v>0</v>
      </c>
      <c r="BD138" s="476">
        <f t="shared" si="207"/>
        <v>0</v>
      </c>
      <c r="BE138" s="476">
        <f t="shared" si="208"/>
        <v>0</v>
      </c>
      <c r="BF138" s="476">
        <f t="shared" si="209"/>
        <v>0</v>
      </c>
      <c r="BG138" s="476">
        <f t="shared" si="210"/>
        <v>0</v>
      </c>
    </row>
    <row r="139" spans="1:59" ht="16.5" customHeight="1">
      <c r="A139" s="583" t="s">
        <v>782</v>
      </c>
      <c r="B139" s="584" t="s">
        <v>524</v>
      </c>
      <c r="C139" s="584" t="s">
        <v>1749</v>
      </c>
      <c r="D139" s="413" t="s">
        <v>1051</v>
      </c>
      <c r="E139" s="412" t="s">
        <v>637</v>
      </c>
      <c r="F139" s="412" t="s">
        <v>638</v>
      </c>
      <c r="G139" s="412" t="s">
        <v>524</v>
      </c>
      <c r="H139" s="412" t="s">
        <v>1275</v>
      </c>
      <c r="I139" s="477">
        <v>147330</v>
      </c>
      <c r="J139" s="477">
        <v>147330</v>
      </c>
      <c r="K139" s="477"/>
      <c r="L139" s="477"/>
      <c r="M139" s="477">
        <f t="shared" si="211"/>
        <v>147330</v>
      </c>
      <c r="N139" s="477">
        <f t="shared" si="212"/>
        <v>147330</v>
      </c>
      <c r="O139" s="477"/>
      <c r="P139" s="477"/>
      <c r="Q139" s="477">
        <f t="shared" si="129"/>
        <v>147330</v>
      </c>
      <c r="R139" s="477">
        <f t="shared" si="130"/>
        <v>147330</v>
      </c>
      <c r="S139" s="477">
        <f t="shared" si="131"/>
        <v>0</v>
      </c>
      <c r="U139" s="473"/>
      <c r="V139" s="476">
        <f t="shared" si="173"/>
        <v>0</v>
      </c>
      <c r="W139" s="476">
        <f t="shared" si="174"/>
        <v>0</v>
      </c>
      <c r="X139" s="476">
        <f t="shared" si="175"/>
        <v>0</v>
      </c>
      <c r="Y139" s="476">
        <f t="shared" si="176"/>
        <v>0</v>
      </c>
      <c r="Z139" s="476">
        <f t="shared" si="177"/>
        <v>0</v>
      </c>
      <c r="AA139" s="476">
        <f t="shared" si="178"/>
        <v>0</v>
      </c>
      <c r="AB139" s="476">
        <f t="shared" si="179"/>
        <v>0</v>
      </c>
      <c r="AC139" s="476">
        <f t="shared" si="180"/>
        <v>0</v>
      </c>
      <c r="AD139" s="476">
        <f t="shared" si="181"/>
        <v>0</v>
      </c>
      <c r="AE139" s="476">
        <f t="shared" si="182"/>
        <v>0</v>
      </c>
      <c r="AF139" s="476">
        <f t="shared" si="183"/>
        <v>0</v>
      </c>
      <c r="AG139" s="476">
        <f t="shared" si="184"/>
        <v>0</v>
      </c>
      <c r="AH139" s="476">
        <f t="shared" si="185"/>
        <v>0</v>
      </c>
      <c r="AI139" s="476">
        <f t="shared" si="186"/>
        <v>0</v>
      </c>
      <c r="AJ139" s="476">
        <f t="shared" si="187"/>
        <v>0</v>
      </c>
      <c r="AK139" s="476">
        <f t="shared" si="188"/>
        <v>0</v>
      </c>
      <c r="AL139" s="476">
        <f t="shared" si="189"/>
        <v>0</v>
      </c>
      <c r="AM139" s="476">
        <f t="shared" si="190"/>
        <v>0</v>
      </c>
      <c r="AN139" s="476">
        <f t="shared" si="191"/>
        <v>0</v>
      </c>
      <c r="AO139" s="476">
        <f t="shared" si="192"/>
        <v>0</v>
      </c>
      <c r="AP139" s="476">
        <f t="shared" si="193"/>
        <v>0</v>
      </c>
      <c r="AQ139" s="476">
        <f t="shared" si="194"/>
        <v>0</v>
      </c>
      <c r="AR139" s="476">
        <f t="shared" si="195"/>
        <v>0</v>
      </c>
      <c r="AS139" s="476">
        <f t="shared" si="196"/>
        <v>0</v>
      </c>
      <c r="AT139" s="476">
        <f t="shared" si="197"/>
        <v>0</v>
      </c>
      <c r="AU139" s="476">
        <f t="shared" si="198"/>
        <v>0</v>
      </c>
      <c r="AV139" s="476">
        <f t="shared" si="199"/>
        <v>0</v>
      </c>
      <c r="AW139" s="476">
        <f t="shared" si="200"/>
        <v>0</v>
      </c>
      <c r="AX139" s="476">
        <f t="shared" si="201"/>
        <v>0</v>
      </c>
      <c r="AY139" s="476">
        <f t="shared" si="202"/>
        <v>0</v>
      </c>
      <c r="AZ139" s="476">
        <f t="shared" si="203"/>
        <v>0</v>
      </c>
      <c r="BA139" s="476">
        <f t="shared" si="204"/>
        <v>0</v>
      </c>
      <c r="BB139" s="476">
        <f t="shared" si="205"/>
        <v>0</v>
      </c>
      <c r="BC139" s="476">
        <f t="shared" si="206"/>
        <v>0</v>
      </c>
      <c r="BD139" s="476">
        <f t="shared" si="207"/>
        <v>0</v>
      </c>
      <c r="BE139" s="476">
        <f t="shared" si="208"/>
        <v>0</v>
      </c>
      <c r="BF139" s="476">
        <f t="shared" si="209"/>
        <v>0</v>
      </c>
      <c r="BG139" s="476">
        <f t="shared" si="210"/>
        <v>0</v>
      </c>
    </row>
    <row r="140" spans="1:59" ht="16.5" customHeight="1">
      <c r="A140" s="583" t="s">
        <v>795</v>
      </c>
      <c r="B140" s="584" t="s">
        <v>1649</v>
      </c>
      <c r="C140" s="584" t="s">
        <v>181</v>
      </c>
      <c r="D140" s="413" t="s">
        <v>1051</v>
      </c>
      <c r="E140" s="412" t="s">
        <v>637</v>
      </c>
      <c r="F140" s="412" t="s">
        <v>638</v>
      </c>
      <c r="G140" s="412" t="s">
        <v>357</v>
      </c>
      <c r="H140" s="412" t="s">
        <v>974</v>
      </c>
      <c r="I140" s="477">
        <v>0</v>
      </c>
      <c r="J140" s="477">
        <v>308439</v>
      </c>
      <c r="K140" s="477">
        <v>0</v>
      </c>
      <c r="L140" s="477">
        <v>0</v>
      </c>
      <c r="M140" s="477">
        <f t="shared" si="211"/>
        <v>0</v>
      </c>
      <c r="N140" s="477">
        <f t="shared" si="212"/>
        <v>308439</v>
      </c>
      <c r="O140" s="477"/>
      <c r="P140" s="477"/>
      <c r="Q140" s="477">
        <f t="shared" si="129"/>
        <v>0</v>
      </c>
      <c r="R140" s="477">
        <f t="shared" si="130"/>
        <v>308439</v>
      </c>
      <c r="S140" s="477">
        <f t="shared" si="131"/>
        <v>-308439</v>
      </c>
      <c r="U140" s="473"/>
      <c r="V140" s="476">
        <f t="shared" si="173"/>
        <v>0</v>
      </c>
      <c r="W140" s="476">
        <f t="shared" si="174"/>
        <v>308439</v>
      </c>
      <c r="X140" s="476">
        <f t="shared" si="175"/>
        <v>0</v>
      </c>
      <c r="Y140" s="476">
        <f t="shared" si="176"/>
        <v>0</v>
      </c>
      <c r="Z140" s="476">
        <f t="shared" si="177"/>
        <v>0</v>
      </c>
      <c r="AA140" s="476">
        <f t="shared" si="178"/>
        <v>0</v>
      </c>
      <c r="AB140" s="476">
        <f t="shared" si="179"/>
        <v>0</v>
      </c>
      <c r="AC140" s="476">
        <f t="shared" si="180"/>
        <v>0</v>
      </c>
      <c r="AD140" s="476">
        <f t="shared" si="181"/>
        <v>0</v>
      </c>
      <c r="AE140" s="476">
        <f t="shared" si="182"/>
        <v>0</v>
      </c>
      <c r="AF140" s="476">
        <f t="shared" si="183"/>
        <v>0</v>
      </c>
      <c r="AG140" s="476">
        <f t="shared" si="184"/>
        <v>0</v>
      </c>
      <c r="AH140" s="476">
        <f t="shared" si="185"/>
        <v>0</v>
      </c>
      <c r="AI140" s="476">
        <f t="shared" si="186"/>
        <v>0</v>
      </c>
      <c r="AJ140" s="476">
        <f t="shared" si="187"/>
        <v>0</v>
      </c>
      <c r="AK140" s="476">
        <f t="shared" si="188"/>
        <v>0</v>
      </c>
      <c r="AL140" s="476">
        <f t="shared" si="189"/>
        <v>0</v>
      </c>
      <c r="AM140" s="476">
        <f t="shared" si="190"/>
        <v>0</v>
      </c>
      <c r="AN140" s="476">
        <f t="shared" si="191"/>
        <v>0</v>
      </c>
      <c r="AO140" s="476">
        <f t="shared" si="192"/>
        <v>0</v>
      </c>
      <c r="AP140" s="476">
        <f t="shared" si="193"/>
        <v>0</v>
      </c>
      <c r="AQ140" s="476">
        <f t="shared" si="194"/>
        <v>0</v>
      </c>
      <c r="AR140" s="476">
        <f t="shared" si="195"/>
        <v>0</v>
      </c>
      <c r="AS140" s="476">
        <f t="shared" si="196"/>
        <v>0</v>
      </c>
      <c r="AT140" s="476">
        <f t="shared" si="197"/>
        <v>0</v>
      </c>
      <c r="AU140" s="476">
        <f t="shared" si="198"/>
        <v>0</v>
      </c>
      <c r="AV140" s="476">
        <f t="shared" si="199"/>
        <v>0</v>
      </c>
      <c r="AW140" s="476">
        <f t="shared" si="200"/>
        <v>0</v>
      </c>
      <c r="AX140" s="476">
        <f t="shared" si="201"/>
        <v>0</v>
      </c>
      <c r="AY140" s="476">
        <f t="shared" si="202"/>
        <v>0</v>
      </c>
      <c r="AZ140" s="476">
        <f t="shared" si="203"/>
        <v>0</v>
      </c>
      <c r="BA140" s="476">
        <f t="shared" si="204"/>
        <v>0</v>
      </c>
      <c r="BB140" s="476">
        <f t="shared" si="205"/>
        <v>0</v>
      </c>
      <c r="BC140" s="476">
        <f t="shared" si="206"/>
        <v>0</v>
      </c>
      <c r="BD140" s="476">
        <f t="shared" si="207"/>
        <v>0</v>
      </c>
      <c r="BE140" s="476">
        <f t="shared" si="208"/>
        <v>0</v>
      </c>
      <c r="BF140" s="476">
        <f t="shared" si="209"/>
        <v>0</v>
      </c>
      <c r="BG140" s="476">
        <f t="shared" si="210"/>
        <v>0</v>
      </c>
    </row>
    <row r="141" spans="1:59" ht="16.5" customHeight="1">
      <c r="A141" s="583" t="s">
        <v>796</v>
      </c>
      <c r="B141" s="584" t="s">
        <v>1650</v>
      </c>
      <c r="C141" s="584" t="s">
        <v>182</v>
      </c>
      <c r="D141" s="413" t="s">
        <v>1051</v>
      </c>
      <c r="E141" s="412" t="s">
        <v>473</v>
      </c>
      <c r="F141" s="412" t="s">
        <v>1134</v>
      </c>
      <c r="G141" s="412" t="s">
        <v>1135</v>
      </c>
      <c r="H141" s="412" t="s">
        <v>974</v>
      </c>
      <c r="I141" s="477">
        <v>2133440</v>
      </c>
      <c r="J141" s="477">
        <v>2825362</v>
      </c>
      <c r="K141" s="477">
        <v>432000</v>
      </c>
      <c r="L141" s="477">
        <v>432000</v>
      </c>
      <c r="M141" s="477">
        <f t="shared" si="211"/>
        <v>2565440</v>
      </c>
      <c r="N141" s="477">
        <f t="shared" si="212"/>
        <v>3257362</v>
      </c>
      <c r="O141" s="477"/>
      <c r="P141" s="477"/>
      <c r="Q141" s="477">
        <f t="shared" si="129"/>
        <v>2565440</v>
      </c>
      <c r="R141" s="477">
        <f t="shared" si="130"/>
        <v>3257362</v>
      </c>
      <c r="S141" s="477">
        <f t="shared" si="131"/>
        <v>-691922</v>
      </c>
      <c r="U141" s="473"/>
      <c r="V141" s="476">
        <f t="shared" si="173"/>
        <v>2565440</v>
      </c>
      <c r="W141" s="476">
        <f t="shared" si="174"/>
        <v>3257362</v>
      </c>
      <c r="X141" s="476">
        <f t="shared" si="175"/>
        <v>0</v>
      </c>
      <c r="Y141" s="476">
        <f t="shared" si="176"/>
        <v>0</v>
      </c>
      <c r="Z141" s="476">
        <f t="shared" si="177"/>
        <v>0</v>
      </c>
      <c r="AA141" s="476">
        <f t="shared" si="178"/>
        <v>0</v>
      </c>
      <c r="AB141" s="476">
        <f t="shared" si="179"/>
        <v>0</v>
      </c>
      <c r="AC141" s="476">
        <f t="shared" si="180"/>
        <v>0</v>
      </c>
      <c r="AD141" s="476">
        <f t="shared" si="181"/>
        <v>0</v>
      </c>
      <c r="AE141" s="476">
        <f t="shared" si="182"/>
        <v>0</v>
      </c>
      <c r="AF141" s="476">
        <f t="shared" si="183"/>
        <v>0</v>
      </c>
      <c r="AG141" s="476">
        <f t="shared" si="184"/>
        <v>0</v>
      </c>
      <c r="AH141" s="476">
        <f t="shared" si="185"/>
        <v>0</v>
      </c>
      <c r="AI141" s="476">
        <f t="shared" si="186"/>
        <v>0</v>
      </c>
      <c r="AJ141" s="476">
        <f t="shared" si="187"/>
        <v>0</v>
      </c>
      <c r="AK141" s="476">
        <f t="shared" si="188"/>
        <v>0</v>
      </c>
      <c r="AL141" s="476">
        <f t="shared" si="189"/>
        <v>0</v>
      </c>
      <c r="AM141" s="476">
        <f t="shared" si="190"/>
        <v>0</v>
      </c>
      <c r="AN141" s="476">
        <f t="shared" si="191"/>
        <v>0</v>
      </c>
      <c r="AO141" s="476">
        <f t="shared" si="192"/>
        <v>0</v>
      </c>
      <c r="AP141" s="476">
        <f t="shared" si="193"/>
        <v>0</v>
      </c>
      <c r="AQ141" s="476">
        <f t="shared" si="194"/>
        <v>0</v>
      </c>
      <c r="AR141" s="476">
        <f t="shared" si="195"/>
        <v>0</v>
      </c>
      <c r="AS141" s="476">
        <f t="shared" si="196"/>
        <v>0</v>
      </c>
      <c r="AT141" s="476">
        <f t="shared" si="197"/>
        <v>0</v>
      </c>
      <c r="AU141" s="476">
        <f t="shared" si="198"/>
        <v>0</v>
      </c>
      <c r="AV141" s="476">
        <f t="shared" si="199"/>
        <v>0</v>
      </c>
      <c r="AW141" s="476">
        <f t="shared" si="200"/>
        <v>0</v>
      </c>
      <c r="AX141" s="476">
        <f t="shared" si="201"/>
        <v>0</v>
      </c>
      <c r="AY141" s="476">
        <f t="shared" si="202"/>
        <v>0</v>
      </c>
      <c r="AZ141" s="476">
        <f t="shared" si="203"/>
        <v>0</v>
      </c>
      <c r="BA141" s="476">
        <f t="shared" si="204"/>
        <v>0</v>
      </c>
      <c r="BB141" s="476">
        <f t="shared" si="205"/>
        <v>0</v>
      </c>
      <c r="BC141" s="476">
        <f t="shared" si="206"/>
        <v>0</v>
      </c>
      <c r="BD141" s="476">
        <f t="shared" si="207"/>
        <v>0</v>
      </c>
      <c r="BE141" s="476">
        <f t="shared" si="208"/>
        <v>0</v>
      </c>
      <c r="BF141" s="476">
        <f t="shared" si="209"/>
        <v>0</v>
      </c>
      <c r="BG141" s="476">
        <f t="shared" si="210"/>
        <v>0</v>
      </c>
    </row>
    <row r="142" spans="1:59" ht="16.5" customHeight="1">
      <c r="A142" s="583" t="s">
        <v>798</v>
      </c>
      <c r="B142" s="584" t="s">
        <v>1651</v>
      </c>
      <c r="C142" s="584" t="s">
        <v>184</v>
      </c>
      <c r="D142" s="413" t="s">
        <v>1051</v>
      </c>
      <c r="E142" s="412" t="s">
        <v>473</v>
      </c>
      <c r="F142" s="413" t="s">
        <v>1134</v>
      </c>
      <c r="G142" s="412" t="s">
        <v>1137</v>
      </c>
      <c r="H142" s="412" t="s">
        <v>974</v>
      </c>
      <c r="I142" s="477">
        <v>0</v>
      </c>
      <c r="J142" s="477">
        <v>177</v>
      </c>
      <c r="K142" s="477">
        <v>0</v>
      </c>
      <c r="L142" s="477">
        <v>0</v>
      </c>
      <c r="M142" s="477">
        <f t="shared" si="211"/>
        <v>0</v>
      </c>
      <c r="N142" s="477">
        <f t="shared" si="212"/>
        <v>177</v>
      </c>
      <c r="O142" s="477"/>
      <c r="P142" s="477"/>
      <c r="Q142" s="477">
        <f t="shared" ref="Q142:Q207" si="213">+M142+O142</f>
        <v>0</v>
      </c>
      <c r="R142" s="477">
        <f t="shared" ref="R142:R207" si="214">+N142+P142</f>
        <v>177</v>
      </c>
      <c r="S142" s="477">
        <f t="shared" ref="S142:S207" si="215">+Q142-R142</f>
        <v>-177</v>
      </c>
      <c r="V142" s="476">
        <f t="shared" si="173"/>
        <v>0</v>
      </c>
      <c r="W142" s="476">
        <f t="shared" si="174"/>
        <v>177</v>
      </c>
      <c r="X142" s="476">
        <f t="shared" si="175"/>
        <v>0</v>
      </c>
      <c r="Y142" s="476">
        <f t="shared" si="176"/>
        <v>0</v>
      </c>
      <c r="Z142" s="476">
        <f t="shared" si="177"/>
        <v>0</v>
      </c>
      <c r="AA142" s="476">
        <f t="shared" si="178"/>
        <v>0</v>
      </c>
      <c r="AB142" s="476">
        <f t="shared" si="179"/>
        <v>0</v>
      </c>
      <c r="AC142" s="476">
        <f t="shared" si="180"/>
        <v>0</v>
      </c>
      <c r="AD142" s="476">
        <f t="shared" si="181"/>
        <v>0</v>
      </c>
      <c r="AE142" s="476">
        <f t="shared" si="182"/>
        <v>0</v>
      </c>
      <c r="AF142" s="476">
        <f t="shared" si="183"/>
        <v>0</v>
      </c>
      <c r="AG142" s="476">
        <f t="shared" si="184"/>
        <v>0</v>
      </c>
      <c r="AH142" s="476">
        <f t="shared" si="185"/>
        <v>0</v>
      </c>
      <c r="AI142" s="476">
        <f t="shared" si="186"/>
        <v>0</v>
      </c>
      <c r="AJ142" s="476">
        <f t="shared" si="187"/>
        <v>0</v>
      </c>
      <c r="AK142" s="476">
        <f t="shared" si="188"/>
        <v>0</v>
      </c>
      <c r="AL142" s="476">
        <f t="shared" si="189"/>
        <v>0</v>
      </c>
      <c r="AM142" s="476">
        <f t="shared" si="190"/>
        <v>0</v>
      </c>
      <c r="AN142" s="476">
        <f t="shared" si="191"/>
        <v>0</v>
      </c>
      <c r="AO142" s="476">
        <f t="shared" si="192"/>
        <v>0</v>
      </c>
      <c r="AP142" s="476">
        <f t="shared" si="193"/>
        <v>0</v>
      </c>
      <c r="AQ142" s="476">
        <f t="shared" si="194"/>
        <v>0</v>
      </c>
      <c r="AR142" s="476">
        <f t="shared" si="195"/>
        <v>0</v>
      </c>
      <c r="AS142" s="476">
        <f t="shared" si="196"/>
        <v>0</v>
      </c>
      <c r="AT142" s="476">
        <f t="shared" si="197"/>
        <v>0</v>
      </c>
      <c r="AU142" s="476">
        <f t="shared" si="198"/>
        <v>0</v>
      </c>
      <c r="AV142" s="476">
        <f t="shared" si="199"/>
        <v>0</v>
      </c>
      <c r="AW142" s="476">
        <f t="shared" si="200"/>
        <v>0</v>
      </c>
      <c r="AX142" s="476">
        <f t="shared" si="201"/>
        <v>0</v>
      </c>
      <c r="AY142" s="476">
        <f t="shared" si="202"/>
        <v>0</v>
      </c>
      <c r="AZ142" s="476">
        <f t="shared" si="203"/>
        <v>0</v>
      </c>
      <c r="BA142" s="476">
        <f t="shared" si="204"/>
        <v>0</v>
      </c>
      <c r="BB142" s="476">
        <f t="shared" si="205"/>
        <v>0</v>
      </c>
      <c r="BC142" s="476">
        <f t="shared" si="206"/>
        <v>0</v>
      </c>
      <c r="BD142" s="476">
        <f t="shared" si="207"/>
        <v>0</v>
      </c>
      <c r="BE142" s="476">
        <f t="shared" si="208"/>
        <v>0</v>
      </c>
      <c r="BF142" s="476">
        <f t="shared" si="209"/>
        <v>0</v>
      </c>
      <c r="BG142" s="476">
        <f t="shared" si="210"/>
        <v>0</v>
      </c>
    </row>
    <row r="143" spans="1:59" ht="16.5" customHeight="1">
      <c r="A143" s="583" t="s">
        <v>800</v>
      </c>
      <c r="B143" s="584" t="s">
        <v>1652</v>
      </c>
      <c r="C143" s="584" t="s">
        <v>187</v>
      </c>
      <c r="D143" s="413" t="s">
        <v>1051</v>
      </c>
      <c r="E143" s="412" t="s">
        <v>473</v>
      </c>
      <c r="F143" s="413" t="s">
        <v>1134</v>
      </c>
      <c r="G143" s="412" t="s">
        <v>1137</v>
      </c>
      <c r="H143" s="412" t="s">
        <v>1013</v>
      </c>
      <c r="I143" s="477">
        <v>0</v>
      </c>
      <c r="J143" s="477">
        <v>50</v>
      </c>
      <c r="K143" s="477">
        <v>0</v>
      </c>
      <c r="L143" s="477">
        <v>0</v>
      </c>
      <c r="M143" s="477">
        <f t="shared" si="211"/>
        <v>0</v>
      </c>
      <c r="N143" s="477">
        <f t="shared" si="212"/>
        <v>50</v>
      </c>
      <c r="O143" s="477"/>
      <c r="P143" s="477"/>
      <c r="Q143" s="477">
        <f t="shared" si="213"/>
        <v>0</v>
      </c>
      <c r="R143" s="477">
        <f t="shared" si="214"/>
        <v>50</v>
      </c>
      <c r="S143" s="477">
        <f t="shared" si="215"/>
        <v>-50</v>
      </c>
      <c r="V143" s="476">
        <f t="shared" si="173"/>
        <v>0</v>
      </c>
      <c r="W143" s="476">
        <f t="shared" si="174"/>
        <v>0</v>
      </c>
      <c r="X143" s="476">
        <f t="shared" si="175"/>
        <v>0</v>
      </c>
      <c r="Y143" s="476">
        <f t="shared" si="176"/>
        <v>0</v>
      </c>
      <c r="Z143" s="476">
        <f t="shared" si="177"/>
        <v>0</v>
      </c>
      <c r="AA143" s="476">
        <f t="shared" si="178"/>
        <v>0</v>
      </c>
      <c r="AB143" s="476">
        <f t="shared" si="179"/>
        <v>0</v>
      </c>
      <c r="AC143" s="476">
        <f t="shared" si="180"/>
        <v>0</v>
      </c>
      <c r="AD143" s="476">
        <f t="shared" si="181"/>
        <v>0</v>
      </c>
      <c r="AE143" s="476">
        <f t="shared" si="182"/>
        <v>0</v>
      </c>
      <c r="AF143" s="476">
        <f t="shared" si="183"/>
        <v>0</v>
      </c>
      <c r="AG143" s="476">
        <f t="shared" si="184"/>
        <v>0</v>
      </c>
      <c r="AH143" s="476">
        <f t="shared" si="185"/>
        <v>0</v>
      </c>
      <c r="AI143" s="476">
        <f t="shared" si="186"/>
        <v>0</v>
      </c>
      <c r="AJ143" s="476">
        <f t="shared" si="187"/>
        <v>0</v>
      </c>
      <c r="AK143" s="476">
        <f t="shared" si="188"/>
        <v>50</v>
      </c>
      <c r="AL143" s="476">
        <f t="shared" si="189"/>
        <v>0</v>
      </c>
      <c r="AM143" s="476">
        <f t="shared" si="190"/>
        <v>0</v>
      </c>
      <c r="AN143" s="476">
        <f t="shared" si="191"/>
        <v>0</v>
      </c>
      <c r="AO143" s="476">
        <f t="shared" si="192"/>
        <v>0</v>
      </c>
      <c r="AP143" s="476">
        <f t="shared" si="193"/>
        <v>0</v>
      </c>
      <c r="AQ143" s="476">
        <f t="shared" si="194"/>
        <v>0</v>
      </c>
      <c r="AR143" s="476">
        <f t="shared" si="195"/>
        <v>0</v>
      </c>
      <c r="AS143" s="476">
        <f t="shared" si="196"/>
        <v>0</v>
      </c>
      <c r="AT143" s="476">
        <f t="shared" si="197"/>
        <v>0</v>
      </c>
      <c r="AU143" s="476">
        <f t="shared" si="198"/>
        <v>0</v>
      </c>
      <c r="AV143" s="476">
        <f t="shared" si="199"/>
        <v>0</v>
      </c>
      <c r="AW143" s="476">
        <f t="shared" si="200"/>
        <v>0</v>
      </c>
      <c r="AX143" s="476">
        <f t="shared" si="201"/>
        <v>0</v>
      </c>
      <c r="AY143" s="476">
        <f t="shared" si="202"/>
        <v>0</v>
      </c>
      <c r="AZ143" s="476">
        <f t="shared" si="203"/>
        <v>0</v>
      </c>
      <c r="BA143" s="476">
        <f t="shared" si="204"/>
        <v>0</v>
      </c>
      <c r="BB143" s="476">
        <f t="shared" si="205"/>
        <v>0</v>
      </c>
      <c r="BC143" s="476">
        <f t="shared" si="206"/>
        <v>0</v>
      </c>
      <c r="BD143" s="476">
        <f t="shared" si="207"/>
        <v>0</v>
      </c>
      <c r="BE143" s="476">
        <f t="shared" si="208"/>
        <v>0</v>
      </c>
      <c r="BF143" s="476">
        <f t="shared" si="209"/>
        <v>0</v>
      </c>
      <c r="BG143" s="476">
        <f t="shared" si="210"/>
        <v>0</v>
      </c>
    </row>
    <row r="144" spans="1:59" ht="16.5" customHeight="1">
      <c r="A144" s="583" t="s">
        <v>800</v>
      </c>
      <c r="B144" s="584" t="s">
        <v>1652</v>
      </c>
      <c r="C144" s="584" t="s">
        <v>186</v>
      </c>
      <c r="D144" s="413" t="s">
        <v>1051</v>
      </c>
      <c r="E144" s="412" t="s">
        <v>473</v>
      </c>
      <c r="F144" s="413" t="s">
        <v>1134</v>
      </c>
      <c r="G144" s="412" t="s">
        <v>1137</v>
      </c>
      <c r="H144" s="412" t="s">
        <v>1022</v>
      </c>
      <c r="I144" s="477">
        <v>159420</v>
      </c>
      <c r="J144" s="477">
        <v>159423</v>
      </c>
      <c r="K144" s="477">
        <v>0</v>
      </c>
      <c r="L144" s="477">
        <v>0</v>
      </c>
      <c r="M144" s="477">
        <f t="shared" si="211"/>
        <v>159420</v>
      </c>
      <c r="N144" s="477">
        <f t="shared" si="212"/>
        <v>159423</v>
      </c>
      <c r="O144" s="477"/>
      <c r="P144" s="477"/>
      <c r="Q144" s="477">
        <f t="shared" si="213"/>
        <v>159420</v>
      </c>
      <c r="R144" s="477">
        <f t="shared" si="214"/>
        <v>159423</v>
      </c>
      <c r="S144" s="477">
        <f t="shared" si="215"/>
        <v>-3</v>
      </c>
      <c r="V144" s="476">
        <f t="shared" si="173"/>
        <v>0</v>
      </c>
      <c r="W144" s="476">
        <f t="shared" si="174"/>
        <v>0</v>
      </c>
      <c r="X144" s="476">
        <f t="shared" si="175"/>
        <v>0</v>
      </c>
      <c r="Y144" s="476">
        <f t="shared" si="176"/>
        <v>0</v>
      </c>
      <c r="Z144" s="476">
        <f t="shared" si="177"/>
        <v>0</v>
      </c>
      <c r="AA144" s="476">
        <f t="shared" si="178"/>
        <v>0</v>
      </c>
      <c r="AB144" s="476">
        <f t="shared" si="179"/>
        <v>0</v>
      </c>
      <c r="AC144" s="476">
        <f t="shared" si="180"/>
        <v>0</v>
      </c>
      <c r="AD144" s="476">
        <f t="shared" si="181"/>
        <v>0</v>
      </c>
      <c r="AE144" s="476">
        <f t="shared" si="182"/>
        <v>0</v>
      </c>
      <c r="AF144" s="476">
        <f t="shared" si="183"/>
        <v>0</v>
      </c>
      <c r="AG144" s="476">
        <f t="shared" si="184"/>
        <v>0</v>
      </c>
      <c r="AH144" s="476">
        <f t="shared" si="185"/>
        <v>0</v>
      </c>
      <c r="AI144" s="476">
        <f t="shared" si="186"/>
        <v>0</v>
      </c>
      <c r="AJ144" s="476">
        <f t="shared" si="187"/>
        <v>0</v>
      </c>
      <c r="AK144" s="476">
        <f t="shared" si="188"/>
        <v>0</v>
      </c>
      <c r="AL144" s="476">
        <f t="shared" si="189"/>
        <v>0</v>
      </c>
      <c r="AM144" s="476">
        <f t="shared" si="190"/>
        <v>0</v>
      </c>
      <c r="AN144" s="476">
        <f t="shared" si="191"/>
        <v>0</v>
      </c>
      <c r="AO144" s="476">
        <f t="shared" si="192"/>
        <v>0</v>
      </c>
      <c r="AP144" s="476">
        <f t="shared" si="193"/>
        <v>0</v>
      </c>
      <c r="AQ144" s="476">
        <f t="shared" si="194"/>
        <v>0</v>
      </c>
      <c r="AR144" s="476">
        <f t="shared" si="195"/>
        <v>0</v>
      </c>
      <c r="AS144" s="476">
        <f t="shared" si="196"/>
        <v>0</v>
      </c>
      <c r="AT144" s="476">
        <f t="shared" si="197"/>
        <v>0</v>
      </c>
      <c r="AU144" s="476">
        <f t="shared" si="198"/>
        <v>0</v>
      </c>
      <c r="AV144" s="476">
        <f t="shared" si="199"/>
        <v>159420</v>
      </c>
      <c r="AW144" s="476">
        <f t="shared" si="200"/>
        <v>159423</v>
      </c>
      <c r="AX144" s="476">
        <f t="shared" si="201"/>
        <v>0</v>
      </c>
      <c r="AY144" s="476">
        <f t="shared" si="202"/>
        <v>0</v>
      </c>
      <c r="AZ144" s="476">
        <f t="shared" si="203"/>
        <v>0</v>
      </c>
      <c r="BA144" s="476">
        <f t="shared" si="204"/>
        <v>0</v>
      </c>
      <c r="BB144" s="476">
        <f t="shared" si="205"/>
        <v>0</v>
      </c>
      <c r="BC144" s="476">
        <f t="shared" si="206"/>
        <v>0</v>
      </c>
      <c r="BD144" s="476">
        <f t="shared" si="207"/>
        <v>0</v>
      </c>
      <c r="BE144" s="476">
        <f t="shared" si="208"/>
        <v>0</v>
      </c>
      <c r="BF144" s="476">
        <f t="shared" si="209"/>
        <v>0</v>
      </c>
      <c r="BG144" s="476">
        <f t="shared" si="210"/>
        <v>0</v>
      </c>
    </row>
    <row r="145" spans="1:59" ht="16.5" customHeight="1">
      <c r="A145" s="583" t="s">
        <v>801</v>
      </c>
      <c r="B145" s="584" t="s">
        <v>1653</v>
      </c>
      <c r="C145" s="584" t="s">
        <v>188</v>
      </c>
      <c r="D145" s="413" t="s">
        <v>1051</v>
      </c>
      <c r="E145" s="412" t="s">
        <v>473</v>
      </c>
      <c r="F145" s="413" t="s">
        <v>1134</v>
      </c>
      <c r="G145" s="412" t="s">
        <v>1137</v>
      </c>
      <c r="H145" s="412" t="s">
        <v>974</v>
      </c>
      <c r="I145" s="477">
        <v>0</v>
      </c>
      <c r="J145" s="477">
        <v>75698</v>
      </c>
      <c r="K145" s="477">
        <v>0</v>
      </c>
      <c r="L145" s="477">
        <v>0</v>
      </c>
      <c r="M145" s="477">
        <f t="shared" si="211"/>
        <v>0</v>
      </c>
      <c r="N145" s="477">
        <f t="shared" si="212"/>
        <v>75698</v>
      </c>
      <c r="O145" s="477"/>
      <c r="P145" s="477"/>
      <c r="Q145" s="477">
        <f t="shared" si="213"/>
        <v>0</v>
      </c>
      <c r="R145" s="477">
        <f t="shared" si="214"/>
        <v>75698</v>
      </c>
      <c r="S145" s="477">
        <f t="shared" si="215"/>
        <v>-75698</v>
      </c>
      <c r="V145" s="476">
        <f t="shared" si="173"/>
        <v>0</v>
      </c>
      <c r="W145" s="476">
        <f t="shared" si="174"/>
        <v>75698</v>
      </c>
      <c r="X145" s="476">
        <f t="shared" si="175"/>
        <v>0</v>
      </c>
      <c r="Y145" s="476">
        <f t="shared" si="176"/>
        <v>0</v>
      </c>
      <c r="Z145" s="476">
        <f t="shared" si="177"/>
        <v>0</v>
      </c>
      <c r="AA145" s="476">
        <f t="shared" si="178"/>
        <v>0</v>
      </c>
      <c r="AB145" s="476">
        <f t="shared" si="179"/>
        <v>0</v>
      </c>
      <c r="AC145" s="476">
        <f t="shared" si="180"/>
        <v>0</v>
      </c>
      <c r="AD145" s="476">
        <f t="shared" si="181"/>
        <v>0</v>
      </c>
      <c r="AE145" s="476">
        <f t="shared" si="182"/>
        <v>0</v>
      </c>
      <c r="AF145" s="476">
        <f t="shared" si="183"/>
        <v>0</v>
      </c>
      <c r="AG145" s="476">
        <f t="shared" si="184"/>
        <v>0</v>
      </c>
      <c r="AH145" s="476">
        <f t="shared" si="185"/>
        <v>0</v>
      </c>
      <c r="AI145" s="476">
        <f t="shared" si="186"/>
        <v>0</v>
      </c>
      <c r="AJ145" s="476">
        <f t="shared" si="187"/>
        <v>0</v>
      </c>
      <c r="AK145" s="476">
        <f t="shared" si="188"/>
        <v>0</v>
      </c>
      <c r="AL145" s="476">
        <f t="shared" si="189"/>
        <v>0</v>
      </c>
      <c r="AM145" s="476">
        <f t="shared" si="190"/>
        <v>0</v>
      </c>
      <c r="AN145" s="476">
        <f t="shared" si="191"/>
        <v>0</v>
      </c>
      <c r="AO145" s="476">
        <f t="shared" si="192"/>
        <v>0</v>
      </c>
      <c r="AP145" s="476">
        <f t="shared" si="193"/>
        <v>0</v>
      </c>
      <c r="AQ145" s="476">
        <f t="shared" si="194"/>
        <v>0</v>
      </c>
      <c r="AR145" s="476">
        <f t="shared" si="195"/>
        <v>0</v>
      </c>
      <c r="AS145" s="476">
        <f t="shared" si="196"/>
        <v>0</v>
      </c>
      <c r="AT145" s="476">
        <f t="shared" si="197"/>
        <v>0</v>
      </c>
      <c r="AU145" s="476">
        <f t="shared" si="198"/>
        <v>0</v>
      </c>
      <c r="AV145" s="476">
        <f t="shared" si="199"/>
        <v>0</v>
      </c>
      <c r="AW145" s="476">
        <f t="shared" si="200"/>
        <v>0</v>
      </c>
      <c r="AX145" s="476">
        <f t="shared" si="201"/>
        <v>0</v>
      </c>
      <c r="AY145" s="476">
        <f t="shared" si="202"/>
        <v>0</v>
      </c>
      <c r="AZ145" s="476">
        <f t="shared" si="203"/>
        <v>0</v>
      </c>
      <c r="BA145" s="476">
        <f t="shared" si="204"/>
        <v>0</v>
      </c>
      <c r="BB145" s="476">
        <f t="shared" si="205"/>
        <v>0</v>
      </c>
      <c r="BC145" s="476">
        <f t="shared" si="206"/>
        <v>0</v>
      </c>
      <c r="BD145" s="476">
        <f t="shared" si="207"/>
        <v>0</v>
      </c>
      <c r="BE145" s="476">
        <f t="shared" si="208"/>
        <v>0</v>
      </c>
      <c r="BF145" s="476">
        <f t="shared" si="209"/>
        <v>0</v>
      </c>
      <c r="BG145" s="476">
        <f t="shared" si="210"/>
        <v>0</v>
      </c>
    </row>
    <row r="146" spans="1:59" ht="16.5" customHeight="1">
      <c r="A146" s="583" t="s">
        <v>802</v>
      </c>
      <c r="B146" s="584" t="s">
        <v>1654</v>
      </c>
      <c r="C146" s="584" t="s">
        <v>189</v>
      </c>
      <c r="D146" s="413" t="s">
        <v>1051</v>
      </c>
      <c r="E146" s="412" t="s">
        <v>473</v>
      </c>
      <c r="F146" s="413" t="s">
        <v>1134</v>
      </c>
      <c r="G146" s="412" t="s">
        <v>1137</v>
      </c>
      <c r="H146" s="412" t="s">
        <v>1012</v>
      </c>
      <c r="I146" s="477">
        <v>0</v>
      </c>
      <c r="J146" s="477">
        <v>464</v>
      </c>
      <c r="K146" s="477">
        <v>0</v>
      </c>
      <c r="L146" s="477">
        <v>0</v>
      </c>
      <c r="M146" s="477">
        <f t="shared" si="211"/>
        <v>0</v>
      </c>
      <c r="N146" s="477">
        <f t="shared" si="212"/>
        <v>464</v>
      </c>
      <c r="O146" s="477"/>
      <c r="P146" s="477"/>
      <c r="Q146" s="477">
        <f t="shared" si="213"/>
        <v>0</v>
      </c>
      <c r="R146" s="477">
        <f t="shared" si="214"/>
        <v>464</v>
      </c>
      <c r="S146" s="477">
        <f t="shared" si="215"/>
        <v>-464</v>
      </c>
      <c r="V146" s="476">
        <f t="shared" si="173"/>
        <v>0</v>
      </c>
      <c r="W146" s="476">
        <f t="shared" si="174"/>
        <v>0</v>
      </c>
      <c r="X146" s="476">
        <f t="shared" si="175"/>
        <v>0</v>
      </c>
      <c r="Y146" s="476">
        <f t="shared" si="176"/>
        <v>0</v>
      </c>
      <c r="Z146" s="476">
        <f t="shared" si="177"/>
        <v>0</v>
      </c>
      <c r="AA146" s="476">
        <f t="shared" si="178"/>
        <v>0</v>
      </c>
      <c r="AB146" s="476">
        <f t="shared" si="179"/>
        <v>0</v>
      </c>
      <c r="AC146" s="476">
        <f t="shared" si="180"/>
        <v>464</v>
      </c>
      <c r="AD146" s="476">
        <f t="shared" si="181"/>
        <v>0</v>
      </c>
      <c r="AE146" s="476">
        <f t="shared" si="182"/>
        <v>0</v>
      </c>
      <c r="AF146" s="476">
        <f t="shared" si="183"/>
        <v>0</v>
      </c>
      <c r="AG146" s="476">
        <f t="shared" si="184"/>
        <v>0</v>
      </c>
      <c r="AH146" s="476">
        <f t="shared" si="185"/>
        <v>0</v>
      </c>
      <c r="AI146" s="476">
        <f t="shared" si="186"/>
        <v>0</v>
      </c>
      <c r="AJ146" s="476">
        <f t="shared" si="187"/>
        <v>0</v>
      </c>
      <c r="AK146" s="476">
        <f t="shared" si="188"/>
        <v>0</v>
      </c>
      <c r="AL146" s="476">
        <f t="shared" si="189"/>
        <v>0</v>
      </c>
      <c r="AM146" s="476">
        <f t="shared" si="190"/>
        <v>0</v>
      </c>
      <c r="AN146" s="476">
        <f t="shared" si="191"/>
        <v>0</v>
      </c>
      <c r="AO146" s="476">
        <f t="shared" si="192"/>
        <v>0</v>
      </c>
      <c r="AP146" s="476">
        <f t="shared" si="193"/>
        <v>0</v>
      </c>
      <c r="AQ146" s="476">
        <f t="shared" si="194"/>
        <v>0</v>
      </c>
      <c r="AR146" s="476">
        <f t="shared" si="195"/>
        <v>0</v>
      </c>
      <c r="AS146" s="476">
        <f t="shared" si="196"/>
        <v>0</v>
      </c>
      <c r="AT146" s="476">
        <f t="shared" si="197"/>
        <v>0</v>
      </c>
      <c r="AU146" s="476">
        <f t="shared" si="198"/>
        <v>0</v>
      </c>
      <c r="AV146" s="476">
        <f t="shared" si="199"/>
        <v>0</v>
      </c>
      <c r="AW146" s="476">
        <f t="shared" si="200"/>
        <v>0</v>
      </c>
      <c r="AX146" s="476">
        <f t="shared" si="201"/>
        <v>0</v>
      </c>
      <c r="AY146" s="476">
        <f t="shared" si="202"/>
        <v>0</v>
      </c>
      <c r="AZ146" s="476">
        <f t="shared" si="203"/>
        <v>0</v>
      </c>
      <c r="BA146" s="476">
        <f t="shared" si="204"/>
        <v>0</v>
      </c>
      <c r="BB146" s="476">
        <f t="shared" si="205"/>
        <v>0</v>
      </c>
      <c r="BC146" s="476">
        <f t="shared" si="206"/>
        <v>0</v>
      </c>
      <c r="BD146" s="476">
        <f t="shared" si="207"/>
        <v>0</v>
      </c>
      <c r="BE146" s="476">
        <f t="shared" si="208"/>
        <v>0</v>
      </c>
      <c r="BF146" s="476">
        <f t="shared" si="209"/>
        <v>0</v>
      </c>
      <c r="BG146" s="476">
        <f t="shared" si="210"/>
        <v>0</v>
      </c>
    </row>
    <row r="147" spans="1:59" ht="16.5" customHeight="1">
      <c r="A147" s="583" t="s">
        <v>803</v>
      </c>
      <c r="B147" s="584" t="s">
        <v>1655</v>
      </c>
      <c r="C147" s="584" t="s">
        <v>190</v>
      </c>
      <c r="D147" s="413" t="s">
        <v>1051</v>
      </c>
      <c r="E147" s="412" t="s">
        <v>473</v>
      </c>
      <c r="F147" s="413" t="s">
        <v>1134</v>
      </c>
      <c r="G147" s="412" t="s">
        <v>1137</v>
      </c>
      <c r="H147" s="412" t="s">
        <v>974</v>
      </c>
      <c r="I147" s="477">
        <v>0</v>
      </c>
      <c r="J147" s="477">
        <v>500</v>
      </c>
      <c r="K147" s="477">
        <v>0</v>
      </c>
      <c r="L147" s="477">
        <v>0</v>
      </c>
      <c r="M147" s="477">
        <f t="shared" si="211"/>
        <v>0</v>
      </c>
      <c r="N147" s="477">
        <f t="shared" si="212"/>
        <v>500</v>
      </c>
      <c r="O147" s="477"/>
      <c r="P147" s="477"/>
      <c r="Q147" s="477">
        <f t="shared" si="213"/>
        <v>0</v>
      </c>
      <c r="R147" s="477">
        <f t="shared" si="214"/>
        <v>500</v>
      </c>
      <c r="S147" s="477">
        <f t="shared" si="215"/>
        <v>-500</v>
      </c>
      <c r="V147" s="476">
        <f t="shared" si="173"/>
        <v>0</v>
      </c>
      <c r="W147" s="476">
        <f t="shared" si="174"/>
        <v>500</v>
      </c>
      <c r="X147" s="476">
        <f t="shared" si="175"/>
        <v>0</v>
      </c>
      <c r="Y147" s="476">
        <f t="shared" si="176"/>
        <v>0</v>
      </c>
      <c r="Z147" s="476">
        <f t="shared" si="177"/>
        <v>0</v>
      </c>
      <c r="AA147" s="476">
        <f t="shared" si="178"/>
        <v>0</v>
      </c>
      <c r="AB147" s="476">
        <f t="shared" si="179"/>
        <v>0</v>
      </c>
      <c r="AC147" s="476">
        <f t="shared" si="180"/>
        <v>0</v>
      </c>
      <c r="AD147" s="476">
        <f t="shared" si="181"/>
        <v>0</v>
      </c>
      <c r="AE147" s="476">
        <f t="shared" si="182"/>
        <v>0</v>
      </c>
      <c r="AF147" s="476">
        <f t="shared" si="183"/>
        <v>0</v>
      </c>
      <c r="AG147" s="476">
        <f t="shared" si="184"/>
        <v>0</v>
      </c>
      <c r="AH147" s="476">
        <f t="shared" si="185"/>
        <v>0</v>
      </c>
      <c r="AI147" s="476">
        <f t="shared" si="186"/>
        <v>0</v>
      </c>
      <c r="AJ147" s="476">
        <f t="shared" si="187"/>
        <v>0</v>
      </c>
      <c r="AK147" s="476">
        <f t="shared" si="188"/>
        <v>0</v>
      </c>
      <c r="AL147" s="476">
        <f t="shared" si="189"/>
        <v>0</v>
      </c>
      <c r="AM147" s="476">
        <f t="shared" si="190"/>
        <v>0</v>
      </c>
      <c r="AN147" s="476">
        <f t="shared" si="191"/>
        <v>0</v>
      </c>
      <c r="AO147" s="476">
        <f t="shared" si="192"/>
        <v>0</v>
      </c>
      <c r="AP147" s="476">
        <f t="shared" si="193"/>
        <v>0</v>
      </c>
      <c r="AQ147" s="476">
        <f t="shared" si="194"/>
        <v>0</v>
      </c>
      <c r="AR147" s="476">
        <f t="shared" si="195"/>
        <v>0</v>
      </c>
      <c r="AS147" s="476">
        <f t="shared" si="196"/>
        <v>0</v>
      </c>
      <c r="AT147" s="476">
        <f t="shared" si="197"/>
        <v>0</v>
      </c>
      <c r="AU147" s="476">
        <f t="shared" si="198"/>
        <v>0</v>
      </c>
      <c r="AV147" s="476">
        <f t="shared" si="199"/>
        <v>0</v>
      </c>
      <c r="AW147" s="476">
        <f t="shared" si="200"/>
        <v>0</v>
      </c>
      <c r="AX147" s="476">
        <f t="shared" si="201"/>
        <v>0</v>
      </c>
      <c r="AY147" s="476">
        <f t="shared" si="202"/>
        <v>0</v>
      </c>
      <c r="AZ147" s="476">
        <f t="shared" si="203"/>
        <v>0</v>
      </c>
      <c r="BA147" s="476">
        <f t="shared" si="204"/>
        <v>0</v>
      </c>
      <c r="BB147" s="476">
        <f t="shared" si="205"/>
        <v>0</v>
      </c>
      <c r="BC147" s="476">
        <f t="shared" si="206"/>
        <v>0</v>
      </c>
      <c r="BD147" s="476">
        <f t="shared" si="207"/>
        <v>0</v>
      </c>
      <c r="BE147" s="476">
        <f t="shared" si="208"/>
        <v>0</v>
      </c>
      <c r="BF147" s="476">
        <f t="shared" si="209"/>
        <v>0</v>
      </c>
      <c r="BG147" s="476">
        <f t="shared" si="210"/>
        <v>0</v>
      </c>
    </row>
    <row r="148" spans="1:59" ht="16.5" customHeight="1">
      <c r="A148" s="583" t="s">
        <v>804</v>
      </c>
      <c r="B148" s="584" t="s">
        <v>1656</v>
      </c>
      <c r="C148" s="584" t="s">
        <v>191</v>
      </c>
      <c r="D148" s="413" t="s">
        <v>1051</v>
      </c>
      <c r="E148" s="412" t="s">
        <v>473</v>
      </c>
      <c r="F148" s="413" t="s">
        <v>1134</v>
      </c>
      <c r="G148" s="412" t="s">
        <v>1137</v>
      </c>
      <c r="H148" s="412" t="s">
        <v>1021</v>
      </c>
      <c r="I148" s="477">
        <v>0</v>
      </c>
      <c r="J148" s="477">
        <v>35940</v>
      </c>
      <c r="K148" s="477">
        <v>0</v>
      </c>
      <c r="L148" s="477">
        <v>0</v>
      </c>
      <c r="M148" s="477">
        <f t="shared" si="211"/>
        <v>0</v>
      </c>
      <c r="N148" s="477">
        <f t="shared" si="212"/>
        <v>35940</v>
      </c>
      <c r="O148" s="477"/>
      <c r="P148" s="477"/>
      <c r="Q148" s="477">
        <f t="shared" si="213"/>
        <v>0</v>
      </c>
      <c r="R148" s="477">
        <f t="shared" si="214"/>
        <v>35940</v>
      </c>
      <c r="S148" s="477">
        <f t="shared" si="215"/>
        <v>-35940</v>
      </c>
      <c r="V148" s="476">
        <f t="shared" si="173"/>
        <v>0</v>
      </c>
      <c r="W148" s="476">
        <f t="shared" si="174"/>
        <v>0</v>
      </c>
      <c r="X148" s="476">
        <f t="shared" si="175"/>
        <v>0</v>
      </c>
      <c r="Y148" s="476">
        <f t="shared" si="176"/>
        <v>0</v>
      </c>
      <c r="Z148" s="476">
        <f t="shared" si="177"/>
        <v>0</v>
      </c>
      <c r="AA148" s="476">
        <f t="shared" si="178"/>
        <v>0</v>
      </c>
      <c r="AB148" s="476">
        <f t="shared" si="179"/>
        <v>0</v>
      </c>
      <c r="AC148" s="476">
        <f t="shared" si="180"/>
        <v>0</v>
      </c>
      <c r="AD148" s="476">
        <f t="shared" si="181"/>
        <v>0</v>
      </c>
      <c r="AE148" s="476">
        <f t="shared" si="182"/>
        <v>0</v>
      </c>
      <c r="AF148" s="476">
        <f t="shared" si="183"/>
        <v>0</v>
      </c>
      <c r="AG148" s="476">
        <f t="shared" si="184"/>
        <v>35940</v>
      </c>
      <c r="AH148" s="476">
        <f t="shared" si="185"/>
        <v>0</v>
      </c>
      <c r="AI148" s="476">
        <f t="shared" si="186"/>
        <v>0</v>
      </c>
      <c r="AJ148" s="476">
        <f t="shared" si="187"/>
        <v>0</v>
      </c>
      <c r="AK148" s="476">
        <f t="shared" si="188"/>
        <v>0</v>
      </c>
      <c r="AL148" s="476">
        <f t="shared" si="189"/>
        <v>0</v>
      </c>
      <c r="AM148" s="476">
        <f t="shared" si="190"/>
        <v>0</v>
      </c>
      <c r="AN148" s="476">
        <f t="shared" si="191"/>
        <v>0</v>
      </c>
      <c r="AO148" s="476">
        <f t="shared" si="192"/>
        <v>0</v>
      </c>
      <c r="AP148" s="476">
        <f t="shared" si="193"/>
        <v>0</v>
      </c>
      <c r="AQ148" s="476">
        <f t="shared" si="194"/>
        <v>0</v>
      </c>
      <c r="AR148" s="476">
        <f t="shared" si="195"/>
        <v>0</v>
      </c>
      <c r="AS148" s="476">
        <f t="shared" si="196"/>
        <v>0</v>
      </c>
      <c r="AT148" s="476">
        <f t="shared" si="197"/>
        <v>0</v>
      </c>
      <c r="AU148" s="476">
        <f t="shared" si="198"/>
        <v>0</v>
      </c>
      <c r="AV148" s="476">
        <f t="shared" si="199"/>
        <v>0</v>
      </c>
      <c r="AW148" s="476">
        <f t="shared" si="200"/>
        <v>0</v>
      </c>
      <c r="AX148" s="476">
        <f t="shared" si="201"/>
        <v>0</v>
      </c>
      <c r="AY148" s="476">
        <f t="shared" si="202"/>
        <v>0</v>
      </c>
      <c r="AZ148" s="476">
        <f t="shared" si="203"/>
        <v>0</v>
      </c>
      <c r="BA148" s="476">
        <f t="shared" si="204"/>
        <v>0</v>
      </c>
      <c r="BB148" s="476">
        <f t="shared" si="205"/>
        <v>0</v>
      </c>
      <c r="BC148" s="476">
        <f t="shared" si="206"/>
        <v>0</v>
      </c>
      <c r="BD148" s="476">
        <f t="shared" si="207"/>
        <v>0</v>
      </c>
      <c r="BE148" s="476">
        <f t="shared" si="208"/>
        <v>0</v>
      </c>
      <c r="BF148" s="476">
        <f t="shared" si="209"/>
        <v>0</v>
      </c>
      <c r="BG148" s="476">
        <f t="shared" si="210"/>
        <v>0</v>
      </c>
    </row>
    <row r="149" spans="1:59" ht="16.5" customHeight="1">
      <c r="A149" s="583" t="s">
        <v>805</v>
      </c>
      <c r="B149" s="584" t="s">
        <v>1657</v>
      </c>
      <c r="C149" s="584" t="s">
        <v>192</v>
      </c>
      <c r="D149" s="413" t="s">
        <v>1051</v>
      </c>
      <c r="E149" s="412" t="s">
        <v>473</v>
      </c>
      <c r="F149" s="413" t="s">
        <v>1134</v>
      </c>
      <c r="G149" s="412" t="s">
        <v>1137</v>
      </c>
      <c r="H149" s="412" t="s">
        <v>974</v>
      </c>
      <c r="I149" s="477">
        <v>0</v>
      </c>
      <c r="J149" s="477">
        <v>68623</v>
      </c>
      <c r="K149" s="477">
        <v>0</v>
      </c>
      <c r="L149" s="477">
        <v>0</v>
      </c>
      <c r="M149" s="477">
        <f t="shared" si="211"/>
        <v>0</v>
      </c>
      <c r="N149" s="477">
        <f t="shared" si="212"/>
        <v>68623</v>
      </c>
      <c r="O149" s="477"/>
      <c r="P149" s="477"/>
      <c r="Q149" s="477">
        <f t="shared" si="213"/>
        <v>0</v>
      </c>
      <c r="R149" s="477">
        <f t="shared" si="214"/>
        <v>68623</v>
      </c>
      <c r="S149" s="477">
        <f t="shared" si="215"/>
        <v>-68623</v>
      </c>
      <c r="V149" s="476">
        <f t="shared" si="173"/>
        <v>0</v>
      </c>
      <c r="W149" s="476">
        <f t="shared" si="174"/>
        <v>68623</v>
      </c>
      <c r="X149" s="476">
        <f t="shared" si="175"/>
        <v>0</v>
      </c>
      <c r="Y149" s="476">
        <f t="shared" si="176"/>
        <v>0</v>
      </c>
      <c r="Z149" s="476">
        <f t="shared" si="177"/>
        <v>0</v>
      </c>
      <c r="AA149" s="476">
        <f t="shared" si="178"/>
        <v>0</v>
      </c>
      <c r="AB149" s="476">
        <f t="shared" si="179"/>
        <v>0</v>
      </c>
      <c r="AC149" s="476">
        <f t="shared" si="180"/>
        <v>0</v>
      </c>
      <c r="AD149" s="476">
        <f t="shared" si="181"/>
        <v>0</v>
      </c>
      <c r="AE149" s="476">
        <f t="shared" si="182"/>
        <v>0</v>
      </c>
      <c r="AF149" s="476">
        <f t="shared" si="183"/>
        <v>0</v>
      </c>
      <c r="AG149" s="476">
        <f t="shared" si="184"/>
        <v>0</v>
      </c>
      <c r="AH149" s="476">
        <f t="shared" si="185"/>
        <v>0</v>
      </c>
      <c r="AI149" s="476">
        <f t="shared" si="186"/>
        <v>0</v>
      </c>
      <c r="AJ149" s="476">
        <f t="shared" si="187"/>
        <v>0</v>
      </c>
      <c r="AK149" s="476">
        <f t="shared" si="188"/>
        <v>0</v>
      </c>
      <c r="AL149" s="476">
        <f t="shared" si="189"/>
        <v>0</v>
      </c>
      <c r="AM149" s="476">
        <f t="shared" si="190"/>
        <v>0</v>
      </c>
      <c r="AN149" s="476">
        <f t="shared" si="191"/>
        <v>0</v>
      </c>
      <c r="AO149" s="476">
        <f t="shared" si="192"/>
        <v>0</v>
      </c>
      <c r="AP149" s="476">
        <f t="shared" si="193"/>
        <v>0</v>
      </c>
      <c r="AQ149" s="476">
        <f t="shared" si="194"/>
        <v>0</v>
      </c>
      <c r="AR149" s="476">
        <f t="shared" si="195"/>
        <v>0</v>
      </c>
      <c r="AS149" s="476">
        <f t="shared" si="196"/>
        <v>0</v>
      </c>
      <c r="AT149" s="476">
        <f t="shared" si="197"/>
        <v>0</v>
      </c>
      <c r="AU149" s="476">
        <f t="shared" si="198"/>
        <v>0</v>
      </c>
      <c r="AV149" s="476">
        <f t="shared" si="199"/>
        <v>0</v>
      </c>
      <c r="AW149" s="476">
        <f t="shared" si="200"/>
        <v>0</v>
      </c>
      <c r="AX149" s="476">
        <f t="shared" si="201"/>
        <v>0</v>
      </c>
      <c r="AY149" s="476">
        <f t="shared" si="202"/>
        <v>0</v>
      </c>
      <c r="AZ149" s="476">
        <f t="shared" si="203"/>
        <v>0</v>
      </c>
      <c r="BA149" s="476">
        <f t="shared" si="204"/>
        <v>0</v>
      </c>
      <c r="BB149" s="476">
        <f t="shared" si="205"/>
        <v>0</v>
      </c>
      <c r="BC149" s="476">
        <f t="shared" si="206"/>
        <v>0</v>
      </c>
      <c r="BD149" s="476">
        <f t="shared" si="207"/>
        <v>0</v>
      </c>
      <c r="BE149" s="476">
        <f t="shared" si="208"/>
        <v>0</v>
      </c>
      <c r="BF149" s="476">
        <f t="shared" si="209"/>
        <v>0</v>
      </c>
      <c r="BG149" s="476">
        <f t="shared" si="210"/>
        <v>0</v>
      </c>
    </row>
    <row r="150" spans="1:59" ht="16.5" customHeight="1">
      <c r="A150" s="583" t="s">
        <v>806</v>
      </c>
      <c r="B150" s="584" t="s">
        <v>1658</v>
      </c>
      <c r="C150" s="584" t="s">
        <v>193</v>
      </c>
      <c r="D150" s="413" t="s">
        <v>1051</v>
      </c>
      <c r="E150" s="412" t="s">
        <v>473</v>
      </c>
      <c r="F150" s="413" t="s">
        <v>1134</v>
      </c>
      <c r="G150" s="412" t="s">
        <v>1137</v>
      </c>
      <c r="H150" s="412" t="s">
        <v>992</v>
      </c>
      <c r="I150" s="477">
        <v>0</v>
      </c>
      <c r="J150" s="477">
        <v>275</v>
      </c>
      <c r="K150" s="477">
        <v>0</v>
      </c>
      <c r="L150" s="477">
        <v>0</v>
      </c>
      <c r="M150" s="477">
        <f t="shared" si="211"/>
        <v>0</v>
      </c>
      <c r="N150" s="477">
        <f t="shared" si="212"/>
        <v>275</v>
      </c>
      <c r="O150" s="477"/>
      <c r="P150" s="477"/>
      <c r="Q150" s="477">
        <f t="shared" si="213"/>
        <v>0</v>
      </c>
      <c r="R150" s="477">
        <f t="shared" si="214"/>
        <v>275</v>
      </c>
      <c r="S150" s="477">
        <f t="shared" si="215"/>
        <v>-275</v>
      </c>
      <c r="V150" s="476">
        <f t="shared" si="173"/>
        <v>0</v>
      </c>
      <c r="W150" s="476">
        <f t="shared" si="174"/>
        <v>0</v>
      </c>
      <c r="X150" s="476">
        <f t="shared" si="175"/>
        <v>0</v>
      </c>
      <c r="Y150" s="476">
        <f t="shared" si="176"/>
        <v>0</v>
      </c>
      <c r="Z150" s="476">
        <f t="shared" si="177"/>
        <v>0</v>
      </c>
      <c r="AA150" s="476">
        <f t="shared" si="178"/>
        <v>0</v>
      </c>
      <c r="AB150" s="476">
        <f t="shared" si="179"/>
        <v>0</v>
      </c>
      <c r="AC150" s="476">
        <f t="shared" si="180"/>
        <v>0</v>
      </c>
      <c r="AD150" s="476">
        <f t="shared" si="181"/>
        <v>0</v>
      </c>
      <c r="AE150" s="476">
        <f t="shared" si="182"/>
        <v>0</v>
      </c>
      <c r="AF150" s="476">
        <f t="shared" si="183"/>
        <v>0</v>
      </c>
      <c r="AG150" s="476">
        <f t="shared" si="184"/>
        <v>0</v>
      </c>
      <c r="AH150" s="476">
        <f t="shared" si="185"/>
        <v>0</v>
      </c>
      <c r="AI150" s="476">
        <f t="shared" si="186"/>
        <v>0</v>
      </c>
      <c r="AJ150" s="476">
        <f t="shared" si="187"/>
        <v>0</v>
      </c>
      <c r="AK150" s="476">
        <f t="shared" si="188"/>
        <v>0</v>
      </c>
      <c r="AL150" s="476">
        <f t="shared" si="189"/>
        <v>0</v>
      </c>
      <c r="AM150" s="476">
        <f t="shared" si="190"/>
        <v>0</v>
      </c>
      <c r="AN150" s="476">
        <f t="shared" si="191"/>
        <v>0</v>
      </c>
      <c r="AO150" s="476">
        <f t="shared" si="192"/>
        <v>275</v>
      </c>
      <c r="AP150" s="476">
        <f t="shared" si="193"/>
        <v>0</v>
      </c>
      <c r="AQ150" s="476">
        <f t="shared" si="194"/>
        <v>0</v>
      </c>
      <c r="AR150" s="476">
        <f t="shared" si="195"/>
        <v>0</v>
      </c>
      <c r="AS150" s="476">
        <f t="shared" si="196"/>
        <v>0</v>
      </c>
      <c r="AT150" s="476">
        <f t="shared" si="197"/>
        <v>0</v>
      </c>
      <c r="AU150" s="476">
        <f t="shared" si="198"/>
        <v>0</v>
      </c>
      <c r="AV150" s="476">
        <f t="shared" si="199"/>
        <v>0</v>
      </c>
      <c r="AW150" s="476">
        <f t="shared" si="200"/>
        <v>0</v>
      </c>
      <c r="AX150" s="476">
        <f t="shared" si="201"/>
        <v>0</v>
      </c>
      <c r="AY150" s="476">
        <f t="shared" si="202"/>
        <v>0</v>
      </c>
      <c r="AZ150" s="476">
        <f t="shared" si="203"/>
        <v>0</v>
      </c>
      <c r="BA150" s="476">
        <f t="shared" si="204"/>
        <v>0</v>
      </c>
      <c r="BB150" s="476">
        <f t="shared" si="205"/>
        <v>0</v>
      </c>
      <c r="BC150" s="476">
        <f t="shared" si="206"/>
        <v>0</v>
      </c>
      <c r="BD150" s="476">
        <f t="shared" si="207"/>
        <v>0</v>
      </c>
      <c r="BE150" s="476">
        <f t="shared" si="208"/>
        <v>0</v>
      </c>
      <c r="BF150" s="476">
        <f t="shared" si="209"/>
        <v>0</v>
      </c>
      <c r="BG150" s="476">
        <f t="shared" si="210"/>
        <v>0</v>
      </c>
    </row>
    <row r="151" spans="1:59" ht="16.5" customHeight="1">
      <c r="A151" s="583" t="s">
        <v>807</v>
      </c>
      <c r="B151" s="584" t="s">
        <v>1659</v>
      </c>
      <c r="C151" s="584" t="s">
        <v>410</v>
      </c>
      <c r="D151" s="413" t="s">
        <v>1051</v>
      </c>
      <c r="E151" s="412" t="s">
        <v>473</v>
      </c>
      <c r="F151" s="413" t="s">
        <v>1134</v>
      </c>
      <c r="G151" s="412" t="s">
        <v>1137</v>
      </c>
      <c r="H151" s="412" t="s">
        <v>1022</v>
      </c>
      <c r="I151" s="477">
        <v>0</v>
      </c>
      <c r="J151" s="477">
        <v>370</v>
      </c>
      <c r="K151" s="477">
        <v>0</v>
      </c>
      <c r="L151" s="477">
        <v>0</v>
      </c>
      <c r="M151" s="477">
        <f t="shared" si="211"/>
        <v>0</v>
      </c>
      <c r="N151" s="477">
        <f t="shared" si="212"/>
        <v>370</v>
      </c>
      <c r="O151" s="477"/>
      <c r="P151" s="477"/>
      <c r="Q151" s="477">
        <f t="shared" si="213"/>
        <v>0</v>
      </c>
      <c r="R151" s="477">
        <f t="shared" si="214"/>
        <v>370</v>
      </c>
      <c r="S151" s="477">
        <f t="shared" si="215"/>
        <v>-370</v>
      </c>
      <c r="V151" s="476">
        <f t="shared" si="173"/>
        <v>0</v>
      </c>
      <c r="W151" s="476">
        <f t="shared" si="174"/>
        <v>0</v>
      </c>
      <c r="X151" s="476">
        <f t="shared" si="175"/>
        <v>0</v>
      </c>
      <c r="Y151" s="476">
        <f t="shared" si="176"/>
        <v>0</v>
      </c>
      <c r="Z151" s="476">
        <f t="shared" si="177"/>
        <v>0</v>
      </c>
      <c r="AA151" s="476">
        <f t="shared" si="178"/>
        <v>0</v>
      </c>
      <c r="AB151" s="476">
        <f t="shared" si="179"/>
        <v>0</v>
      </c>
      <c r="AC151" s="476">
        <f t="shared" si="180"/>
        <v>0</v>
      </c>
      <c r="AD151" s="476">
        <f t="shared" si="181"/>
        <v>0</v>
      </c>
      <c r="AE151" s="476">
        <f t="shared" si="182"/>
        <v>0</v>
      </c>
      <c r="AF151" s="476">
        <f t="shared" si="183"/>
        <v>0</v>
      </c>
      <c r="AG151" s="476">
        <f t="shared" si="184"/>
        <v>0</v>
      </c>
      <c r="AH151" s="476">
        <f t="shared" si="185"/>
        <v>0</v>
      </c>
      <c r="AI151" s="476">
        <f t="shared" si="186"/>
        <v>0</v>
      </c>
      <c r="AJ151" s="476">
        <f t="shared" si="187"/>
        <v>0</v>
      </c>
      <c r="AK151" s="476">
        <f t="shared" si="188"/>
        <v>0</v>
      </c>
      <c r="AL151" s="476">
        <f t="shared" si="189"/>
        <v>0</v>
      </c>
      <c r="AM151" s="476">
        <f t="shared" si="190"/>
        <v>0</v>
      </c>
      <c r="AN151" s="476">
        <f t="shared" si="191"/>
        <v>0</v>
      </c>
      <c r="AO151" s="476">
        <f t="shared" si="192"/>
        <v>0</v>
      </c>
      <c r="AP151" s="476">
        <f t="shared" si="193"/>
        <v>0</v>
      </c>
      <c r="AQ151" s="476">
        <f t="shared" si="194"/>
        <v>0</v>
      </c>
      <c r="AR151" s="476">
        <f t="shared" si="195"/>
        <v>0</v>
      </c>
      <c r="AS151" s="476">
        <f t="shared" si="196"/>
        <v>0</v>
      </c>
      <c r="AT151" s="476">
        <f t="shared" si="197"/>
        <v>0</v>
      </c>
      <c r="AU151" s="476">
        <f t="shared" si="198"/>
        <v>0</v>
      </c>
      <c r="AV151" s="476">
        <f t="shared" si="199"/>
        <v>0</v>
      </c>
      <c r="AW151" s="476">
        <f t="shared" si="200"/>
        <v>370</v>
      </c>
      <c r="AX151" s="476">
        <f t="shared" si="201"/>
        <v>0</v>
      </c>
      <c r="AY151" s="476">
        <f t="shared" si="202"/>
        <v>0</v>
      </c>
      <c r="AZ151" s="476">
        <f t="shared" si="203"/>
        <v>0</v>
      </c>
      <c r="BA151" s="476">
        <f t="shared" si="204"/>
        <v>0</v>
      </c>
      <c r="BB151" s="476">
        <f t="shared" si="205"/>
        <v>0</v>
      </c>
      <c r="BC151" s="476">
        <f t="shared" si="206"/>
        <v>0</v>
      </c>
      <c r="BD151" s="476">
        <f t="shared" si="207"/>
        <v>0</v>
      </c>
      <c r="BE151" s="476">
        <f t="shared" si="208"/>
        <v>0</v>
      </c>
      <c r="BF151" s="476">
        <f t="shared" si="209"/>
        <v>0</v>
      </c>
      <c r="BG151" s="476">
        <f t="shared" si="210"/>
        <v>0</v>
      </c>
    </row>
    <row r="152" spans="1:59" ht="16.5" customHeight="1">
      <c r="A152" s="583" t="s">
        <v>808</v>
      </c>
      <c r="B152" s="584" t="s">
        <v>1660</v>
      </c>
      <c r="C152" s="584" t="s">
        <v>194</v>
      </c>
      <c r="D152" s="413" t="s">
        <v>1051</v>
      </c>
      <c r="E152" s="412" t="s">
        <v>473</v>
      </c>
      <c r="F152" s="413" t="s">
        <v>1064</v>
      </c>
      <c r="G152" s="412" t="s">
        <v>332</v>
      </c>
      <c r="H152" s="412" t="s">
        <v>974</v>
      </c>
      <c r="I152" s="477">
        <v>8323684</v>
      </c>
      <c r="J152" s="477">
        <v>8323684</v>
      </c>
      <c r="K152" s="477">
        <v>0</v>
      </c>
      <c r="L152" s="477">
        <v>0</v>
      </c>
      <c r="M152" s="477">
        <f t="shared" si="211"/>
        <v>8323684</v>
      </c>
      <c r="N152" s="477">
        <f t="shared" si="212"/>
        <v>8323684</v>
      </c>
      <c r="O152" s="477"/>
      <c r="P152" s="477"/>
      <c r="Q152" s="477">
        <f t="shared" si="213"/>
        <v>8323684</v>
      </c>
      <c r="R152" s="477">
        <f t="shared" si="214"/>
        <v>8323684</v>
      </c>
      <c r="S152" s="477">
        <f t="shared" si="215"/>
        <v>0</v>
      </c>
      <c r="V152" s="476">
        <f t="shared" ref="V152:V183" si="216">IF($V$8=$H152,$Q152,0)</f>
        <v>8323684</v>
      </c>
      <c r="W152" s="476">
        <f t="shared" ref="W152:W183" si="217">IF($V$8=$H152,$R152,0)</f>
        <v>8323684</v>
      </c>
      <c r="X152" s="476">
        <f t="shared" ref="X152:X183" si="218">IF($X$8=$H152,$Q152,0)</f>
        <v>0</v>
      </c>
      <c r="Y152" s="476">
        <f t="shared" ref="Y152:Y183" si="219">IF($X$8=$H152,$R152,0)</f>
        <v>0</v>
      </c>
      <c r="Z152" s="476">
        <f t="shared" ref="Z152:Z183" si="220">IF($Z$8=$H152,$Q152,0)</f>
        <v>0</v>
      </c>
      <c r="AA152" s="476">
        <f t="shared" ref="AA152:AA183" si="221">IF($Z$8=$H152,$R152,0)</f>
        <v>0</v>
      </c>
      <c r="AB152" s="476">
        <f t="shared" ref="AB152:AB183" si="222">IF($AB$8=$H152,$Q152,0)</f>
        <v>0</v>
      </c>
      <c r="AC152" s="476">
        <f t="shared" ref="AC152:AC183" si="223">IF($AB$8=$H152,$R152,0)</f>
        <v>0</v>
      </c>
      <c r="AD152" s="476">
        <f t="shared" ref="AD152:AD183" si="224">IF($AD$8=$H152,$Q152,0)</f>
        <v>0</v>
      </c>
      <c r="AE152" s="476">
        <f t="shared" ref="AE152:AE183" si="225">IF($AD$8=$H152,$R152,0)</f>
        <v>0</v>
      </c>
      <c r="AF152" s="476">
        <f t="shared" ref="AF152:AF183" si="226">IF($AF$8=$H152,$Q152,0)</f>
        <v>0</v>
      </c>
      <c r="AG152" s="476">
        <f t="shared" ref="AG152:AG183" si="227">IF($AF$8=$H152,$R152,0)</f>
        <v>0</v>
      </c>
      <c r="AH152" s="476">
        <f t="shared" ref="AH152:AH183" si="228">IF($AH$8=$H152,$Q152,0)</f>
        <v>0</v>
      </c>
      <c r="AI152" s="476">
        <f t="shared" ref="AI152:AI183" si="229">IF($AH$8=$H152,$R152,0)</f>
        <v>0</v>
      </c>
      <c r="AJ152" s="476">
        <f t="shared" ref="AJ152:AJ183" si="230">IF($AJ$8=$H152,$Q152,0)</f>
        <v>0</v>
      </c>
      <c r="AK152" s="476">
        <f t="shared" ref="AK152:AK183" si="231">IF($AJ$8=$H152,$R152,0)</f>
        <v>0</v>
      </c>
      <c r="AL152" s="476">
        <f t="shared" ref="AL152:AL183" si="232">IF($AL$8=$H152,$Q152,0)</f>
        <v>0</v>
      </c>
      <c r="AM152" s="476">
        <f t="shared" ref="AM152:AM183" si="233">IF($AL$8=$H152,$R152,0)</f>
        <v>0</v>
      </c>
      <c r="AN152" s="476">
        <f t="shared" ref="AN152:AN183" si="234">IF($AN$8=$H152,$Q152,0)</f>
        <v>0</v>
      </c>
      <c r="AO152" s="476">
        <f t="shared" ref="AO152:AO183" si="235">IF($AN$8=$H152,$R152,0)</f>
        <v>0</v>
      </c>
      <c r="AP152" s="476">
        <f t="shared" ref="AP152:AP183" si="236">IF($AP$8=$H152,$Q152,0)</f>
        <v>0</v>
      </c>
      <c r="AQ152" s="476">
        <f t="shared" ref="AQ152:AQ183" si="237">IF($AP$8=$H152,$R152,0)</f>
        <v>0</v>
      </c>
      <c r="AR152" s="476">
        <f t="shared" ref="AR152:AR183" si="238">IF($AR$8=$H152,$Q152,0)</f>
        <v>0</v>
      </c>
      <c r="AS152" s="476">
        <f t="shared" ref="AS152:AS183" si="239">IF($AR$8=$H152,$R152,0)</f>
        <v>0</v>
      </c>
      <c r="AT152" s="476">
        <f t="shared" ref="AT152:AT183" si="240">IF($AT$8=$H152,$Q152,0)</f>
        <v>0</v>
      </c>
      <c r="AU152" s="476">
        <f t="shared" ref="AU152:AU183" si="241">IF($AT$8=$H152,$R152,0)</f>
        <v>0</v>
      </c>
      <c r="AV152" s="476">
        <f t="shared" ref="AV152:AV183" si="242">IF($AV$8=$H152,$Q152,0)</f>
        <v>0</v>
      </c>
      <c r="AW152" s="476">
        <f t="shared" ref="AW152:AW183" si="243">IF($AV$8=$H152,$R152,0)</f>
        <v>0</v>
      </c>
      <c r="AX152" s="476">
        <f t="shared" ref="AX152:AX183" si="244">IF($AX$8=$H152,$Q152,0)</f>
        <v>0</v>
      </c>
      <c r="AY152" s="476">
        <f t="shared" ref="AY152:AY183" si="245">IF($AX$8=$H152,$R152,0)</f>
        <v>0</v>
      </c>
      <c r="AZ152" s="476">
        <f t="shared" ref="AZ152:AZ183" si="246">IF($AZ$8=$H152,$Q152,0)</f>
        <v>0</v>
      </c>
      <c r="BA152" s="476">
        <f t="shared" ref="BA152:BA183" si="247">IF($AZ$8=$H152,$R152,0)</f>
        <v>0</v>
      </c>
      <c r="BB152" s="476">
        <f t="shared" ref="BB152:BB183" si="248">IF($BB$8=$H152,$Q152,0)</f>
        <v>0</v>
      </c>
      <c r="BC152" s="476">
        <f t="shared" ref="BC152:BC183" si="249">IF($BB$8=$H152,$R152,0)</f>
        <v>0</v>
      </c>
      <c r="BD152" s="476">
        <f t="shared" ref="BD152:BD183" si="250">IF($BD$8=$H152,$Q152,0)</f>
        <v>0</v>
      </c>
      <c r="BE152" s="476">
        <f t="shared" ref="BE152:BE183" si="251">IF($BD$8=$H152,$R152,0)</f>
        <v>0</v>
      </c>
      <c r="BF152" s="476">
        <f t="shared" ref="BF152:BF183" si="252">IF($BF$8=$H152,$Q152,0)</f>
        <v>0</v>
      </c>
      <c r="BG152" s="476">
        <f t="shared" ref="BG152:BG183" si="253">IF($BF$8=$H152,$R152,0)</f>
        <v>0</v>
      </c>
    </row>
    <row r="153" spans="1:59" ht="16.5" customHeight="1">
      <c r="A153" s="583" t="s">
        <v>815</v>
      </c>
      <c r="B153" s="584" t="s">
        <v>1661</v>
      </c>
      <c r="C153" s="584" t="s">
        <v>218</v>
      </c>
      <c r="D153" s="413" t="s">
        <v>1051</v>
      </c>
      <c r="E153" s="412" t="s">
        <v>473</v>
      </c>
      <c r="F153" s="413" t="s">
        <v>1134</v>
      </c>
      <c r="G153" s="412" t="s">
        <v>1137</v>
      </c>
      <c r="H153" s="412" t="s">
        <v>974</v>
      </c>
      <c r="I153" s="477">
        <v>0</v>
      </c>
      <c r="J153" s="477">
        <v>131479</v>
      </c>
      <c r="K153" s="477">
        <v>0</v>
      </c>
      <c r="L153" s="477">
        <v>0</v>
      </c>
      <c r="M153" s="477">
        <f t="shared" si="211"/>
        <v>0</v>
      </c>
      <c r="N153" s="477">
        <f t="shared" si="212"/>
        <v>131479</v>
      </c>
      <c r="O153" s="477"/>
      <c r="P153" s="477"/>
      <c r="Q153" s="477">
        <f t="shared" si="213"/>
        <v>0</v>
      </c>
      <c r="R153" s="477">
        <f t="shared" si="214"/>
        <v>131479</v>
      </c>
      <c r="S153" s="477">
        <f t="shared" si="215"/>
        <v>-131479</v>
      </c>
      <c r="V153" s="476">
        <f t="shared" si="216"/>
        <v>0</v>
      </c>
      <c r="W153" s="476">
        <f t="shared" si="217"/>
        <v>131479</v>
      </c>
      <c r="X153" s="476">
        <f t="shared" si="218"/>
        <v>0</v>
      </c>
      <c r="Y153" s="476">
        <f t="shared" si="219"/>
        <v>0</v>
      </c>
      <c r="Z153" s="476">
        <f t="shared" si="220"/>
        <v>0</v>
      </c>
      <c r="AA153" s="476">
        <f t="shared" si="221"/>
        <v>0</v>
      </c>
      <c r="AB153" s="476">
        <f t="shared" si="222"/>
        <v>0</v>
      </c>
      <c r="AC153" s="476">
        <f t="shared" si="223"/>
        <v>0</v>
      </c>
      <c r="AD153" s="476">
        <f t="shared" si="224"/>
        <v>0</v>
      </c>
      <c r="AE153" s="476">
        <f t="shared" si="225"/>
        <v>0</v>
      </c>
      <c r="AF153" s="476">
        <f t="shared" si="226"/>
        <v>0</v>
      </c>
      <c r="AG153" s="476">
        <f t="shared" si="227"/>
        <v>0</v>
      </c>
      <c r="AH153" s="476">
        <f t="shared" si="228"/>
        <v>0</v>
      </c>
      <c r="AI153" s="476">
        <f t="shared" si="229"/>
        <v>0</v>
      </c>
      <c r="AJ153" s="476">
        <f t="shared" si="230"/>
        <v>0</v>
      </c>
      <c r="AK153" s="476">
        <f t="shared" si="231"/>
        <v>0</v>
      </c>
      <c r="AL153" s="476">
        <f t="shared" si="232"/>
        <v>0</v>
      </c>
      <c r="AM153" s="476">
        <f t="shared" si="233"/>
        <v>0</v>
      </c>
      <c r="AN153" s="476">
        <f t="shared" si="234"/>
        <v>0</v>
      </c>
      <c r="AO153" s="476">
        <f t="shared" si="235"/>
        <v>0</v>
      </c>
      <c r="AP153" s="476">
        <f t="shared" si="236"/>
        <v>0</v>
      </c>
      <c r="AQ153" s="476">
        <f t="shared" si="237"/>
        <v>0</v>
      </c>
      <c r="AR153" s="476">
        <f t="shared" si="238"/>
        <v>0</v>
      </c>
      <c r="AS153" s="476">
        <f t="shared" si="239"/>
        <v>0</v>
      </c>
      <c r="AT153" s="476">
        <f t="shared" si="240"/>
        <v>0</v>
      </c>
      <c r="AU153" s="476">
        <f t="shared" si="241"/>
        <v>0</v>
      </c>
      <c r="AV153" s="476">
        <f t="shared" si="242"/>
        <v>0</v>
      </c>
      <c r="AW153" s="476">
        <f t="shared" si="243"/>
        <v>0</v>
      </c>
      <c r="AX153" s="476">
        <f t="shared" si="244"/>
        <v>0</v>
      </c>
      <c r="AY153" s="476">
        <f t="shared" si="245"/>
        <v>0</v>
      </c>
      <c r="AZ153" s="476">
        <f t="shared" si="246"/>
        <v>0</v>
      </c>
      <c r="BA153" s="476">
        <f t="shared" si="247"/>
        <v>0</v>
      </c>
      <c r="BB153" s="476">
        <f t="shared" si="248"/>
        <v>0</v>
      </c>
      <c r="BC153" s="476">
        <f t="shared" si="249"/>
        <v>0</v>
      </c>
      <c r="BD153" s="476">
        <f t="shared" si="250"/>
        <v>0</v>
      </c>
      <c r="BE153" s="476">
        <f t="shared" si="251"/>
        <v>0</v>
      </c>
      <c r="BF153" s="476">
        <f t="shared" si="252"/>
        <v>0</v>
      </c>
      <c r="BG153" s="476">
        <f t="shared" si="253"/>
        <v>0</v>
      </c>
    </row>
    <row r="154" spans="1:59" ht="16.5" customHeight="1">
      <c r="A154" s="583" t="s">
        <v>815</v>
      </c>
      <c r="B154" s="584" t="s">
        <v>1661</v>
      </c>
      <c r="C154" s="584" t="s">
        <v>1750</v>
      </c>
      <c r="D154" s="413" t="s">
        <v>1051</v>
      </c>
      <c r="E154" s="412" t="s">
        <v>473</v>
      </c>
      <c r="F154" s="413" t="s">
        <v>1134</v>
      </c>
      <c r="G154" s="412" t="s">
        <v>1137</v>
      </c>
      <c r="H154" s="412" t="s">
        <v>1055</v>
      </c>
      <c r="I154" s="477">
        <v>0</v>
      </c>
      <c r="J154" s="477">
        <v>322</v>
      </c>
      <c r="K154" s="477">
        <v>0</v>
      </c>
      <c r="L154" s="477">
        <v>0</v>
      </c>
      <c r="M154" s="477">
        <f t="shared" si="211"/>
        <v>0</v>
      </c>
      <c r="N154" s="477">
        <f t="shared" si="212"/>
        <v>322</v>
      </c>
      <c r="O154" s="477"/>
      <c r="P154" s="477"/>
      <c r="Q154" s="477">
        <f t="shared" si="213"/>
        <v>0</v>
      </c>
      <c r="R154" s="477">
        <f t="shared" si="214"/>
        <v>322</v>
      </c>
      <c r="S154" s="477">
        <f t="shared" si="215"/>
        <v>-322</v>
      </c>
      <c r="V154" s="476">
        <f t="shared" si="216"/>
        <v>0</v>
      </c>
      <c r="W154" s="476">
        <f t="shared" si="217"/>
        <v>0</v>
      </c>
      <c r="X154" s="476">
        <f t="shared" si="218"/>
        <v>0</v>
      </c>
      <c r="Y154" s="476">
        <f t="shared" si="219"/>
        <v>0</v>
      </c>
      <c r="Z154" s="476">
        <f t="shared" si="220"/>
        <v>0</v>
      </c>
      <c r="AA154" s="476">
        <f t="shared" si="221"/>
        <v>0</v>
      </c>
      <c r="AB154" s="476">
        <f t="shared" si="222"/>
        <v>0</v>
      </c>
      <c r="AC154" s="476">
        <f t="shared" si="223"/>
        <v>0</v>
      </c>
      <c r="AD154" s="476">
        <f t="shared" si="224"/>
        <v>0</v>
      </c>
      <c r="AE154" s="476">
        <f t="shared" si="225"/>
        <v>0</v>
      </c>
      <c r="AF154" s="476">
        <f t="shared" si="226"/>
        <v>0</v>
      </c>
      <c r="AG154" s="476">
        <f t="shared" si="227"/>
        <v>0</v>
      </c>
      <c r="AH154" s="476">
        <f t="shared" si="228"/>
        <v>0</v>
      </c>
      <c r="AI154" s="476">
        <f t="shared" si="229"/>
        <v>0</v>
      </c>
      <c r="AJ154" s="476">
        <f t="shared" si="230"/>
        <v>0</v>
      </c>
      <c r="AK154" s="476">
        <f t="shared" si="231"/>
        <v>0</v>
      </c>
      <c r="AL154" s="476">
        <f t="shared" si="232"/>
        <v>0</v>
      </c>
      <c r="AM154" s="476">
        <f t="shared" si="233"/>
        <v>0</v>
      </c>
      <c r="AN154" s="476">
        <f t="shared" si="234"/>
        <v>0</v>
      </c>
      <c r="AO154" s="476">
        <f t="shared" si="235"/>
        <v>0</v>
      </c>
      <c r="AP154" s="476">
        <f t="shared" si="236"/>
        <v>0</v>
      </c>
      <c r="AQ154" s="476">
        <f t="shared" si="237"/>
        <v>0</v>
      </c>
      <c r="AR154" s="476">
        <f t="shared" si="238"/>
        <v>0</v>
      </c>
      <c r="AS154" s="476">
        <f t="shared" si="239"/>
        <v>0</v>
      </c>
      <c r="AT154" s="476">
        <f t="shared" si="240"/>
        <v>0</v>
      </c>
      <c r="AU154" s="476">
        <f t="shared" si="241"/>
        <v>0</v>
      </c>
      <c r="AV154" s="476">
        <f t="shared" si="242"/>
        <v>0</v>
      </c>
      <c r="AW154" s="476">
        <f t="shared" si="243"/>
        <v>0</v>
      </c>
      <c r="AX154" s="476">
        <f t="shared" si="244"/>
        <v>0</v>
      </c>
      <c r="AY154" s="476">
        <f t="shared" si="245"/>
        <v>0</v>
      </c>
      <c r="AZ154" s="476">
        <f t="shared" si="246"/>
        <v>0</v>
      </c>
      <c r="BA154" s="476">
        <f t="shared" si="247"/>
        <v>0</v>
      </c>
      <c r="BB154" s="476">
        <f t="shared" si="248"/>
        <v>0</v>
      </c>
      <c r="BC154" s="476">
        <f t="shared" si="249"/>
        <v>322</v>
      </c>
      <c r="BD154" s="476">
        <f t="shared" si="250"/>
        <v>0</v>
      </c>
      <c r="BE154" s="476">
        <f t="shared" si="251"/>
        <v>0</v>
      </c>
      <c r="BF154" s="476">
        <f t="shared" si="252"/>
        <v>0</v>
      </c>
      <c r="BG154" s="476">
        <f t="shared" si="253"/>
        <v>0</v>
      </c>
    </row>
    <row r="155" spans="1:59" ht="16.5" customHeight="1">
      <c r="A155" s="583" t="s">
        <v>817</v>
      </c>
      <c r="B155" s="584" t="s">
        <v>1662</v>
      </c>
      <c r="C155" s="584" t="s">
        <v>224</v>
      </c>
      <c r="D155" s="413" t="s">
        <v>1051</v>
      </c>
      <c r="E155" s="412" t="s">
        <v>473</v>
      </c>
      <c r="F155" s="413" t="s">
        <v>1134</v>
      </c>
      <c r="G155" s="412" t="s">
        <v>1137</v>
      </c>
      <c r="H155" s="412" t="s">
        <v>1018</v>
      </c>
      <c r="I155" s="477">
        <v>0</v>
      </c>
      <c r="J155" s="477">
        <v>2020</v>
      </c>
      <c r="K155" s="477">
        <v>0</v>
      </c>
      <c r="L155" s="477">
        <v>0</v>
      </c>
      <c r="M155" s="477">
        <f t="shared" si="211"/>
        <v>0</v>
      </c>
      <c r="N155" s="477">
        <f t="shared" si="212"/>
        <v>2020</v>
      </c>
      <c r="O155" s="477"/>
      <c r="P155" s="477"/>
      <c r="Q155" s="477">
        <f t="shared" si="213"/>
        <v>0</v>
      </c>
      <c r="R155" s="477">
        <f t="shared" si="214"/>
        <v>2020</v>
      </c>
      <c r="S155" s="477">
        <f t="shared" si="215"/>
        <v>-2020</v>
      </c>
      <c r="V155" s="476">
        <f t="shared" si="216"/>
        <v>0</v>
      </c>
      <c r="W155" s="476">
        <f t="shared" si="217"/>
        <v>0</v>
      </c>
      <c r="X155" s="476">
        <f t="shared" si="218"/>
        <v>0</v>
      </c>
      <c r="Y155" s="476">
        <f t="shared" si="219"/>
        <v>0</v>
      </c>
      <c r="Z155" s="476">
        <f t="shared" si="220"/>
        <v>0</v>
      </c>
      <c r="AA155" s="476">
        <f t="shared" si="221"/>
        <v>0</v>
      </c>
      <c r="AB155" s="476">
        <f t="shared" si="222"/>
        <v>0</v>
      </c>
      <c r="AC155" s="476">
        <f t="shared" si="223"/>
        <v>0</v>
      </c>
      <c r="AD155" s="476">
        <f t="shared" si="224"/>
        <v>0</v>
      </c>
      <c r="AE155" s="476">
        <f t="shared" si="225"/>
        <v>0</v>
      </c>
      <c r="AF155" s="476">
        <f t="shared" si="226"/>
        <v>0</v>
      </c>
      <c r="AG155" s="476">
        <f t="shared" si="227"/>
        <v>0</v>
      </c>
      <c r="AH155" s="476">
        <f t="shared" si="228"/>
        <v>0</v>
      </c>
      <c r="AI155" s="476">
        <f t="shared" si="229"/>
        <v>0</v>
      </c>
      <c r="AJ155" s="476">
        <f t="shared" si="230"/>
        <v>0</v>
      </c>
      <c r="AK155" s="476">
        <f t="shared" si="231"/>
        <v>0</v>
      </c>
      <c r="AL155" s="476">
        <f t="shared" si="232"/>
        <v>0</v>
      </c>
      <c r="AM155" s="476">
        <f t="shared" si="233"/>
        <v>0</v>
      </c>
      <c r="AN155" s="476">
        <f t="shared" si="234"/>
        <v>0</v>
      </c>
      <c r="AO155" s="476">
        <f t="shared" si="235"/>
        <v>0</v>
      </c>
      <c r="AP155" s="476">
        <f t="shared" si="236"/>
        <v>0</v>
      </c>
      <c r="AQ155" s="476">
        <f t="shared" si="237"/>
        <v>0</v>
      </c>
      <c r="AR155" s="476">
        <f t="shared" si="238"/>
        <v>0</v>
      </c>
      <c r="AS155" s="476">
        <f t="shared" si="239"/>
        <v>0</v>
      </c>
      <c r="AT155" s="476">
        <f t="shared" si="240"/>
        <v>0</v>
      </c>
      <c r="AU155" s="476">
        <f t="shared" si="241"/>
        <v>0</v>
      </c>
      <c r="AV155" s="476">
        <f t="shared" si="242"/>
        <v>0</v>
      </c>
      <c r="AW155" s="476">
        <f t="shared" si="243"/>
        <v>0</v>
      </c>
      <c r="AX155" s="476">
        <f t="shared" si="244"/>
        <v>0</v>
      </c>
      <c r="AY155" s="476">
        <f t="shared" si="245"/>
        <v>0</v>
      </c>
      <c r="AZ155" s="476">
        <f t="shared" si="246"/>
        <v>0</v>
      </c>
      <c r="BA155" s="476">
        <f t="shared" si="247"/>
        <v>0</v>
      </c>
      <c r="BB155" s="476">
        <f t="shared" si="248"/>
        <v>0</v>
      </c>
      <c r="BC155" s="476">
        <f t="shared" si="249"/>
        <v>0</v>
      </c>
      <c r="BD155" s="476">
        <f t="shared" si="250"/>
        <v>0</v>
      </c>
      <c r="BE155" s="476">
        <f t="shared" si="251"/>
        <v>0</v>
      </c>
      <c r="BF155" s="476">
        <f t="shared" si="252"/>
        <v>0</v>
      </c>
      <c r="BG155" s="476">
        <f t="shared" si="253"/>
        <v>2020</v>
      </c>
    </row>
    <row r="156" spans="1:59" ht="16.5" customHeight="1">
      <c r="A156" s="583" t="s">
        <v>817</v>
      </c>
      <c r="B156" s="584" t="s">
        <v>1662</v>
      </c>
      <c r="C156" s="584" t="s">
        <v>222</v>
      </c>
      <c r="D156" s="413" t="s">
        <v>1051</v>
      </c>
      <c r="E156" s="412" t="s">
        <v>473</v>
      </c>
      <c r="F156" s="413" t="s">
        <v>1134</v>
      </c>
      <c r="G156" s="412" t="s">
        <v>1137</v>
      </c>
      <c r="H156" s="412" t="s">
        <v>1014</v>
      </c>
      <c r="I156" s="477">
        <v>0</v>
      </c>
      <c r="J156" s="477">
        <v>1810</v>
      </c>
      <c r="K156" s="477">
        <v>0</v>
      </c>
      <c r="L156" s="477">
        <v>0</v>
      </c>
      <c r="M156" s="477">
        <f t="shared" si="211"/>
        <v>0</v>
      </c>
      <c r="N156" s="477">
        <f t="shared" si="212"/>
        <v>1810</v>
      </c>
      <c r="O156" s="477"/>
      <c r="P156" s="477"/>
      <c r="Q156" s="477">
        <f t="shared" si="213"/>
        <v>0</v>
      </c>
      <c r="R156" s="477">
        <f t="shared" si="214"/>
        <v>1810</v>
      </c>
      <c r="S156" s="477">
        <f t="shared" si="215"/>
        <v>-1810</v>
      </c>
      <c r="V156" s="476">
        <f t="shared" si="216"/>
        <v>0</v>
      </c>
      <c r="W156" s="476">
        <f t="shared" si="217"/>
        <v>0</v>
      </c>
      <c r="X156" s="476">
        <f t="shared" si="218"/>
        <v>0</v>
      </c>
      <c r="Y156" s="476">
        <f t="shared" si="219"/>
        <v>0</v>
      </c>
      <c r="Z156" s="476">
        <f t="shared" si="220"/>
        <v>0</v>
      </c>
      <c r="AA156" s="476">
        <f t="shared" si="221"/>
        <v>0</v>
      </c>
      <c r="AB156" s="476">
        <f t="shared" si="222"/>
        <v>0</v>
      </c>
      <c r="AC156" s="476">
        <f t="shared" si="223"/>
        <v>0</v>
      </c>
      <c r="AD156" s="476">
        <f t="shared" si="224"/>
        <v>0</v>
      </c>
      <c r="AE156" s="476">
        <f t="shared" si="225"/>
        <v>0</v>
      </c>
      <c r="AF156" s="476">
        <f t="shared" si="226"/>
        <v>0</v>
      </c>
      <c r="AG156" s="476">
        <f t="shared" si="227"/>
        <v>0</v>
      </c>
      <c r="AH156" s="476">
        <f t="shared" si="228"/>
        <v>0</v>
      </c>
      <c r="AI156" s="476">
        <f t="shared" si="229"/>
        <v>0</v>
      </c>
      <c r="AJ156" s="476">
        <f t="shared" si="230"/>
        <v>0</v>
      </c>
      <c r="AK156" s="476">
        <f t="shared" si="231"/>
        <v>0</v>
      </c>
      <c r="AL156" s="476">
        <f t="shared" si="232"/>
        <v>0</v>
      </c>
      <c r="AM156" s="476">
        <f t="shared" si="233"/>
        <v>0</v>
      </c>
      <c r="AN156" s="476">
        <f t="shared" si="234"/>
        <v>0</v>
      </c>
      <c r="AO156" s="476">
        <f t="shared" si="235"/>
        <v>0</v>
      </c>
      <c r="AP156" s="476">
        <f t="shared" si="236"/>
        <v>0</v>
      </c>
      <c r="AQ156" s="476">
        <f t="shared" si="237"/>
        <v>1810</v>
      </c>
      <c r="AR156" s="476">
        <f t="shared" si="238"/>
        <v>0</v>
      </c>
      <c r="AS156" s="476">
        <f t="shared" si="239"/>
        <v>0</v>
      </c>
      <c r="AT156" s="476">
        <f t="shared" si="240"/>
        <v>0</v>
      </c>
      <c r="AU156" s="476">
        <f t="shared" si="241"/>
        <v>0</v>
      </c>
      <c r="AV156" s="476">
        <f t="shared" si="242"/>
        <v>0</v>
      </c>
      <c r="AW156" s="476">
        <f t="shared" si="243"/>
        <v>0</v>
      </c>
      <c r="AX156" s="476">
        <f t="shared" si="244"/>
        <v>0</v>
      </c>
      <c r="AY156" s="476">
        <f t="shared" si="245"/>
        <v>0</v>
      </c>
      <c r="AZ156" s="476">
        <f t="shared" si="246"/>
        <v>0</v>
      </c>
      <c r="BA156" s="476">
        <f t="shared" si="247"/>
        <v>0</v>
      </c>
      <c r="BB156" s="476">
        <f t="shared" si="248"/>
        <v>0</v>
      </c>
      <c r="BC156" s="476">
        <f t="shared" si="249"/>
        <v>0</v>
      </c>
      <c r="BD156" s="476">
        <f t="shared" si="250"/>
        <v>0</v>
      </c>
      <c r="BE156" s="476">
        <f t="shared" si="251"/>
        <v>0</v>
      </c>
      <c r="BF156" s="476">
        <f t="shared" si="252"/>
        <v>0</v>
      </c>
      <c r="BG156" s="476">
        <f t="shared" si="253"/>
        <v>0</v>
      </c>
    </row>
    <row r="157" spans="1:59" ht="16.5" customHeight="1">
      <c r="A157" s="583" t="s">
        <v>817</v>
      </c>
      <c r="B157" s="584" t="s">
        <v>1662</v>
      </c>
      <c r="C157" s="584" t="s">
        <v>223</v>
      </c>
      <c r="D157" s="413" t="s">
        <v>1051</v>
      </c>
      <c r="E157" s="412" t="s">
        <v>473</v>
      </c>
      <c r="F157" s="413" t="s">
        <v>1134</v>
      </c>
      <c r="G157" s="412" t="s">
        <v>1137</v>
      </c>
      <c r="H157" s="412" t="s">
        <v>974</v>
      </c>
      <c r="I157" s="477">
        <v>0</v>
      </c>
      <c r="J157" s="477">
        <v>6300</v>
      </c>
      <c r="K157" s="477">
        <v>0</v>
      </c>
      <c r="L157" s="477">
        <v>0</v>
      </c>
      <c r="M157" s="477">
        <f t="shared" si="211"/>
        <v>0</v>
      </c>
      <c r="N157" s="477">
        <f t="shared" si="212"/>
        <v>6300</v>
      </c>
      <c r="O157" s="477"/>
      <c r="P157" s="477"/>
      <c r="Q157" s="477">
        <f t="shared" si="213"/>
        <v>0</v>
      </c>
      <c r="R157" s="477">
        <f t="shared" si="214"/>
        <v>6300</v>
      </c>
      <c r="S157" s="477">
        <f t="shared" si="215"/>
        <v>-6300</v>
      </c>
      <c r="V157" s="476">
        <f t="shared" si="216"/>
        <v>0</v>
      </c>
      <c r="W157" s="476">
        <f t="shared" si="217"/>
        <v>6300</v>
      </c>
      <c r="X157" s="476">
        <f t="shared" si="218"/>
        <v>0</v>
      </c>
      <c r="Y157" s="476">
        <f t="shared" si="219"/>
        <v>0</v>
      </c>
      <c r="Z157" s="476">
        <f t="shared" si="220"/>
        <v>0</v>
      </c>
      <c r="AA157" s="476">
        <f t="shared" si="221"/>
        <v>0</v>
      </c>
      <c r="AB157" s="476">
        <f t="shared" si="222"/>
        <v>0</v>
      </c>
      <c r="AC157" s="476">
        <f t="shared" si="223"/>
        <v>0</v>
      </c>
      <c r="AD157" s="476">
        <f t="shared" si="224"/>
        <v>0</v>
      </c>
      <c r="AE157" s="476">
        <f t="shared" si="225"/>
        <v>0</v>
      </c>
      <c r="AF157" s="476">
        <f t="shared" si="226"/>
        <v>0</v>
      </c>
      <c r="AG157" s="476">
        <f t="shared" si="227"/>
        <v>0</v>
      </c>
      <c r="AH157" s="476">
        <f t="shared" si="228"/>
        <v>0</v>
      </c>
      <c r="AI157" s="476">
        <f t="shared" si="229"/>
        <v>0</v>
      </c>
      <c r="AJ157" s="476">
        <f t="shared" si="230"/>
        <v>0</v>
      </c>
      <c r="AK157" s="476">
        <f t="shared" si="231"/>
        <v>0</v>
      </c>
      <c r="AL157" s="476">
        <f t="shared" si="232"/>
        <v>0</v>
      </c>
      <c r="AM157" s="476">
        <f t="shared" si="233"/>
        <v>0</v>
      </c>
      <c r="AN157" s="476">
        <f t="shared" si="234"/>
        <v>0</v>
      </c>
      <c r="AO157" s="476">
        <f t="shared" si="235"/>
        <v>0</v>
      </c>
      <c r="AP157" s="476">
        <f t="shared" si="236"/>
        <v>0</v>
      </c>
      <c r="AQ157" s="476">
        <f t="shared" si="237"/>
        <v>0</v>
      </c>
      <c r="AR157" s="476">
        <f t="shared" si="238"/>
        <v>0</v>
      </c>
      <c r="AS157" s="476">
        <f t="shared" si="239"/>
        <v>0</v>
      </c>
      <c r="AT157" s="476">
        <f t="shared" si="240"/>
        <v>0</v>
      </c>
      <c r="AU157" s="476">
        <f t="shared" si="241"/>
        <v>0</v>
      </c>
      <c r="AV157" s="476">
        <f t="shared" si="242"/>
        <v>0</v>
      </c>
      <c r="AW157" s="476">
        <f t="shared" si="243"/>
        <v>0</v>
      </c>
      <c r="AX157" s="476">
        <f t="shared" si="244"/>
        <v>0</v>
      </c>
      <c r="AY157" s="476">
        <f t="shared" si="245"/>
        <v>0</v>
      </c>
      <c r="AZ157" s="476">
        <f t="shared" si="246"/>
        <v>0</v>
      </c>
      <c r="BA157" s="476">
        <f t="shared" si="247"/>
        <v>0</v>
      </c>
      <c r="BB157" s="476">
        <f t="shared" si="248"/>
        <v>0</v>
      </c>
      <c r="BC157" s="476">
        <f t="shared" si="249"/>
        <v>0</v>
      </c>
      <c r="BD157" s="476">
        <f t="shared" si="250"/>
        <v>0</v>
      </c>
      <c r="BE157" s="476">
        <f t="shared" si="251"/>
        <v>0</v>
      </c>
      <c r="BF157" s="476">
        <f t="shared" si="252"/>
        <v>0</v>
      </c>
      <c r="BG157" s="476">
        <f t="shared" si="253"/>
        <v>0</v>
      </c>
    </row>
    <row r="158" spans="1:59" ht="16.5" customHeight="1">
      <c r="A158" s="583" t="s">
        <v>817</v>
      </c>
      <c r="B158" s="584" t="s">
        <v>1662</v>
      </c>
      <c r="C158" s="584" t="s">
        <v>1751</v>
      </c>
      <c r="D158" s="413" t="s">
        <v>1051</v>
      </c>
      <c r="E158" s="412" t="s">
        <v>473</v>
      </c>
      <c r="F158" s="413" t="s">
        <v>1134</v>
      </c>
      <c r="G158" s="412" t="s">
        <v>1137</v>
      </c>
      <c r="H158" s="412" t="s">
        <v>1055</v>
      </c>
      <c r="I158" s="477">
        <v>0</v>
      </c>
      <c r="J158" s="477">
        <v>10250</v>
      </c>
      <c r="K158" s="477">
        <v>0</v>
      </c>
      <c r="L158" s="477">
        <v>0</v>
      </c>
      <c r="M158" s="477">
        <f t="shared" si="211"/>
        <v>0</v>
      </c>
      <c r="N158" s="477">
        <f t="shared" si="212"/>
        <v>10250</v>
      </c>
      <c r="O158" s="477"/>
      <c r="P158" s="477"/>
      <c r="Q158" s="477">
        <f t="shared" si="213"/>
        <v>0</v>
      </c>
      <c r="R158" s="477">
        <f t="shared" si="214"/>
        <v>10250</v>
      </c>
      <c r="S158" s="477">
        <f t="shared" si="215"/>
        <v>-10250</v>
      </c>
      <c r="V158" s="476">
        <f t="shared" si="216"/>
        <v>0</v>
      </c>
      <c r="W158" s="476">
        <f t="shared" si="217"/>
        <v>0</v>
      </c>
      <c r="X158" s="476">
        <f t="shared" si="218"/>
        <v>0</v>
      </c>
      <c r="Y158" s="476">
        <f t="shared" si="219"/>
        <v>0</v>
      </c>
      <c r="Z158" s="476">
        <f t="shared" si="220"/>
        <v>0</v>
      </c>
      <c r="AA158" s="476">
        <f t="shared" si="221"/>
        <v>0</v>
      </c>
      <c r="AB158" s="476">
        <f t="shared" si="222"/>
        <v>0</v>
      </c>
      <c r="AC158" s="476">
        <f t="shared" si="223"/>
        <v>0</v>
      </c>
      <c r="AD158" s="476">
        <f t="shared" si="224"/>
        <v>0</v>
      </c>
      <c r="AE158" s="476">
        <f t="shared" si="225"/>
        <v>0</v>
      </c>
      <c r="AF158" s="476">
        <f t="shared" si="226"/>
        <v>0</v>
      </c>
      <c r="AG158" s="476">
        <f t="shared" si="227"/>
        <v>0</v>
      </c>
      <c r="AH158" s="476">
        <f t="shared" si="228"/>
        <v>0</v>
      </c>
      <c r="AI158" s="476">
        <f t="shared" si="229"/>
        <v>0</v>
      </c>
      <c r="AJ158" s="476">
        <f t="shared" si="230"/>
        <v>0</v>
      </c>
      <c r="AK158" s="476">
        <f t="shared" si="231"/>
        <v>0</v>
      </c>
      <c r="AL158" s="476">
        <f t="shared" si="232"/>
        <v>0</v>
      </c>
      <c r="AM158" s="476">
        <f t="shared" si="233"/>
        <v>0</v>
      </c>
      <c r="AN158" s="476">
        <f t="shared" si="234"/>
        <v>0</v>
      </c>
      <c r="AO158" s="476">
        <f t="shared" si="235"/>
        <v>0</v>
      </c>
      <c r="AP158" s="476">
        <f t="shared" si="236"/>
        <v>0</v>
      </c>
      <c r="AQ158" s="476">
        <f t="shared" si="237"/>
        <v>0</v>
      </c>
      <c r="AR158" s="476">
        <f t="shared" si="238"/>
        <v>0</v>
      </c>
      <c r="AS158" s="476">
        <f t="shared" si="239"/>
        <v>0</v>
      </c>
      <c r="AT158" s="476">
        <f t="shared" si="240"/>
        <v>0</v>
      </c>
      <c r="AU158" s="476">
        <f t="shared" si="241"/>
        <v>0</v>
      </c>
      <c r="AV158" s="476">
        <f t="shared" si="242"/>
        <v>0</v>
      </c>
      <c r="AW158" s="476">
        <f t="shared" si="243"/>
        <v>0</v>
      </c>
      <c r="AX158" s="476">
        <f t="shared" si="244"/>
        <v>0</v>
      </c>
      <c r="AY158" s="476">
        <f t="shared" si="245"/>
        <v>0</v>
      </c>
      <c r="AZ158" s="476">
        <f t="shared" si="246"/>
        <v>0</v>
      </c>
      <c r="BA158" s="476">
        <f t="shared" si="247"/>
        <v>0</v>
      </c>
      <c r="BB158" s="476">
        <f t="shared" si="248"/>
        <v>0</v>
      </c>
      <c r="BC158" s="476">
        <f t="shared" si="249"/>
        <v>10250</v>
      </c>
      <c r="BD158" s="476">
        <f t="shared" si="250"/>
        <v>0</v>
      </c>
      <c r="BE158" s="476">
        <f t="shared" si="251"/>
        <v>0</v>
      </c>
      <c r="BF158" s="476">
        <f t="shared" si="252"/>
        <v>0</v>
      </c>
      <c r="BG158" s="476">
        <f t="shared" si="253"/>
        <v>0</v>
      </c>
    </row>
    <row r="159" spans="1:59" ht="16.5" customHeight="1">
      <c r="A159" s="583" t="s">
        <v>817</v>
      </c>
      <c r="B159" s="584" t="s">
        <v>1662</v>
      </c>
      <c r="C159" s="584" t="s">
        <v>225</v>
      </c>
      <c r="D159" s="413" t="s">
        <v>1051</v>
      </c>
      <c r="E159" s="412" t="s">
        <v>473</v>
      </c>
      <c r="F159" s="413" t="s">
        <v>1134</v>
      </c>
      <c r="G159" s="412" t="s">
        <v>1137</v>
      </c>
      <c r="H159" s="412" t="s">
        <v>1021</v>
      </c>
      <c r="I159" s="477">
        <v>0</v>
      </c>
      <c r="J159" s="477">
        <v>132</v>
      </c>
      <c r="K159" s="477">
        <v>0</v>
      </c>
      <c r="L159" s="477">
        <v>0</v>
      </c>
      <c r="M159" s="477">
        <f t="shared" si="211"/>
        <v>0</v>
      </c>
      <c r="N159" s="477">
        <f t="shared" si="212"/>
        <v>132</v>
      </c>
      <c r="O159" s="477"/>
      <c r="P159" s="477"/>
      <c r="Q159" s="477">
        <f t="shared" si="213"/>
        <v>0</v>
      </c>
      <c r="R159" s="477">
        <f t="shared" si="214"/>
        <v>132</v>
      </c>
      <c r="S159" s="477">
        <f t="shared" si="215"/>
        <v>-132</v>
      </c>
      <c r="V159" s="476">
        <f t="shared" si="216"/>
        <v>0</v>
      </c>
      <c r="W159" s="476">
        <f t="shared" si="217"/>
        <v>0</v>
      </c>
      <c r="X159" s="476">
        <f t="shared" si="218"/>
        <v>0</v>
      </c>
      <c r="Y159" s="476">
        <f t="shared" si="219"/>
        <v>0</v>
      </c>
      <c r="Z159" s="476">
        <f t="shared" si="220"/>
        <v>0</v>
      </c>
      <c r="AA159" s="476">
        <f t="shared" si="221"/>
        <v>0</v>
      </c>
      <c r="AB159" s="476">
        <f t="shared" si="222"/>
        <v>0</v>
      </c>
      <c r="AC159" s="476">
        <f t="shared" si="223"/>
        <v>0</v>
      </c>
      <c r="AD159" s="476">
        <f t="shared" si="224"/>
        <v>0</v>
      </c>
      <c r="AE159" s="476">
        <f t="shared" si="225"/>
        <v>0</v>
      </c>
      <c r="AF159" s="476">
        <f t="shared" si="226"/>
        <v>0</v>
      </c>
      <c r="AG159" s="476">
        <f t="shared" si="227"/>
        <v>132</v>
      </c>
      <c r="AH159" s="476">
        <f t="shared" si="228"/>
        <v>0</v>
      </c>
      <c r="AI159" s="476">
        <f t="shared" si="229"/>
        <v>0</v>
      </c>
      <c r="AJ159" s="476">
        <f t="shared" si="230"/>
        <v>0</v>
      </c>
      <c r="AK159" s="476">
        <f t="shared" si="231"/>
        <v>0</v>
      </c>
      <c r="AL159" s="476">
        <f t="shared" si="232"/>
        <v>0</v>
      </c>
      <c r="AM159" s="476">
        <f t="shared" si="233"/>
        <v>0</v>
      </c>
      <c r="AN159" s="476">
        <f t="shared" si="234"/>
        <v>0</v>
      </c>
      <c r="AO159" s="476">
        <f t="shared" si="235"/>
        <v>0</v>
      </c>
      <c r="AP159" s="476">
        <f t="shared" si="236"/>
        <v>0</v>
      </c>
      <c r="AQ159" s="476">
        <f t="shared" si="237"/>
        <v>0</v>
      </c>
      <c r="AR159" s="476">
        <f t="shared" si="238"/>
        <v>0</v>
      </c>
      <c r="AS159" s="476">
        <f t="shared" si="239"/>
        <v>0</v>
      </c>
      <c r="AT159" s="476">
        <f t="shared" si="240"/>
        <v>0</v>
      </c>
      <c r="AU159" s="476">
        <f t="shared" si="241"/>
        <v>0</v>
      </c>
      <c r="AV159" s="476">
        <f t="shared" si="242"/>
        <v>0</v>
      </c>
      <c r="AW159" s="476">
        <f t="shared" si="243"/>
        <v>0</v>
      </c>
      <c r="AX159" s="476">
        <f t="shared" si="244"/>
        <v>0</v>
      </c>
      <c r="AY159" s="476">
        <f t="shared" si="245"/>
        <v>0</v>
      </c>
      <c r="AZ159" s="476">
        <f t="shared" si="246"/>
        <v>0</v>
      </c>
      <c r="BA159" s="476">
        <f t="shared" si="247"/>
        <v>0</v>
      </c>
      <c r="BB159" s="476">
        <f t="shared" si="248"/>
        <v>0</v>
      </c>
      <c r="BC159" s="476">
        <f t="shared" si="249"/>
        <v>0</v>
      </c>
      <c r="BD159" s="476">
        <f t="shared" si="250"/>
        <v>0</v>
      </c>
      <c r="BE159" s="476">
        <f t="shared" si="251"/>
        <v>0</v>
      </c>
      <c r="BF159" s="476">
        <f t="shared" si="252"/>
        <v>0</v>
      </c>
      <c r="BG159" s="476">
        <f t="shared" si="253"/>
        <v>0</v>
      </c>
    </row>
    <row r="160" spans="1:59" ht="16.5" customHeight="1">
      <c r="A160" s="583" t="s">
        <v>817</v>
      </c>
      <c r="B160" s="584" t="s">
        <v>1662</v>
      </c>
      <c r="C160" s="584" t="s">
        <v>221</v>
      </c>
      <c r="D160" s="413" t="s">
        <v>1051</v>
      </c>
      <c r="E160" s="412" t="s">
        <v>473</v>
      </c>
      <c r="F160" s="413" t="s">
        <v>1134</v>
      </c>
      <c r="G160" s="412" t="s">
        <v>1137</v>
      </c>
      <c r="H160" s="412" t="s">
        <v>992</v>
      </c>
      <c r="I160" s="477">
        <v>0</v>
      </c>
      <c r="J160" s="477">
        <v>33400</v>
      </c>
      <c r="K160" s="477">
        <v>0</v>
      </c>
      <c r="L160" s="477">
        <v>0</v>
      </c>
      <c r="M160" s="477">
        <f t="shared" si="211"/>
        <v>0</v>
      </c>
      <c r="N160" s="477">
        <f t="shared" si="212"/>
        <v>33400</v>
      </c>
      <c r="O160" s="477"/>
      <c r="P160" s="477"/>
      <c r="Q160" s="477">
        <f t="shared" si="213"/>
        <v>0</v>
      </c>
      <c r="R160" s="477">
        <f t="shared" si="214"/>
        <v>33400</v>
      </c>
      <c r="S160" s="477">
        <f t="shared" si="215"/>
        <v>-33400</v>
      </c>
      <c r="V160" s="476">
        <f t="shared" si="216"/>
        <v>0</v>
      </c>
      <c r="W160" s="476">
        <f t="shared" si="217"/>
        <v>0</v>
      </c>
      <c r="X160" s="476">
        <f t="shared" si="218"/>
        <v>0</v>
      </c>
      <c r="Y160" s="476">
        <f t="shared" si="219"/>
        <v>0</v>
      </c>
      <c r="Z160" s="476">
        <f t="shared" si="220"/>
        <v>0</v>
      </c>
      <c r="AA160" s="476">
        <f t="shared" si="221"/>
        <v>0</v>
      </c>
      <c r="AB160" s="476">
        <f t="shared" si="222"/>
        <v>0</v>
      </c>
      <c r="AC160" s="476">
        <f t="shared" si="223"/>
        <v>0</v>
      </c>
      <c r="AD160" s="476">
        <f t="shared" si="224"/>
        <v>0</v>
      </c>
      <c r="AE160" s="476">
        <f t="shared" si="225"/>
        <v>0</v>
      </c>
      <c r="AF160" s="476">
        <f t="shared" si="226"/>
        <v>0</v>
      </c>
      <c r="AG160" s="476">
        <f t="shared" si="227"/>
        <v>0</v>
      </c>
      <c r="AH160" s="476">
        <f t="shared" si="228"/>
        <v>0</v>
      </c>
      <c r="AI160" s="476">
        <f t="shared" si="229"/>
        <v>0</v>
      </c>
      <c r="AJ160" s="476">
        <f t="shared" si="230"/>
        <v>0</v>
      </c>
      <c r="AK160" s="476">
        <f t="shared" si="231"/>
        <v>0</v>
      </c>
      <c r="AL160" s="476">
        <f t="shared" si="232"/>
        <v>0</v>
      </c>
      <c r="AM160" s="476">
        <f t="shared" si="233"/>
        <v>0</v>
      </c>
      <c r="AN160" s="476">
        <f t="shared" si="234"/>
        <v>0</v>
      </c>
      <c r="AO160" s="476">
        <f t="shared" si="235"/>
        <v>33400</v>
      </c>
      <c r="AP160" s="476">
        <f t="shared" si="236"/>
        <v>0</v>
      </c>
      <c r="AQ160" s="476">
        <f t="shared" si="237"/>
        <v>0</v>
      </c>
      <c r="AR160" s="476">
        <f t="shared" si="238"/>
        <v>0</v>
      </c>
      <c r="AS160" s="476">
        <f t="shared" si="239"/>
        <v>0</v>
      </c>
      <c r="AT160" s="476">
        <f t="shared" si="240"/>
        <v>0</v>
      </c>
      <c r="AU160" s="476">
        <f t="shared" si="241"/>
        <v>0</v>
      </c>
      <c r="AV160" s="476">
        <f t="shared" si="242"/>
        <v>0</v>
      </c>
      <c r="AW160" s="476">
        <f t="shared" si="243"/>
        <v>0</v>
      </c>
      <c r="AX160" s="476">
        <f t="shared" si="244"/>
        <v>0</v>
      </c>
      <c r="AY160" s="476">
        <f t="shared" si="245"/>
        <v>0</v>
      </c>
      <c r="AZ160" s="476">
        <f t="shared" si="246"/>
        <v>0</v>
      </c>
      <c r="BA160" s="476">
        <f t="shared" si="247"/>
        <v>0</v>
      </c>
      <c r="BB160" s="476">
        <f t="shared" si="248"/>
        <v>0</v>
      </c>
      <c r="BC160" s="476">
        <f t="shared" si="249"/>
        <v>0</v>
      </c>
      <c r="BD160" s="476">
        <f t="shared" si="250"/>
        <v>0</v>
      </c>
      <c r="BE160" s="476">
        <f t="shared" si="251"/>
        <v>0</v>
      </c>
      <c r="BF160" s="476">
        <f t="shared" si="252"/>
        <v>0</v>
      </c>
      <c r="BG160" s="476">
        <f t="shared" si="253"/>
        <v>0</v>
      </c>
    </row>
    <row r="161" spans="1:59" ht="16.5" customHeight="1">
      <c r="A161" s="583" t="s">
        <v>820</v>
      </c>
      <c r="B161" s="584" t="s">
        <v>1663</v>
      </c>
      <c r="C161" s="584" t="s">
        <v>229</v>
      </c>
      <c r="D161" s="413" t="s">
        <v>1051</v>
      </c>
      <c r="E161" s="412" t="s">
        <v>473</v>
      </c>
      <c r="F161" s="413" t="s">
        <v>1064</v>
      </c>
      <c r="G161" s="412" t="s">
        <v>332</v>
      </c>
      <c r="H161" s="412" t="s">
        <v>974</v>
      </c>
      <c r="I161" s="477">
        <v>36167146</v>
      </c>
      <c r="J161" s="477">
        <v>72802368</v>
      </c>
      <c r="K161" s="477">
        <v>0</v>
      </c>
      <c r="L161" s="477">
        <v>0</v>
      </c>
      <c r="M161" s="477">
        <f t="shared" si="211"/>
        <v>36167146</v>
      </c>
      <c r="N161" s="477">
        <f t="shared" si="212"/>
        <v>72802368</v>
      </c>
      <c r="O161" s="477"/>
      <c r="P161" s="477"/>
      <c r="Q161" s="477">
        <f t="shared" si="213"/>
        <v>36167146</v>
      </c>
      <c r="R161" s="477">
        <f t="shared" si="214"/>
        <v>72802368</v>
      </c>
      <c r="S161" s="477">
        <f t="shared" si="215"/>
        <v>-36635222</v>
      </c>
      <c r="V161" s="476">
        <f t="shared" si="216"/>
        <v>36167146</v>
      </c>
      <c r="W161" s="476">
        <f t="shared" si="217"/>
        <v>72802368</v>
      </c>
      <c r="X161" s="476">
        <f t="shared" si="218"/>
        <v>0</v>
      </c>
      <c r="Y161" s="476">
        <f t="shared" si="219"/>
        <v>0</v>
      </c>
      <c r="Z161" s="476">
        <f t="shared" si="220"/>
        <v>0</v>
      </c>
      <c r="AA161" s="476">
        <f t="shared" si="221"/>
        <v>0</v>
      </c>
      <c r="AB161" s="476">
        <f t="shared" si="222"/>
        <v>0</v>
      </c>
      <c r="AC161" s="476">
        <f t="shared" si="223"/>
        <v>0</v>
      </c>
      <c r="AD161" s="476">
        <f t="shared" si="224"/>
        <v>0</v>
      </c>
      <c r="AE161" s="476">
        <f t="shared" si="225"/>
        <v>0</v>
      </c>
      <c r="AF161" s="476">
        <f t="shared" si="226"/>
        <v>0</v>
      </c>
      <c r="AG161" s="476">
        <f t="shared" si="227"/>
        <v>0</v>
      </c>
      <c r="AH161" s="476">
        <f t="shared" si="228"/>
        <v>0</v>
      </c>
      <c r="AI161" s="476">
        <f t="shared" si="229"/>
        <v>0</v>
      </c>
      <c r="AJ161" s="476">
        <f t="shared" si="230"/>
        <v>0</v>
      </c>
      <c r="AK161" s="476">
        <f t="shared" si="231"/>
        <v>0</v>
      </c>
      <c r="AL161" s="476">
        <f t="shared" si="232"/>
        <v>0</v>
      </c>
      <c r="AM161" s="476">
        <f t="shared" si="233"/>
        <v>0</v>
      </c>
      <c r="AN161" s="476">
        <f t="shared" si="234"/>
        <v>0</v>
      </c>
      <c r="AO161" s="476">
        <f t="shared" si="235"/>
        <v>0</v>
      </c>
      <c r="AP161" s="476">
        <f t="shared" si="236"/>
        <v>0</v>
      </c>
      <c r="AQ161" s="476">
        <f t="shared" si="237"/>
        <v>0</v>
      </c>
      <c r="AR161" s="476">
        <f t="shared" si="238"/>
        <v>0</v>
      </c>
      <c r="AS161" s="476">
        <f t="shared" si="239"/>
        <v>0</v>
      </c>
      <c r="AT161" s="476">
        <f t="shared" si="240"/>
        <v>0</v>
      </c>
      <c r="AU161" s="476">
        <f t="shared" si="241"/>
        <v>0</v>
      </c>
      <c r="AV161" s="476">
        <f t="shared" si="242"/>
        <v>0</v>
      </c>
      <c r="AW161" s="476">
        <f t="shared" si="243"/>
        <v>0</v>
      </c>
      <c r="AX161" s="476">
        <f t="shared" si="244"/>
        <v>0</v>
      </c>
      <c r="AY161" s="476">
        <f t="shared" si="245"/>
        <v>0</v>
      </c>
      <c r="AZ161" s="476">
        <f t="shared" si="246"/>
        <v>0</v>
      </c>
      <c r="BA161" s="476">
        <f t="shared" si="247"/>
        <v>0</v>
      </c>
      <c r="BB161" s="476">
        <f t="shared" si="248"/>
        <v>0</v>
      </c>
      <c r="BC161" s="476">
        <f t="shared" si="249"/>
        <v>0</v>
      </c>
      <c r="BD161" s="476">
        <f t="shared" si="250"/>
        <v>0</v>
      </c>
      <c r="BE161" s="476">
        <f t="shared" si="251"/>
        <v>0</v>
      </c>
      <c r="BF161" s="476">
        <f t="shared" si="252"/>
        <v>0</v>
      </c>
      <c r="BG161" s="476">
        <f t="shared" si="253"/>
        <v>0</v>
      </c>
    </row>
    <row r="162" spans="1:59" ht="16.5" customHeight="1">
      <c r="A162" s="583" t="s">
        <v>821</v>
      </c>
      <c r="B162" s="584" t="s">
        <v>1664</v>
      </c>
      <c r="C162" s="584" t="s">
        <v>230</v>
      </c>
      <c r="D162" s="413" t="s">
        <v>1051</v>
      </c>
      <c r="E162" s="412" t="s">
        <v>473</v>
      </c>
      <c r="F162" s="413" t="s">
        <v>1134</v>
      </c>
      <c r="G162" s="412" t="s">
        <v>1137</v>
      </c>
      <c r="H162" s="412" t="s">
        <v>974</v>
      </c>
      <c r="I162" s="477">
        <v>0</v>
      </c>
      <c r="J162" s="477">
        <v>96906</v>
      </c>
      <c r="K162" s="477">
        <v>0</v>
      </c>
      <c r="L162" s="477">
        <v>0</v>
      </c>
      <c r="M162" s="477">
        <f t="shared" si="211"/>
        <v>0</v>
      </c>
      <c r="N162" s="477">
        <f t="shared" si="212"/>
        <v>96906</v>
      </c>
      <c r="O162" s="477"/>
      <c r="P162" s="477"/>
      <c r="Q162" s="477">
        <f t="shared" si="213"/>
        <v>0</v>
      </c>
      <c r="R162" s="477">
        <f t="shared" si="214"/>
        <v>96906</v>
      </c>
      <c r="S162" s="477">
        <f t="shared" si="215"/>
        <v>-96906</v>
      </c>
      <c r="V162" s="476">
        <f t="shared" si="216"/>
        <v>0</v>
      </c>
      <c r="W162" s="476">
        <f t="shared" si="217"/>
        <v>96906</v>
      </c>
      <c r="X162" s="476">
        <f t="shared" si="218"/>
        <v>0</v>
      </c>
      <c r="Y162" s="476">
        <f t="shared" si="219"/>
        <v>0</v>
      </c>
      <c r="Z162" s="476">
        <f t="shared" si="220"/>
        <v>0</v>
      </c>
      <c r="AA162" s="476">
        <f t="shared" si="221"/>
        <v>0</v>
      </c>
      <c r="AB162" s="476">
        <f t="shared" si="222"/>
        <v>0</v>
      </c>
      <c r="AC162" s="476">
        <f t="shared" si="223"/>
        <v>0</v>
      </c>
      <c r="AD162" s="476">
        <f t="shared" si="224"/>
        <v>0</v>
      </c>
      <c r="AE162" s="476">
        <f t="shared" si="225"/>
        <v>0</v>
      </c>
      <c r="AF162" s="476">
        <f t="shared" si="226"/>
        <v>0</v>
      </c>
      <c r="AG162" s="476">
        <f t="shared" si="227"/>
        <v>0</v>
      </c>
      <c r="AH162" s="476">
        <f t="shared" si="228"/>
        <v>0</v>
      </c>
      <c r="AI162" s="476">
        <f t="shared" si="229"/>
        <v>0</v>
      </c>
      <c r="AJ162" s="476">
        <f t="shared" si="230"/>
        <v>0</v>
      </c>
      <c r="AK162" s="476">
        <f t="shared" si="231"/>
        <v>0</v>
      </c>
      <c r="AL162" s="476">
        <f t="shared" si="232"/>
        <v>0</v>
      </c>
      <c r="AM162" s="476">
        <f t="shared" si="233"/>
        <v>0</v>
      </c>
      <c r="AN162" s="476">
        <f t="shared" si="234"/>
        <v>0</v>
      </c>
      <c r="AO162" s="476">
        <f t="shared" si="235"/>
        <v>0</v>
      </c>
      <c r="AP162" s="476">
        <f t="shared" si="236"/>
        <v>0</v>
      </c>
      <c r="AQ162" s="476">
        <f t="shared" si="237"/>
        <v>0</v>
      </c>
      <c r="AR162" s="476">
        <f t="shared" si="238"/>
        <v>0</v>
      </c>
      <c r="AS162" s="476">
        <f t="shared" si="239"/>
        <v>0</v>
      </c>
      <c r="AT162" s="476">
        <f t="shared" si="240"/>
        <v>0</v>
      </c>
      <c r="AU162" s="476">
        <f t="shared" si="241"/>
        <v>0</v>
      </c>
      <c r="AV162" s="476">
        <f t="shared" si="242"/>
        <v>0</v>
      </c>
      <c r="AW162" s="476">
        <f t="shared" si="243"/>
        <v>0</v>
      </c>
      <c r="AX162" s="476">
        <f t="shared" si="244"/>
        <v>0</v>
      </c>
      <c r="AY162" s="476">
        <f t="shared" si="245"/>
        <v>0</v>
      </c>
      <c r="AZ162" s="476">
        <f t="shared" si="246"/>
        <v>0</v>
      </c>
      <c r="BA162" s="476">
        <f t="shared" si="247"/>
        <v>0</v>
      </c>
      <c r="BB162" s="476">
        <f t="shared" si="248"/>
        <v>0</v>
      </c>
      <c r="BC162" s="476">
        <f t="shared" si="249"/>
        <v>0</v>
      </c>
      <c r="BD162" s="476">
        <f t="shared" si="250"/>
        <v>0</v>
      </c>
      <c r="BE162" s="476">
        <f t="shared" si="251"/>
        <v>0</v>
      </c>
      <c r="BF162" s="476">
        <f t="shared" si="252"/>
        <v>0</v>
      </c>
      <c r="BG162" s="476">
        <f t="shared" si="253"/>
        <v>0</v>
      </c>
    </row>
    <row r="163" spans="1:59" ht="16.5" customHeight="1">
      <c r="A163" s="583" t="s">
        <v>822</v>
      </c>
      <c r="B163" s="584" t="s">
        <v>1665</v>
      </c>
      <c r="C163" s="584" t="s">
        <v>231</v>
      </c>
      <c r="D163" s="413" t="s">
        <v>1051</v>
      </c>
      <c r="E163" s="412" t="s">
        <v>473</v>
      </c>
      <c r="F163" s="413" t="s">
        <v>1134</v>
      </c>
      <c r="G163" s="412" t="s">
        <v>1137</v>
      </c>
      <c r="H163" s="412" t="s">
        <v>1022</v>
      </c>
      <c r="I163" s="477">
        <v>0</v>
      </c>
      <c r="J163" s="477">
        <v>2</v>
      </c>
      <c r="K163" s="477">
        <v>0</v>
      </c>
      <c r="L163" s="477">
        <v>0</v>
      </c>
      <c r="M163" s="477">
        <f t="shared" si="211"/>
        <v>0</v>
      </c>
      <c r="N163" s="477">
        <f t="shared" si="212"/>
        <v>2</v>
      </c>
      <c r="O163" s="477"/>
      <c r="P163" s="477"/>
      <c r="Q163" s="477">
        <f t="shared" si="213"/>
        <v>0</v>
      </c>
      <c r="R163" s="477">
        <f t="shared" si="214"/>
        <v>2</v>
      </c>
      <c r="S163" s="477">
        <f t="shared" si="215"/>
        <v>-2</v>
      </c>
      <c r="V163" s="476">
        <f t="shared" si="216"/>
        <v>0</v>
      </c>
      <c r="W163" s="476">
        <f t="shared" si="217"/>
        <v>0</v>
      </c>
      <c r="X163" s="476">
        <f t="shared" si="218"/>
        <v>0</v>
      </c>
      <c r="Y163" s="476">
        <f t="shared" si="219"/>
        <v>0</v>
      </c>
      <c r="Z163" s="476">
        <f t="shared" si="220"/>
        <v>0</v>
      </c>
      <c r="AA163" s="476">
        <f t="shared" si="221"/>
        <v>0</v>
      </c>
      <c r="AB163" s="476">
        <f t="shared" si="222"/>
        <v>0</v>
      </c>
      <c r="AC163" s="476">
        <f t="shared" si="223"/>
        <v>0</v>
      </c>
      <c r="AD163" s="476">
        <f t="shared" si="224"/>
        <v>0</v>
      </c>
      <c r="AE163" s="476">
        <f t="shared" si="225"/>
        <v>0</v>
      </c>
      <c r="AF163" s="476">
        <f t="shared" si="226"/>
        <v>0</v>
      </c>
      <c r="AG163" s="476">
        <f t="shared" si="227"/>
        <v>0</v>
      </c>
      <c r="AH163" s="476">
        <f t="shared" si="228"/>
        <v>0</v>
      </c>
      <c r="AI163" s="476">
        <f t="shared" si="229"/>
        <v>0</v>
      </c>
      <c r="AJ163" s="476">
        <f t="shared" si="230"/>
        <v>0</v>
      </c>
      <c r="AK163" s="476">
        <f t="shared" si="231"/>
        <v>0</v>
      </c>
      <c r="AL163" s="476">
        <f t="shared" si="232"/>
        <v>0</v>
      </c>
      <c r="AM163" s="476">
        <f t="shared" si="233"/>
        <v>0</v>
      </c>
      <c r="AN163" s="476">
        <f t="shared" si="234"/>
        <v>0</v>
      </c>
      <c r="AO163" s="476">
        <f t="shared" si="235"/>
        <v>0</v>
      </c>
      <c r="AP163" s="476">
        <f t="shared" si="236"/>
        <v>0</v>
      </c>
      <c r="AQ163" s="476">
        <f t="shared" si="237"/>
        <v>0</v>
      </c>
      <c r="AR163" s="476">
        <f t="shared" si="238"/>
        <v>0</v>
      </c>
      <c r="AS163" s="476">
        <f t="shared" si="239"/>
        <v>0</v>
      </c>
      <c r="AT163" s="476">
        <f t="shared" si="240"/>
        <v>0</v>
      </c>
      <c r="AU163" s="476">
        <f t="shared" si="241"/>
        <v>0</v>
      </c>
      <c r="AV163" s="476">
        <f t="shared" si="242"/>
        <v>0</v>
      </c>
      <c r="AW163" s="476">
        <f t="shared" si="243"/>
        <v>2</v>
      </c>
      <c r="AX163" s="476">
        <f t="shared" si="244"/>
        <v>0</v>
      </c>
      <c r="AY163" s="476">
        <f t="shared" si="245"/>
        <v>0</v>
      </c>
      <c r="AZ163" s="476">
        <f t="shared" si="246"/>
        <v>0</v>
      </c>
      <c r="BA163" s="476">
        <f t="shared" si="247"/>
        <v>0</v>
      </c>
      <c r="BB163" s="476">
        <f t="shared" si="248"/>
        <v>0</v>
      </c>
      <c r="BC163" s="476">
        <f t="shared" si="249"/>
        <v>0</v>
      </c>
      <c r="BD163" s="476">
        <f t="shared" si="250"/>
        <v>0</v>
      </c>
      <c r="BE163" s="476">
        <f t="shared" si="251"/>
        <v>0</v>
      </c>
      <c r="BF163" s="476">
        <f t="shared" si="252"/>
        <v>0</v>
      </c>
      <c r="BG163" s="476">
        <f t="shared" si="253"/>
        <v>0</v>
      </c>
    </row>
    <row r="164" spans="1:59" ht="16.5" customHeight="1">
      <c r="A164" s="583" t="s">
        <v>823</v>
      </c>
      <c r="B164" s="584" t="s">
        <v>1007</v>
      </c>
      <c r="C164" s="584" t="s">
        <v>234</v>
      </c>
      <c r="D164" s="413" t="s">
        <v>1051</v>
      </c>
      <c r="E164" s="412" t="s">
        <v>473</v>
      </c>
      <c r="F164" s="413" t="s">
        <v>1134</v>
      </c>
      <c r="G164" s="412" t="s">
        <v>1135</v>
      </c>
      <c r="H164" s="412" t="s">
        <v>974</v>
      </c>
      <c r="I164" s="477">
        <v>19048421</v>
      </c>
      <c r="J164" s="477">
        <v>18997551</v>
      </c>
      <c r="K164" s="477">
        <v>3551215</v>
      </c>
      <c r="L164" s="477">
        <v>3548477</v>
      </c>
      <c r="M164" s="477">
        <f t="shared" si="211"/>
        <v>22599636</v>
      </c>
      <c r="N164" s="477">
        <f t="shared" si="212"/>
        <v>22546028</v>
      </c>
      <c r="O164" s="477"/>
      <c r="P164" s="477"/>
      <c r="Q164" s="477">
        <f t="shared" si="213"/>
        <v>22599636</v>
      </c>
      <c r="R164" s="477">
        <f t="shared" si="214"/>
        <v>22546028</v>
      </c>
      <c r="S164" s="477">
        <f t="shared" si="215"/>
        <v>53608</v>
      </c>
      <c r="V164" s="476">
        <f t="shared" si="216"/>
        <v>22599636</v>
      </c>
      <c r="W164" s="476">
        <f t="shared" si="217"/>
        <v>22546028</v>
      </c>
      <c r="X164" s="476">
        <f t="shared" si="218"/>
        <v>0</v>
      </c>
      <c r="Y164" s="476">
        <f t="shared" si="219"/>
        <v>0</v>
      </c>
      <c r="Z164" s="476">
        <f t="shared" si="220"/>
        <v>0</v>
      </c>
      <c r="AA164" s="476">
        <f t="shared" si="221"/>
        <v>0</v>
      </c>
      <c r="AB164" s="476">
        <f t="shared" si="222"/>
        <v>0</v>
      </c>
      <c r="AC164" s="476">
        <f t="shared" si="223"/>
        <v>0</v>
      </c>
      <c r="AD164" s="476">
        <f t="shared" si="224"/>
        <v>0</v>
      </c>
      <c r="AE164" s="476">
        <f t="shared" si="225"/>
        <v>0</v>
      </c>
      <c r="AF164" s="476">
        <f t="shared" si="226"/>
        <v>0</v>
      </c>
      <c r="AG164" s="476">
        <f t="shared" si="227"/>
        <v>0</v>
      </c>
      <c r="AH164" s="476">
        <f t="shared" si="228"/>
        <v>0</v>
      </c>
      <c r="AI164" s="476">
        <f t="shared" si="229"/>
        <v>0</v>
      </c>
      <c r="AJ164" s="476">
        <f t="shared" si="230"/>
        <v>0</v>
      </c>
      <c r="AK164" s="476">
        <f t="shared" si="231"/>
        <v>0</v>
      </c>
      <c r="AL164" s="476">
        <f t="shared" si="232"/>
        <v>0</v>
      </c>
      <c r="AM164" s="476">
        <f t="shared" si="233"/>
        <v>0</v>
      </c>
      <c r="AN164" s="476">
        <f t="shared" si="234"/>
        <v>0</v>
      </c>
      <c r="AO164" s="476">
        <f t="shared" si="235"/>
        <v>0</v>
      </c>
      <c r="AP164" s="476">
        <f t="shared" si="236"/>
        <v>0</v>
      </c>
      <c r="AQ164" s="476">
        <f t="shared" si="237"/>
        <v>0</v>
      </c>
      <c r="AR164" s="476">
        <f t="shared" si="238"/>
        <v>0</v>
      </c>
      <c r="AS164" s="476">
        <f t="shared" si="239"/>
        <v>0</v>
      </c>
      <c r="AT164" s="476">
        <f t="shared" si="240"/>
        <v>0</v>
      </c>
      <c r="AU164" s="476">
        <f t="shared" si="241"/>
        <v>0</v>
      </c>
      <c r="AV164" s="476">
        <f t="shared" si="242"/>
        <v>0</v>
      </c>
      <c r="AW164" s="476">
        <f t="shared" si="243"/>
        <v>0</v>
      </c>
      <c r="AX164" s="476">
        <f t="shared" si="244"/>
        <v>0</v>
      </c>
      <c r="AY164" s="476">
        <f t="shared" si="245"/>
        <v>0</v>
      </c>
      <c r="AZ164" s="476">
        <f t="shared" si="246"/>
        <v>0</v>
      </c>
      <c r="BA164" s="476">
        <f t="shared" si="247"/>
        <v>0</v>
      </c>
      <c r="BB164" s="476">
        <f t="shared" si="248"/>
        <v>0</v>
      </c>
      <c r="BC164" s="476">
        <f t="shared" si="249"/>
        <v>0</v>
      </c>
      <c r="BD164" s="476">
        <f t="shared" si="250"/>
        <v>0</v>
      </c>
      <c r="BE164" s="476">
        <f t="shared" si="251"/>
        <v>0</v>
      </c>
      <c r="BF164" s="476">
        <f t="shared" si="252"/>
        <v>0</v>
      </c>
      <c r="BG164" s="476">
        <f t="shared" si="253"/>
        <v>0</v>
      </c>
    </row>
    <row r="165" spans="1:59" ht="16.5" customHeight="1">
      <c r="A165" s="583" t="s">
        <v>823</v>
      </c>
      <c r="B165" s="584" t="s">
        <v>1007</v>
      </c>
      <c r="C165" s="584" t="s">
        <v>235</v>
      </c>
      <c r="D165" s="413" t="s">
        <v>1051</v>
      </c>
      <c r="E165" s="412" t="s">
        <v>473</v>
      </c>
      <c r="F165" s="413" t="s">
        <v>1134</v>
      </c>
      <c r="G165" s="412" t="s">
        <v>1135</v>
      </c>
      <c r="H165" s="412" t="s">
        <v>1025</v>
      </c>
      <c r="I165" s="477">
        <v>0</v>
      </c>
      <c r="J165" s="477">
        <v>3</v>
      </c>
      <c r="K165" s="477">
        <v>0</v>
      </c>
      <c r="L165" s="477">
        <v>0</v>
      </c>
      <c r="M165" s="477">
        <f t="shared" si="211"/>
        <v>0</v>
      </c>
      <c r="N165" s="477">
        <f t="shared" si="212"/>
        <v>3</v>
      </c>
      <c r="O165" s="477"/>
      <c r="P165" s="477"/>
      <c r="Q165" s="477">
        <f t="shared" si="213"/>
        <v>0</v>
      </c>
      <c r="R165" s="477">
        <f t="shared" si="214"/>
        <v>3</v>
      </c>
      <c r="S165" s="477">
        <f t="shared" si="215"/>
        <v>-3</v>
      </c>
      <c r="V165" s="476">
        <f t="shared" si="216"/>
        <v>0</v>
      </c>
      <c r="W165" s="476">
        <f t="shared" si="217"/>
        <v>0</v>
      </c>
      <c r="X165" s="476">
        <f t="shared" si="218"/>
        <v>0</v>
      </c>
      <c r="Y165" s="476">
        <f t="shared" si="219"/>
        <v>0</v>
      </c>
      <c r="Z165" s="476">
        <f t="shared" si="220"/>
        <v>0</v>
      </c>
      <c r="AA165" s="476">
        <f t="shared" si="221"/>
        <v>0</v>
      </c>
      <c r="AB165" s="476">
        <f t="shared" si="222"/>
        <v>0</v>
      </c>
      <c r="AC165" s="476">
        <f t="shared" si="223"/>
        <v>0</v>
      </c>
      <c r="AD165" s="476">
        <f t="shared" si="224"/>
        <v>0</v>
      </c>
      <c r="AE165" s="476">
        <f t="shared" si="225"/>
        <v>0</v>
      </c>
      <c r="AF165" s="476">
        <f t="shared" si="226"/>
        <v>0</v>
      </c>
      <c r="AG165" s="476">
        <f t="shared" si="227"/>
        <v>0</v>
      </c>
      <c r="AH165" s="476">
        <f t="shared" si="228"/>
        <v>0</v>
      </c>
      <c r="AI165" s="476">
        <f t="shared" si="229"/>
        <v>3</v>
      </c>
      <c r="AJ165" s="476">
        <f t="shared" si="230"/>
        <v>0</v>
      </c>
      <c r="AK165" s="476">
        <f t="shared" si="231"/>
        <v>0</v>
      </c>
      <c r="AL165" s="476">
        <f t="shared" si="232"/>
        <v>0</v>
      </c>
      <c r="AM165" s="476">
        <f t="shared" si="233"/>
        <v>0</v>
      </c>
      <c r="AN165" s="476">
        <f t="shared" si="234"/>
        <v>0</v>
      </c>
      <c r="AO165" s="476">
        <f t="shared" si="235"/>
        <v>0</v>
      </c>
      <c r="AP165" s="476">
        <f t="shared" si="236"/>
        <v>0</v>
      </c>
      <c r="AQ165" s="476">
        <f t="shared" si="237"/>
        <v>0</v>
      </c>
      <c r="AR165" s="476">
        <f t="shared" si="238"/>
        <v>0</v>
      </c>
      <c r="AS165" s="476">
        <f t="shared" si="239"/>
        <v>0</v>
      </c>
      <c r="AT165" s="476">
        <f t="shared" si="240"/>
        <v>0</v>
      </c>
      <c r="AU165" s="476">
        <f t="shared" si="241"/>
        <v>0</v>
      </c>
      <c r="AV165" s="476">
        <f t="shared" si="242"/>
        <v>0</v>
      </c>
      <c r="AW165" s="476">
        <f t="shared" si="243"/>
        <v>0</v>
      </c>
      <c r="AX165" s="476">
        <f t="shared" si="244"/>
        <v>0</v>
      </c>
      <c r="AY165" s="476">
        <f t="shared" si="245"/>
        <v>0</v>
      </c>
      <c r="AZ165" s="476">
        <f t="shared" si="246"/>
        <v>0</v>
      </c>
      <c r="BA165" s="476">
        <f t="shared" si="247"/>
        <v>0</v>
      </c>
      <c r="BB165" s="476">
        <f t="shared" si="248"/>
        <v>0</v>
      </c>
      <c r="BC165" s="476">
        <f t="shared" si="249"/>
        <v>0</v>
      </c>
      <c r="BD165" s="476">
        <f t="shared" si="250"/>
        <v>0</v>
      </c>
      <c r="BE165" s="476">
        <f t="shared" si="251"/>
        <v>0</v>
      </c>
      <c r="BF165" s="476">
        <f t="shared" si="252"/>
        <v>0</v>
      </c>
      <c r="BG165" s="476">
        <f t="shared" si="253"/>
        <v>0</v>
      </c>
    </row>
    <row r="166" spans="1:59" ht="16.5" customHeight="1">
      <c r="A166" s="583" t="s">
        <v>823</v>
      </c>
      <c r="B166" s="584" t="s">
        <v>1007</v>
      </c>
      <c r="C166" s="584" t="s">
        <v>232</v>
      </c>
      <c r="D166" s="413" t="s">
        <v>1051</v>
      </c>
      <c r="E166" s="412" t="s">
        <v>473</v>
      </c>
      <c r="F166" s="413" t="s">
        <v>1134</v>
      </c>
      <c r="G166" s="412" t="s">
        <v>1135</v>
      </c>
      <c r="H166" s="412" t="s">
        <v>992</v>
      </c>
      <c r="I166" s="477">
        <v>3</v>
      </c>
      <c r="J166" s="477">
        <v>0</v>
      </c>
      <c r="K166" s="477">
        <v>0</v>
      </c>
      <c r="L166" s="477">
        <v>0</v>
      </c>
      <c r="M166" s="477">
        <f t="shared" si="211"/>
        <v>3</v>
      </c>
      <c r="N166" s="477">
        <f t="shared" si="212"/>
        <v>0</v>
      </c>
      <c r="O166" s="477"/>
      <c r="P166" s="477"/>
      <c r="Q166" s="477">
        <f t="shared" si="213"/>
        <v>3</v>
      </c>
      <c r="R166" s="477">
        <f t="shared" si="214"/>
        <v>0</v>
      </c>
      <c r="S166" s="477">
        <f t="shared" si="215"/>
        <v>3</v>
      </c>
      <c r="V166" s="476">
        <f t="shared" si="216"/>
        <v>0</v>
      </c>
      <c r="W166" s="476">
        <f t="shared" si="217"/>
        <v>0</v>
      </c>
      <c r="X166" s="476">
        <f t="shared" si="218"/>
        <v>0</v>
      </c>
      <c r="Y166" s="476">
        <f t="shared" si="219"/>
        <v>0</v>
      </c>
      <c r="Z166" s="476">
        <f t="shared" si="220"/>
        <v>0</v>
      </c>
      <c r="AA166" s="476">
        <f t="shared" si="221"/>
        <v>0</v>
      </c>
      <c r="AB166" s="476">
        <f t="shared" si="222"/>
        <v>0</v>
      </c>
      <c r="AC166" s="476">
        <f t="shared" si="223"/>
        <v>0</v>
      </c>
      <c r="AD166" s="476">
        <f t="shared" si="224"/>
        <v>0</v>
      </c>
      <c r="AE166" s="476">
        <f t="shared" si="225"/>
        <v>0</v>
      </c>
      <c r="AF166" s="476">
        <f t="shared" si="226"/>
        <v>0</v>
      </c>
      <c r="AG166" s="476">
        <f t="shared" si="227"/>
        <v>0</v>
      </c>
      <c r="AH166" s="476">
        <f t="shared" si="228"/>
        <v>0</v>
      </c>
      <c r="AI166" s="476">
        <f t="shared" si="229"/>
        <v>0</v>
      </c>
      <c r="AJ166" s="476">
        <f t="shared" si="230"/>
        <v>0</v>
      </c>
      <c r="AK166" s="476">
        <f t="shared" si="231"/>
        <v>0</v>
      </c>
      <c r="AL166" s="476">
        <f t="shared" si="232"/>
        <v>0</v>
      </c>
      <c r="AM166" s="476">
        <f t="shared" si="233"/>
        <v>0</v>
      </c>
      <c r="AN166" s="476">
        <f t="shared" si="234"/>
        <v>3</v>
      </c>
      <c r="AO166" s="476">
        <f t="shared" si="235"/>
        <v>0</v>
      </c>
      <c r="AP166" s="476">
        <f t="shared" si="236"/>
        <v>0</v>
      </c>
      <c r="AQ166" s="476">
        <f t="shared" si="237"/>
        <v>0</v>
      </c>
      <c r="AR166" s="476">
        <f t="shared" si="238"/>
        <v>0</v>
      </c>
      <c r="AS166" s="476">
        <f t="shared" si="239"/>
        <v>0</v>
      </c>
      <c r="AT166" s="476">
        <f t="shared" si="240"/>
        <v>0</v>
      </c>
      <c r="AU166" s="476">
        <f t="shared" si="241"/>
        <v>0</v>
      </c>
      <c r="AV166" s="476">
        <f t="shared" si="242"/>
        <v>0</v>
      </c>
      <c r="AW166" s="476">
        <f t="shared" si="243"/>
        <v>0</v>
      </c>
      <c r="AX166" s="476">
        <f t="shared" si="244"/>
        <v>0</v>
      </c>
      <c r="AY166" s="476">
        <f t="shared" si="245"/>
        <v>0</v>
      </c>
      <c r="AZ166" s="476">
        <f t="shared" si="246"/>
        <v>0</v>
      </c>
      <c r="BA166" s="476">
        <f t="shared" si="247"/>
        <v>0</v>
      </c>
      <c r="BB166" s="476">
        <f t="shared" si="248"/>
        <v>0</v>
      </c>
      <c r="BC166" s="476">
        <f t="shared" si="249"/>
        <v>0</v>
      </c>
      <c r="BD166" s="476">
        <f t="shared" si="250"/>
        <v>0</v>
      </c>
      <c r="BE166" s="476">
        <f t="shared" si="251"/>
        <v>0</v>
      </c>
      <c r="BF166" s="476">
        <f t="shared" si="252"/>
        <v>0</v>
      </c>
      <c r="BG166" s="476">
        <f t="shared" si="253"/>
        <v>0</v>
      </c>
    </row>
    <row r="167" spans="1:59" ht="16.5" customHeight="1">
      <c r="A167" s="583" t="s">
        <v>823</v>
      </c>
      <c r="B167" s="584" t="s">
        <v>1007</v>
      </c>
      <c r="C167" s="584" t="s">
        <v>1752</v>
      </c>
      <c r="D167" s="413" t="s">
        <v>1051</v>
      </c>
      <c r="E167" s="412" t="s">
        <v>473</v>
      </c>
      <c r="F167" s="413" t="s">
        <v>1134</v>
      </c>
      <c r="G167" s="412" t="s">
        <v>1135</v>
      </c>
      <c r="H167" s="412" t="s">
        <v>1275</v>
      </c>
      <c r="I167" s="477">
        <v>818916</v>
      </c>
      <c r="J167" s="477">
        <v>819916</v>
      </c>
      <c r="K167" s="477">
        <v>4805155</v>
      </c>
      <c r="L167" s="477">
        <v>4952509</v>
      </c>
      <c r="M167" s="477">
        <f t="shared" si="211"/>
        <v>5624071</v>
      </c>
      <c r="N167" s="477">
        <f t="shared" si="212"/>
        <v>5772425</v>
      </c>
      <c r="O167" s="477"/>
      <c r="P167" s="477"/>
      <c r="Q167" s="477">
        <f t="shared" si="213"/>
        <v>5624071</v>
      </c>
      <c r="R167" s="477">
        <f t="shared" si="214"/>
        <v>5772425</v>
      </c>
      <c r="S167" s="477">
        <f t="shared" si="215"/>
        <v>-148354</v>
      </c>
      <c r="V167" s="476">
        <f t="shared" si="216"/>
        <v>0</v>
      </c>
      <c r="W167" s="476">
        <f t="shared" si="217"/>
        <v>0</v>
      </c>
      <c r="X167" s="476">
        <f t="shared" si="218"/>
        <v>0</v>
      </c>
      <c r="Y167" s="476">
        <f t="shared" si="219"/>
        <v>0</v>
      </c>
      <c r="Z167" s="476">
        <f t="shared" si="220"/>
        <v>0</v>
      </c>
      <c r="AA167" s="476">
        <f t="shared" si="221"/>
        <v>0</v>
      </c>
      <c r="AB167" s="476">
        <f t="shared" si="222"/>
        <v>0</v>
      </c>
      <c r="AC167" s="476">
        <f t="shared" si="223"/>
        <v>0</v>
      </c>
      <c r="AD167" s="476">
        <f t="shared" si="224"/>
        <v>0</v>
      </c>
      <c r="AE167" s="476">
        <f t="shared" si="225"/>
        <v>0</v>
      </c>
      <c r="AF167" s="476">
        <f t="shared" si="226"/>
        <v>0</v>
      </c>
      <c r="AG167" s="476">
        <f t="shared" si="227"/>
        <v>0</v>
      </c>
      <c r="AH167" s="476">
        <f t="shared" si="228"/>
        <v>0</v>
      </c>
      <c r="AI167" s="476">
        <f t="shared" si="229"/>
        <v>0</v>
      </c>
      <c r="AJ167" s="476">
        <f t="shared" si="230"/>
        <v>0</v>
      </c>
      <c r="AK167" s="476">
        <f t="shared" si="231"/>
        <v>0</v>
      </c>
      <c r="AL167" s="476">
        <f t="shared" si="232"/>
        <v>0</v>
      </c>
      <c r="AM167" s="476">
        <f t="shared" si="233"/>
        <v>0</v>
      </c>
      <c r="AN167" s="476">
        <f t="shared" si="234"/>
        <v>0</v>
      </c>
      <c r="AO167" s="476">
        <f t="shared" si="235"/>
        <v>0</v>
      </c>
      <c r="AP167" s="476">
        <f t="shared" si="236"/>
        <v>0</v>
      </c>
      <c r="AQ167" s="476">
        <f t="shared" si="237"/>
        <v>0</v>
      </c>
      <c r="AR167" s="476">
        <f t="shared" si="238"/>
        <v>0</v>
      </c>
      <c r="AS167" s="476">
        <f t="shared" si="239"/>
        <v>0</v>
      </c>
      <c r="AT167" s="476">
        <f t="shared" si="240"/>
        <v>0</v>
      </c>
      <c r="AU167" s="476">
        <f t="shared" si="241"/>
        <v>0</v>
      </c>
      <c r="AV167" s="476">
        <f t="shared" si="242"/>
        <v>0</v>
      </c>
      <c r="AW167" s="476">
        <f t="shared" si="243"/>
        <v>0</v>
      </c>
      <c r="AX167" s="476">
        <f t="shared" si="244"/>
        <v>0</v>
      </c>
      <c r="AY167" s="476">
        <f t="shared" si="245"/>
        <v>0</v>
      </c>
      <c r="AZ167" s="476">
        <f t="shared" si="246"/>
        <v>0</v>
      </c>
      <c r="BA167" s="476">
        <f t="shared" si="247"/>
        <v>0</v>
      </c>
      <c r="BB167" s="476">
        <f t="shared" si="248"/>
        <v>0</v>
      </c>
      <c r="BC167" s="476">
        <f t="shared" si="249"/>
        <v>0</v>
      </c>
      <c r="BD167" s="476">
        <f t="shared" si="250"/>
        <v>0</v>
      </c>
      <c r="BE167" s="476">
        <f t="shared" si="251"/>
        <v>0</v>
      </c>
      <c r="BF167" s="476">
        <f t="shared" si="252"/>
        <v>0</v>
      </c>
      <c r="BG167" s="476">
        <f t="shared" si="253"/>
        <v>0</v>
      </c>
    </row>
    <row r="168" spans="1:59" ht="16.5" customHeight="1">
      <c r="A168" s="583" t="s">
        <v>824</v>
      </c>
      <c r="B168" s="584" t="s">
        <v>1666</v>
      </c>
      <c r="C168" s="584" t="s">
        <v>236</v>
      </c>
      <c r="D168" s="413" t="s">
        <v>1051</v>
      </c>
      <c r="E168" s="412" t="s">
        <v>473</v>
      </c>
      <c r="F168" s="413" t="s">
        <v>1134</v>
      </c>
      <c r="G168" s="412" t="s">
        <v>1137</v>
      </c>
      <c r="H168" s="412" t="s">
        <v>974</v>
      </c>
      <c r="I168" s="477">
        <v>0</v>
      </c>
      <c r="J168" s="477">
        <v>0</v>
      </c>
      <c r="K168" s="477">
        <v>0</v>
      </c>
      <c r="L168" s="477">
        <v>0</v>
      </c>
      <c r="M168" s="477">
        <f t="shared" si="211"/>
        <v>0</v>
      </c>
      <c r="N168" s="477">
        <f t="shared" si="212"/>
        <v>0</v>
      </c>
      <c r="O168" s="477"/>
      <c r="P168" s="477"/>
      <c r="Q168" s="477">
        <f t="shared" si="213"/>
        <v>0</v>
      </c>
      <c r="R168" s="477">
        <f t="shared" si="214"/>
        <v>0</v>
      </c>
      <c r="S168" s="477">
        <f t="shared" si="215"/>
        <v>0</v>
      </c>
      <c r="V168" s="476">
        <f t="shared" si="216"/>
        <v>0</v>
      </c>
      <c r="W168" s="476">
        <f t="shared" si="217"/>
        <v>0</v>
      </c>
      <c r="X168" s="476">
        <f t="shared" si="218"/>
        <v>0</v>
      </c>
      <c r="Y168" s="476">
        <f t="shared" si="219"/>
        <v>0</v>
      </c>
      <c r="Z168" s="476">
        <f t="shared" si="220"/>
        <v>0</v>
      </c>
      <c r="AA168" s="476">
        <f t="shared" si="221"/>
        <v>0</v>
      </c>
      <c r="AB168" s="476">
        <f t="shared" si="222"/>
        <v>0</v>
      </c>
      <c r="AC168" s="476">
        <f t="shared" si="223"/>
        <v>0</v>
      </c>
      <c r="AD168" s="476">
        <f t="shared" si="224"/>
        <v>0</v>
      </c>
      <c r="AE168" s="476">
        <f t="shared" si="225"/>
        <v>0</v>
      </c>
      <c r="AF168" s="476">
        <f t="shared" si="226"/>
        <v>0</v>
      </c>
      <c r="AG168" s="476">
        <f t="shared" si="227"/>
        <v>0</v>
      </c>
      <c r="AH168" s="476">
        <f t="shared" si="228"/>
        <v>0</v>
      </c>
      <c r="AI168" s="476">
        <f t="shared" si="229"/>
        <v>0</v>
      </c>
      <c r="AJ168" s="476">
        <f t="shared" si="230"/>
        <v>0</v>
      </c>
      <c r="AK168" s="476">
        <f t="shared" si="231"/>
        <v>0</v>
      </c>
      <c r="AL168" s="476">
        <f t="shared" si="232"/>
        <v>0</v>
      </c>
      <c r="AM168" s="476">
        <f t="shared" si="233"/>
        <v>0</v>
      </c>
      <c r="AN168" s="476">
        <f t="shared" si="234"/>
        <v>0</v>
      </c>
      <c r="AO168" s="476">
        <f t="shared" si="235"/>
        <v>0</v>
      </c>
      <c r="AP168" s="476">
        <f t="shared" si="236"/>
        <v>0</v>
      </c>
      <c r="AQ168" s="476">
        <f t="shared" si="237"/>
        <v>0</v>
      </c>
      <c r="AR168" s="476">
        <f t="shared" si="238"/>
        <v>0</v>
      </c>
      <c r="AS168" s="476">
        <f t="shared" si="239"/>
        <v>0</v>
      </c>
      <c r="AT168" s="476">
        <f t="shared" si="240"/>
        <v>0</v>
      </c>
      <c r="AU168" s="476">
        <f t="shared" si="241"/>
        <v>0</v>
      </c>
      <c r="AV168" s="476">
        <f t="shared" si="242"/>
        <v>0</v>
      </c>
      <c r="AW168" s="476">
        <f t="shared" si="243"/>
        <v>0</v>
      </c>
      <c r="AX168" s="476">
        <f t="shared" si="244"/>
        <v>0</v>
      </c>
      <c r="AY168" s="476">
        <f t="shared" si="245"/>
        <v>0</v>
      </c>
      <c r="AZ168" s="476">
        <f t="shared" si="246"/>
        <v>0</v>
      </c>
      <c r="BA168" s="476">
        <f t="shared" si="247"/>
        <v>0</v>
      </c>
      <c r="BB168" s="476">
        <f t="shared" si="248"/>
        <v>0</v>
      </c>
      <c r="BC168" s="476">
        <f t="shared" si="249"/>
        <v>0</v>
      </c>
      <c r="BD168" s="476">
        <f t="shared" si="250"/>
        <v>0</v>
      </c>
      <c r="BE168" s="476">
        <f t="shared" si="251"/>
        <v>0</v>
      </c>
      <c r="BF168" s="476">
        <f t="shared" si="252"/>
        <v>0</v>
      </c>
      <c r="BG168" s="476">
        <f t="shared" si="253"/>
        <v>0</v>
      </c>
    </row>
    <row r="169" spans="1:59" ht="16.5" customHeight="1">
      <c r="A169" s="583" t="s">
        <v>825</v>
      </c>
      <c r="B169" s="584" t="s">
        <v>1005</v>
      </c>
      <c r="C169" s="584" t="s">
        <v>237</v>
      </c>
      <c r="D169" s="413" t="s">
        <v>1051</v>
      </c>
      <c r="E169" s="412" t="s">
        <v>473</v>
      </c>
      <c r="F169" s="413" t="s">
        <v>1134</v>
      </c>
      <c r="G169" s="412" t="s">
        <v>1137</v>
      </c>
      <c r="H169" s="412" t="s">
        <v>974</v>
      </c>
      <c r="I169" s="477">
        <v>55500</v>
      </c>
      <c r="J169" s="477">
        <v>57900</v>
      </c>
      <c r="K169" s="477">
        <v>0</v>
      </c>
      <c r="L169" s="477">
        <v>0</v>
      </c>
      <c r="M169" s="477">
        <f t="shared" si="211"/>
        <v>55500</v>
      </c>
      <c r="N169" s="477">
        <f t="shared" si="212"/>
        <v>57900</v>
      </c>
      <c r="O169" s="477"/>
      <c r="P169" s="477"/>
      <c r="Q169" s="477">
        <f t="shared" si="213"/>
        <v>55500</v>
      </c>
      <c r="R169" s="477">
        <f t="shared" si="214"/>
        <v>57900</v>
      </c>
      <c r="S169" s="477">
        <f t="shared" si="215"/>
        <v>-2400</v>
      </c>
      <c r="V169" s="476">
        <f t="shared" si="216"/>
        <v>55500</v>
      </c>
      <c r="W169" s="476">
        <f t="shared" si="217"/>
        <v>57900</v>
      </c>
      <c r="X169" s="476">
        <f t="shared" si="218"/>
        <v>0</v>
      </c>
      <c r="Y169" s="476">
        <f t="shared" si="219"/>
        <v>0</v>
      </c>
      <c r="Z169" s="476">
        <f t="shared" si="220"/>
        <v>0</v>
      </c>
      <c r="AA169" s="476">
        <f t="shared" si="221"/>
        <v>0</v>
      </c>
      <c r="AB169" s="476">
        <f t="shared" si="222"/>
        <v>0</v>
      </c>
      <c r="AC169" s="476">
        <f t="shared" si="223"/>
        <v>0</v>
      </c>
      <c r="AD169" s="476">
        <f t="shared" si="224"/>
        <v>0</v>
      </c>
      <c r="AE169" s="476">
        <f t="shared" si="225"/>
        <v>0</v>
      </c>
      <c r="AF169" s="476">
        <f t="shared" si="226"/>
        <v>0</v>
      </c>
      <c r="AG169" s="476">
        <f t="shared" si="227"/>
        <v>0</v>
      </c>
      <c r="AH169" s="476">
        <f t="shared" si="228"/>
        <v>0</v>
      </c>
      <c r="AI169" s="476">
        <f t="shared" si="229"/>
        <v>0</v>
      </c>
      <c r="AJ169" s="476">
        <f t="shared" si="230"/>
        <v>0</v>
      </c>
      <c r="AK169" s="476">
        <f t="shared" si="231"/>
        <v>0</v>
      </c>
      <c r="AL169" s="476">
        <f t="shared" si="232"/>
        <v>0</v>
      </c>
      <c r="AM169" s="476">
        <f t="shared" si="233"/>
        <v>0</v>
      </c>
      <c r="AN169" s="476">
        <f t="shared" si="234"/>
        <v>0</v>
      </c>
      <c r="AO169" s="476">
        <f t="shared" si="235"/>
        <v>0</v>
      </c>
      <c r="AP169" s="476">
        <f t="shared" si="236"/>
        <v>0</v>
      </c>
      <c r="AQ169" s="476">
        <f t="shared" si="237"/>
        <v>0</v>
      </c>
      <c r="AR169" s="476">
        <f t="shared" si="238"/>
        <v>0</v>
      </c>
      <c r="AS169" s="476">
        <f t="shared" si="239"/>
        <v>0</v>
      </c>
      <c r="AT169" s="476">
        <f t="shared" si="240"/>
        <v>0</v>
      </c>
      <c r="AU169" s="476">
        <f t="shared" si="241"/>
        <v>0</v>
      </c>
      <c r="AV169" s="476">
        <f t="shared" si="242"/>
        <v>0</v>
      </c>
      <c r="AW169" s="476">
        <f t="shared" si="243"/>
        <v>0</v>
      </c>
      <c r="AX169" s="476">
        <f t="shared" si="244"/>
        <v>0</v>
      </c>
      <c r="AY169" s="476">
        <f t="shared" si="245"/>
        <v>0</v>
      </c>
      <c r="AZ169" s="476">
        <f t="shared" si="246"/>
        <v>0</v>
      </c>
      <c r="BA169" s="476">
        <f t="shared" si="247"/>
        <v>0</v>
      </c>
      <c r="BB169" s="476">
        <f t="shared" si="248"/>
        <v>0</v>
      </c>
      <c r="BC169" s="476">
        <f t="shared" si="249"/>
        <v>0</v>
      </c>
      <c r="BD169" s="476">
        <f t="shared" si="250"/>
        <v>0</v>
      </c>
      <c r="BE169" s="476">
        <f t="shared" si="251"/>
        <v>0</v>
      </c>
      <c r="BF169" s="476">
        <f t="shared" si="252"/>
        <v>0</v>
      </c>
      <c r="BG169" s="476">
        <f t="shared" si="253"/>
        <v>0</v>
      </c>
    </row>
    <row r="170" spans="1:59" ht="16.5" customHeight="1">
      <c r="A170" s="583" t="s">
        <v>1226</v>
      </c>
      <c r="B170" s="584" t="s">
        <v>1667</v>
      </c>
      <c r="C170" s="584" t="s">
        <v>1753</v>
      </c>
      <c r="D170" s="413" t="s">
        <v>1051</v>
      </c>
      <c r="E170" s="412" t="s">
        <v>473</v>
      </c>
      <c r="F170" s="413" t="s">
        <v>1134</v>
      </c>
      <c r="G170" s="412" t="s">
        <v>1135</v>
      </c>
      <c r="H170" s="412" t="s">
        <v>974</v>
      </c>
      <c r="I170" s="477">
        <v>0</v>
      </c>
      <c r="J170" s="477">
        <v>0</v>
      </c>
      <c r="K170" s="477">
        <v>0</v>
      </c>
      <c r="L170" s="477">
        <v>0</v>
      </c>
      <c r="M170" s="477">
        <f t="shared" si="211"/>
        <v>0</v>
      </c>
      <c r="N170" s="477">
        <f t="shared" si="212"/>
        <v>0</v>
      </c>
      <c r="O170" s="477"/>
      <c r="P170" s="477"/>
      <c r="Q170" s="477">
        <f t="shared" si="213"/>
        <v>0</v>
      </c>
      <c r="R170" s="477">
        <f t="shared" si="214"/>
        <v>0</v>
      </c>
      <c r="S170" s="477">
        <f t="shared" si="215"/>
        <v>0</v>
      </c>
      <c r="V170" s="476">
        <f t="shared" si="216"/>
        <v>0</v>
      </c>
      <c r="W170" s="476">
        <f t="shared" si="217"/>
        <v>0</v>
      </c>
      <c r="X170" s="476">
        <f t="shared" si="218"/>
        <v>0</v>
      </c>
      <c r="Y170" s="476">
        <f t="shared" si="219"/>
        <v>0</v>
      </c>
      <c r="Z170" s="476">
        <f t="shared" si="220"/>
        <v>0</v>
      </c>
      <c r="AA170" s="476">
        <f t="shared" si="221"/>
        <v>0</v>
      </c>
      <c r="AB170" s="476">
        <f t="shared" si="222"/>
        <v>0</v>
      </c>
      <c r="AC170" s="476">
        <f t="shared" si="223"/>
        <v>0</v>
      </c>
      <c r="AD170" s="476">
        <f t="shared" si="224"/>
        <v>0</v>
      </c>
      <c r="AE170" s="476">
        <f t="shared" si="225"/>
        <v>0</v>
      </c>
      <c r="AF170" s="476">
        <f t="shared" si="226"/>
        <v>0</v>
      </c>
      <c r="AG170" s="476">
        <f t="shared" si="227"/>
        <v>0</v>
      </c>
      <c r="AH170" s="476">
        <f t="shared" si="228"/>
        <v>0</v>
      </c>
      <c r="AI170" s="476">
        <f t="shared" si="229"/>
        <v>0</v>
      </c>
      <c r="AJ170" s="476">
        <f t="shared" si="230"/>
        <v>0</v>
      </c>
      <c r="AK170" s="476">
        <f t="shared" si="231"/>
        <v>0</v>
      </c>
      <c r="AL170" s="476">
        <f t="shared" si="232"/>
        <v>0</v>
      </c>
      <c r="AM170" s="476">
        <f t="shared" si="233"/>
        <v>0</v>
      </c>
      <c r="AN170" s="476">
        <f t="shared" si="234"/>
        <v>0</v>
      </c>
      <c r="AO170" s="476">
        <f t="shared" si="235"/>
        <v>0</v>
      </c>
      <c r="AP170" s="476">
        <f t="shared" si="236"/>
        <v>0</v>
      </c>
      <c r="AQ170" s="476">
        <f t="shared" si="237"/>
        <v>0</v>
      </c>
      <c r="AR170" s="476">
        <f t="shared" si="238"/>
        <v>0</v>
      </c>
      <c r="AS170" s="476">
        <f t="shared" si="239"/>
        <v>0</v>
      </c>
      <c r="AT170" s="476">
        <f t="shared" si="240"/>
        <v>0</v>
      </c>
      <c r="AU170" s="476">
        <f t="shared" si="241"/>
        <v>0</v>
      </c>
      <c r="AV170" s="476">
        <f t="shared" si="242"/>
        <v>0</v>
      </c>
      <c r="AW170" s="476">
        <f t="shared" si="243"/>
        <v>0</v>
      </c>
      <c r="AX170" s="476">
        <f t="shared" si="244"/>
        <v>0</v>
      </c>
      <c r="AY170" s="476">
        <f t="shared" si="245"/>
        <v>0</v>
      </c>
      <c r="AZ170" s="476">
        <f t="shared" si="246"/>
        <v>0</v>
      </c>
      <c r="BA170" s="476">
        <f t="shared" si="247"/>
        <v>0</v>
      </c>
      <c r="BB170" s="476">
        <f t="shared" si="248"/>
        <v>0</v>
      </c>
      <c r="BC170" s="476">
        <f t="shared" si="249"/>
        <v>0</v>
      </c>
      <c r="BD170" s="476">
        <f t="shared" si="250"/>
        <v>0</v>
      </c>
      <c r="BE170" s="476">
        <f t="shared" si="251"/>
        <v>0</v>
      </c>
      <c r="BF170" s="476">
        <f t="shared" si="252"/>
        <v>0</v>
      </c>
      <c r="BG170" s="476">
        <f t="shared" si="253"/>
        <v>0</v>
      </c>
    </row>
    <row r="171" spans="1:59" ht="16.5" customHeight="1">
      <c r="A171" s="583" t="s">
        <v>826</v>
      </c>
      <c r="B171" s="584" t="s">
        <v>976</v>
      </c>
      <c r="C171" s="584" t="s">
        <v>242</v>
      </c>
      <c r="D171" s="413" t="s">
        <v>1051</v>
      </c>
      <c r="E171" s="412" t="s">
        <v>473</v>
      </c>
      <c r="F171" s="413" t="s">
        <v>1134</v>
      </c>
      <c r="G171" s="412" t="s">
        <v>1135</v>
      </c>
      <c r="H171" s="412" t="s">
        <v>1013</v>
      </c>
      <c r="I171" s="477">
        <v>5519251</v>
      </c>
      <c r="J171" s="477">
        <v>4760392.2966282675</v>
      </c>
      <c r="K171" s="477">
        <v>0</v>
      </c>
      <c r="L171" s="477">
        <v>0</v>
      </c>
      <c r="M171" s="477">
        <f t="shared" si="211"/>
        <v>5519251</v>
      </c>
      <c r="N171" s="477">
        <f t="shared" si="212"/>
        <v>4760392.2966282675</v>
      </c>
      <c r="O171" s="477"/>
      <c r="P171" s="477"/>
      <c r="Q171" s="477">
        <f t="shared" si="213"/>
        <v>5519251</v>
      </c>
      <c r="R171" s="477">
        <f t="shared" si="214"/>
        <v>4760392.2966282675</v>
      </c>
      <c r="S171" s="477">
        <f t="shared" si="215"/>
        <v>758858.7033717325</v>
      </c>
      <c r="V171" s="476">
        <f t="shared" si="216"/>
        <v>0</v>
      </c>
      <c r="W171" s="476">
        <f t="shared" si="217"/>
        <v>0</v>
      </c>
      <c r="X171" s="476">
        <f t="shared" si="218"/>
        <v>0</v>
      </c>
      <c r="Y171" s="476">
        <f t="shared" si="219"/>
        <v>0</v>
      </c>
      <c r="Z171" s="476">
        <f t="shared" si="220"/>
        <v>0</v>
      </c>
      <c r="AA171" s="476">
        <f t="shared" si="221"/>
        <v>0</v>
      </c>
      <c r="AB171" s="476">
        <f t="shared" si="222"/>
        <v>0</v>
      </c>
      <c r="AC171" s="476">
        <f t="shared" si="223"/>
        <v>0</v>
      </c>
      <c r="AD171" s="476">
        <f t="shared" si="224"/>
        <v>0</v>
      </c>
      <c r="AE171" s="476">
        <f t="shared" si="225"/>
        <v>0</v>
      </c>
      <c r="AF171" s="476">
        <f t="shared" si="226"/>
        <v>0</v>
      </c>
      <c r="AG171" s="476">
        <f t="shared" si="227"/>
        <v>0</v>
      </c>
      <c r="AH171" s="476">
        <f t="shared" si="228"/>
        <v>0</v>
      </c>
      <c r="AI171" s="476">
        <f t="shared" si="229"/>
        <v>0</v>
      </c>
      <c r="AJ171" s="476">
        <f t="shared" si="230"/>
        <v>5519251</v>
      </c>
      <c r="AK171" s="476">
        <f t="shared" si="231"/>
        <v>4760392.2966282675</v>
      </c>
      <c r="AL171" s="476">
        <f t="shared" si="232"/>
        <v>0</v>
      </c>
      <c r="AM171" s="476">
        <f t="shared" si="233"/>
        <v>0</v>
      </c>
      <c r="AN171" s="476">
        <f t="shared" si="234"/>
        <v>0</v>
      </c>
      <c r="AO171" s="476">
        <f t="shared" si="235"/>
        <v>0</v>
      </c>
      <c r="AP171" s="476">
        <f t="shared" si="236"/>
        <v>0</v>
      </c>
      <c r="AQ171" s="476">
        <f t="shared" si="237"/>
        <v>0</v>
      </c>
      <c r="AR171" s="476">
        <f t="shared" si="238"/>
        <v>0</v>
      </c>
      <c r="AS171" s="476">
        <f t="shared" si="239"/>
        <v>0</v>
      </c>
      <c r="AT171" s="476">
        <f t="shared" si="240"/>
        <v>0</v>
      </c>
      <c r="AU171" s="476">
        <f t="shared" si="241"/>
        <v>0</v>
      </c>
      <c r="AV171" s="476">
        <f t="shared" si="242"/>
        <v>0</v>
      </c>
      <c r="AW171" s="476">
        <f t="shared" si="243"/>
        <v>0</v>
      </c>
      <c r="AX171" s="476">
        <f t="shared" si="244"/>
        <v>0</v>
      </c>
      <c r="AY171" s="476">
        <f t="shared" si="245"/>
        <v>0</v>
      </c>
      <c r="AZ171" s="476">
        <f t="shared" si="246"/>
        <v>0</v>
      </c>
      <c r="BA171" s="476">
        <f t="shared" si="247"/>
        <v>0</v>
      </c>
      <c r="BB171" s="476">
        <f t="shared" si="248"/>
        <v>0</v>
      </c>
      <c r="BC171" s="476">
        <f t="shared" si="249"/>
        <v>0</v>
      </c>
      <c r="BD171" s="476">
        <f t="shared" si="250"/>
        <v>0</v>
      </c>
      <c r="BE171" s="476">
        <f t="shared" si="251"/>
        <v>0</v>
      </c>
      <c r="BF171" s="476">
        <f t="shared" si="252"/>
        <v>0</v>
      </c>
      <c r="BG171" s="476">
        <f t="shared" si="253"/>
        <v>0</v>
      </c>
    </row>
    <row r="172" spans="1:59" ht="16.5" customHeight="1">
      <c r="A172" s="583" t="s">
        <v>826</v>
      </c>
      <c r="B172" s="584" t="s">
        <v>976</v>
      </c>
      <c r="C172" s="584" t="s">
        <v>241</v>
      </c>
      <c r="D172" s="413" t="s">
        <v>1051</v>
      </c>
      <c r="E172" s="412" t="s">
        <v>473</v>
      </c>
      <c r="F172" s="413" t="s">
        <v>1134</v>
      </c>
      <c r="G172" s="412" t="s">
        <v>1135</v>
      </c>
      <c r="H172" s="412" t="s">
        <v>974</v>
      </c>
      <c r="I172" s="477">
        <v>365378</v>
      </c>
      <c r="J172" s="477">
        <v>3507751.9150929004</v>
      </c>
      <c r="K172" s="477">
        <v>0</v>
      </c>
      <c r="L172" s="477">
        <v>0</v>
      </c>
      <c r="M172" s="477">
        <f t="shared" si="211"/>
        <v>365378</v>
      </c>
      <c r="N172" s="477">
        <f t="shared" si="212"/>
        <v>3507751.9150929004</v>
      </c>
      <c r="O172" s="477"/>
      <c r="P172" s="477"/>
      <c r="Q172" s="477">
        <f t="shared" si="213"/>
        <v>365378</v>
      </c>
      <c r="R172" s="477">
        <f t="shared" si="214"/>
        <v>3507751.9150929004</v>
      </c>
      <c r="S172" s="477">
        <f t="shared" si="215"/>
        <v>-3142373.9150929004</v>
      </c>
      <c r="V172" s="476">
        <f t="shared" si="216"/>
        <v>365378</v>
      </c>
      <c r="W172" s="476">
        <f t="shared" si="217"/>
        <v>3507751.9150929004</v>
      </c>
      <c r="X172" s="476">
        <f t="shared" si="218"/>
        <v>0</v>
      </c>
      <c r="Y172" s="476">
        <f t="shared" si="219"/>
        <v>0</v>
      </c>
      <c r="Z172" s="476">
        <f t="shared" si="220"/>
        <v>0</v>
      </c>
      <c r="AA172" s="476">
        <f t="shared" si="221"/>
        <v>0</v>
      </c>
      <c r="AB172" s="476">
        <f t="shared" si="222"/>
        <v>0</v>
      </c>
      <c r="AC172" s="476">
        <f t="shared" si="223"/>
        <v>0</v>
      </c>
      <c r="AD172" s="476">
        <f t="shared" si="224"/>
        <v>0</v>
      </c>
      <c r="AE172" s="476">
        <f t="shared" si="225"/>
        <v>0</v>
      </c>
      <c r="AF172" s="476">
        <f t="shared" si="226"/>
        <v>0</v>
      </c>
      <c r="AG172" s="476">
        <f t="shared" si="227"/>
        <v>0</v>
      </c>
      <c r="AH172" s="476">
        <f t="shared" si="228"/>
        <v>0</v>
      </c>
      <c r="AI172" s="476">
        <f t="shared" si="229"/>
        <v>0</v>
      </c>
      <c r="AJ172" s="476">
        <f t="shared" si="230"/>
        <v>0</v>
      </c>
      <c r="AK172" s="476">
        <f t="shared" si="231"/>
        <v>0</v>
      </c>
      <c r="AL172" s="476">
        <f t="shared" si="232"/>
        <v>0</v>
      </c>
      <c r="AM172" s="476">
        <f t="shared" si="233"/>
        <v>0</v>
      </c>
      <c r="AN172" s="476">
        <f t="shared" si="234"/>
        <v>0</v>
      </c>
      <c r="AO172" s="476">
        <f t="shared" si="235"/>
        <v>0</v>
      </c>
      <c r="AP172" s="476">
        <f t="shared" si="236"/>
        <v>0</v>
      </c>
      <c r="AQ172" s="476">
        <f t="shared" si="237"/>
        <v>0</v>
      </c>
      <c r="AR172" s="476">
        <f t="shared" si="238"/>
        <v>0</v>
      </c>
      <c r="AS172" s="476">
        <f t="shared" si="239"/>
        <v>0</v>
      </c>
      <c r="AT172" s="476">
        <f t="shared" si="240"/>
        <v>0</v>
      </c>
      <c r="AU172" s="476">
        <f t="shared" si="241"/>
        <v>0</v>
      </c>
      <c r="AV172" s="476">
        <f t="shared" si="242"/>
        <v>0</v>
      </c>
      <c r="AW172" s="476">
        <f t="shared" si="243"/>
        <v>0</v>
      </c>
      <c r="AX172" s="476">
        <f t="shared" si="244"/>
        <v>0</v>
      </c>
      <c r="AY172" s="476">
        <f t="shared" si="245"/>
        <v>0</v>
      </c>
      <c r="AZ172" s="476">
        <f t="shared" si="246"/>
        <v>0</v>
      </c>
      <c r="BA172" s="476">
        <f t="shared" si="247"/>
        <v>0</v>
      </c>
      <c r="BB172" s="476">
        <f t="shared" si="248"/>
        <v>0</v>
      </c>
      <c r="BC172" s="476">
        <f t="shared" si="249"/>
        <v>0</v>
      </c>
      <c r="BD172" s="476">
        <f t="shared" si="250"/>
        <v>0</v>
      </c>
      <c r="BE172" s="476">
        <f t="shared" si="251"/>
        <v>0</v>
      </c>
      <c r="BF172" s="476">
        <f t="shared" si="252"/>
        <v>0</v>
      </c>
      <c r="BG172" s="476">
        <f t="shared" si="253"/>
        <v>0</v>
      </c>
    </row>
    <row r="173" spans="1:59" ht="16.5" customHeight="1">
      <c r="A173" s="583" t="s">
        <v>826</v>
      </c>
      <c r="B173" s="584" t="s">
        <v>976</v>
      </c>
      <c r="C173" s="584" t="s">
        <v>238</v>
      </c>
      <c r="D173" s="413" t="s">
        <v>1051</v>
      </c>
      <c r="E173" s="412" t="s">
        <v>473</v>
      </c>
      <c r="F173" s="413" t="s">
        <v>1134</v>
      </c>
      <c r="G173" s="412" t="s">
        <v>1135</v>
      </c>
      <c r="H173" s="412" t="s">
        <v>992</v>
      </c>
      <c r="I173" s="477">
        <v>16420</v>
      </c>
      <c r="J173" s="477">
        <v>16420</v>
      </c>
      <c r="K173" s="477">
        <v>0</v>
      </c>
      <c r="L173" s="477">
        <v>0</v>
      </c>
      <c r="M173" s="477">
        <f t="shared" si="211"/>
        <v>16420</v>
      </c>
      <c r="N173" s="477">
        <f t="shared" si="212"/>
        <v>16420</v>
      </c>
      <c r="O173" s="477"/>
      <c r="P173" s="477"/>
      <c r="Q173" s="477">
        <f t="shared" si="213"/>
        <v>16420</v>
      </c>
      <c r="R173" s="477">
        <f t="shared" si="214"/>
        <v>16420</v>
      </c>
      <c r="S173" s="477">
        <f t="shared" si="215"/>
        <v>0</v>
      </c>
      <c r="V173" s="476">
        <f t="shared" si="216"/>
        <v>0</v>
      </c>
      <c r="W173" s="476">
        <f t="shared" si="217"/>
        <v>0</v>
      </c>
      <c r="X173" s="476">
        <f t="shared" si="218"/>
        <v>0</v>
      </c>
      <c r="Y173" s="476">
        <f t="shared" si="219"/>
        <v>0</v>
      </c>
      <c r="Z173" s="476">
        <f t="shared" si="220"/>
        <v>0</v>
      </c>
      <c r="AA173" s="476">
        <f t="shared" si="221"/>
        <v>0</v>
      </c>
      <c r="AB173" s="476">
        <f t="shared" si="222"/>
        <v>0</v>
      </c>
      <c r="AC173" s="476">
        <f t="shared" si="223"/>
        <v>0</v>
      </c>
      <c r="AD173" s="476">
        <f t="shared" si="224"/>
        <v>0</v>
      </c>
      <c r="AE173" s="476">
        <f t="shared" si="225"/>
        <v>0</v>
      </c>
      <c r="AF173" s="476">
        <f t="shared" si="226"/>
        <v>0</v>
      </c>
      <c r="AG173" s="476">
        <f t="shared" si="227"/>
        <v>0</v>
      </c>
      <c r="AH173" s="476">
        <f t="shared" si="228"/>
        <v>0</v>
      </c>
      <c r="AI173" s="476">
        <f t="shared" si="229"/>
        <v>0</v>
      </c>
      <c r="AJ173" s="476">
        <f t="shared" si="230"/>
        <v>0</v>
      </c>
      <c r="AK173" s="476">
        <f t="shared" si="231"/>
        <v>0</v>
      </c>
      <c r="AL173" s="476">
        <f t="shared" si="232"/>
        <v>0</v>
      </c>
      <c r="AM173" s="476">
        <f t="shared" si="233"/>
        <v>0</v>
      </c>
      <c r="AN173" s="476">
        <f t="shared" si="234"/>
        <v>16420</v>
      </c>
      <c r="AO173" s="476">
        <f t="shared" si="235"/>
        <v>16420</v>
      </c>
      <c r="AP173" s="476">
        <f t="shared" si="236"/>
        <v>0</v>
      </c>
      <c r="AQ173" s="476">
        <f t="shared" si="237"/>
        <v>0</v>
      </c>
      <c r="AR173" s="476">
        <f t="shared" si="238"/>
        <v>0</v>
      </c>
      <c r="AS173" s="476">
        <f t="shared" si="239"/>
        <v>0</v>
      </c>
      <c r="AT173" s="476">
        <f t="shared" si="240"/>
        <v>0</v>
      </c>
      <c r="AU173" s="476">
        <f t="shared" si="241"/>
        <v>0</v>
      </c>
      <c r="AV173" s="476">
        <f t="shared" si="242"/>
        <v>0</v>
      </c>
      <c r="AW173" s="476">
        <f t="shared" si="243"/>
        <v>0</v>
      </c>
      <c r="AX173" s="476">
        <f t="shared" si="244"/>
        <v>0</v>
      </c>
      <c r="AY173" s="476">
        <f t="shared" si="245"/>
        <v>0</v>
      </c>
      <c r="AZ173" s="476">
        <f t="shared" si="246"/>
        <v>0</v>
      </c>
      <c r="BA173" s="476">
        <f t="shared" si="247"/>
        <v>0</v>
      </c>
      <c r="BB173" s="476">
        <f t="shared" si="248"/>
        <v>0</v>
      </c>
      <c r="BC173" s="476">
        <f t="shared" si="249"/>
        <v>0</v>
      </c>
      <c r="BD173" s="476">
        <f t="shared" si="250"/>
        <v>0</v>
      </c>
      <c r="BE173" s="476">
        <f t="shared" si="251"/>
        <v>0</v>
      </c>
      <c r="BF173" s="476">
        <f t="shared" si="252"/>
        <v>0</v>
      </c>
      <c r="BG173" s="476">
        <f t="shared" si="253"/>
        <v>0</v>
      </c>
    </row>
    <row r="174" spans="1:59" ht="16.5" customHeight="1">
      <c r="A174" s="583" t="s">
        <v>826</v>
      </c>
      <c r="B174" s="584" t="s">
        <v>976</v>
      </c>
      <c r="C174" s="584" t="s">
        <v>1754</v>
      </c>
      <c r="D174" s="413" t="s">
        <v>1051</v>
      </c>
      <c r="E174" s="412" t="s">
        <v>473</v>
      </c>
      <c r="F174" s="413" t="s">
        <v>1134</v>
      </c>
      <c r="G174" s="412" t="s">
        <v>1135</v>
      </c>
      <c r="H174" s="412" t="s">
        <v>1055</v>
      </c>
      <c r="I174" s="477">
        <v>200000</v>
      </c>
      <c r="J174" s="477">
        <v>740665.4</v>
      </c>
      <c r="K174" s="477">
        <v>0</v>
      </c>
      <c r="L174" s="477">
        <v>0</v>
      </c>
      <c r="M174" s="477">
        <f t="shared" si="211"/>
        <v>200000</v>
      </c>
      <c r="N174" s="477">
        <f t="shared" si="212"/>
        <v>740665.4</v>
      </c>
      <c r="O174" s="477"/>
      <c r="P174" s="477"/>
      <c r="Q174" s="477">
        <f t="shared" si="213"/>
        <v>200000</v>
      </c>
      <c r="R174" s="477">
        <f t="shared" si="214"/>
        <v>740665.4</v>
      </c>
      <c r="S174" s="477">
        <f t="shared" si="215"/>
        <v>-540665.4</v>
      </c>
      <c r="V174" s="476">
        <f t="shared" si="216"/>
        <v>0</v>
      </c>
      <c r="W174" s="476">
        <f t="shared" si="217"/>
        <v>0</v>
      </c>
      <c r="X174" s="476">
        <f t="shared" si="218"/>
        <v>0</v>
      </c>
      <c r="Y174" s="476">
        <f t="shared" si="219"/>
        <v>0</v>
      </c>
      <c r="Z174" s="476">
        <f t="shared" si="220"/>
        <v>0</v>
      </c>
      <c r="AA174" s="476">
        <f t="shared" si="221"/>
        <v>0</v>
      </c>
      <c r="AB174" s="476">
        <f t="shared" si="222"/>
        <v>0</v>
      </c>
      <c r="AC174" s="476">
        <f t="shared" si="223"/>
        <v>0</v>
      </c>
      <c r="AD174" s="476">
        <f t="shared" si="224"/>
        <v>0</v>
      </c>
      <c r="AE174" s="476">
        <f t="shared" si="225"/>
        <v>0</v>
      </c>
      <c r="AF174" s="476">
        <f t="shared" si="226"/>
        <v>0</v>
      </c>
      <c r="AG174" s="476">
        <f t="shared" si="227"/>
        <v>0</v>
      </c>
      <c r="AH174" s="476">
        <f t="shared" si="228"/>
        <v>0</v>
      </c>
      <c r="AI174" s="476">
        <f t="shared" si="229"/>
        <v>0</v>
      </c>
      <c r="AJ174" s="476">
        <f t="shared" si="230"/>
        <v>0</v>
      </c>
      <c r="AK174" s="476">
        <f t="shared" si="231"/>
        <v>0</v>
      </c>
      <c r="AL174" s="476">
        <f t="shared" si="232"/>
        <v>0</v>
      </c>
      <c r="AM174" s="476">
        <f t="shared" si="233"/>
        <v>0</v>
      </c>
      <c r="AN174" s="476">
        <f t="shared" si="234"/>
        <v>0</v>
      </c>
      <c r="AO174" s="476">
        <f t="shared" si="235"/>
        <v>0</v>
      </c>
      <c r="AP174" s="476">
        <f t="shared" si="236"/>
        <v>0</v>
      </c>
      <c r="AQ174" s="476">
        <f t="shared" si="237"/>
        <v>0</v>
      </c>
      <c r="AR174" s="476">
        <f t="shared" si="238"/>
        <v>0</v>
      </c>
      <c r="AS174" s="476">
        <f t="shared" si="239"/>
        <v>0</v>
      </c>
      <c r="AT174" s="476">
        <f t="shared" si="240"/>
        <v>0</v>
      </c>
      <c r="AU174" s="476">
        <f t="shared" si="241"/>
        <v>0</v>
      </c>
      <c r="AV174" s="476">
        <f t="shared" si="242"/>
        <v>0</v>
      </c>
      <c r="AW174" s="476">
        <f t="shared" si="243"/>
        <v>0</v>
      </c>
      <c r="AX174" s="476">
        <f t="shared" si="244"/>
        <v>0</v>
      </c>
      <c r="AY174" s="476">
        <f t="shared" si="245"/>
        <v>0</v>
      </c>
      <c r="AZ174" s="476">
        <f t="shared" si="246"/>
        <v>0</v>
      </c>
      <c r="BA174" s="476">
        <f t="shared" si="247"/>
        <v>0</v>
      </c>
      <c r="BB174" s="476">
        <f t="shared" si="248"/>
        <v>200000</v>
      </c>
      <c r="BC174" s="476">
        <f t="shared" si="249"/>
        <v>740665.4</v>
      </c>
      <c r="BD174" s="476">
        <f t="shared" si="250"/>
        <v>0</v>
      </c>
      <c r="BE174" s="476">
        <f t="shared" si="251"/>
        <v>0</v>
      </c>
      <c r="BF174" s="476">
        <f t="shared" si="252"/>
        <v>0</v>
      </c>
      <c r="BG174" s="476">
        <f t="shared" si="253"/>
        <v>0</v>
      </c>
    </row>
    <row r="175" spans="1:59" ht="16.5" customHeight="1">
      <c r="A175" s="583" t="s">
        <v>826</v>
      </c>
      <c r="B175" s="584" t="s">
        <v>976</v>
      </c>
      <c r="C175" s="584" t="s">
        <v>243</v>
      </c>
      <c r="D175" s="413" t="s">
        <v>1051</v>
      </c>
      <c r="E175" s="412" t="s">
        <v>473</v>
      </c>
      <c r="F175" s="413" t="s">
        <v>1134</v>
      </c>
      <c r="G175" s="412" t="s">
        <v>1135</v>
      </c>
      <c r="H175" s="412" t="s">
        <v>1021</v>
      </c>
      <c r="I175" s="477">
        <v>0</v>
      </c>
      <c r="J175" s="477">
        <v>20912</v>
      </c>
      <c r="K175" s="477">
        <v>0</v>
      </c>
      <c r="L175" s="477">
        <v>0</v>
      </c>
      <c r="M175" s="477">
        <f t="shared" si="211"/>
        <v>0</v>
      </c>
      <c r="N175" s="477">
        <f t="shared" si="212"/>
        <v>20912</v>
      </c>
      <c r="O175" s="477"/>
      <c r="P175" s="477"/>
      <c r="Q175" s="477">
        <f t="shared" si="213"/>
        <v>0</v>
      </c>
      <c r="R175" s="477">
        <f t="shared" si="214"/>
        <v>20912</v>
      </c>
      <c r="S175" s="477">
        <f t="shared" si="215"/>
        <v>-20912</v>
      </c>
      <c r="V175" s="476">
        <f t="shared" si="216"/>
        <v>0</v>
      </c>
      <c r="W175" s="476">
        <f t="shared" si="217"/>
        <v>0</v>
      </c>
      <c r="X175" s="476">
        <f t="shared" si="218"/>
        <v>0</v>
      </c>
      <c r="Y175" s="476">
        <f t="shared" si="219"/>
        <v>0</v>
      </c>
      <c r="Z175" s="476">
        <f t="shared" si="220"/>
        <v>0</v>
      </c>
      <c r="AA175" s="476">
        <f t="shared" si="221"/>
        <v>0</v>
      </c>
      <c r="AB175" s="476">
        <f t="shared" si="222"/>
        <v>0</v>
      </c>
      <c r="AC175" s="476">
        <f t="shared" si="223"/>
        <v>0</v>
      </c>
      <c r="AD175" s="476">
        <f t="shared" si="224"/>
        <v>0</v>
      </c>
      <c r="AE175" s="476">
        <f t="shared" si="225"/>
        <v>0</v>
      </c>
      <c r="AF175" s="476">
        <f t="shared" si="226"/>
        <v>0</v>
      </c>
      <c r="AG175" s="476">
        <f t="shared" si="227"/>
        <v>20912</v>
      </c>
      <c r="AH175" s="476">
        <f t="shared" si="228"/>
        <v>0</v>
      </c>
      <c r="AI175" s="476">
        <f t="shared" si="229"/>
        <v>0</v>
      </c>
      <c r="AJ175" s="476">
        <f t="shared" si="230"/>
        <v>0</v>
      </c>
      <c r="AK175" s="476">
        <f t="shared" si="231"/>
        <v>0</v>
      </c>
      <c r="AL175" s="476">
        <f t="shared" si="232"/>
        <v>0</v>
      </c>
      <c r="AM175" s="476">
        <f t="shared" si="233"/>
        <v>0</v>
      </c>
      <c r="AN175" s="476">
        <f t="shared" si="234"/>
        <v>0</v>
      </c>
      <c r="AO175" s="476">
        <f t="shared" si="235"/>
        <v>0</v>
      </c>
      <c r="AP175" s="476">
        <f t="shared" si="236"/>
        <v>0</v>
      </c>
      <c r="AQ175" s="476">
        <f t="shared" si="237"/>
        <v>0</v>
      </c>
      <c r="AR175" s="476">
        <f t="shared" si="238"/>
        <v>0</v>
      </c>
      <c r="AS175" s="476">
        <f t="shared" si="239"/>
        <v>0</v>
      </c>
      <c r="AT175" s="476">
        <f t="shared" si="240"/>
        <v>0</v>
      </c>
      <c r="AU175" s="476">
        <f t="shared" si="241"/>
        <v>0</v>
      </c>
      <c r="AV175" s="476">
        <f t="shared" si="242"/>
        <v>0</v>
      </c>
      <c r="AW175" s="476">
        <f t="shared" si="243"/>
        <v>0</v>
      </c>
      <c r="AX175" s="476">
        <f t="shared" si="244"/>
        <v>0</v>
      </c>
      <c r="AY175" s="476">
        <f t="shared" si="245"/>
        <v>0</v>
      </c>
      <c r="AZ175" s="476">
        <f t="shared" si="246"/>
        <v>0</v>
      </c>
      <c r="BA175" s="476">
        <f t="shared" si="247"/>
        <v>0</v>
      </c>
      <c r="BB175" s="476">
        <f t="shared" si="248"/>
        <v>0</v>
      </c>
      <c r="BC175" s="476">
        <f t="shared" si="249"/>
        <v>0</v>
      </c>
      <c r="BD175" s="476">
        <f t="shared" si="250"/>
        <v>0</v>
      </c>
      <c r="BE175" s="476">
        <f t="shared" si="251"/>
        <v>0</v>
      </c>
      <c r="BF175" s="476">
        <f t="shared" si="252"/>
        <v>0</v>
      </c>
      <c r="BG175" s="476">
        <f t="shared" si="253"/>
        <v>0</v>
      </c>
    </row>
    <row r="176" spans="1:59" ht="16.5" customHeight="1">
      <c r="A176" s="583" t="s">
        <v>826</v>
      </c>
      <c r="B176" s="584" t="s">
        <v>976</v>
      </c>
      <c r="C176" s="584" t="s">
        <v>240</v>
      </c>
      <c r="D176" s="413" t="s">
        <v>1051</v>
      </c>
      <c r="E176" s="412" t="s">
        <v>473</v>
      </c>
      <c r="F176" s="413" t="s">
        <v>1134</v>
      </c>
      <c r="G176" s="412" t="s">
        <v>1135</v>
      </c>
      <c r="H176" s="412" t="s">
        <v>1022</v>
      </c>
      <c r="I176" s="477">
        <v>387834</v>
      </c>
      <c r="J176" s="477">
        <v>1587834</v>
      </c>
      <c r="K176" s="477">
        <v>0</v>
      </c>
      <c r="L176" s="477">
        <v>0</v>
      </c>
      <c r="M176" s="477">
        <f t="shared" si="211"/>
        <v>387834</v>
      </c>
      <c r="N176" s="477">
        <f t="shared" si="212"/>
        <v>1587834</v>
      </c>
      <c r="O176" s="477"/>
      <c r="P176" s="477"/>
      <c r="Q176" s="477">
        <f t="shared" si="213"/>
        <v>387834</v>
      </c>
      <c r="R176" s="477">
        <f t="shared" si="214"/>
        <v>1587834</v>
      </c>
      <c r="S176" s="477">
        <f t="shared" si="215"/>
        <v>-1200000</v>
      </c>
      <c r="V176" s="476">
        <f t="shared" si="216"/>
        <v>0</v>
      </c>
      <c r="W176" s="476">
        <f t="shared" si="217"/>
        <v>0</v>
      </c>
      <c r="X176" s="476">
        <f t="shared" si="218"/>
        <v>0</v>
      </c>
      <c r="Y176" s="476">
        <f t="shared" si="219"/>
        <v>0</v>
      </c>
      <c r="Z176" s="476">
        <f t="shared" si="220"/>
        <v>0</v>
      </c>
      <c r="AA176" s="476">
        <f t="shared" si="221"/>
        <v>0</v>
      </c>
      <c r="AB176" s="476">
        <f t="shared" si="222"/>
        <v>0</v>
      </c>
      <c r="AC176" s="476">
        <f t="shared" si="223"/>
        <v>0</v>
      </c>
      <c r="AD176" s="476">
        <f t="shared" si="224"/>
        <v>0</v>
      </c>
      <c r="AE176" s="476">
        <f t="shared" si="225"/>
        <v>0</v>
      </c>
      <c r="AF176" s="476">
        <f t="shared" si="226"/>
        <v>0</v>
      </c>
      <c r="AG176" s="476">
        <f t="shared" si="227"/>
        <v>0</v>
      </c>
      <c r="AH176" s="476">
        <f t="shared" si="228"/>
        <v>0</v>
      </c>
      <c r="AI176" s="476">
        <f t="shared" si="229"/>
        <v>0</v>
      </c>
      <c r="AJ176" s="476">
        <f t="shared" si="230"/>
        <v>0</v>
      </c>
      <c r="AK176" s="476">
        <f t="shared" si="231"/>
        <v>0</v>
      </c>
      <c r="AL176" s="476">
        <f t="shared" si="232"/>
        <v>0</v>
      </c>
      <c r="AM176" s="476">
        <f t="shared" si="233"/>
        <v>0</v>
      </c>
      <c r="AN176" s="476">
        <f t="shared" si="234"/>
        <v>0</v>
      </c>
      <c r="AO176" s="476">
        <f t="shared" si="235"/>
        <v>0</v>
      </c>
      <c r="AP176" s="476">
        <f t="shared" si="236"/>
        <v>0</v>
      </c>
      <c r="AQ176" s="476">
        <f t="shared" si="237"/>
        <v>0</v>
      </c>
      <c r="AR176" s="476">
        <f t="shared" si="238"/>
        <v>0</v>
      </c>
      <c r="AS176" s="476">
        <f t="shared" si="239"/>
        <v>0</v>
      </c>
      <c r="AT176" s="476">
        <f t="shared" si="240"/>
        <v>0</v>
      </c>
      <c r="AU176" s="476">
        <f t="shared" si="241"/>
        <v>0</v>
      </c>
      <c r="AV176" s="476">
        <f t="shared" si="242"/>
        <v>387834</v>
      </c>
      <c r="AW176" s="476">
        <f t="shared" si="243"/>
        <v>1587834</v>
      </c>
      <c r="AX176" s="476">
        <f t="shared" si="244"/>
        <v>0</v>
      </c>
      <c r="AY176" s="476">
        <f t="shared" si="245"/>
        <v>0</v>
      </c>
      <c r="AZ176" s="476">
        <f t="shared" si="246"/>
        <v>0</v>
      </c>
      <c r="BA176" s="476">
        <f t="shared" si="247"/>
        <v>0</v>
      </c>
      <c r="BB176" s="476">
        <f t="shared" si="248"/>
        <v>0</v>
      </c>
      <c r="BC176" s="476">
        <f t="shared" si="249"/>
        <v>0</v>
      </c>
      <c r="BD176" s="476">
        <f t="shared" si="250"/>
        <v>0</v>
      </c>
      <c r="BE176" s="476">
        <f t="shared" si="251"/>
        <v>0</v>
      </c>
      <c r="BF176" s="476">
        <f t="shared" si="252"/>
        <v>0</v>
      </c>
      <c r="BG176" s="476">
        <f t="shared" si="253"/>
        <v>0</v>
      </c>
    </row>
    <row r="177" spans="1:59" ht="16.5" customHeight="1">
      <c r="A177" s="583" t="s">
        <v>826</v>
      </c>
      <c r="B177" s="584" t="s">
        <v>976</v>
      </c>
      <c r="C177" s="584" t="s">
        <v>239</v>
      </c>
      <c r="D177" s="413" t="s">
        <v>1051</v>
      </c>
      <c r="E177" s="412" t="s">
        <v>473</v>
      </c>
      <c r="F177" s="413" t="s">
        <v>1134</v>
      </c>
      <c r="G177" s="412" t="s">
        <v>1135</v>
      </c>
      <c r="H177" s="412" t="s">
        <v>1019</v>
      </c>
      <c r="I177" s="477">
        <v>0</v>
      </c>
      <c r="J177" s="477">
        <v>0</v>
      </c>
      <c r="K177" s="477">
        <v>0</v>
      </c>
      <c r="L177" s="477">
        <v>0</v>
      </c>
      <c r="M177" s="477">
        <f t="shared" si="211"/>
        <v>0</v>
      </c>
      <c r="N177" s="477">
        <f t="shared" si="212"/>
        <v>0</v>
      </c>
      <c r="O177" s="477"/>
      <c r="P177" s="477"/>
      <c r="Q177" s="477">
        <f t="shared" si="213"/>
        <v>0</v>
      </c>
      <c r="R177" s="477">
        <f t="shared" si="214"/>
        <v>0</v>
      </c>
      <c r="S177" s="477">
        <f t="shared" si="215"/>
        <v>0</v>
      </c>
      <c r="V177" s="476">
        <f t="shared" si="216"/>
        <v>0</v>
      </c>
      <c r="W177" s="476">
        <f t="shared" si="217"/>
        <v>0</v>
      </c>
      <c r="X177" s="476">
        <f t="shared" si="218"/>
        <v>0</v>
      </c>
      <c r="Y177" s="476">
        <f t="shared" si="219"/>
        <v>0</v>
      </c>
      <c r="Z177" s="476">
        <f t="shared" si="220"/>
        <v>0</v>
      </c>
      <c r="AA177" s="476">
        <f t="shared" si="221"/>
        <v>0</v>
      </c>
      <c r="AB177" s="476">
        <f t="shared" si="222"/>
        <v>0</v>
      </c>
      <c r="AC177" s="476">
        <f t="shared" si="223"/>
        <v>0</v>
      </c>
      <c r="AD177" s="476">
        <f t="shared" si="224"/>
        <v>0</v>
      </c>
      <c r="AE177" s="476">
        <f t="shared" si="225"/>
        <v>0</v>
      </c>
      <c r="AF177" s="476">
        <f t="shared" si="226"/>
        <v>0</v>
      </c>
      <c r="AG177" s="476">
        <f t="shared" si="227"/>
        <v>0</v>
      </c>
      <c r="AH177" s="476">
        <f t="shared" si="228"/>
        <v>0</v>
      </c>
      <c r="AI177" s="476">
        <f t="shared" si="229"/>
        <v>0</v>
      </c>
      <c r="AJ177" s="476">
        <f t="shared" si="230"/>
        <v>0</v>
      </c>
      <c r="AK177" s="476">
        <f t="shared" si="231"/>
        <v>0</v>
      </c>
      <c r="AL177" s="476">
        <f t="shared" si="232"/>
        <v>0</v>
      </c>
      <c r="AM177" s="476">
        <f t="shared" si="233"/>
        <v>0</v>
      </c>
      <c r="AN177" s="476">
        <f t="shared" si="234"/>
        <v>0</v>
      </c>
      <c r="AO177" s="476">
        <f t="shared" si="235"/>
        <v>0</v>
      </c>
      <c r="AP177" s="476">
        <f t="shared" si="236"/>
        <v>0</v>
      </c>
      <c r="AQ177" s="476">
        <f t="shared" si="237"/>
        <v>0</v>
      </c>
      <c r="AR177" s="476">
        <f t="shared" si="238"/>
        <v>0</v>
      </c>
      <c r="AS177" s="476">
        <f t="shared" si="239"/>
        <v>0</v>
      </c>
      <c r="AT177" s="476">
        <f t="shared" si="240"/>
        <v>0</v>
      </c>
      <c r="AU177" s="476">
        <f t="shared" si="241"/>
        <v>0</v>
      </c>
      <c r="AV177" s="476">
        <f t="shared" si="242"/>
        <v>0</v>
      </c>
      <c r="AW177" s="476">
        <f t="shared" si="243"/>
        <v>0</v>
      </c>
      <c r="AX177" s="476">
        <f t="shared" si="244"/>
        <v>0</v>
      </c>
      <c r="AY177" s="476">
        <f t="shared" si="245"/>
        <v>0</v>
      </c>
      <c r="AZ177" s="476">
        <f t="shared" si="246"/>
        <v>0</v>
      </c>
      <c r="BA177" s="476">
        <f t="shared" si="247"/>
        <v>0</v>
      </c>
      <c r="BB177" s="476">
        <f t="shared" si="248"/>
        <v>0</v>
      </c>
      <c r="BC177" s="476">
        <f t="shared" si="249"/>
        <v>0</v>
      </c>
      <c r="BD177" s="476">
        <f t="shared" si="250"/>
        <v>0</v>
      </c>
      <c r="BE177" s="476">
        <f t="shared" si="251"/>
        <v>0</v>
      </c>
      <c r="BF177" s="476">
        <f t="shared" si="252"/>
        <v>0</v>
      </c>
      <c r="BG177" s="476">
        <f t="shared" si="253"/>
        <v>0</v>
      </c>
    </row>
    <row r="178" spans="1:59" ht="16.5" customHeight="1">
      <c r="A178" s="583" t="s">
        <v>1339</v>
      </c>
      <c r="B178" s="584" t="s">
        <v>1340</v>
      </c>
      <c r="C178" s="584" t="s">
        <v>1755</v>
      </c>
      <c r="D178" s="413" t="s">
        <v>1051</v>
      </c>
      <c r="E178" s="412" t="s">
        <v>473</v>
      </c>
      <c r="F178" s="413" t="s">
        <v>1134</v>
      </c>
      <c r="G178" s="412" t="s">
        <v>1135</v>
      </c>
      <c r="H178" s="412"/>
      <c r="I178" s="477">
        <v>45000</v>
      </c>
      <c r="J178" s="477">
        <v>45000</v>
      </c>
      <c r="K178" s="477"/>
      <c r="L178" s="477"/>
      <c r="M178" s="477">
        <f t="shared" si="211"/>
        <v>45000</v>
      </c>
      <c r="N178" s="477">
        <f t="shared" si="212"/>
        <v>45000</v>
      </c>
      <c r="O178" s="477"/>
      <c r="P178" s="477"/>
      <c r="Q178" s="477">
        <f t="shared" si="213"/>
        <v>45000</v>
      </c>
      <c r="R178" s="477">
        <f t="shared" si="214"/>
        <v>45000</v>
      </c>
      <c r="S178" s="477">
        <f t="shared" si="215"/>
        <v>0</v>
      </c>
      <c r="V178" s="476">
        <f t="shared" si="216"/>
        <v>0</v>
      </c>
      <c r="W178" s="476">
        <f t="shared" si="217"/>
        <v>0</v>
      </c>
      <c r="X178" s="476">
        <f t="shared" si="218"/>
        <v>0</v>
      </c>
      <c r="Y178" s="476">
        <f t="shared" si="219"/>
        <v>0</v>
      </c>
      <c r="Z178" s="476">
        <f t="shared" si="220"/>
        <v>0</v>
      </c>
      <c r="AA178" s="476">
        <f t="shared" si="221"/>
        <v>0</v>
      </c>
      <c r="AB178" s="476">
        <f t="shared" si="222"/>
        <v>0</v>
      </c>
      <c r="AC178" s="476">
        <f t="shared" si="223"/>
        <v>0</v>
      </c>
      <c r="AD178" s="476">
        <f t="shared" si="224"/>
        <v>0</v>
      </c>
      <c r="AE178" s="476">
        <f t="shared" si="225"/>
        <v>0</v>
      </c>
      <c r="AF178" s="476">
        <f t="shared" si="226"/>
        <v>0</v>
      </c>
      <c r="AG178" s="476">
        <f t="shared" si="227"/>
        <v>0</v>
      </c>
      <c r="AH178" s="476">
        <f t="shared" si="228"/>
        <v>0</v>
      </c>
      <c r="AI178" s="476">
        <f t="shared" si="229"/>
        <v>0</v>
      </c>
      <c r="AJ178" s="476">
        <f t="shared" si="230"/>
        <v>0</v>
      </c>
      <c r="AK178" s="476">
        <f t="shared" si="231"/>
        <v>0</v>
      </c>
      <c r="AL178" s="476">
        <f t="shared" si="232"/>
        <v>0</v>
      </c>
      <c r="AM178" s="476">
        <f t="shared" si="233"/>
        <v>0</v>
      </c>
      <c r="AN178" s="476">
        <f t="shared" si="234"/>
        <v>0</v>
      </c>
      <c r="AO178" s="476">
        <f t="shared" si="235"/>
        <v>0</v>
      </c>
      <c r="AP178" s="476">
        <f t="shared" si="236"/>
        <v>0</v>
      </c>
      <c r="AQ178" s="476">
        <f t="shared" si="237"/>
        <v>0</v>
      </c>
      <c r="AR178" s="476">
        <f t="shared" si="238"/>
        <v>0</v>
      </c>
      <c r="AS178" s="476">
        <f t="shared" si="239"/>
        <v>0</v>
      </c>
      <c r="AT178" s="476">
        <f t="shared" si="240"/>
        <v>0</v>
      </c>
      <c r="AU178" s="476">
        <f t="shared" si="241"/>
        <v>0</v>
      </c>
      <c r="AV178" s="476">
        <f t="shared" si="242"/>
        <v>0</v>
      </c>
      <c r="AW178" s="476">
        <f t="shared" si="243"/>
        <v>0</v>
      </c>
      <c r="AX178" s="476">
        <f t="shared" si="244"/>
        <v>0</v>
      </c>
      <c r="AY178" s="476">
        <f t="shared" si="245"/>
        <v>0</v>
      </c>
      <c r="AZ178" s="476">
        <f t="shared" si="246"/>
        <v>0</v>
      </c>
      <c r="BA178" s="476">
        <f t="shared" si="247"/>
        <v>0</v>
      </c>
      <c r="BB178" s="476">
        <f t="shared" si="248"/>
        <v>0</v>
      </c>
      <c r="BC178" s="476">
        <f t="shared" si="249"/>
        <v>0</v>
      </c>
      <c r="BD178" s="476">
        <f t="shared" si="250"/>
        <v>0</v>
      </c>
      <c r="BE178" s="476">
        <f t="shared" si="251"/>
        <v>0</v>
      </c>
      <c r="BF178" s="476">
        <f t="shared" si="252"/>
        <v>0</v>
      </c>
      <c r="BG178" s="476">
        <f t="shared" si="253"/>
        <v>0</v>
      </c>
    </row>
    <row r="179" spans="1:59" ht="16.5" customHeight="1">
      <c r="A179" s="583" t="s">
        <v>826</v>
      </c>
      <c r="B179" s="584" t="s">
        <v>976</v>
      </c>
      <c r="C179" s="584" t="s">
        <v>1756</v>
      </c>
      <c r="D179" s="413" t="s">
        <v>1051</v>
      </c>
      <c r="E179" s="412" t="s">
        <v>473</v>
      </c>
      <c r="F179" s="413" t="s">
        <v>1134</v>
      </c>
      <c r="G179" s="412" t="s">
        <v>1135</v>
      </c>
      <c r="H179" s="412" t="s">
        <v>1275</v>
      </c>
      <c r="I179" s="477">
        <v>0</v>
      </c>
      <c r="J179" s="477">
        <v>1735920</v>
      </c>
      <c r="K179" s="477">
        <v>566028</v>
      </c>
      <c r="L179" s="477">
        <v>0</v>
      </c>
      <c r="M179" s="477">
        <f t="shared" si="211"/>
        <v>566028</v>
      </c>
      <c r="N179" s="477">
        <f t="shared" si="212"/>
        <v>1735920</v>
      </c>
      <c r="O179" s="477"/>
      <c r="P179" s="477"/>
      <c r="Q179" s="477">
        <f t="shared" si="213"/>
        <v>566028</v>
      </c>
      <c r="R179" s="477">
        <f t="shared" si="214"/>
        <v>1735920</v>
      </c>
      <c r="S179" s="477">
        <f t="shared" si="215"/>
        <v>-1169892</v>
      </c>
      <c r="V179" s="476">
        <f t="shared" si="216"/>
        <v>0</v>
      </c>
      <c r="W179" s="476">
        <f t="shared" si="217"/>
        <v>0</v>
      </c>
      <c r="X179" s="476">
        <f t="shared" si="218"/>
        <v>0</v>
      </c>
      <c r="Y179" s="476">
        <f t="shared" si="219"/>
        <v>0</v>
      </c>
      <c r="Z179" s="476">
        <f t="shared" si="220"/>
        <v>0</v>
      </c>
      <c r="AA179" s="476">
        <f t="shared" si="221"/>
        <v>0</v>
      </c>
      <c r="AB179" s="476">
        <f t="shared" si="222"/>
        <v>0</v>
      </c>
      <c r="AC179" s="476">
        <f t="shared" si="223"/>
        <v>0</v>
      </c>
      <c r="AD179" s="476">
        <f t="shared" si="224"/>
        <v>0</v>
      </c>
      <c r="AE179" s="476">
        <f t="shared" si="225"/>
        <v>0</v>
      </c>
      <c r="AF179" s="476">
        <f t="shared" si="226"/>
        <v>0</v>
      </c>
      <c r="AG179" s="476">
        <f t="shared" si="227"/>
        <v>0</v>
      </c>
      <c r="AH179" s="476">
        <f t="shared" si="228"/>
        <v>0</v>
      </c>
      <c r="AI179" s="476">
        <f t="shared" si="229"/>
        <v>0</v>
      </c>
      <c r="AJ179" s="476">
        <f t="shared" si="230"/>
        <v>0</v>
      </c>
      <c r="AK179" s="476">
        <f t="shared" si="231"/>
        <v>0</v>
      </c>
      <c r="AL179" s="476">
        <f t="shared" si="232"/>
        <v>0</v>
      </c>
      <c r="AM179" s="476">
        <f t="shared" si="233"/>
        <v>0</v>
      </c>
      <c r="AN179" s="476">
        <f t="shared" si="234"/>
        <v>0</v>
      </c>
      <c r="AO179" s="476">
        <f t="shared" si="235"/>
        <v>0</v>
      </c>
      <c r="AP179" s="476">
        <f t="shared" si="236"/>
        <v>0</v>
      </c>
      <c r="AQ179" s="476">
        <f t="shared" si="237"/>
        <v>0</v>
      </c>
      <c r="AR179" s="476">
        <f t="shared" si="238"/>
        <v>0</v>
      </c>
      <c r="AS179" s="476">
        <f t="shared" si="239"/>
        <v>0</v>
      </c>
      <c r="AT179" s="476">
        <f t="shared" si="240"/>
        <v>0</v>
      </c>
      <c r="AU179" s="476">
        <f t="shared" si="241"/>
        <v>0</v>
      </c>
      <c r="AV179" s="476">
        <f t="shared" si="242"/>
        <v>0</v>
      </c>
      <c r="AW179" s="476">
        <f t="shared" si="243"/>
        <v>0</v>
      </c>
      <c r="AX179" s="476">
        <f t="shared" si="244"/>
        <v>0</v>
      </c>
      <c r="AY179" s="476">
        <f t="shared" si="245"/>
        <v>0</v>
      </c>
      <c r="AZ179" s="476">
        <f t="shared" si="246"/>
        <v>0</v>
      </c>
      <c r="BA179" s="476">
        <f t="shared" si="247"/>
        <v>0</v>
      </c>
      <c r="BB179" s="476">
        <f t="shared" si="248"/>
        <v>0</v>
      </c>
      <c r="BC179" s="476">
        <f t="shared" si="249"/>
        <v>0</v>
      </c>
      <c r="BD179" s="476">
        <f t="shared" si="250"/>
        <v>0</v>
      </c>
      <c r="BE179" s="476">
        <f t="shared" si="251"/>
        <v>0</v>
      </c>
      <c r="BF179" s="476">
        <f t="shared" si="252"/>
        <v>0</v>
      </c>
      <c r="BG179" s="476">
        <f t="shared" si="253"/>
        <v>0</v>
      </c>
    </row>
    <row r="180" spans="1:59" ht="16.5" customHeight="1">
      <c r="A180" s="583" t="s">
        <v>827</v>
      </c>
      <c r="B180" s="584" t="s">
        <v>1004</v>
      </c>
      <c r="C180" s="584" t="s">
        <v>244</v>
      </c>
      <c r="D180" s="413" t="s">
        <v>1051</v>
      </c>
      <c r="E180" s="412" t="s">
        <v>473</v>
      </c>
      <c r="F180" s="413" t="s">
        <v>1134</v>
      </c>
      <c r="G180" s="412" t="s">
        <v>1137</v>
      </c>
      <c r="H180" s="412" t="s">
        <v>974</v>
      </c>
      <c r="I180" s="477">
        <v>443775</v>
      </c>
      <c r="J180" s="477">
        <v>432930</v>
      </c>
      <c r="K180" s="477">
        <v>224640</v>
      </c>
      <c r="L180" s="477">
        <v>224640</v>
      </c>
      <c r="M180" s="477">
        <f t="shared" si="211"/>
        <v>668415</v>
      </c>
      <c r="N180" s="477">
        <f t="shared" si="212"/>
        <v>657570</v>
      </c>
      <c r="O180" s="477"/>
      <c r="P180" s="477"/>
      <c r="Q180" s="477">
        <f t="shared" si="213"/>
        <v>668415</v>
      </c>
      <c r="R180" s="477">
        <f t="shared" si="214"/>
        <v>657570</v>
      </c>
      <c r="S180" s="477">
        <f t="shared" si="215"/>
        <v>10845</v>
      </c>
      <c r="V180" s="476">
        <f t="shared" si="216"/>
        <v>668415</v>
      </c>
      <c r="W180" s="476">
        <f t="shared" si="217"/>
        <v>657570</v>
      </c>
      <c r="X180" s="476">
        <f t="shared" si="218"/>
        <v>0</v>
      </c>
      <c r="Y180" s="476">
        <f t="shared" si="219"/>
        <v>0</v>
      </c>
      <c r="Z180" s="476">
        <f t="shared" si="220"/>
        <v>0</v>
      </c>
      <c r="AA180" s="476">
        <f t="shared" si="221"/>
        <v>0</v>
      </c>
      <c r="AB180" s="476">
        <f t="shared" si="222"/>
        <v>0</v>
      </c>
      <c r="AC180" s="476">
        <f t="shared" si="223"/>
        <v>0</v>
      </c>
      <c r="AD180" s="476">
        <f t="shared" si="224"/>
        <v>0</v>
      </c>
      <c r="AE180" s="476">
        <f t="shared" si="225"/>
        <v>0</v>
      </c>
      <c r="AF180" s="476">
        <f t="shared" si="226"/>
        <v>0</v>
      </c>
      <c r="AG180" s="476">
        <f t="shared" si="227"/>
        <v>0</v>
      </c>
      <c r="AH180" s="476">
        <f t="shared" si="228"/>
        <v>0</v>
      </c>
      <c r="AI180" s="476">
        <f t="shared" si="229"/>
        <v>0</v>
      </c>
      <c r="AJ180" s="476">
        <f t="shared" si="230"/>
        <v>0</v>
      </c>
      <c r="AK180" s="476">
        <f t="shared" si="231"/>
        <v>0</v>
      </c>
      <c r="AL180" s="476">
        <f t="shared" si="232"/>
        <v>0</v>
      </c>
      <c r="AM180" s="476">
        <f t="shared" si="233"/>
        <v>0</v>
      </c>
      <c r="AN180" s="476">
        <f t="shared" si="234"/>
        <v>0</v>
      </c>
      <c r="AO180" s="476">
        <f t="shared" si="235"/>
        <v>0</v>
      </c>
      <c r="AP180" s="476">
        <f t="shared" si="236"/>
        <v>0</v>
      </c>
      <c r="AQ180" s="476">
        <f t="shared" si="237"/>
        <v>0</v>
      </c>
      <c r="AR180" s="476">
        <f t="shared" si="238"/>
        <v>0</v>
      </c>
      <c r="AS180" s="476">
        <f t="shared" si="239"/>
        <v>0</v>
      </c>
      <c r="AT180" s="476">
        <f t="shared" si="240"/>
        <v>0</v>
      </c>
      <c r="AU180" s="476">
        <f t="shared" si="241"/>
        <v>0</v>
      </c>
      <c r="AV180" s="476">
        <f t="shared" si="242"/>
        <v>0</v>
      </c>
      <c r="AW180" s="476">
        <f t="shared" si="243"/>
        <v>0</v>
      </c>
      <c r="AX180" s="476">
        <f t="shared" si="244"/>
        <v>0</v>
      </c>
      <c r="AY180" s="476">
        <f t="shared" si="245"/>
        <v>0</v>
      </c>
      <c r="AZ180" s="476">
        <f t="shared" si="246"/>
        <v>0</v>
      </c>
      <c r="BA180" s="476">
        <f t="shared" si="247"/>
        <v>0</v>
      </c>
      <c r="BB180" s="476">
        <f t="shared" si="248"/>
        <v>0</v>
      </c>
      <c r="BC180" s="476">
        <f t="shared" si="249"/>
        <v>0</v>
      </c>
      <c r="BD180" s="476">
        <f t="shared" si="250"/>
        <v>0</v>
      </c>
      <c r="BE180" s="476">
        <f t="shared" si="251"/>
        <v>0</v>
      </c>
      <c r="BF180" s="476">
        <f t="shared" si="252"/>
        <v>0</v>
      </c>
      <c r="BG180" s="476">
        <f t="shared" si="253"/>
        <v>0</v>
      </c>
    </row>
    <row r="181" spans="1:59" ht="16.5" customHeight="1">
      <c r="A181" s="583" t="s">
        <v>827</v>
      </c>
      <c r="B181" s="584" t="s">
        <v>1004</v>
      </c>
      <c r="C181" s="584" t="s">
        <v>1278</v>
      </c>
      <c r="D181" s="413" t="s">
        <v>1051</v>
      </c>
      <c r="E181" s="412" t="s">
        <v>473</v>
      </c>
      <c r="F181" s="413" t="s">
        <v>1134</v>
      </c>
      <c r="G181" s="412" t="s">
        <v>1137</v>
      </c>
      <c r="H181" s="412" t="s">
        <v>1055</v>
      </c>
      <c r="I181" s="477">
        <v>10500</v>
      </c>
      <c r="J181" s="477">
        <v>0</v>
      </c>
      <c r="K181" s="477">
        <v>0</v>
      </c>
      <c r="L181" s="477">
        <v>0</v>
      </c>
      <c r="M181" s="477">
        <f t="shared" si="211"/>
        <v>10500</v>
      </c>
      <c r="N181" s="477">
        <f t="shared" si="212"/>
        <v>0</v>
      </c>
      <c r="O181" s="477"/>
      <c r="P181" s="477"/>
      <c r="Q181" s="477">
        <f t="shared" si="213"/>
        <v>10500</v>
      </c>
      <c r="R181" s="477">
        <f t="shared" si="214"/>
        <v>0</v>
      </c>
      <c r="S181" s="477">
        <f t="shared" si="215"/>
        <v>10500</v>
      </c>
      <c r="V181" s="476">
        <f t="shared" si="216"/>
        <v>0</v>
      </c>
      <c r="W181" s="476">
        <f t="shared" si="217"/>
        <v>0</v>
      </c>
      <c r="X181" s="476">
        <f t="shared" si="218"/>
        <v>0</v>
      </c>
      <c r="Y181" s="476">
        <f t="shared" si="219"/>
        <v>0</v>
      </c>
      <c r="Z181" s="476">
        <f t="shared" si="220"/>
        <v>0</v>
      </c>
      <c r="AA181" s="476">
        <f t="shared" si="221"/>
        <v>0</v>
      </c>
      <c r="AB181" s="476">
        <f t="shared" si="222"/>
        <v>0</v>
      </c>
      <c r="AC181" s="476">
        <f t="shared" si="223"/>
        <v>0</v>
      </c>
      <c r="AD181" s="476">
        <f t="shared" si="224"/>
        <v>0</v>
      </c>
      <c r="AE181" s="476">
        <f t="shared" si="225"/>
        <v>0</v>
      </c>
      <c r="AF181" s="476">
        <f t="shared" si="226"/>
        <v>0</v>
      </c>
      <c r="AG181" s="476">
        <f t="shared" si="227"/>
        <v>0</v>
      </c>
      <c r="AH181" s="476">
        <f t="shared" si="228"/>
        <v>0</v>
      </c>
      <c r="AI181" s="476">
        <f t="shared" si="229"/>
        <v>0</v>
      </c>
      <c r="AJ181" s="476">
        <f t="shared" si="230"/>
        <v>0</v>
      </c>
      <c r="AK181" s="476">
        <f t="shared" si="231"/>
        <v>0</v>
      </c>
      <c r="AL181" s="476">
        <f t="shared" si="232"/>
        <v>0</v>
      </c>
      <c r="AM181" s="476">
        <f t="shared" si="233"/>
        <v>0</v>
      </c>
      <c r="AN181" s="476">
        <f t="shared" si="234"/>
        <v>0</v>
      </c>
      <c r="AO181" s="476">
        <f t="shared" si="235"/>
        <v>0</v>
      </c>
      <c r="AP181" s="476">
        <f t="shared" si="236"/>
        <v>0</v>
      </c>
      <c r="AQ181" s="476">
        <f t="shared" si="237"/>
        <v>0</v>
      </c>
      <c r="AR181" s="476">
        <f t="shared" si="238"/>
        <v>0</v>
      </c>
      <c r="AS181" s="476">
        <f t="shared" si="239"/>
        <v>0</v>
      </c>
      <c r="AT181" s="476">
        <f t="shared" si="240"/>
        <v>0</v>
      </c>
      <c r="AU181" s="476">
        <f t="shared" si="241"/>
        <v>0</v>
      </c>
      <c r="AV181" s="476">
        <f t="shared" si="242"/>
        <v>0</v>
      </c>
      <c r="AW181" s="476">
        <f t="shared" si="243"/>
        <v>0</v>
      </c>
      <c r="AX181" s="476">
        <f t="shared" si="244"/>
        <v>0</v>
      </c>
      <c r="AY181" s="476">
        <f t="shared" si="245"/>
        <v>0</v>
      </c>
      <c r="AZ181" s="476">
        <f t="shared" si="246"/>
        <v>0</v>
      </c>
      <c r="BA181" s="476">
        <f t="shared" si="247"/>
        <v>0</v>
      </c>
      <c r="BB181" s="476">
        <f t="shared" si="248"/>
        <v>10500</v>
      </c>
      <c r="BC181" s="476">
        <f t="shared" si="249"/>
        <v>0</v>
      </c>
      <c r="BD181" s="476">
        <f t="shared" si="250"/>
        <v>0</v>
      </c>
      <c r="BE181" s="476">
        <f t="shared" si="251"/>
        <v>0</v>
      </c>
      <c r="BF181" s="476">
        <f t="shared" si="252"/>
        <v>0</v>
      </c>
      <c r="BG181" s="476">
        <f t="shared" si="253"/>
        <v>0</v>
      </c>
    </row>
    <row r="182" spans="1:59" ht="16.5" customHeight="1">
      <c r="A182" s="583" t="s">
        <v>828</v>
      </c>
      <c r="B182" s="584" t="s">
        <v>1668</v>
      </c>
      <c r="C182" s="584" t="s">
        <v>245</v>
      </c>
      <c r="D182" s="413" t="s">
        <v>1051</v>
      </c>
      <c r="E182" s="412" t="s">
        <v>473</v>
      </c>
      <c r="F182" s="413" t="s">
        <v>1134</v>
      </c>
      <c r="G182" s="412" t="s">
        <v>1137</v>
      </c>
      <c r="H182" s="412" t="s">
        <v>974</v>
      </c>
      <c r="I182" s="477">
        <v>9936</v>
      </c>
      <c r="J182" s="477">
        <v>14100</v>
      </c>
      <c r="K182" s="477">
        <v>13960</v>
      </c>
      <c r="L182" s="477">
        <v>0</v>
      </c>
      <c r="M182" s="477">
        <f t="shared" si="211"/>
        <v>23896</v>
      </c>
      <c r="N182" s="477">
        <f t="shared" si="212"/>
        <v>14100</v>
      </c>
      <c r="O182" s="477"/>
      <c r="P182" s="477"/>
      <c r="Q182" s="477">
        <f t="shared" si="213"/>
        <v>23896</v>
      </c>
      <c r="R182" s="477">
        <f t="shared" si="214"/>
        <v>14100</v>
      </c>
      <c r="S182" s="477">
        <f t="shared" si="215"/>
        <v>9796</v>
      </c>
      <c r="V182" s="476">
        <f t="shared" si="216"/>
        <v>23896</v>
      </c>
      <c r="W182" s="476">
        <f t="shared" si="217"/>
        <v>14100</v>
      </c>
      <c r="X182" s="476">
        <f t="shared" si="218"/>
        <v>0</v>
      </c>
      <c r="Y182" s="476">
        <f t="shared" si="219"/>
        <v>0</v>
      </c>
      <c r="Z182" s="476">
        <f t="shared" si="220"/>
        <v>0</v>
      </c>
      <c r="AA182" s="476">
        <f t="shared" si="221"/>
        <v>0</v>
      </c>
      <c r="AB182" s="476">
        <f t="shared" si="222"/>
        <v>0</v>
      </c>
      <c r="AC182" s="476">
        <f t="shared" si="223"/>
        <v>0</v>
      </c>
      <c r="AD182" s="476">
        <f t="shared" si="224"/>
        <v>0</v>
      </c>
      <c r="AE182" s="476">
        <f t="shared" si="225"/>
        <v>0</v>
      </c>
      <c r="AF182" s="476">
        <f t="shared" si="226"/>
        <v>0</v>
      </c>
      <c r="AG182" s="476">
        <f t="shared" si="227"/>
        <v>0</v>
      </c>
      <c r="AH182" s="476">
        <f t="shared" si="228"/>
        <v>0</v>
      </c>
      <c r="AI182" s="476">
        <f t="shared" si="229"/>
        <v>0</v>
      </c>
      <c r="AJ182" s="476">
        <f t="shared" si="230"/>
        <v>0</v>
      </c>
      <c r="AK182" s="476">
        <f t="shared" si="231"/>
        <v>0</v>
      </c>
      <c r="AL182" s="476">
        <f t="shared" si="232"/>
        <v>0</v>
      </c>
      <c r="AM182" s="476">
        <f t="shared" si="233"/>
        <v>0</v>
      </c>
      <c r="AN182" s="476">
        <f t="shared" si="234"/>
        <v>0</v>
      </c>
      <c r="AO182" s="476">
        <f t="shared" si="235"/>
        <v>0</v>
      </c>
      <c r="AP182" s="476">
        <f t="shared" si="236"/>
        <v>0</v>
      </c>
      <c r="AQ182" s="476">
        <f t="shared" si="237"/>
        <v>0</v>
      </c>
      <c r="AR182" s="476">
        <f t="shared" si="238"/>
        <v>0</v>
      </c>
      <c r="AS182" s="476">
        <f t="shared" si="239"/>
        <v>0</v>
      </c>
      <c r="AT182" s="476">
        <f t="shared" si="240"/>
        <v>0</v>
      </c>
      <c r="AU182" s="476">
        <f t="shared" si="241"/>
        <v>0</v>
      </c>
      <c r="AV182" s="476">
        <f t="shared" si="242"/>
        <v>0</v>
      </c>
      <c r="AW182" s="476">
        <f t="shared" si="243"/>
        <v>0</v>
      </c>
      <c r="AX182" s="476">
        <f t="shared" si="244"/>
        <v>0</v>
      </c>
      <c r="AY182" s="476">
        <f t="shared" si="245"/>
        <v>0</v>
      </c>
      <c r="AZ182" s="476">
        <f t="shared" si="246"/>
        <v>0</v>
      </c>
      <c r="BA182" s="476">
        <f t="shared" si="247"/>
        <v>0</v>
      </c>
      <c r="BB182" s="476">
        <f t="shared" si="248"/>
        <v>0</v>
      </c>
      <c r="BC182" s="476">
        <f t="shared" si="249"/>
        <v>0</v>
      </c>
      <c r="BD182" s="476">
        <f t="shared" si="250"/>
        <v>0</v>
      </c>
      <c r="BE182" s="476">
        <f t="shared" si="251"/>
        <v>0</v>
      </c>
      <c r="BF182" s="476">
        <f t="shared" si="252"/>
        <v>0</v>
      </c>
      <c r="BG182" s="476">
        <f t="shared" si="253"/>
        <v>0</v>
      </c>
    </row>
    <row r="183" spans="1:59" ht="16.5" customHeight="1">
      <c r="A183" s="583" t="s">
        <v>829</v>
      </c>
      <c r="B183" s="584" t="s">
        <v>1669</v>
      </c>
      <c r="C183" s="584" t="s">
        <v>246</v>
      </c>
      <c r="D183" s="413" t="s">
        <v>1051</v>
      </c>
      <c r="E183" s="412" t="s">
        <v>473</v>
      </c>
      <c r="F183" s="413" t="s">
        <v>1134</v>
      </c>
      <c r="G183" s="412" t="s">
        <v>1137</v>
      </c>
      <c r="H183" s="412" t="s">
        <v>974</v>
      </c>
      <c r="I183" s="477">
        <v>1111115</v>
      </c>
      <c r="J183" s="477">
        <v>1294204</v>
      </c>
      <c r="K183" s="477">
        <v>578695</v>
      </c>
      <c r="L183" s="477">
        <v>565543</v>
      </c>
      <c r="M183" s="477">
        <f t="shared" si="211"/>
        <v>1689810</v>
      </c>
      <c r="N183" s="477">
        <f t="shared" si="212"/>
        <v>1859747</v>
      </c>
      <c r="O183" s="477"/>
      <c r="P183" s="477"/>
      <c r="Q183" s="477">
        <f t="shared" si="213"/>
        <v>1689810</v>
      </c>
      <c r="R183" s="477">
        <f t="shared" si="214"/>
        <v>1859747</v>
      </c>
      <c r="S183" s="477">
        <f t="shared" si="215"/>
        <v>-169937</v>
      </c>
      <c r="V183" s="476">
        <f t="shared" si="216"/>
        <v>1689810</v>
      </c>
      <c r="W183" s="476">
        <f t="shared" si="217"/>
        <v>1859747</v>
      </c>
      <c r="X183" s="476">
        <f t="shared" si="218"/>
        <v>0</v>
      </c>
      <c r="Y183" s="476">
        <f t="shared" si="219"/>
        <v>0</v>
      </c>
      <c r="Z183" s="476">
        <f t="shared" si="220"/>
        <v>0</v>
      </c>
      <c r="AA183" s="476">
        <f t="shared" si="221"/>
        <v>0</v>
      </c>
      <c r="AB183" s="476">
        <f t="shared" si="222"/>
        <v>0</v>
      </c>
      <c r="AC183" s="476">
        <f t="shared" si="223"/>
        <v>0</v>
      </c>
      <c r="AD183" s="476">
        <f t="shared" si="224"/>
        <v>0</v>
      </c>
      <c r="AE183" s="476">
        <f t="shared" si="225"/>
        <v>0</v>
      </c>
      <c r="AF183" s="476">
        <f t="shared" si="226"/>
        <v>0</v>
      </c>
      <c r="AG183" s="476">
        <f t="shared" si="227"/>
        <v>0</v>
      </c>
      <c r="AH183" s="476">
        <f t="shared" si="228"/>
        <v>0</v>
      </c>
      <c r="AI183" s="476">
        <f t="shared" si="229"/>
        <v>0</v>
      </c>
      <c r="AJ183" s="476">
        <f t="shared" si="230"/>
        <v>0</v>
      </c>
      <c r="AK183" s="476">
        <f t="shared" si="231"/>
        <v>0</v>
      </c>
      <c r="AL183" s="476">
        <f t="shared" si="232"/>
        <v>0</v>
      </c>
      <c r="AM183" s="476">
        <f t="shared" si="233"/>
        <v>0</v>
      </c>
      <c r="AN183" s="476">
        <f t="shared" si="234"/>
        <v>0</v>
      </c>
      <c r="AO183" s="476">
        <f t="shared" si="235"/>
        <v>0</v>
      </c>
      <c r="AP183" s="476">
        <f t="shared" si="236"/>
        <v>0</v>
      </c>
      <c r="AQ183" s="476">
        <f t="shared" si="237"/>
        <v>0</v>
      </c>
      <c r="AR183" s="476">
        <f t="shared" si="238"/>
        <v>0</v>
      </c>
      <c r="AS183" s="476">
        <f t="shared" si="239"/>
        <v>0</v>
      </c>
      <c r="AT183" s="476">
        <f t="shared" si="240"/>
        <v>0</v>
      </c>
      <c r="AU183" s="476">
        <f t="shared" si="241"/>
        <v>0</v>
      </c>
      <c r="AV183" s="476">
        <f t="shared" si="242"/>
        <v>0</v>
      </c>
      <c r="AW183" s="476">
        <f t="shared" si="243"/>
        <v>0</v>
      </c>
      <c r="AX183" s="476">
        <f t="shared" si="244"/>
        <v>0</v>
      </c>
      <c r="AY183" s="476">
        <f t="shared" si="245"/>
        <v>0</v>
      </c>
      <c r="AZ183" s="476">
        <f t="shared" si="246"/>
        <v>0</v>
      </c>
      <c r="BA183" s="476">
        <f t="shared" si="247"/>
        <v>0</v>
      </c>
      <c r="BB183" s="476">
        <f t="shared" si="248"/>
        <v>0</v>
      </c>
      <c r="BC183" s="476">
        <f t="shared" si="249"/>
        <v>0</v>
      </c>
      <c r="BD183" s="476">
        <f t="shared" si="250"/>
        <v>0</v>
      </c>
      <c r="BE183" s="476">
        <f t="shared" si="251"/>
        <v>0</v>
      </c>
      <c r="BF183" s="476">
        <f t="shared" si="252"/>
        <v>0</v>
      </c>
      <c r="BG183" s="476">
        <f t="shared" si="253"/>
        <v>0</v>
      </c>
    </row>
    <row r="184" spans="1:59" ht="16.5" customHeight="1">
      <c r="A184" s="583" t="s">
        <v>829</v>
      </c>
      <c r="B184" s="584" t="s">
        <v>1669</v>
      </c>
      <c r="C184" s="584" t="s">
        <v>1757</v>
      </c>
      <c r="D184" s="413" t="s">
        <v>1051</v>
      </c>
      <c r="E184" s="412" t="s">
        <v>473</v>
      </c>
      <c r="F184" s="412" t="s">
        <v>1134</v>
      </c>
      <c r="G184" s="412" t="s">
        <v>1137</v>
      </c>
      <c r="H184" s="412" t="s">
        <v>1275</v>
      </c>
      <c r="I184" s="477">
        <v>0</v>
      </c>
      <c r="J184" s="477">
        <v>0</v>
      </c>
      <c r="K184" s="477">
        <v>0</v>
      </c>
      <c r="L184" s="477">
        <v>0</v>
      </c>
      <c r="M184" s="477">
        <f t="shared" si="211"/>
        <v>0</v>
      </c>
      <c r="N184" s="477">
        <f t="shared" si="212"/>
        <v>0</v>
      </c>
      <c r="O184" s="477"/>
      <c r="P184" s="477"/>
      <c r="Q184" s="477">
        <f t="shared" si="213"/>
        <v>0</v>
      </c>
      <c r="R184" s="477">
        <f t="shared" si="214"/>
        <v>0</v>
      </c>
      <c r="S184" s="477">
        <f t="shared" si="215"/>
        <v>0</v>
      </c>
      <c r="U184" s="473">
        <f t="shared" ref="U184:U214" si="254">I184-J184</f>
        <v>0</v>
      </c>
      <c r="V184" s="476">
        <f t="shared" ref="V184:V190" si="255">IF($V$8=$H184,$Q184,0)</f>
        <v>0</v>
      </c>
      <c r="W184" s="476">
        <f t="shared" ref="W184:W190" si="256">IF($V$8=$H184,$R184,0)</f>
        <v>0</v>
      </c>
      <c r="X184" s="476">
        <f t="shared" ref="X184:X190" si="257">IF($X$8=$H184,$Q184,0)</f>
        <v>0</v>
      </c>
      <c r="Y184" s="476">
        <f t="shared" ref="Y184:Y190" si="258">IF($X$8=$H184,$R184,0)</f>
        <v>0</v>
      </c>
      <c r="Z184" s="476">
        <f t="shared" ref="Z184:Z190" si="259">IF($Z$8=$H184,$Q184,0)</f>
        <v>0</v>
      </c>
      <c r="AA184" s="476">
        <f t="shared" ref="AA184:AA190" si="260">IF($Z$8=$H184,$R184,0)</f>
        <v>0</v>
      </c>
      <c r="AB184" s="476">
        <f t="shared" ref="AB184:AB190" si="261">IF($AB$8=$H184,$Q184,0)</f>
        <v>0</v>
      </c>
      <c r="AC184" s="476">
        <f t="shared" ref="AC184:AC190" si="262">IF($AB$8=$H184,$R184,0)</f>
        <v>0</v>
      </c>
      <c r="AD184" s="476">
        <f t="shared" ref="AD184:AD190" si="263">IF($AD$8=$H184,$Q184,0)</f>
        <v>0</v>
      </c>
      <c r="AE184" s="476">
        <f t="shared" ref="AE184:AE190" si="264">IF($AD$8=$H184,$R184,0)</f>
        <v>0</v>
      </c>
      <c r="AF184" s="476">
        <f t="shared" ref="AF184:AF190" si="265">IF($AF$8=$H184,$Q184,0)</f>
        <v>0</v>
      </c>
      <c r="AG184" s="476">
        <f t="shared" ref="AG184:AG190" si="266">IF($AF$8=$H184,$R184,0)</f>
        <v>0</v>
      </c>
      <c r="AH184" s="476">
        <f t="shared" ref="AH184:AH190" si="267">IF($AH$8=$H184,$Q184,0)</f>
        <v>0</v>
      </c>
      <c r="AI184" s="476">
        <f t="shared" ref="AI184:AI190" si="268">IF($AH$8=$H184,$R184,0)</f>
        <v>0</v>
      </c>
      <c r="AJ184" s="476">
        <f t="shared" ref="AJ184:AJ190" si="269">IF($AJ$8=$H184,$Q184,0)</f>
        <v>0</v>
      </c>
      <c r="AK184" s="476">
        <f t="shared" ref="AK184:AK190" si="270">IF($AJ$8=$H184,$R184,0)</f>
        <v>0</v>
      </c>
      <c r="AL184" s="476">
        <f t="shared" ref="AL184:AL190" si="271">IF($AL$8=$H184,$Q184,0)</f>
        <v>0</v>
      </c>
      <c r="AM184" s="476">
        <f t="shared" ref="AM184:AM190" si="272">IF($AL$8=$H184,$R184,0)</f>
        <v>0</v>
      </c>
      <c r="AN184" s="476">
        <f t="shared" ref="AN184:AN190" si="273">IF($AN$8=$H184,$Q184,0)</f>
        <v>0</v>
      </c>
      <c r="AO184" s="476">
        <f t="shared" ref="AO184:AO190" si="274">IF($AN$8=$H184,$R184,0)</f>
        <v>0</v>
      </c>
      <c r="AP184" s="476">
        <f t="shared" ref="AP184:AP190" si="275">IF($AP$8=$H184,$Q184,0)</f>
        <v>0</v>
      </c>
      <c r="AQ184" s="476">
        <f t="shared" ref="AQ184:AQ190" si="276">IF($AP$8=$H184,$R184,0)</f>
        <v>0</v>
      </c>
      <c r="AR184" s="476">
        <f t="shared" ref="AR184:AR190" si="277">IF($AR$8=$H184,$Q184,0)</f>
        <v>0</v>
      </c>
      <c r="AS184" s="476">
        <f t="shared" ref="AS184:AS190" si="278">IF($AR$8=$H184,$R184,0)</f>
        <v>0</v>
      </c>
      <c r="AT184" s="476">
        <f t="shared" ref="AT184:AT190" si="279">IF($AT$8=$H184,$Q184,0)</f>
        <v>0</v>
      </c>
      <c r="AU184" s="476">
        <f t="shared" ref="AU184:AU190" si="280">IF($AT$8=$H184,$R184,0)</f>
        <v>0</v>
      </c>
      <c r="AV184" s="476">
        <f t="shared" ref="AV184:AV190" si="281">IF($AV$8=$H184,$Q184,0)</f>
        <v>0</v>
      </c>
      <c r="AW184" s="476">
        <f t="shared" ref="AW184:AW190" si="282">IF($AV$8=$H184,$R184,0)</f>
        <v>0</v>
      </c>
      <c r="AX184" s="476">
        <f t="shared" ref="AX184:AX190" si="283">IF($AX$8=$H184,$Q184,0)</f>
        <v>0</v>
      </c>
      <c r="AY184" s="476">
        <f t="shared" ref="AY184:AY190" si="284">IF($AX$8=$H184,$R184,0)</f>
        <v>0</v>
      </c>
      <c r="AZ184" s="476">
        <f t="shared" ref="AZ184:AZ190" si="285">IF($AZ$8=$H184,$Q184,0)</f>
        <v>0</v>
      </c>
      <c r="BA184" s="476">
        <f t="shared" ref="BA184:BA190" si="286">IF($AZ$8=$H184,$R184,0)</f>
        <v>0</v>
      </c>
      <c r="BB184" s="476">
        <f t="shared" ref="BB184:BB190" si="287">IF($BB$8=$H184,$Q184,0)</f>
        <v>0</v>
      </c>
      <c r="BC184" s="476">
        <f t="shared" ref="BC184:BC190" si="288">IF($BB$8=$H184,$R184,0)</f>
        <v>0</v>
      </c>
      <c r="BD184" s="476">
        <f t="shared" ref="BD184:BD190" si="289">IF($BD$8=$H184,$Q184,0)</f>
        <v>0</v>
      </c>
      <c r="BE184" s="476">
        <f t="shared" ref="BE184:BE190" si="290">IF($BD$8=$H184,$R184,0)</f>
        <v>0</v>
      </c>
      <c r="BF184" s="476">
        <f t="shared" ref="BF184:BF190" si="291">IF($BF$8=$H184,$Q184,0)</f>
        <v>0</v>
      </c>
      <c r="BG184" s="476">
        <f t="shared" ref="BG184:BG190" si="292">IF($BF$8=$H184,$R184,0)</f>
        <v>0</v>
      </c>
    </row>
    <row r="185" spans="1:59" ht="16.5" customHeight="1">
      <c r="A185" s="583" t="s">
        <v>829</v>
      </c>
      <c r="B185" s="584" t="s">
        <v>1669</v>
      </c>
      <c r="C185" s="584" t="s">
        <v>1758</v>
      </c>
      <c r="D185" s="413" t="s">
        <v>1051</v>
      </c>
      <c r="E185" s="412" t="s">
        <v>473</v>
      </c>
      <c r="F185" s="412" t="s">
        <v>1134</v>
      </c>
      <c r="G185" s="412" t="s">
        <v>1137</v>
      </c>
      <c r="H185" s="412" t="s">
        <v>1723</v>
      </c>
      <c r="I185" s="477">
        <v>0</v>
      </c>
      <c r="J185" s="477">
        <v>0</v>
      </c>
      <c r="K185" s="477">
        <v>0</v>
      </c>
      <c r="L185" s="477">
        <v>0</v>
      </c>
      <c r="M185" s="477">
        <f t="shared" si="211"/>
        <v>0</v>
      </c>
      <c r="N185" s="477">
        <f t="shared" si="212"/>
        <v>0</v>
      </c>
      <c r="O185" s="477"/>
      <c r="P185" s="477"/>
      <c r="Q185" s="477">
        <f t="shared" si="213"/>
        <v>0</v>
      </c>
      <c r="R185" s="477">
        <f t="shared" si="214"/>
        <v>0</v>
      </c>
      <c r="S185" s="477">
        <f t="shared" si="215"/>
        <v>0</v>
      </c>
      <c r="U185" s="473">
        <f t="shared" si="254"/>
        <v>0</v>
      </c>
      <c r="V185" s="476">
        <f t="shared" si="255"/>
        <v>0</v>
      </c>
      <c r="W185" s="476">
        <f t="shared" si="256"/>
        <v>0</v>
      </c>
      <c r="X185" s="476">
        <f t="shared" si="257"/>
        <v>0</v>
      </c>
      <c r="Y185" s="476">
        <f t="shared" si="258"/>
        <v>0</v>
      </c>
      <c r="Z185" s="476">
        <f t="shared" si="259"/>
        <v>0</v>
      </c>
      <c r="AA185" s="476">
        <f t="shared" si="260"/>
        <v>0</v>
      </c>
      <c r="AB185" s="476">
        <f t="shared" si="261"/>
        <v>0</v>
      </c>
      <c r="AC185" s="476">
        <f t="shared" si="262"/>
        <v>0</v>
      </c>
      <c r="AD185" s="476">
        <f t="shared" si="263"/>
        <v>0</v>
      </c>
      <c r="AE185" s="476">
        <f t="shared" si="264"/>
        <v>0</v>
      </c>
      <c r="AF185" s="476">
        <f t="shared" si="265"/>
        <v>0</v>
      </c>
      <c r="AG185" s="476">
        <f t="shared" si="266"/>
        <v>0</v>
      </c>
      <c r="AH185" s="476">
        <f t="shared" si="267"/>
        <v>0</v>
      </c>
      <c r="AI185" s="476">
        <f t="shared" si="268"/>
        <v>0</v>
      </c>
      <c r="AJ185" s="476">
        <f t="shared" si="269"/>
        <v>0</v>
      </c>
      <c r="AK185" s="476">
        <f t="shared" si="270"/>
        <v>0</v>
      </c>
      <c r="AL185" s="476">
        <f t="shared" si="271"/>
        <v>0</v>
      </c>
      <c r="AM185" s="476">
        <f t="shared" si="272"/>
        <v>0</v>
      </c>
      <c r="AN185" s="476">
        <f t="shared" si="273"/>
        <v>0</v>
      </c>
      <c r="AO185" s="476">
        <f t="shared" si="274"/>
        <v>0</v>
      </c>
      <c r="AP185" s="476">
        <f t="shared" si="275"/>
        <v>0</v>
      </c>
      <c r="AQ185" s="476">
        <f t="shared" si="276"/>
        <v>0</v>
      </c>
      <c r="AR185" s="476">
        <f t="shared" si="277"/>
        <v>0</v>
      </c>
      <c r="AS185" s="476">
        <f t="shared" si="278"/>
        <v>0</v>
      </c>
      <c r="AT185" s="476">
        <f t="shared" si="279"/>
        <v>0</v>
      </c>
      <c r="AU185" s="476">
        <f t="shared" si="280"/>
        <v>0</v>
      </c>
      <c r="AV185" s="476">
        <f t="shared" si="281"/>
        <v>0</v>
      </c>
      <c r="AW185" s="476">
        <f t="shared" si="282"/>
        <v>0</v>
      </c>
      <c r="AX185" s="476">
        <f t="shared" si="283"/>
        <v>0</v>
      </c>
      <c r="AY185" s="476">
        <f t="shared" si="284"/>
        <v>0</v>
      </c>
      <c r="AZ185" s="476">
        <f t="shared" si="285"/>
        <v>0</v>
      </c>
      <c r="BA185" s="476">
        <f t="shared" si="286"/>
        <v>0</v>
      </c>
      <c r="BB185" s="476">
        <f t="shared" si="287"/>
        <v>0</v>
      </c>
      <c r="BC185" s="476">
        <f t="shared" si="288"/>
        <v>0</v>
      </c>
      <c r="BD185" s="476">
        <f t="shared" si="289"/>
        <v>0</v>
      </c>
      <c r="BE185" s="476">
        <f t="shared" si="290"/>
        <v>0</v>
      </c>
      <c r="BF185" s="476">
        <f t="shared" si="291"/>
        <v>0</v>
      </c>
      <c r="BG185" s="476">
        <f t="shared" si="292"/>
        <v>0</v>
      </c>
    </row>
    <row r="186" spans="1:59" ht="16.5" customHeight="1">
      <c r="A186" s="583" t="s">
        <v>830</v>
      </c>
      <c r="B186" s="584" t="s">
        <v>1003</v>
      </c>
      <c r="C186" s="584" t="s">
        <v>247</v>
      </c>
      <c r="D186" s="413" t="s">
        <v>1051</v>
      </c>
      <c r="E186" s="412" t="s">
        <v>473</v>
      </c>
      <c r="F186" s="412" t="s">
        <v>1134</v>
      </c>
      <c r="G186" s="412" t="s">
        <v>1137</v>
      </c>
      <c r="H186" s="412" t="s">
        <v>974</v>
      </c>
      <c r="I186" s="477">
        <v>487691</v>
      </c>
      <c r="J186" s="477">
        <v>505179</v>
      </c>
      <c r="K186" s="477">
        <v>350787</v>
      </c>
      <c r="L186" s="477">
        <v>383779</v>
      </c>
      <c r="M186" s="477">
        <f t="shared" si="211"/>
        <v>838478</v>
      </c>
      <c r="N186" s="477">
        <f t="shared" si="212"/>
        <v>888958</v>
      </c>
      <c r="O186" s="477"/>
      <c r="P186" s="477"/>
      <c r="Q186" s="477">
        <f t="shared" si="213"/>
        <v>838478</v>
      </c>
      <c r="R186" s="477">
        <f t="shared" si="214"/>
        <v>888958</v>
      </c>
      <c r="S186" s="477">
        <f t="shared" si="215"/>
        <v>-50480</v>
      </c>
      <c r="U186" s="473">
        <f t="shared" si="254"/>
        <v>-17488</v>
      </c>
      <c r="V186" s="476">
        <f t="shared" si="255"/>
        <v>838478</v>
      </c>
      <c r="W186" s="476">
        <f t="shared" si="256"/>
        <v>888958</v>
      </c>
      <c r="X186" s="476">
        <f t="shared" si="257"/>
        <v>0</v>
      </c>
      <c r="Y186" s="476">
        <f t="shared" si="258"/>
        <v>0</v>
      </c>
      <c r="Z186" s="476">
        <f t="shared" si="259"/>
        <v>0</v>
      </c>
      <c r="AA186" s="476">
        <f t="shared" si="260"/>
        <v>0</v>
      </c>
      <c r="AB186" s="476">
        <f t="shared" si="261"/>
        <v>0</v>
      </c>
      <c r="AC186" s="476">
        <f t="shared" si="262"/>
        <v>0</v>
      </c>
      <c r="AD186" s="476">
        <f t="shared" si="263"/>
        <v>0</v>
      </c>
      <c r="AE186" s="476">
        <f t="shared" si="264"/>
        <v>0</v>
      </c>
      <c r="AF186" s="476">
        <f t="shared" si="265"/>
        <v>0</v>
      </c>
      <c r="AG186" s="476">
        <f t="shared" si="266"/>
        <v>0</v>
      </c>
      <c r="AH186" s="476">
        <f t="shared" si="267"/>
        <v>0</v>
      </c>
      <c r="AI186" s="476">
        <f t="shared" si="268"/>
        <v>0</v>
      </c>
      <c r="AJ186" s="476">
        <f t="shared" si="269"/>
        <v>0</v>
      </c>
      <c r="AK186" s="476">
        <f t="shared" si="270"/>
        <v>0</v>
      </c>
      <c r="AL186" s="476">
        <f t="shared" si="271"/>
        <v>0</v>
      </c>
      <c r="AM186" s="476">
        <f t="shared" si="272"/>
        <v>0</v>
      </c>
      <c r="AN186" s="476">
        <f t="shared" si="273"/>
        <v>0</v>
      </c>
      <c r="AO186" s="476">
        <f t="shared" si="274"/>
        <v>0</v>
      </c>
      <c r="AP186" s="476">
        <f t="shared" si="275"/>
        <v>0</v>
      </c>
      <c r="AQ186" s="476">
        <f t="shared" si="276"/>
        <v>0</v>
      </c>
      <c r="AR186" s="476">
        <f t="shared" si="277"/>
        <v>0</v>
      </c>
      <c r="AS186" s="476">
        <f t="shared" si="278"/>
        <v>0</v>
      </c>
      <c r="AT186" s="476">
        <f t="shared" si="279"/>
        <v>0</v>
      </c>
      <c r="AU186" s="476">
        <f t="shared" si="280"/>
        <v>0</v>
      </c>
      <c r="AV186" s="476">
        <f t="shared" si="281"/>
        <v>0</v>
      </c>
      <c r="AW186" s="476">
        <f t="shared" si="282"/>
        <v>0</v>
      </c>
      <c r="AX186" s="476">
        <f t="shared" si="283"/>
        <v>0</v>
      </c>
      <c r="AY186" s="476">
        <f t="shared" si="284"/>
        <v>0</v>
      </c>
      <c r="AZ186" s="476">
        <f t="shared" si="285"/>
        <v>0</v>
      </c>
      <c r="BA186" s="476">
        <f t="shared" si="286"/>
        <v>0</v>
      </c>
      <c r="BB186" s="476">
        <f t="shared" si="287"/>
        <v>0</v>
      </c>
      <c r="BC186" s="476">
        <f t="shared" si="288"/>
        <v>0</v>
      </c>
      <c r="BD186" s="476">
        <f t="shared" si="289"/>
        <v>0</v>
      </c>
      <c r="BE186" s="476">
        <f t="shared" si="290"/>
        <v>0</v>
      </c>
      <c r="BF186" s="476">
        <f t="shared" si="291"/>
        <v>0</v>
      </c>
      <c r="BG186" s="476">
        <f t="shared" si="292"/>
        <v>0</v>
      </c>
    </row>
    <row r="187" spans="1:59" ht="16.5" customHeight="1">
      <c r="A187" s="583" t="s">
        <v>830</v>
      </c>
      <c r="B187" s="584" t="s">
        <v>1003</v>
      </c>
      <c r="C187" s="584" t="s">
        <v>1759</v>
      </c>
      <c r="D187" s="413" t="s">
        <v>1051</v>
      </c>
      <c r="E187" s="412" t="s">
        <v>473</v>
      </c>
      <c r="F187" s="412" t="s">
        <v>1134</v>
      </c>
      <c r="G187" s="412" t="s">
        <v>1137</v>
      </c>
      <c r="H187" s="412" t="s">
        <v>1723</v>
      </c>
      <c r="I187" s="477">
        <v>0</v>
      </c>
      <c r="J187" s="477">
        <v>0</v>
      </c>
      <c r="K187" s="477">
        <v>0</v>
      </c>
      <c r="L187" s="477">
        <v>859</v>
      </c>
      <c r="M187" s="477">
        <f t="shared" si="211"/>
        <v>0</v>
      </c>
      <c r="N187" s="477">
        <f t="shared" si="212"/>
        <v>859</v>
      </c>
      <c r="O187" s="477"/>
      <c r="P187" s="477"/>
      <c r="Q187" s="477">
        <f t="shared" si="213"/>
        <v>0</v>
      </c>
      <c r="R187" s="477">
        <f t="shared" si="214"/>
        <v>859</v>
      </c>
      <c r="S187" s="477">
        <f t="shared" si="215"/>
        <v>-859</v>
      </c>
      <c r="U187" s="473">
        <f t="shared" si="254"/>
        <v>0</v>
      </c>
      <c r="V187" s="476">
        <f t="shared" si="255"/>
        <v>0</v>
      </c>
      <c r="W187" s="476">
        <f t="shared" si="256"/>
        <v>0</v>
      </c>
      <c r="X187" s="476">
        <f t="shared" si="257"/>
        <v>0</v>
      </c>
      <c r="Y187" s="476">
        <f t="shared" si="258"/>
        <v>0</v>
      </c>
      <c r="Z187" s="476">
        <f t="shared" si="259"/>
        <v>0</v>
      </c>
      <c r="AA187" s="476">
        <f t="shared" si="260"/>
        <v>0</v>
      </c>
      <c r="AB187" s="476">
        <f t="shared" si="261"/>
        <v>0</v>
      </c>
      <c r="AC187" s="476">
        <f t="shared" si="262"/>
        <v>0</v>
      </c>
      <c r="AD187" s="476">
        <f t="shared" si="263"/>
        <v>0</v>
      </c>
      <c r="AE187" s="476">
        <f t="shared" si="264"/>
        <v>0</v>
      </c>
      <c r="AF187" s="476">
        <f t="shared" si="265"/>
        <v>0</v>
      </c>
      <c r="AG187" s="476">
        <f t="shared" si="266"/>
        <v>0</v>
      </c>
      <c r="AH187" s="476">
        <f t="shared" si="267"/>
        <v>0</v>
      </c>
      <c r="AI187" s="476">
        <f t="shared" si="268"/>
        <v>0</v>
      </c>
      <c r="AJ187" s="476">
        <f t="shared" si="269"/>
        <v>0</v>
      </c>
      <c r="AK187" s="476">
        <f t="shared" si="270"/>
        <v>0</v>
      </c>
      <c r="AL187" s="476">
        <f t="shared" si="271"/>
        <v>0</v>
      </c>
      <c r="AM187" s="476">
        <f t="shared" si="272"/>
        <v>0</v>
      </c>
      <c r="AN187" s="476">
        <f t="shared" si="273"/>
        <v>0</v>
      </c>
      <c r="AO187" s="476">
        <f t="shared" si="274"/>
        <v>0</v>
      </c>
      <c r="AP187" s="476">
        <f t="shared" si="275"/>
        <v>0</v>
      </c>
      <c r="AQ187" s="476">
        <f t="shared" si="276"/>
        <v>0</v>
      </c>
      <c r="AR187" s="476">
        <f t="shared" si="277"/>
        <v>0</v>
      </c>
      <c r="AS187" s="476">
        <f t="shared" si="278"/>
        <v>0</v>
      </c>
      <c r="AT187" s="476">
        <f t="shared" si="279"/>
        <v>0</v>
      </c>
      <c r="AU187" s="476">
        <f t="shared" si="280"/>
        <v>0</v>
      </c>
      <c r="AV187" s="476">
        <f t="shared" si="281"/>
        <v>0</v>
      </c>
      <c r="AW187" s="476">
        <f t="shared" si="282"/>
        <v>0</v>
      </c>
      <c r="AX187" s="476">
        <f t="shared" si="283"/>
        <v>0</v>
      </c>
      <c r="AY187" s="476">
        <f t="shared" si="284"/>
        <v>0</v>
      </c>
      <c r="AZ187" s="476">
        <f t="shared" si="285"/>
        <v>0</v>
      </c>
      <c r="BA187" s="476">
        <f t="shared" si="286"/>
        <v>0</v>
      </c>
      <c r="BB187" s="476">
        <f t="shared" si="287"/>
        <v>0</v>
      </c>
      <c r="BC187" s="476">
        <f t="shared" si="288"/>
        <v>0</v>
      </c>
      <c r="BD187" s="476">
        <f t="shared" si="289"/>
        <v>0</v>
      </c>
      <c r="BE187" s="476">
        <f t="shared" si="290"/>
        <v>0</v>
      </c>
      <c r="BF187" s="476">
        <f t="shared" si="291"/>
        <v>0</v>
      </c>
      <c r="BG187" s="476">
        <f t="shared" si="292"/>
        <v>0</v>
      </c>
    </row>
    <row r="188" spans="1:59" ht="16.5" customHeight="1">
      <c r="A188" s="583" t="s">
        <v>1341</v>
      </c>
      <c r="B188" s="584" t="s">
        <v>1342</v>
      </c>
      <c r="C188" s="584" t="s">
        <v>1760</v>
      </c>
      <c r="D188" s="413" t="s">
        <v>1051</v>
      </c>
      <c r="E188" s="412" t="s">
        <v>473</v>
      </c>
      <c r="F188" s="412" t="s">
        <v>1134</v>
      </c>
      <c r="G188" s="412" t="s">
        <v>1309</v>
      </c>
      <c r="H188" s="412"/>
      <c r="I188" s="477">
        <v>0</v>
      </c>
      <c r="J188" s="477">
        <v>0</v>
      </c>
      <c r="K188" s="477">
        <v>0</v>
      </c>
      <c r="L188" s="477">
        <v>0</v>
      </c>
      <c r="M188" s="477">
        <f t="shared" si="211"/>
        <v>0</v>
      </c>
      <c r="N188" s="477">
        <f t="shared" si="212"/>
        <v>0</v>
      </c>
      <c r="O188" s="477"/>
      <c r="P188" s="477"/>
      <c r="Q188" s="477">
        <f t="shared" si="213"/>
        <v>0</v>
      </c>
      <c r="R188" s="477">
        <f t="shared" si="214"/>
        <v>0</v>
      </c>
      <c r="S188" s="477">
        <f t="shared" si="215"/>
        <v>0</v>
      </c>
      <c r="U188" s="473">
        <f t="shared" si="254"/>
        <v>0</v>
      </c>
      <c r="V188" s="476">
        <f t="shared" si="255"/>
        <v>0</v>
      </c>
      <c r="W188" s="476">
        <f t="shared" si="256"/>
        <v>0</v>
      </c>
      <c r="X188" s="476">
        <f t="shared" si="257"/>
        <v>0</v>
      </c>
      <c r="Y188" s="476">
        <f t="shared" si="258"/>
        <v>0</v>
      </c>
      <c r="Z188" s="476">
        <f t="shared" si="259"/>
        <v>0</v>
      </c>
      <c r="AA188" s="476">
        <f t="shared" si="260"/>
        <v>0</v>
      </c>
      <c r="AB188" s="476">
        <f t="shared" si="261"/>
        <v>0</v>
      </c>
      <c r="AC188" s="476">
        <f t="shared" si="262"/>
        <v>0</v>
      </c>
      <c r="AD188" s="476">
        <f t="shared" si="263"/>
        <v>0</v>
      </c>
      <c r="AE188" s="476">
        <f t="shared" si="264"/>
        <v>0</v>
      </c>
      <c r="AF188" s="476">
        <f t="shared" si="265"/>
        <v>0</v>
      </c>
      <c r="AG188" s="476">
        <f t="shared" si="266"/>
        <v>0</v>
      </c>
      <c r="AH188" s="476">
        <f t="shared" si="267"/>
        <v>0</v>
      </c>
      <c r="AI188" s="476">
        <f t="shared" si="268"/>
        <v>0</v>
      </c>
      <c r="AJ188" s="476">
        <f t="shared" si="269"/>
        <v>0</v>
      </c>
      <c r="AK188" s="476">
        <f t="shared" si="270"/>
        <v>0</v>
      </c>
      <c r="AL188" s="476">
        <f t="shared" si="271"/>
        <v>0</v>
      </c>
      <c r="AM188" s="476">
        <f t="shared" si="272"/>
        <v>0</v>
      </c>
      <c r="AN188" s="476">
        <f t="shared" si="273"/>
        <v>0</v>
      </c>
      <c r="AO188" s="476">
        <f t="shared" si="274"/>
        <v>0</v>
      </c>
      <c r="AP188" s="476">
        <f t="shared" si="275"/>
        <v>0</v>
      </c>
      <c r="AQ188" s="476">
        <f t="shared" si="276"/>
        <v>0</v>
      </c>
      <c r="AR188" s="476">
        <f t="shared" si="277"/>
        <v>0</v>
      </c>
      <c r="AS188" s="476">
        <f t="shared" si="278"/>
        <v>0</v>
      </c>
      <c r="AT188" s="476">
        <f t="shared" si="279"/>
        <v>0</v>
      </c>
      <c r="AU188" s="476">
        <f t="shared" si="280"/>
        <v>0</v>
      </c>
      <c r="AV188" s="476">
        <f t="shared" si="281"/>
        <v>0</v>
      </c>
      <c r="AW188" s="476">
        <f t="shared" si="282"/>
        <v>0</v>
      </c>
      <c r="AX188" s="476">
        <f t="shared" si="283"/>
        <v>0</v>
      </c>
      <c r="AY188" s="476">
        <f t="shared" si="284"/>
        <v>0</v>
      </c>
      <c r="AZ188" s="476">
        <f t="shared" si="285"/>
        <v>0</v>
      </c>
      <c r="BA188" s="476">
        <f t="shared" si="286"/>
        <v>0</v>
      </c>
      <c r="BB188" s="476">
        <f t="shared" si="287"/>
        <v>0</v>
      </c>
      <c r="BC188" s="476">
        <f t="shared" si="288"/>
        <v>0</v>
      </c>
      <c r="BD188" s="476">
        <f t="shared" si="289"/>
        <v>0</v>
      </c>
      <c r="BE188" s="476">
        <f t="shared" si="290"/>
        <v>0</v>
      </c>
      <c r="BF188" s="476">
        <f t="shared" si="291"/>
        <v>0</v>
      </c>
      <c r="BG188" s="476">
        <f t="shared" si="292"/>
        <v>0</v>
      </c>
    </row>
    <row r="189" spans="1:59" ht="16.5" customHeight="1">
      <c r="A189" s="583" t="s">
        <v>831</v>
      </c>
      <c r="B189" s="584" t="s">
        <v>1670</v>
      </c>
      <c r="C189" s="584" t="s">
        <v>248</v>
      </c>
      <c r="D189" s="413" t="s">
        <v>1051</v>
      </c>
      <c r="E189" s="412" t="s">
        <v>473</v>
      </c>
      <c r="F189" s="412" t="s">
        <v>1134</v>
      </c>
      <c r="G189" s="412" t="s">
        <v>1137</v>
      </c>
      <c r="H189" s="412" t="s">
        <v>974</v>
      </c>
      <c r="I189" s="477">
        <v>0</v>
      </c>
      <c r="J189" s="477">
        <v>3106</v>
      </c>
      <c r="K189" s="477">
        <v>0</v>
      </c>
      <c r="L189" s="477">
        <v>0</v>
      </c>
      <c r="M189" s="477">
        <f t="shared" si="211"/>
        <v>0</v>
      </c>
      <c r="N189" s="477">
        <f t="shared" si="212"/>
        <v>3106</v>
      </c>
      <c r="O189" s="477"/>
      <c r="P189" s="477"/>
      <c r="Q189" s="477">
        <f t="shared" si="213"/>
        <v>0</v>
      </c>
      <c r="R189" s="477">
        <f t="shared" si="214"/>
        <v>3106</v>
      </c>
      <c r="S189" s="477">
        <f t="shared" si="215"/>
        <v>-3106</v>
      </c>
      <c r="U189" s="473">
        <f t="shared" si="254"/>
        <v>-3106</v>
      </c>
      <c r="V189" s="476">
        <f t="shared" si="255"/>
        <v>0</v>
      </c>
      <c r="W189" s="476">
        <f t="shared" si="256"/>
        <v>3106</v>
      </c>
      <c r="X189" s="476">
        <f t="shared" si="257"/>
        <v>0</v>
      </c>
      <c r="Y189" s="476">
        <f t="shared" si="258"/>
        <v>0</v>
      </c>
      <c r="Z189" s="476">
        <f t="shared" si="259"/>
        <v>0</v>
      </c>
      <c r="AA189" s="476">
        <f t="shared" si="260"/>
        <v>0</v>
      </c>
      <c r="AB189" s="476">
        <f t="shared" si="261"/>
        <v>0</v>
      </c>
      <c r="AC189" s="476">
        <f t="shared" si="262"/>
        <v>0</v>
      </c>
      <c r="AD189" s="476">
        <f t="shared" si="263"/>
        <v>0</v>
      </c>
      <c r="AE189" s="476">
        <f t="shared" si="264"/>
        <v>0</v>
      </c>
      <c r="AF189" s="476">
        <f t="shared" si="265"/>
        <v>0</v>
      </c>
      <c r="AG189" s="476">
        <f t="shared" si="266"/>
        <v>0</v>
      </c>
      <c r="AH189" s="476">
        <f t="shared" si="267"/>
        <v>0</v>
      </c>
      <c r="AI189" s="476">
        <f t="shared" si="268"/>
        <v>0</v>
      </c>
      <c r="AJ189" s="476">
        <f t="shared" si="269"/>
        <v>0</v>
      </c>
      <c r="AK189" s="476">
        <f t="shared" si="270"/>
        <v>0</v>
      </c>
      <c r="AL189" s="476">
        <f t="shared" si="271"/>
        <v>0</v>
      </c>
      <c r="AM189" s="476">
        <f t="shared" si="272"/>
        <v>0</v>
      </c>
      <c r="AN189" s="476">
        <f t="shared" si="273"/>
        <v>0</v>
      </c>
      <c r="AO189" s="476">
        <f t="shared" si="274"/>
        <v>0</v>
      </c>
      <c r="AP189" s="476">
        <f t="shared" si="275"/>
        <v>0</v>
      </c>
      <c r="AQ189" s="476">
        <f t="shared" si="276"/>
        <v>0</v>
      </c>
      <c r="AR189" s="476">
        <f t="shared" si="277"/>
        <v>0</v>
      </c>
      <c r="AS189" s="476">
        <f t="shared" si="278"/>
        <v>0</v>
      </c>
      <c r="AT189" s="476">
        <f t="shared" si="279"/>
        <v>0</v>
      </c>
      <c r="AU189" s="476">
        <f t="shared" si="280"/>
        <v>0</v>
      </c>
      <c r="AV189" s="476">
        <f t="shared" si="281"/>
        <v>0</v>
      </c>
      <c r="AW189" s="476">
        <f t="shared" si="282"/>
        <v>0</v>
      </c>
      <c r="AX189" s="476">
        <f t="shared" si="283"/>
        <v>0</v>
      </c>
      <c r="AY189" s="476">
        <f t="shared" si="284"/>
        <v>0</v>
      </c>
      <c r="AZ189" s="476">
        <f t="shared" si="285"/>
        <v>0</v>
      </c>
      <c r="BA189" s="476">
        <f t="shared" si="286"/>
        <v>0</v>
      </c>
      <c r="BB189" s="476">
        <f t="shared" si="287"/>
        <v>0</v>
      </c>
      <c r="BC189" s="476">
        <f t="shared" si="288"/>
        <v>0</v>
      </c>
      <c r="BD189" s="476">
        <f t="shared" si="289"/>
        <v>0</v>
      </c>
      <c r="BE189" s="476">
        <f t="shared" si="290"/>
        <v>0</v>
      </c>
      <c r="BF189" s="476">
        <f t="shared" si="291"/>
        <v>0</v>
      </c>
      <c r="BG189" s="476">
        <f t="shared" si="292"/>
        <v>0</v>
      </c>
    </row>
    <row r="190" spans="1:59" ht="16.5" customHeight="1">
      <c r="A190" s="583" t="s">
        <v>832</v>
      </c>
      <c r="B190" s="584" t="s">
        <v>1137</v>
      </c>
      <c r="C190" s="584" t="s">
        <v>249</v>
      </c>
      <c r="D190" s="413" t="s">
        <v>1051</v>
      </c>
      <c r="E190" s="412" t="s">
        <v>473</v>
      </c>
      <c r="F190" s="412" t="s">
        <v>1134</v>
      </c>
      <c r="G190" s="412" t="s">
        <v>1137</v>
      </c>
      <c r="H190" s="412" t="s">
        <v>974</v>
      </c>
      <c r="I190" s="477">
        <v>194400</v>
      </c>
      <c r="J190" s="477">
        <v>383288</v>
      </c>
      <c r="K190" s="477">
        <v>0</v>
      </c>
      <c r="L190" s="477">
        <v>0</v>
      </c>
      <c r="M190" s="477">
        <f t="shared" si="211"/>
        <v>194400</v>
      </c>
      <c r="N190" s="477">
        <f t="shared" si="212"/>
        <v>383288</v>
      </c>
      <c r="O190" s="477"/>
      <c r="P190" s="477"/>
      <c r="Q190" s="477">
        <f t="shared" si="213"/>
        <v>194400</v>
      </c>
      <c r="R190" s="477">
        <f t="shared" si="214"/>
        <v>383288</v>
      </c>
      <c r="S190" s="477">
        <f t="shared" si="215"/>
        <v>-188888</v>
      </c>
      <c r="U190" s="473">
        <f t="shared" si="254"/>
        <v>-188888</v>
      </c>
      <c r="V190" s="476">
        <f t="shared" si="255"/>
        <v>194400</v>
      </c>
      <c r="W190" s="476">
        <f t="shared" si="256"/>
        <v>383288</v>
      </c>
      <c r="X190" s="476">
        <f t="shared" si="257"/>
        <v>0</v>
      </c>
      <c r="Y190" s="476">
        <f t="shared" si="258"/>
        <v>0</v>
      </c>
      <c r="Z190" s="476">
        <f t="shared" si="259"/>
        <v>0</v>
      </c>
      <c r="AA190" s="476">
        <f t="shared" si="260"/>
        <v>0</v>
      </c>
      <c r="AB190" s="476">
        <f t="shared" si="261"/>
        <v>0</v>
      </c>
      <c r="AC190" s="476">
        <f t="shared" si="262"/>
        <v>0</v>
      </c>
      <c r="AD190" s="476">
        <f t="shared" si="263"/>
        <v>0</v>
      </c>
      <c r="AE190" s="476">
        <f t="shared" si="264"/>
        <v>0</v>
      </c>
      <c r="AF190" s="476">
        <f t="shared" si="265"/>
        <v>0</v>
      </c>
      <c r="AG190" s="476">
        <f t="shared" si="266"/>
        <v>0</v>
      </c>
      <c r="AH190" s="476">
        <f t="shared" si="267"/>
        <v>0</v>
      </c>
      <c r="AI190" s="476">
        <f t="shared" si="268"/>
        <v>0</v>
      </c>
      <c r="AJ190" s="476">
        <f t="shared" si="269"/>
        <v>0</v>
      </c>
      <c r="AK190" s="476">
        <f t="shared" si="270"/>
        <v>0</v>
      </c>
      <c r="AL190" s="476">
        <f t="shared" si="271"/>
        <v>0</v>
      </c>
      <c r="AM190" s="476">
        <f t="shared" si="272"/>
        <v>0</v>
      </c>
      <c r="AN190" s="476">
        <f t="shared" si="273"/>
        <v>0</v>
      </c>
      <c r="AO190" s="476">
        <f t="shared" si="274"/>
        <v>0</v>
      </c>
      <c r="AP190" s="476">
        <f t="shared" si="275"/>
        <v>0</v>
      </c>
      <c r="AQ190" s="476">
        <f t="shared" si="276"/>
        <v>0</v>
      </c>
      <c r="AR190" s="476">
        <f t="shared" si="277"/>
        <v>0</v>
      </c>
      <c r="AS190" s="476">
        <f t="shared" si="278"/>
        <v>0</v>
      </c>
      <c r="AT190" s="476">
        <f t="shared" si="279"/>
        <v>0</v>
      </c>
      <c r="AU190" s="476">
        <f t="shared" si="280"/>
        <v>0</v>
      </c>
      <c r="AV190" s="476">
        <f t="shared" si="281"/>
        <v>0</v>
      </c>
      <c r="AW190" s="476">
        <f t="shared" si="282"/>
        <v>0</v>
      </c>
      <c r="AX190" s="476">
        <f t="shared" si="283"/>
        <v>0</v>
      </c>
      <c r="AY190" s="476">
        <f t="shared" si="284"/>
        <v>0</v>
      </c>
      <c r="AZ190" s="476">
        <f t="shared" si="285"/>
        <v>0</v>
      </c>
      <c r="BA190" s="476">
        <f t="shared" si="286"/>
        <v>0</v>
      </c>
      <c r="BB190" s="476">
        <f t="shared" si="287"/>
        <v>0</v>
      </c>
      <c r="BC190" s="476">
        <f t="shared" si="288"/>
        <v>0</v>
      </c>
      <c r="BD190" s="476">
        <f t="shared" si="289"/>
        <v>0</v>
      </c>
      <c r="BE190" s="476">
        <f t="shared" si="290"/>
        <v>0</v>
      </c>
      <c r="BF190" s="476">
        <f t="shared" si="291"/>
        <v>0</v>
      </c>
      <c r="BG190" s="476">
        <f t="shared" si="292"/>
        <v>0</v>
      </c>
    </row>
    <row r="191" spans="1:59" ht="16.5" customHeight="1">
      <c r="A191" s="583" t="s">
        <v>832</v>
      </c>
      <c r="B191" s="584" t="s">
        <v>1137</v>
      </c>
      <c r="C191" s="584" t="s">
        <v>250</v>
      </c>
      <c r="D191" s="413" t="s">
        <v>1051</v>
      </c>
      <c r="E191" s="412" t="s">
        <v>473</v>
      </c>
      <c r="F191" s="412" t="s">
        <v>1134</v>
      </c>
      <c r="G191" s="412" t="s">
        <v>1137</v>
      </c>
      <c r="H191" s="412" t="s">
        <v>1012</v>
      </c>
      <c r="I191" s="477">
        <v>0</v>
      </c>
      <c r="J191" s="477">
        <v>9710</v>
      </c>
      <c r="K191" s="477">
        <v>0</v>
      </c>
      <c r="L191" s="477">
        <v>0</v>
      </c>
      <c r="M191" s="477">
        <f t="shared" si="211"/>
        <v>0</v>
      </c>
      <c r="N191" s="477">
        <f t="shared" si="212"/>
        <v>9710</v>
      </c>
      <c r="O191" s="477"/>
      <c r="P191" s="477"/>
      <c r="Q191" s="477">
        <f t="shared" ref="Q191" si="293">+M191+O191</f>
        <v>0</v>
      </c>
      <c r="R191" s="477">
        <f t="shared" ref="R191" si="294">+N191+P191</f>
        <v>9710</v>
      </c>
      <c r="S191" s="477">
        <f t="shared" ref="S191" si="295">+Q191-R191</f>
        <v>-9710</v>
      </c>
      <c r="U191" s="473">
        <f t="shared" si="254"/>
        <v>-9710</v>
      </c>
      <c r="V191" s="476"/>
      <c r="W191" s="476"/>
      <c r="X191" s="476"/>
      <c r="Y191" s="476"/>
      <c r="Z191" s="476"/>
      <c r="AA191" s="476"/>
      <c r="AB191" s="476"/>
      <c r="AC191" s="476"/>
      <c r="AD191" s="476"/>
      <c r="AE191" s="476"/>
      <c r="AF191" s="476"/>
      <c r="AG191" s="476"/>
      <c r="AH191" s="476"/>
      <c r="AI191" s="476"/>
      <c r="AJ191" s="476"/>
      <c r="AK191" s="476"/>
      <c r="AL191" s="476"/>
      <c r="AM191" s="476"/>
      <c r="AN191" s="476"/>
      <c r="AO191" s="476"/>
      <c r="AP191" s="476"/>
      <c r="AQ191" s="476"/>
      <c r="AR191" s="476"/>
      <c r="AS191" s="476"/>
      <c r="AT191" s="476"/>
      <c r="AU191" s="476"/>
      <c r="AV191" s="476"/>
      <c r="AW191" s="476"/>
      <c r="AX191" s="476"/>
      <c r="AY191" s="476"/>
      <c r="AZ191" s="476"/>
      <c r="BA191" s="476"/>
      <c r="BB191" s="476"/>
      <c r="BC191" s="476"/>
      <c r="BD191" s="476"/>
      <c r="BE191" s="476"/>
      <c r="BF191" s="476"/>
      <c r="BG191" s="476"/>
    </row>
    <row r="192" spans="1:59" ht="16.5" customHeight="1">
      <c r="A192" s="583" t="s">
        <v>832</v>
      </c>
      <c r="B192" s="584" t="s">
        <v>1137</v>
      </c>
      <c r="C192" s="584" t="s">
        <v>1137</v>
      </c>
      <c r="D192" s="413" t="s">
        <v>1051</v>
      </c>
      <c r="E192" s="412" t="s">
        <v>473</v>
      </c>
      <c r="F192" s="412" t="s">
        <v>1134</v>
      </c>
      <c r="G192" s="412" t="s">
        <v>1137</v>
      </c>
      <c r="H192" s="412" t="s">
        <v>974</v>
      </c>
      <c r="I192" s="477">
        <v>207000</v>
      </c>
      <c r="J192" s="477">
        <v>329130</v>
      </c>
      <c r="K192" s="477">
        <v>0</v>
      </c>
      <c r="L192" s="477">
        <v>0</v>
      </c>
      <c r="M192" s="477">
        <f t="shared" si="211"/>
        <v>207000</v>
      </c>
      <c r="N192" s="477">
        <f t="shared" si="212"/>
        <v>329130</v>
      </c>
      <c r="O192" s="477"/>
      <c r="P192" s="477"/>
      <c r="Q192" s="477">
        <f t="shared" si="213"/>
        <v>207000</v>
      </c>
      <c r="R192" s="477">
        <f t="shared" si="214"/>
        <v>329130</v>
      </c>
      <c r="S192" s="477">
        <f t="shared" si="215"/>
        <v>-122130</v>
      </c>
      <c r="U192" s="473">
        <f t="shared" si="254"/>
        <v>-122130</v>
      </c>
      <c r="V192" s="476">
        <f t="shared" ref="V192:V201" si="296">IF($V$8=$H192,$Q192,0)</f>
        <v>207000</v>
      </c>
      <c r="W192" s="476">
        <f t="shared" ref="W192:W201" si="297">IF($V$8=$H192,$R192,0)</f>
        <v>329130</v>
      </c>
      <c r="X192" s="476">
        <f t="shared" ref="X192:X201" si="298">IF($X$8=$H192,$Q192,0)</f>
        <v>0</v>
      </c>
      <c r="Y192" s="476">
        <f t="shared" ref="Y192:Y201" si="299">IF($X$8=$H192,$R192,0)</f>
        <v>0</v>
      </c>
      <c r="Z192" s="476">
        <f t="shared" ref="Z192:Z201" si="300">IF($Z$8=$H192,$Q192,0)</f>
        <v>0</v>
      </c>
      <c r="AA192" s="476">
        <f t="shared" ref="AA192:AA201" si="301">IF($Z$8=$H192,$R192,0)</f>
        <v>0</v>
      </c>
      <c r="AB192" s="476">
        <f t="shared" ref="AB192:AB201" si="302">IF($AB$8=$H192,$Q192,0)</f>
        <v>0</v>
      </c>
      <c r="AC192" s="476">
        <f t="shared" ref="AC192:AC201" si="303">IF($AB$8=$H192,$R192,0)</f>
        <v>0</v>
      </c>
      <c r="AD192" s="476">
        <f t="shared" ref="AD192:AD201" si="304">IF($AD$8=$H192,$Q192,0)</f>
        <v>0</v>
      </c>
      <c r="AE192" s="476">
        <f t="shared" ref="AE192:AE201" si="305">IF($AD$8=$H192,$R192,0)</f>
        <v>0</v>
      </c>
      <c r="AF192" s="476">
        <f t="shared" ref="AF192:AF201" si="306">IF($AF$8=$H192,$Q192,0)</f>
        <v>0</v>
      </c>
      <c r="AG192" s="476">
        <f t="shared" ref="AG192:AG201" si="307">IF($AF$8=$H192,$R192,0)</f>
        <v>0</v>
      </c>
      <c r="AH192" s="476">
        <f t="shared" ref="AH192:AH201" si="308">IF($AH$8=$H192,$Q192,0)</f>
        <v>0</v>
      </c>
      <c r="AI192" s="476">
        <f t="shared" ref="AI192:AI201" si="309">IF($AH$8=$H192,$R192,0)</f>
        <v>0</v>
      </c>
      <c r="AJ192" s="476">
        <f t="shared" ref="AJ192:AJ201" si="310">IF($AJ$8=$H192,$Q192,0)</f>
        <v>0</v>
      </c>
      <c r="AK192" s="476">
        <f t="shared" ref="AK192:AK201" si="311">IF($AJ$8=$H192,$R192,0)</f>
        <v>0</v>
      </c>
      <c r="AL192" s="476">
        <f t="shared" ref="AL192:AL201" si="312">IF($AL$8=$H192,$Q192,0)</f>
        <v>0</v>
      </c>
      <c r="AM192" s="476">
        <f t="shared" ref="AM192:AM201" si="313">IF($AL$8=$H192,$R192,0)</f>
        <v>0</v>
      </c>
      <c r="AN192" s="476">
        <f t="shared" ref="AN192:AN201" si="314">IF($AN$8=$H192,$Q192,0)</f>
        <v>0</v>
      </c>
      <c r="AO192" s="476">
        <f t="shared" ref="AO192:AO201" si="315">IF($AN$8=$H192,$R192,0)</f>
        <v>0</v>
      </c>
      <c r="AP192" s="476">
        <f t="shared" ref="AP192:AP201" si="316">IF($AP$8=$H192,$Q192,0)</f>
        <v>0</v>
      </c>
      <c r="AQ192" s="476">
        <f t="shared" ref="AQ192:AQ201" si="317">IF($AP$8=$H192,$R192,0)</f>
        <v>0</v>
      </c>
      <c r="AR192" s="476">
        <f t="shared" ref="AR192:AR201" si="318">IF($AR$8=$H192,$Q192,0)</f>
        <v>0</v>
      </c>
      <c r="AS192" s="476">
        <f t="shared" ref="AS192:AS201" si="319">IF($AR$8=$H192,$R192,0)</f>
        <v>0</v>
      </c>
      <c r="AT192" s="476">
        <f t="shared" ref="AT192:AT201" si="320">IF($AT$8=$H192,$Q192,0)</f>
        <v>0</v>
      </c>
      <c r="AU192" s="476">
        <f t="shared" ref="AU192:AU201" si="321">IF($AT$8=$H192,$R192,0)</f>
        <v>0</v>
      </c>
      <c r="AV192" s="476">
        <f t="shared" ref="AV192:AV201" si="322">IF($AV$8=$H192,$Q192,0)</f>
        <v>0</v>
      </c>
      <c r="AW192" s="476">
        <f t="shared" ref="AW192:AW201" si="323">IF($AV$8=$H192,$R192,0)</f>
        <v>0</v>
      </c>
      <c r="AX192" s="476">
        <f t="shared" ref="AX192:AX201" si="324">IF($AX$8=$H192,$Q192,0)</f>
        <v>0</v>
      </c>
      <c r="AY192" s="476">
        <f t="shared" ref="AY192:AY201" si="325">IF($AX$8=$H192,$R192,0)</f>
        <v>0</v>
      </c>
      <c r="AZ192" s="476">
        <f t="shared" ref="AZ192:AZ201" si="326">IF($AZ$8=$H192,$Q192,0)</f>
        <v>0</v>
      </c>
      <c r="BA192" s="476">
        <f t="shared" ref="BA192:BA201" si="327">IF($AZ$8=$H192,$R192,0)</f>
        <v>0</v>
      </c>
      <c r="BB192" s="476">
        <f t="shared" ref="BB192:BB201" si="328">IF($BB$8=$H192,$Q192,0)</f>
        <v>0</v>
      </c>
      <c r="BC192" s="476">
        <f t="shared" ref="BC192:BC201" si="329">IF($BB$8=$H192,$R192,0)</f>
        <v>0</v>
      </c>
      <c r="BD192" s="476">
        <f t="shared" ref="BD192:BD201" si="330">IF($BD$8=$H192,$Q192,0)</f>
        <v>0</v>
      </c>
      <c r="BE192" s="476">
        <f t="shared" ref="BE192:BE201" si="331">IF($BD$8=$H192,$R192,0)</f>
        <v>0</v>
      </c>
      <c r="BF192" s="476">
        <f t="shared" ref="BF192:BF201" si="332">IF($BF$8=$H192,$Q192,0)</f>
        <v>0</v>
      </c>
      <c r="BG192" s="476">
        <f t="shared" ref="BG192:BG201" si="333">IF($BF$8=$H192,$R192,0)</f>
        <v>0</v>
      </c>
    </row>
    <row r="193" spans="1:59" ht="16.5" customHeight="1">
      <c r="A193" s="583" t="s">
        <v>833</v>
      </c>
      <c r="B193" s="584" t="s">
        <v>1671</v>
      </c>
      <c r="C193" s="584" t="s">
        <v>251</v>
      </c>
      <c r="D193" s="413" t="s">
        <v>1051</v>
      </c>
      <c r="E193" s="412" t="s">
        <v>473</v>
      </c>
      <c r="F193" s="412" t="s">
        <v>1134</v>
      </c>
      <c r="G193" s="412" t="s">
        <v>1137</v>
      </c>
      <c r="H193" s="412" t="s">
        <v>974</v>
      </c>
      <c r="I193" s="477">
        <v>0</v>
      </c>
      <c r="J193" s="477">
        <v>1940564</v>
      </c>
      <c r="K193" s="477">
        <v>0</v>
      </c>
      <c r="L193" s="477">
        <v>0</v>
      </c>
      <c r="M193" s="477">
        <f t="shared" si="211"/>
        <v>0</v>
      </c>
      <c r="N193" s="477">
        <f t="shared" si="212"/>
        <v>1940564</v>
      </c>
      <c r="O193" s="477"/>
      <c r="P193" s="477"/>
      <c r="Q193" s="477">
        <f t="shared" si="213"/>
        <v>0</v>
      </c>
      <c r="R193" s="477">
        <f t="shared" si="214"/>
        <v>1940564</v>
      </c>
      <c r="S193" s="477">
        <f t="shared" si="215"/>
        <v>-1940564</v>
      </c>
      <c r="U193" s="473">
        <f t="shared" si="254"/>
        <v>-1940564</v>
      </c>
      <c r="V193" s="476">
        <f t="shared" si="296"/>
        <v>0</v>
      </c>
      <c r="W193" s="476">
        <f t="shared" si="297"/>
        <v>1940564</v>
      </c>
      <c r="X193" s="476">
        <f t="shared" si="298"/>
        <v>0</v>
      </c>
      <c r="Y193" s="476">
        <f t="shared" si="299"/>
        <v>0</v>
      </c>
      <c r="Z193" s="476">
        <f t="shared" si="300"/>
        <v>0</v>
      </c>
      <c r="AA193" s="476">
        <f t="shared" si="301"/>
        <v>0</v>
      </c>
      <c r="AB193" s="476">
        <f t="shared" si="302"/>
        <v>0</v>
      </c>
      <c r="AC193" s="476">
        <f t="shared" si="303"/>
        <v>0</v>
      </c>
      <c r="AD193" s="476">
        <f t="shared" si="304"/>
        <v>0</v>
      </c>
      <c r="AE193" s="476">
        <f t="shared" si="305"/>
        <v>0</v>
      </c>
      <c r="AF193" s="476">
        <f t="shared" si="306"/>
        <v>0</v>
      </c>
      <c r="AG193" s="476">
        <f t="shared" si="307"/>
        <v>0</v>
      </c>
      <c r="AH193" s="476">
        <f t="shared" si="308"/>
        <v>0</v>
      </c>
      <c r="AI193" s="476">
        <f t="shared" si="309"/>
        <v>0</v>
      </c>
      <c r="AJ193" s="476">
        <f t="shared" si="310"/>
        <v>0</v>
      </c>
      <c r="AK193" s="476">
        <f t="shared" si="311"/>
        <v>0</v>
      </c>
      <c r="AL193" s="476">
        <f t="shared" si="312"/>
        <v>0</v>
      </c>
      <c r="AM193" s="476">
        <f t="shared" si="313"/>
        <v>0</v>
      </c>
      <c r="AN193" s="476">
        <f t="shared" si="314"/>
        <v>0</v>
      </c>
      <c r="AO193" s="476">
        <f t="shared" si="315"/>
        <v>0</v>
      </c>
      <c r="AP193" s="476">
        <f t="shared" si="316"/>
        <v>0</v>
      </c>
      <c r="AQ193" s="476">
        <f t="shared" si="317"/>
        <v>0</v>
      </c>
      <c r="AR193" s="476">
        <f t="shared" si="318"/>
        <v>0</v>
      </c>
      <c r="AS193" s="476">
        <f t="shared" si="319"/>
        <v>0</v>
      </c>
      <c r="AT193" s="476">
        <f t="shared" si="320"/>
        <v>0</v>
      </c>
      <c r="AU193" s="476">
        <f t="shared" si="321"/>
        <v>0</v>
      </c>
      <c r="AV193" s="476">
        <f t="shared" si="322"/>
        <v>0</v>
      </c>
      <c r="AW193" s="476">
        <f t="shared" si="323"/>
        <v>0</v>
      </c>
      <c r="AX193" s="476">
        <f t="shared" si="324"/>
        <v>0</v>
      </c>
      <c r="AY193" s="476">
        <f t="shared" si="325"/>
        <v>0</v>
      </c>
      <c r="AZ193" s="476">
        <f t="shared" si="326"/>
        <v>0</v>
      </c>
      <c r="BA193" s="476">
        <f t="shared" si="327"/>
        <v>0</v>
      </c>
      <c r="BB193" s="476">
        <f t="shared" si="328"/>
        <v>0</v>
      </c>
      <c r="BC193" s="476">
        <f t="shared" si="329"/>
        <v>0</v>
      </c>
      <c r="BD193" s="476">
        <f t="shared" si="330"/>
        <v>0</v>
      </c>
      <c r="BE193" s="476">
        <f t="shared" si="331"/>
        <v>0</v>
      </c>
      <c r="BF193" s="476">
        <f t="shared" si="332"/>
        <v>0</v>
      </c>
      <c r="BG193" s="476">
        <f t="shared" si="333"/>
        <v>0</v>
      </c>
    </row>
    <row r="194" spans="1:59" ht="16.5" customHeight="1">
      <c r="A194" s="583" t="s">
        <v>834</v>
      </c>
      <c r="B194" s="584" t="s">
        <v>1672</v>
      </c>
      <c r="C194" s="584" t="s">
        <v>252</v>
      </c>
      <c r="D194" s="413" t="s">
        <v>1051</v>
      </c>
      <c r="E194" s="412" t="s">
        <v>640</v>
      </c>
      <c r="F194" s="412" t="s">
        <v>1151</v>
      </c>
      <c r="G194" s="412" t="s">
        <v>1152</v>
      </c>
      <c r="H194" s="412" t="s">
        <v>974</v>
      </c>
      <c r="I194" s="477">
        <v>105750</v>
      </c>
      <c r="J194" s="477">
        <v>615750</v>
      </c>
      <c r="K194" s="477">
        <v>0</v>
      </c>
      <c r="L194" s="477">
        <v>0</v>
      </c>
      <c r="M194" s="477">
        <f t="shared" si="211"/>
        <v>105750</v>
      </c>
      <c r="N194" s="477">
        <f t="shared" si="212"/>
        <v>615750</v>
      </c>
      <c r="O194" s="477"/>
      <c r="P194" s="477"/>
      <c r="Q194" s="477">
        <f t="shared" si="213"/>
        <v>105750</v>
      </c>
      <c r="R194" s="477">
        <f t="shared" si="214"/>
        <v>615750</v>
      </c>
      <c r="S194" s="477">
        <f t="shared" si="215"/>
        <v>-510000</v>
      </c>
      <c r="U194" s="473">
        <f t="shared" si="254"/>
        <v>-510000</v>
      </c>
      <c r="V194" s="476">
        <f t="shared" si="296"/>
        <v>105750</v>
      </c>
      <c r="W194" s="476">
        <f t="shared" si="297"/>
        <v>615750</v>
      </c>
      <c r="X194" s="476">
        <f t="shared" si="298"/>
        <v>0</v>
      </c>
      <c r="Y194" s="476">
        <f t="shared" si="299"/>
        <v>0</v>
      </c>
      <c r="Z194" s="476">
        <f t="shared" si="300"/>
        <v>0</v>
      </c>
      <c r="AA194" s="476">
        <f t="shared" si="301"/>
        <v>0</v>
      </c>
      <c r="AB194" s="476">
        <f t="shared" si="302"/>
        <v>0</v>
      </c>
      <c r="AC194" s="476">
        <f t="shared" si="303"/>
        <v>0</v>
      </c>
      <c r="AD194" s="476">
        <f t="shared" si="304"/>
        <v>0</v>
      </c>
      <c r="AE194" s="476">
        <f t="shared" si="305"/>
        <v>0</v>
      </c>
      <c r="AF194" s="476">
        <f t="shared" si="306"/>
        <v>0</v>
      </c>
      <c r="AG194" s="476">
        <f t="shared" si="307"/>
        <v>0</v>
      </c>
      <c r="AH194" s="476">
        <f t="shared" si="308"/>
        <v>0</v>
      </c>
      <c r="AI194" s="476">
        <f t="shared" si="309"/>
        <v>0</v>
      </c>
      <c r="AJ194" s="476">
        <f t="shared" si="310"/>
        <v>0</v>
      </c>
      <c r="AK194" s="476">
        <f t="shared" si="311"/>
        <v>0</v>
      </c>
      <c r="AL194" s="476">
        <f t="shared" si="312"/>
        <v>0</v>
      </c>
      <c r="AM194" s="476">
        <f t="shared" si="313"/>
        <v>0</v>
      </c>
      <c r="AN194" s="476">
        <f t="shared" si="314"/>
        <v>0</v>
      </c>
      <c r="AO194" s="476">
        <f t="shared" si="315"/>
        <v>0</v>
      </c>
      <c r="AP194" s="476">
        <f t="shared" si="316"/>
        <v>0</v>
      </c>
      <c r="AQ194" s="476">
        <f t="shared" si="317"/>
        <v>0</v>
      </c>
      <c r="AR194" s="476">
        <f t="shared" si="318"/>
        <v>0</v>
      </c>
      <c r="AS194" s="476">
        <f t="shared" si="319"/>
        <v>0</v>
      </c>
      <c r="AT194" s="476">
        <f t="shared" si="320"/>
        <v>0</v>
      </c>
      <c r="AU194" s="476">
        <f t="shared" si="321"/>
        <v>0</v>
      </c>
      <c r="AV194" s="476">
        <f t="shared" si="322"/>
        <v>0</v>
      </c>
      <c r="AW194" s="476">
        <f t="shared" si="323"/>
        <v>0</v>
      </c>
      <c r="AX194" s="476">
        <f t="shared" si="324"/>
        <v>0</v>
      </c>
      <c r="AY194" s="476">
        <f t="shared" si="325"/>
        <v>0</v>
      </c>
      <c r="AZ194" s="476">
        <f t="shared" si="326"/>
        <v>0</v>
      </c>
      <c r="BA194" s="476">
        <f t="shared" si="327"/>
        <v>0</v>
      </c>
      <c r="BB194" s="476">
        <f t="shared" si="328"/>
        <v>0</v>
      </c>
      <c r="BC194" s="476">
        <f t="shared" si="329"/>
        <v>0</v>
      </c>
      <c r="BD194" s="476">
        <f t="shared" si="330"/>
        <v>0</v>
      </c>
      <c r="BE194" s="476">
        <f t="shared" si="331"/>
        <v>0</v>
      </c>
      <c r="BF194" s="476">
        <f t="shared" si="332"/>
        <v>0</v>
      </c>
      <c r="BG194" s="476">
        <f t="shared" si="333"/>
        <v>0</v>
      </c>
    </row>
    <row r="195" spans="1:59" ht="16.5" customHeight="1">
      <c r="A195" s="583" t="s">
        <v>835</v>
      </c>
      <c r="B195" s="584" t="s">
        <v>1673</v>
      </c>
      <c r="C195" s="584" t="s">
        <v>256</v>
      </c>
      <c r="D195" s="413" t="s">
        <v>1051</v>
      </c>
      <c r="E195" s="412" t="s">
        <v>1153</v>
      </c>
      <c r="F195" s="412" t="s">
        <v>1153</v>
      </c>
      <c r="G195" s="412" t="s">
        <v>1153</v>
      </c>
      <c r="H195" s="412" t="s">
        <v>974</v>
      </c>
      <c r="I195" s="477">
        <v>73356131.310025007</v>
      </c>
      <c r="J195" s="477">
        <v>0</v>
      </c>
      <c r="K195" s="477">
        <v>0</v>
      </c>
      <c r="L195" s="477">
        <v>0</v>
      </c>
      <c r="M195" s="477">
        <f t="shared" si="211"/>
        <v>73356131.310025007</v>
      </c>
      <c r="N195" s="477">
        <f t="shared" si="212"/>
        <v>0</v>
      </c>
      <c r="O195" s="477"/>
      <c r="P195" s="477"/>
      <c r="Q195" s="477">
        <f t="shared" si="213"/>
        <v>73356131.310025007</v>
      </c>
      <c r="R195" s="477">
        <f t="shared" si="214"/>
        <v>0</v>
      </c>
      <c r="S195" s="477">
        <f t="shared" si="215"/>
        <v>73356131.310025007</v>
      </c>
      <c r="U195" s="473">
        <f t="shared" si="254"/>
        <v>73356131.310025007</v>
      </c>
      <c r="V195" s="476">
        <f t="shared" si="296"/>
        <v>73356131.310025007</v>
      </c>
      <c r="W195" s="476">
        <f t="shared" si="297"/>
        <v>0</v>
      </c>
      <c r="X195" s="476">
        <f t="shared" si="298"/>
        <v>0</v>
      </c>
      <c r="Y195" s="476">
        <f t="shared" si="299"/>
        <v>0</v>
      </c>
      <c r="Z195" s="476">
        <f t="shared" si="300"/>
        <v>0</v>
      </c>
      <c r="AA195" s="476">
        <f t="shared" si="301"/>
        <v>0</v>
      </c>
      <c r="AB195" s="476">
        <f t="shared" si="302"/>
        <v>0</v>
      </c>
      <c r="AC195" s="476">
        <f t="shared" si="303"/>
        <v>0</v>
      </c>
      <c r="AD195" s="476">
        <f t="shared" si="304"/>
        <v>0</v>
      </c>
      <c r="AE195" s="476">
        <f t="shared" si="305"/>
        <v>0</v>
      </c>
      <c r="AF195" s="476">
        <f t="shared" si="306"/>
        <v>0</v>
      </c>
      <c r="AG195" s="476">
        <f t="shared" si="307"/>
        <v>0</v>
      </c>
      <c r="AH195" s="476">
        <f t="shared" si="308"/>
        <v>0</v>
      </c>
      <c r="AI195" s="476">
        <f t="shared" si="309"/>
        <v>0</v>
      </c>
      <c r="AJ195" s="476">
        <f t="shared" si="310"/>
        <v>0</v>
      </c>
      <c r="AK195" s="476">
        <f t="shared" si="311"/>
        <v>0</v>
      </c>
      <c r="AL195" s="476">
        <f t="shared" si="312"/>
        <v>0</v>
      </c>
      <c r="AM195" s="476">
        <f t="shared" si="313"/>
        <v>0</v>
      </c>
      <c r="AN195" s="476">
        <f t="shared" si="314"/>
        <v>0</v>
      </c>
      <c r="AO195" s="476">
        <f t="shared" si="315"/>
        <v>0</v>
      </c>
      <c r="AP195" s="476">
        <f t="shared" si="316"/>
        <v>0</v>
      </c>
      <c r="AQ195" s="476">
        <f t="shared" si="317"/>
        <v>0</v>
      </c>
      <c r="AR195" s="476">
        <f t="shared" si="318"/>
        <v>0</v>
      </c>
      <c r="AS195" s="476">
        <f t="shared" si="319"/>
        <v>0</v>
      </c>
      <c r="AT195" s="476">
        <f t="shared" si="320"/>
        <v>0</v>
      </c>
      <c r="AU195" s="476">
        <f t="shared" si="321"/>
        <v>0</v>
      </c>
      <c r="AV195" s="476">
        <f t="shared" si="322"/>
        <v>0</v>
      </c>
      <c r="AW195" s="476">
        <f t="shared" si="323"/>
        <v>0</v>
      </c>
      <c r="AX195" s="476">
        <f t="shared" si="324"/>
        <v>0</v>
      </c>
      <c r="AY195" s="476">
        <f t="shared" si="325"/>
        <v>0</v>
      </c>
      <c r="AZ195" s="476">
        <f t="shared" si="326"/>
        <v>0</v>
      </c>
      <c r="BA195" s="476">
        <f t="shared" si="327"/>
        <v>0</v>
      </c>
      <c r="BB195" s="476">
        <f t="shared" si="328"/>
        <v>0</v>
      </c>
      <c r="BC195" s="476">
        <f t="shared" si="329"/>
        <v>0</v>
      </c>
      <c r="BD195" s="476">
        <f t="shared" si="330"/>
        <v>0</v>
      </c>
      <c r="BE195" s="476">
        <f t="shared" si="331"/>
        <v>0</v>
      </c>
      <c r="BF195" s="476">
        <f t="shared" si="332"/>
        <v>0</v>
      </c>
      <c r="BG195" s="476">
        <f t="shared" si="333"/>
        <v>0</v>
      </c>
    </row>
    <row r="196" spans="1:59" ht="16.5" customHeight="1">
      <c r="A196" s="583" t="s">
        <v>843</v>
      </c>
      <c r="B196" s="584" t="s">
        <v>1674</v>
      </c>
      <c r="C196" s="584" t="s">
        <v>255</v>
      </c>
      <c r="D196" s="413" t="s">
        <v>1051</v>
      </c>
      <c r="E196" s="412" t="s">
        <v>1153</v>
      </c>
      <c r="F196" s="412" t="s">
        <v>1153</v>
      </c>
      <c r="G196" s="412" t="s">
        <v>1153</v>
      </c>
      <c r="H196" s="412" t="s">
        <v>1014</v>
      </c>
      <c r="I196" s="477">
        <v>0</v>
      </c>
      <c r="J196" s="477">
        <v>1641568</v>
      </c>
      <c r="K196" s="477">
        <v>0</v>
      </c>
      <c r="L196" s="477">
        <v>0</v>
      </c>
      <c r="M196" s="477">
        <f t="shared" si="211"/>
        <v>0</v>
      </c>
      <c r="N196" s="477">
        <f t="shared" si="212"/>
        <v>1641568</v>
      </c>
      <c r="O196" s="477"/>
      <c r="P196" s="477"/>
      <c r="Q196" s="477">
        <f t="shared" si="213"/>
        <v>0</v>
      </c>
      <c r="R196" s="477">
        <f t="shared" si="214"/>
        <v>1641568</v>
      </c>
      <c r="S196" s="477">
        <f t="shared" si="215"/>
        <v>-1641568</v>
      </c>
      <c r="U196" s="473">
        <f t="shared" si="254"/>
        <v>-1641568</v>
      </c>
      <c r="V196" s="476">
        <f t="shared" si="296"/>
        <v>0</v>
      </c>
      <c r="W196" s="476">
        <f t="shared" si="297"/>
        <v>0</v>
      </c>
      <c r="X196" s="476">
        <f t="shared" si="298"/>
        <v>0</v>
      </c>
      <c r="Y196" s="476">
        <f t="shared" si="299"/>
        <v>0</v>
      </c>
      <c r="Z196" s="476">
        <f t="shared" si="300"/>
        <v>0</v>
      </c>
      <c r="AA196" s="476">
        <f t="shared" si="301"/>
        <v>0</v>
      </c>
      <c r="AB196" s="476">
        <f t="shared" si="302"/>
        <v>0</v>
      </c>
      <c r="AC196" s="476">
        <f t="shared" si="303"/>
        <v>0</v>
      </c>
      <c r="AD196" s="476">
        <f t="shared" si="304"/>
        <v>0</v>
      </c>
      <c r="AE196" s="476">
        <f t="shared" si="305"/>
        <v>0</v>
      </c>
      <c r="AF196" s="476">
        <f t="shared" si="306"/>
        <v>0</v>
      </c>
      <c r="AG196" s="476">
        <f t="shared" si="307"/>
        <v>0</v>
      </c>
      <c r="AH196" s="476">
        <f t="shared" si="308"/>
        <v>0</v>
      </c>
      <c r="AI196" s="476">
        <f t="shared" si="309"/>
        <v>0</v>
      </c>
      <c r="AJ196" s="476">
        <f t="shared" si="310"/>
        <v>0</v>
      </c>
      <c r="AK196" s="476">
        <f t="shared" si="311"/>
        <v>0</v>
      </c>
      <c r="AL196" s="476">
        <f t="shared" si="312"/>
        <v>0</v>
      </c>
      <c r="AM196" s="476">
        <f t="shared" si="313"/>
        <v>0</v>
      </c>
      <c r="AN196" s="476">
        <f t="shared" si="314"/>
        <v>0</v>
      </c>
      <c r="AO196" s="476">
        <f t="shared" si="315"/>
        <v>0</v>
      </c>
      <c r="AP196" s="476">
        <f t="shared" si="316"/>
        <v>0</v>
      </c>
      <c r="AQ196" s="476">
        <f t="shared" si="317"/>
        <v>1641568</v>
      </c>
      <c r="AR196" s="476">
        <f t="shared" si="318"/>
        <v>0</v>
      </c>
      <c r="AS196" s="476">
        <f t="shared" si="319"/>
        <v>0</v>
      </c>
      <c r="AT196" s="476">
        <f t="shared" si="320"/>
        <v>0</v>
      </c>
      <c r="AU196" s="476">
        <f t="shared" si="321"/>
        <v>0</v>
      </c>
      <c r="AV196" s="476">
        <f t="shared" si="322"/>
        <v>0</v>
      </c>
      <c r="AW196" s="476">
        <f t="shared" si="323"/>
        <v>0</v>
      </c>
      <c r="AX196" s="476">
        <f t="shared" si="324"/>
        <v>0</v>
      </c>
      <c r="AY196" s="476">
        <f t="shared" si="325"/>
        <v>0</v>
      </c>
      <c r="AZ196" s="476">
        <f t="shared" si="326"/>
        <v>0</v>
      </c>
      <c r="BA196" s="476">
        <f t="shared" si="327"/>
        <v>0</v>
      </c>
      <c r="BB196" s="476">
        <f t="shared" si="328"/>
        <v>0</v>
      </c>
      <c r="BC196" s="476">
        <f t="shared" si="329"/>
        <v>0</v>
      </c>
      <c r="BD196" s="476">
        <f t="shared" si="330"/>
        <v>0</v>
      </c>
      <c r="BE196" s="476">
        <f t="shared" si="331"/>
        <v>0</v>
      </c>
      <c r="BF196" s="476">
        <f t="shared" si="332"/>
        <v>0</v>
      </c>
      <c r="BG196" s="476">
        <f t="shared" si="333"/>
        <v>0</v>
      </c>
    </row>
    <row r="197" spans="1:59" ht="16.5" customHeight="1">
      <c r="A197" s="583" t="s">
        <v>1343</v>
      </c>
      <c r="B197" s="584" t="s">
        <v>1344</v>
      </c>
      <c r="C197" s="584" t="s">
        <v>1761</v>
      </c>
      <c r="D197" s="413" t="s">
        <v>1051</v>
      </c>
      <c r="E197" s="412" t="s">
        <v>1153</v>
      </c>
      <c r="F197" s="412" t="s">
        <v>1153</v>
      </c>
      <c r="G197" s="412" t="s">
        <v>1153</v>
      </c>
      <c r="H197" s="412"/>
      <c r="I197" s="477">
        <v>0</v>
      </c>
      <c r="J197" s="477">
        <v>0</v>
      </c>
      <c r="K197" s="477">
        <v>0</v>
      </c>
      <c r="L197" s="477">
        <v>0</v>
      </c>
      <c r="M197" s="477">
        <f t="shared" si="211"/>
        <v>0</v>
      </c>
      <c r="N197" s="477">
        <f t="shared" si="212"/>
        <v>0</v>
      </c>
      <c r="O197" s="477"/>
      <c r="P197" s="477"/>
      <c r="Q197" s="477">
        <f t="shared" si="213"/>
        <v>0</v>
      </c>
      <c r="R197" s="477">
        <f t="shared" si="214"/>
        <v>0</v>
      </c>
      <c r="S197" s="477">
        <f t="shared" si="215"/>
        <v>0</v>
      </c>
      <c r="U197" s="473">
        <f t="shared" si="254"/>
        <v>0</v>
      </c>
      <c r="V197" s="476">
        <f t="shared" si="296"/>
        <v>0</v>
      </c>
      <c r="W197" s="476">
        <f t="shared" si="297"/>
        <v>0</v>
      </c>
      <c r="X197" s="476">
        <f t="shared" si="298"/>
        <v>0</v>
      </c>
      <c r="Y197" s="476">
        <f t="shared" si="299"/>
        <v>0</v>
      </c>
      <c r="Z197" s="476">
        <f t="shared" si="300"/>
        <v>0</v>
      </c>
      <c r="AA197" s="476">
        <f t="shared" si="301"/>
        <v>0</v>
      </c>
      <c r="AB197" s="476">
        <f t="shared" si="302"/>
        <v>0</v>
      </c>
      <c r="AC197" s="476">
        <f t="shared" si="303"/>
        <v>0</v>
      </c>
      <c r="AD197" s="476">
        <f t="shared" si="304"/>
        <v>0</v>
      </c>
      <c r="AE197" s="476">
        <f t="shared" si="305"/>
        <v>0</v>
      </c>
      <c r="AF197" s="476">
        <f t="shared" si="306"/>
        <v>0</v>
      </c>
      <c r="AG197" s="476">
        <f t="shared" si="307"/>
        <v>0</v>
      </c>
      <c r="AH197" s="476">
        <f t="shared" si="308"/>
        <v>0</v>
      </c>
      <c r="AI197" s="476">
        <f t="shared" si="309"/>
        <v>0</v>
      </c>
      <c r="AJ197" s="476">
        <f t="shared" si="310"/>
        <v>0</v>
      </c>
      <c r="AK197" s="476">
        <f t="shared" si="311"/>
        <v>0</v>
      </c>
      <c r="AL197" s="476">
        <f t="shared" si="312"/>
        <v>0</v>
      </c>
      <c r="AM197" s="476">
        <f t="shared" si="313"/>
        <v>0</v>
      </c>
      <c r="AN197" s="476">
        <f t="shared" si="314"/>
        <v>0</v>
      </c>
      <c r="AO197" s="476">
        <f t="shared" si="315"/>
        <v>0</v>
      </c>
      <c r="AP197" s="476">
        <f t="shared" si="316"/>
        <v>0</v>
      </c>
      <c r="AQ197" s="476">
        <f t="shared" si="317"/>
        <v>0</v>
      </c>
      <c r="AR197" s="476">
        <f t="shared" si="318"/>
        <v>0</v>
      </c>
      <c r="AS197" s="476">
        <f t="shared" si="319"/>
        <v>0</v>
      </c>
      <c r="AT197" s="476">
        <f t="shared" si="320"/>
        <v>0</v>
      </c>
      <c r="AU197" s="476">
        <f t="shared" si="321"/>
        <v>0</v>
      </c>
      <c r="AV197" s="476">
        <f t="shared" si="322"/>
        <v>0</v>
      </c>
      <c r="AW197" s="476">
        <f t="shared" si="323"/>
        <v>0</v>
      </c>
      <c r="AX197" s="476">
        <f t="shared" si="324"/>
        <v>0</v>
      </c>
      <c r="AY197" s="476">
        <f t="shared" si="325"/>
        <v>0</v>
      </c>
      <c r="AZ197" s="476">
        <f t="shared" si="326"/>
        <v>0</v>
      </c>
      <c r="BA197" s="476">
        <f t="shared" si="327"/>
        <v>0</v>
      </c>
      <c r="BB197" s="476">
        <f t="shared" si="328"/>
        <v>0</v>
      </c>
      <c r="BC197" s="476">
        <f t="shared" si="329"/>
        <v>0</v>
      </c>
      <c r="BD197" s="476">
        <f t="shared" si="330"/>
        <v>0</v>
      </c>
      <c r="BE197" s="476">
        <f t="shared" si="331"/>
        <v>0</v>
      </c>
      <c r="BF197" s="476">
        <f t="shared" si="332"/>
        <v>0</v>
      </c>
      <c r="BG197" s="476">
        <f t="shared" si="333"/>
        <v>0</v>
      </c>
    </row>
    <row r="198" spans="1:59" ht="16.5" customHeight="1">
      <c r="A198" s="583" t="s">
        <v>847</v>
      </c>
      <c r="B198" s="584" t="s">
        <v>1675</v>
      </c>
      <c r="C198" s="584" t="s">
        <v>268</v>
      </c>
      <c r="D198" s="413" t="s">
        <v>1164</v>
      </c>
      <c r="E198" s="412" t="s">
        <v>1165</v>
      </c>
      <c r="F198" s="412" t="s">
        <v>1166</v>
      </c>
      <c r="G198" s="412" t="s">
        <v>1166</v>
      </c>
      <c r="H198" s="412" t="s">
        <v>974</v>
      </c>
      <c r="I198" s="477">
        <v>0</v>
      </c>
      <c r="J198" s="477">
        <v>0</v>
      </c>
      <c r="K198" s="477">
        <v>30800</v>
      </c>
      <c r="L198" s="477">
        <v>42000</v>
      </c>
      <c r="M198" s="477">
        <f t="shared" si="211"/>
        <v>30800</v>
      </c>
      <c r="N198" s="477">
        <f t="shared" si="212"/>
        <v>42000</v>
      </c>
      <c r="O198" s="477"/>
      <c r="P198" s="477"/>
      <c r="Q198" s="477">
        <f t="shared" si="213"/>
        <v>30800</v>
      </c>
      <c r="R198" s="477">
        <f t="shared" si="214"/>
        <v>42000</v>
      </c>
      <c r="S198" s="477">
        <f t="shared" si="215"/>
        <v>-11200</v>
      </c>
      <c r="U198" s="473">
        <f t="shared" si="254"/>
        <v>0</v>
      </c>
      <c r="V198" s="476">
        <f t="shared" si="296"/>
        <v>30800</v>
      </c>
      <c r="W198" s="476">
        <f t="shared" si="297"/>
        <v>42000</v>
      </c>
      <c r="X198" s="476">
        <f t="shared" si="298"/>
        <v>0</v>
      </c>
      <c r="Y198" s="476">
        <f t="shared" si="299"/>
        <v>0</v>
      </c>
      <c r="Z198" s="476">
        <f t="shared" si="300"/>
        <v>0</v>
      </c>
      <c r="AA198" s="476">
        <f t="shared" si="301"/>
        <v>0</v>
      </c>
      <c r="AB198" s="476">
        <f t="shared" si="302"/>
        <v>0</v>
      </c>
      <c r="AC198" s="476">
        <f t="shared" si="303"/>
        <v>0</v>
      </c>
      <c r="AD198" s="476">
        <f t="shared" si="304"/>
        <v>0</v>
      </c>
      <c r="AE198" s="476">
        <f t="shared" si="305"/>
        <v>0</v>
      </c>
      <c r="AF198" s="476">
        <f t="shared" si="306"/>
        <v>0</v>
      </c>
      <c r="AG198" s="476">
        <f t="shared" si="307"/>
        <v>0</v>
      </c>
      <c r="AH198" s="476">
        <f t="shared" si="308"/>
        <v>0</v>
      </c>
      <c r="AI198" s="476">
        <f t="shared" si="309"/>
        <v>0</v>
      </c>
      <c r="AJ198" s="476">
        <f t="shared" si="310"/>
        <v>0</v>
      </c>
      <c r="AK198" s="476">
        <f t="shared" si="311"/>
        <v>0</v>
      </c>
      <c r="AL198" s="476">
        <f t="shared" si="312"/>
        <v>0</v>
      </c>
      <c r="AM198" s="476">
        <f t="shared" si="313"/>
        <v>0</v>
      </c>
      <c r="AN198" s="476">
        <f t="shared" si="314"/>
        <v>0</v>
      </c>
      <c r="AO198" s="476">
        <f t="shared" si="315"/>
        <v>0</v>
      </c>
      <c r="AP198" s="476">
        <f t="shared" si="316"/>
        <v>0</v>
      </c>
      <c r="AQ198" s="476">
        <f t="shared" si="317"/>
        <v>0</v>
      </c>
      <c r="AR198" s="476">
        <f t="shared" si="318"/>
        <v>0</v>
      </c>
      <c r="AS198" s="476">
        <f t="shared" si="319"/>
        <v>0</v>
      </c>
      <c r="AT198" s="476">
        <f t="shared" si="320"/>
        <v>0</v>
      </c>
      <c r="AU198" s="476">
        <f t="shared" si="321"/>
        <v>0</v>
      </c>
      <c r="AV198" s="476">
        <f t="shared" si="322"/>
        <v>0</v>
      </c>
      <c r="AW198" s="476">
        <f t="shared" si="323"/>
        <v>0</v>
      </c>
      <c r="AX198" s="476">
        <f t="shared" si="324"/>
        <v>0</v>
      </c>
      <c r="AY198" s="476">
        <f t="shared" si="325"/>
        <v>0</v>
      </c>
      <c r="AZ198" s="476">
        <f t="shared" si="326"/>
        <v>0</v>
      </c>
      <c r="BA198" s="476">
        <f t="shared" si="327"/>
        <v>0</v>
      </c>
      <c r="BB198" s="476">
        <f t="shared" si="328"/>
        <v>0</v>
      </c>
      <c r="BC198" s="476">
        <f t="shared" si="329"/>
        <v>0</v>
      </c>
      <c r="BD198" s="476">
        <f t="shared" si="330"/>
        <v>0</v>
      </c>
      <c r="BE198" s="476">
        <f t="shared" si="331"/>
        <v>0</v>
      </c>
      <c r="BF198" s="476">
        <f t="shared" si="332"/>
        <v>0</v>
      </c>
      <c r="BG198" s="476">
        <f t="shared" si="333"/>
        <v>0</v>
      </c>
    </row>
    <row r="199" spans="1:59" ht="16.5" customHeight="1">
      <c r="A199" s="583" t="s">
        <v>848</v>
      </c>
      <c r="B199" s="584" t="s">
        <v>1676</v>
      </c>
      <c r="C199" s="584" t="s">
        <v>269</v>
      </c>
      <c r="D199" s="413" t="s">
        <v>1164</v>
      </c>
      <c r="E199" s="412" t="s">
        <v>1165</v>
      </c>
      <c r="F199" s="412" t="s">
        <v>1166</v>
      </c>
      <c r="G199" s="412" t="s">
        <v>1166</v>
      </c>
      <c r="H199" s="412" t="s">
        <v>974</v>
      </c>
      <c r="I199" s="477">
        <v>0</v>
      </c>
      <c r="J199" s="477">
        <v>0</v>
      </c>
      <c r="K199" s="477">
        <v>0</v>
      </c>
      <c r="L199" s="477">
        <v>0</v>
      </c>
      <c r="M199" s="477">
        <f t="shared" si="211"/>
        <v>0</v>
      </c>
      <c r="N199" s="477">
        <f t="shared" si="212"/>
        <v>0</v>
      </c>
      <c r="O199" s="477"/>
      <c r="P199" s="477"/>
      <c r="Q199" s="477">
        <f t="shared" si="213"/>
        <v>0</v>
      </c>
      <c r="R199" s="477">
        <f t="shared" si="214"/>
        <v>0</v>
      </c>
      <c r="S199" s="477">
        <f t="shared" si="215"/>
        <v>0</v>
      </c>
      <c r="U199" s="473">
        <f t="shared" si="254"/>
        <v>0</v>
      </c>
      <c r="V199" s="476">
        <f t="shared" si="296"/>
        <v>0</v>
      </c>
      <c r="W199" s="476">
        <f t="shared" si="297"/>
        <v>0</v>
      </c>
      <c r="X199" s="476">
        <f t="shared" si="298"/>
        <v>0</v>
      </c>
      <c r="Y199" s="476">
        <f t="shared" si="299"/>
        <v>0</v>
      </c>
      <c r="Z199" s="476">
        <f t="shared" si="300"/>
        <v>0</v>
      </c>
      <c r="AA199" s="476">
        <f t="shared" si="301"/>
        <v>0</v>
      </c>
      <c r="AB199" s="476">
        <f t="shared" si="302"/>
        <v>0</v>
      </c>
      <c r="AC199" s="476">
        <f t="shared" si="303"/>
        <v>0</v>
      </c>
      <c r="AD199" s="476">
        <f t="shared" si="304"/>
        <v>0</v>
      </c>
      <c r="AE199" s="476">
        <f t="shared" si="305"/>
        <v>0</v>
      </c>
      <c r="AF199" s="476">
        <f t="shared" si="306"/>
        <v>0</v>
      </c>
      <c r="AG199" s="476">
        <f t="shared" si="307"/>
        <v>0</v>
      </c>
      <c r="AH199" s="476">
        <f t="shared" si="308"/>
        <v>0</v>
      </c>
      <c r="AI199" s="476">
        <f t="shared" si="309"/>
        <v>0</v>
      </c>
      <c r="AJ199" s="476">
        <f t="shared" si="310"/>
        <v>0</v>
      </c>
      <c r="AK199" s="476">
        <f t="shared" si="311"/>
        <v>0</v>
      </c>
      <c r="AL199" s="476">
        <f t="shared" si="312"/>
        <v>0</v>
      </c>
      <c r="AM199" s="476">
        <f t="shared" si="313"/>
        <v>0</v>
      </c>
      <c r="AN199" s="476">
        <f t="shared" si="314"/>
        <v>0</v>
      </c>
      <c r="AO199" s="476">
        <f t="shared" si="315"/>
        <v>0</v>
      </c>
      <c r="AP199" s="476">
        <f t="shared" si="316"/>
        <v>0</v>
      </c>
      <c r="AQ199" s="476">
        <f t="shared" si="317"/>
        <v>0</v>
      </c>
      <c r="AR199" s="476">
        <f t="shared" si="318"/>
        <v>0</v>
      </c>
      <c r="AS199" s="476">
        <f t="shared" si="319"/>
        <v>0</v>
      </c>
      <c r="AT199" s="476">
        <f t="shared" si="320"/>
        <v>0</v>
      </c>
      <c r="AU199" s="476">
        <f t="shared" si="321"/>
        <v>0</v>
      </c>
      <c r="AV199" s="476">
        <f t="shared" si="322"/>
        <v>0</v>
      </c>
      <c r="AW199" s="476">
        <f t="shared" si="323"/>
        <v>0</v>
      </c>
      <c r="AX199" s="476">
        <f t="shared" si="324"/>
        <v>0</v>
      </c>
      <c r="AY199" s="476">
        <f t="shared" si="325"/>
        <v>0</v>
      </c>
      <c r="AZ199" s="476">
        <f t="shared" si="326"/>
        <v>0</v>
      </c>
      <c r="BA199" s="476">
        <f t="shared" si="327"/>
        <v>0</v>
      </c>
      <c r="BB199" s="476">
        <f t="shared" si="328"/>
        <v>0</v>
      </c>
      <c r="BC199" s="476">
        <f t="shared" si="329"/>
        <v>0</v>
      </c>
      <c r="BD199" s="476">
        <f t="shared" si="330"/>
        <v>0</v>
      </c>
      <c r="BE199" s="476">
        <f t="shared" si="331"/>
        <v>0</v>
      </c>
      <c r="BF199" s="476">
        <f t="shared" si="332"/>
        <v>0</v>
      </c>
      <c r="BG199" s="476">
        <f t="shared" si="333"/>
        <v>0</v>
      </c>
    </row>
    <row r="200" spans="1:59" ht="16.5" customHeight="1">
      <c r="A200" s="583" t="s">
        <v>849</v>
      </c>
      <c r="B200" s="584" t="s">
        <v>1677</v>
      </c>
      <c r="C200" s="584" t="s">
        <v>270</v>
      </c>
      <c r="D200" s="413" t="s">
        <v>1164</v>
      </c>
      <c r="E200" s="412" t="s">
        <v>1167</v>
      </c>
      <c r="F200" s="412" t="s">
        <v>1167</v>
      </c>
      <c r="G200" s="412" t="s">
        <v>1167</v>
      </c>
      <c r="H200" s="412" t="s">
        <v>974</v>
      </c>
      <c r="I200" s="477">
        <v>0</v>
      </c>
      <c r="J200" s="477">
        <v>0</v>
      </c>
      <c r="K200" s="477">
        <v>126491</v>
      </c>
      <c r="L200" s="477">
        <v>2319991</v>
      </c>
      <c r="M200" s="477">
        <f t="shared" si="211"/>
        <v>126491</v>
      </c>
      <c r="N200" s="477">
        <f t="shared" si="212"/>
        <v>2319991</v>
      </c>
      <c r="O200" s="477"/>
      <c r="P200" s="477">
        <f>'Adjustments 2025'!F74+'Adjustments 2025'!F75+SUM('Adjustments 2025'!F56:F70)</f>
        <v>4130432.33</v>
      </c>
      <c r="Q200" s="477">
        <f t="shared" si="213"/>
        <v>126491</v>
      </c>
      <c r="R200" s="477">
        <f t="shared" si="214"/>
        <v>6450423.3300000001</v>
      </c>
      <c r="S200" s="477">
        <f t="shared" si="215"/>
        <v>-6323932.3300000001</v>
      </c>
      <c r="U200" s="473">
        <f t="shared" si="254"/>
        <v>0</v>
      </c>
      <c r="V200" s="476">
        <f t="shared" si="296"/>
        <v>126491</v>
      </c>
      <c r="W200" s="476">
        <f t="shared" si="297"/>
        <v>6450423.3300000001</v>
      </c>
      <c r="X200" s="476">
        <f t="shared" si="298"/>
        <v>0</v>
      </c>
      <c r="Y200" s="476">
        <f t="shared" si="299"/>
        <v>0</v>
      </c>
      <c r="Z200" s="476">
        <f t="shared" si="300"/>
        <v>0</v>
      </c>
      <c r="AA200" s="476">
        <f t="shared" si="301"/>
        <v>0</v>
      </c>
      <c r="AB200" s="476">
        <f t="shared" si="302"/>
        <v>0</v>
      </c>
      <c r="AC200" s="476">
        <f t="shared" si="303"/>
        <v>0</v>
      </c>
      <c r="AD200" s="476">
        <f t="shared" si="304"/>
        <v>0</v>
      </c>
      <c r="AE200" s="476">
        <f t="shared" si="305"/>
        <v>0</v>
      </c>
      <c r="AF200" s="476">
        <f t="shared" si="306"/>
        <v>0</v>
      </c>
      <c r="AG200" s="476">
        <f t="shared" si="307"/>
        <v>0</v>
      </c>
      <c r="AH200" s="476">
        <f t="shared" si="308"/>
        <v>0</v>
      </c>
      <c r="AI200" s="476">
        <f t="shared" si="309"/>
        <v>0</v>
      </c>
      <c r="AJ200" s="476">
        <f t="shared" si="310"/>
        <v>0</v>
      </c>
      <c r="AK200" s="476">
        <f t="shared" si="311"/>
        <v>0</v>
      </c>
      <c r="AL200" s="476">
        <f t="shared" si="312"/>
        <v>0</v>
      </c>
      <c r="AM200" s="476">
        <f t="shared" si="313"/>
        <v>0</v>
      </c>
      <c r="AN200" s="476">
        <f t="shared" si="314"/>
        <v>0</v>
      </c>
      <c r="AO200" s="476">
        <f t="shared" si="315"/>
        <v>0</v>
      </c>
      <c r="AP200" s="476">
        <f t="shared" si="316"/>
        <v>0</v>
      </c>
      <c r="AQ200" s="476">
        <f t="shared" si="317"/>
        <v>0</v>
      </c>
      <c r="AR200" s="476">
        <f t="shared" si="318"/>
        <v>0</v>
      </c>
      <c r="AS200" s="476">
        <f t="shared" si="319"/>
        <v>0</v>
      </c>
      <c r="AT200" s="476">
        <f t="shared" si="320"/>
        <v>0</v>
      </c>
      <c r="AU200" s="476">
        <f t="shared" si="321"/>
        <v>0</v>
      </c>
      <c r="AV200" s="476">
        <f t="shared" si="322"/>
        <v>0</v>
      </c>
      <c r="AW200" s="476">
        <f t="shared" si="323"/>
        <v>0</v>
      </c>
      <c r="AX200" s="476">
        <f t="shared" si="324"/>
        <v>0</v>
      </c>
      <c r="AY200" s="476">
        <f t="shared" si="325"/>
        <v>0</v>
      </c>
      <c r="AZ200" s="476">
        <f t="shared" si="326"/>
        <v>0</v>
      </c>
      <c r="BA200" s="476">
        <f t="shared" si="327"/>
        <v>0</v>
      </c>
      <c r="BB200" s="476">
        <f t="shared" si="328"/>
        <v>0</v>
      </c>
      <c r="BC200" s="476">
        <f t="shared" si="329"/>
        <v>0</v>
      </c>
      <c r="BD200" s="476">
        <f t="shared" si="330"/>
        <v>0</v>
      </c>
      <c r="BE200" s="476">
        <f t="shared" si="331"/>
        <v>0</v>
      </c>
      <c r="BF200" s="476">
        <f t="shared" si="332"/>
        <v>0</v>
      </c>
      <c r="BG200" s="476">
        <f t="shared" si="333"/>
        <v>0</v>
      </c>
    </row>
    <row r="201" spans="1:59" ht="16.5" customHeight="1">
      <c r="A201" s="583" t="s">
        <v>849</v>
      </c>
      <c r="B201" s="584" t="s">
        <v>1677</v>
      </c>
      <c r="C201" s="584" t="s">
        <v>1762</v>
      </c>
      <c r="D201" s="413" t="s">
        <v>1164</v>
      </c>
      <c r="E201" s="412" t="s">
        <v>1167</v>
      </c>
      <c r="F201" s="412" t="s">
        <v>1167</v>
      </c>
      <c r="G201" s="412" t="s">
        <v>1167</v>
      </c>
      <c r="H201" s="412" t="s">
        <v>1055</v>
      </c>
      <c r="I201" s="477">
        <v>0</v>
      </c>
      <c r="J201" s="477">
        <v>0</v>
      </c>
      <c r="K201" s="477">
        <v>0</v>
      </c>
      <c r="L201" s="477">
        <v>0</v>
      </c>
      <c r="M201" s="477">
        <f t="shared" ref="M201:M264" si="334">+I201+K201</f>
        <v>0</v>
      </c>
      <c r="N201" s="477">
        <f t="shared" ref="N201:N264" si="335">+J201+L201</f>
        <v>0</v>
      </c>
      <c r="O201" s="477"/>
      <c r="P201" s="477"/>
      <c r="Q201" s="477">
        <f t="shared" si="213"/>
        <v>0</v>
      </c>
      <c r="R201" s="477">
        <f t="shared" si="214"/>
        <v>0</v>
      </c>
      <c r="S201" s="477">
        <f t="shared" si="215"/>
        <v>0</v>
      </c>
      <c r="U201" s="473">
        <f t="shared" si="254"/>
        <v>0</v>
      </c>
      <c r="V201" s="476">
        <f t="shared" si="296"/>
        <v>0</v>
      </c>
      <c r="W201" s="476">
        <f t="shared" si="297"/>
        <v>0</v>
      </c>
      <c r="X201" s="476">
        <f t="shared" si="298"/>
        <v>0</v>
      </c>
      <c r="Y201" s="476">
        <f t="shared" si="299"/>
        <v>0</v>
      </c>
      <c r="Z201" s="476">
        <f t="shared" si="300"/>
        <v>0</v>
      </c>
      <c r="AA201" s="476">
        <f t="shared" si="301"/>
        <v>0</v>
      </c>
      <c r="AB201" s="476">
        <f t="shared" si="302"/>
        <v>0</v>
      </c>
      <c r="AC201" s="476">
        <f t="shared" si="303"/>
        <v>0</v>
      </c>
      <c r="AD201" s="476">
        <f t="shared" si="304"/>
        <v>0</v>
      </c>
      <c r="AE201" s="476">
        <f t="shared" si="305"/>
        <v>0</v>
      </c>
      <c r="AF201" s="476">
        <f t="shared" si="306"/>
        <v>0</v>
      </c>
      <c r="AG201" s="476">
        <f t="shared" si="307"/>
        <v>0</v>
      </c>
      <c r="AH201" s="476">
        <f t="shared" si="308"/>
        <v>0</v>
      </c>
      <c r="AI201" s="476">
        <f t="shared" si="309"/>
        <v>0</v>
      </c>
      <c r="AJ201" s="476">
        <f t="shared" si="310"/>
        <v>0</v>
      </c>
      <c r="AK201" s="476">
        <f t="shared" si="311"/>
        <v>0</v>
      </c>
      <c r="AL201" s="476">
        <f t="shared" si="312"/>
        <v>0</v>
      </c>
      <c r="AM201" s="476">
        <f t="shared" si="313"/>
        <v>0</v>
      </c>
      <c r="AN201" s="476">
        <f t="shared" si="314"/>
        <v>0</v>
      </c>
      <c r="AO201" s="476">
        <f t="shared" si="315"/>
        <v>0</v>
      </c>
      <c r="AP201" s="476">
        <f t="shared" si="316"/>
        <v>0</v>
      </c>
      <c r="AQ201" s="476">
        <f t="shared" si="317"/>
        <v>0</v>
      </c>
      <c r="AR201" s="476">
        <f t="shared" si="318"/>
        <v>0</v>
      </c>
      <c r="AS201" s="476">
        <f t="shared" si="319"/>
        <v>0</v>
      </c>
      <c r="AT201" s="476">
        <f t="shared" si="320"/>
        <v>0</v>
      </c>
      <c r="AU201" s="476">
        <f t="shared" si="321"/>
        <v>0</v>
      </c>
      <c r="AV201" s="476">
        <f t="shared" si="322"/>
        <v>0</v>
      </c>
      <c r="AW201" s="476">
        <f t="shared" si="323"/>
        <v>0</v>
      </c>
      <c r="AX201" s="476">
        <f t="shared" si="324"/>
        <v>0</v>
      </c>
      <c r="AY201" s="476">
        <f t="shared" si="325"/>
        <v>0</v>
      </c>
      <c r="AZ201" s="476">
        <f t="shared" si="326"/>
        <v>0</v>
      </c>
      <c r="BA201" s="476">
        <f t="shared" si="327"/>
        <v>0</v>
      </c>
      <c r="BB201" s="476">
        <f t="shared" si="328"/>
        <v>0</v>
      </c>
      <c r="BC201" s="476">
        <f t="shared" si="329"/>
        <v>0</v>
      </c>
      <c r="BD201" s="476">
        <f t="shared" si="330"/>
        <v>0</v>
      </c>
      <c r="BE201" s="476">
        <f t="shared" si="331"/>
        <v>0</v>
      </c>
      <c r="BF201" s="476">
        <f t="shared" si="332"/>
        <v>0</v>
      </c>
      <c r="BG201" s="476">
        <f t="shared" si="333"/>
        <v>0</v>
      </c>
    </row>
    <row r="202" spans="1:59" ht="16.5" customHeight="1">
      <c r="A202" s="583" t="s">
        <v>849</v>
      </c>
      <c r="B202" s="584" t="s">
        <v>1677</v>
      </c>
      <c r="C202" s="584" t="s">
        <v>1763</v>
      </c>
      <c r="D202" s="413" t="s">
        <v>1164</v>
      </c>
      <c r="E202" s="412" t="s">
        <v>1167</v>
      </c>
      <c r="F202" s="412" t="s">
        <v>1167</v>
      </c>
      <c r="G202" s="412" t="s">
        <v>1167</v>
      </c>
      <c r="H202" s="412" t="s">
        <v>1024</v>
      </c>
      <c r="I202" s="477">
        <v>0</v>
      </c>
      <c r="J202" s="477">
        <v>0</v>
      </c>
      <c r="K202" s="477">
        <v>0</v>
      </c>
      <c r="L202" s="477">
        <v>0</v>
      </c>
      <c r="M202" s="477">
        <f t="shared" si="334"/>
        <v>0</v>
      </c>
      <c r="N202" s="477">
        <f t="shared" si="335"/>
        <v>0</v>
      </c>
      <c r="O202" s="477"/>
      <c r="P202" s="477"/>
      <c r="Q202" s="477">
        <f t="shared" ref="Q202" si="336">+M202+O202</f>
        <v>0</v>
      </c>
      <c r="R202" s="477">
        <f t="shared" ref="R202" si="337">+N202+P202</f>
        <v>0</v>
      </c>
      <c r="S202" s="477">
        <f t="shared" ref="S202" si="338">+Q202-R202</f>
        <v>0</v>
      </c>
      <c r="U202" s="473">
        <f t="shared" si="254"/>
        <v>0</v>
      </c>
      <c r="V202" s="476"/>
      <c r="W202" s="476"/>
      <c r="X202" s="476"/>
      <c r="Y202" s="476"/>
      <c r="Z202" s="476"/>
      <c r="AA202" s="476"/>
      <c r="AB202" s="476"/>
      <c r="AC202" s="476"/>
      <c r="AD202" s="476"/>
      <c r="AE202" s="476"/>
      <c r="AF202" s="476"/>
      <c r="AG202" s="476"/>
      <c r="AH202" s="476"/>
      <c r="AI202" s="476"/>
      <c r="AJ202" s="476"/>
      <c r="AK202" s="476"/>
      <c r="AL202" s="476"/>
      <c r="AM202" s="476"/>
      <c r="AN202" s="476"/>
      <c r="AO202" s="476"/>
      <c r="AP202" s="476"/>
      <c r="AQ202" s="476"/>
      <c r="AR202" s="476"/>
      <c r="AS202" s="476"/>
      <c r="AT202" s="476"/>
      <c r="AU202" s="476"/>
      <c r="AV202" s="476"/>
      <c r="AW202" s="476"/>
      <c r="AX202" s="476"/>
      <c r="AY202" s="476"/>
      <c r="AZ202" s="476"/>
      <c r="BA202" s="476"/>
      <c r="BB202" s="476"/>
      <c r="BC202" s="476"/>
      <c r="BD202" s="476"/>
      <c r="BE202" s="476"/>
      <c r="BF202" s="476"/>
      <c r="BG202" s="476"/>
    </row>
    <row r="203" spans="1:59" ht="16.5" customHeight="1">
      <c r="A203" s="583" t="s">
        <v>849</v>
      </c>
      <c r="B203" s="584" t="s">
        <v>1677</v>
      </c>
      <c r="C203" s="584" t="s">
        <v>1764</v>
      </c>
      <c r="D203" s="413" t="s">
        <v>1164</v>
      </c>
      <c r="E203" s="412" t="s">
        <v>1167</v>
      </c>
      <c r="F203" s="412" t="s">
        <v>1167</v>
      </c>
      <c r="G203" s="412" t="s">
        <v>1167</v>
      </c>
      <c r="H203" s="412" t="s">
        <v>1019</v>
      </c>
      <c r="I203" s="477">
        <v>0</v>
      </c>
      <c r="J203" s="477">
        <v>0</v>
      </c>
      <c r="K203" s="477">
        <v>0</v>
      </c>
      <c r="L203" s="477">
        <v>0</v>
      </c>
      <c r="M203" s="477">
        <f t="shared" si="334"/>
        <v>0</v>
      </c>
      <c r="N203" s="477">
        <f t="shared" si="335"/>
        <v>0</v>
      </c>
      <c r="O203" s="477"/>
      <c r="P203" s="477"/>
      <c r="Q203" s="477">
        <f t="shared" si="213"/>
        <v>0</v>
      </c>
      <c r="R203" s="477">
        <f t="shared" si="214"/>
        <v>0</v>
      </c>
      <c r="S203" s="477">
        <f t="shared" si="215"/>
        <v>0</v>
      </c>
      <c r="U203" s="473">
        <f t="shared" si="254"/>
        <v>0</v>
      </c>
      <c r="V203" s="476">
        <f t="shared" ref="V203:V217" si="339">IF($V$8=$H203,$Q203,0)</f>
        <v>0</v>
      </c>
      <c r="W203" s="476">
        <f t="shared" ref="W203:W217" si="340">IF($V$8=$H203,$R203,0)</f>
        <v>0</v>
      </c>
      <c r="X203" s="476">
        <f t="shared" ref="X203:X217" si="341">IF($X$8=$H203,$Q203,0)</f>
        <v>0</v>
      </c>
      <c r="Y203" s="476">
        <f t="shared" ref="Y203:Y217" si="342">IF($X$8=$H203,$R203,0)</f>
        <v>0</v>
      </c>
      <c r="Z203" s="476">
        <f t="shared" ref="Z203:Z217" si="343">IF($Z$8=$H203,$Q203,0)</f>
        <v>0</v>
      </c>
      <c r="AA203" s="476">
        <f t="shared" ref="AA203:AA217" si="344">IF($Z$8=$H203,$R203,0)</f>
        <v>0</v>
      </c>
      <c r="AB203" s="476">
        <f t="shared" ref="AB203:AB217" si="345">IF($AB$8=$H203,$Q203,0)</f>
        <v>0</v>
      </c>
      <c r="AC203" s="476">
        <f t="shared" ref="AC203:AC217" si="346">IF($AB$8=$H203,$R203,0)</f>
        <v>0</v>
      </c>
      <c r="AD203" s="476">
        <f t="shared" ref="AD203:AD217" si="347">IF($AD$8=$H203,$Q203,0)</f>
        <v>0</v>
      </c>
      <c r="AE203" s="476">
        <f t="shared" ref="AE203:AE217" si="348">IF($AD$8=$H203,$R203,0)</f>
        <v>0</v>
      </c>
      <c r="AF203" s="476">
        <f t="shared" ref="AF203:AF217" si="349">IF($AF$8=$H203,$Q203,0)</f>
        <v>0</v>
      </c>
      <c r="AG203" s="476">
        <f t="shared" ref="AG203:AG217" si="350">IF($AF$8=$H203,$R203,0)</f>
        <v>0</v>
      </c>
      <c r="AH203" s="476">
        <f t="shared" ref="AH203:AH217" si="351">IF($AH$8=$H203,$Q203,0)</f>
        <v>0</v>
      </c>
      <c r="AI203" s="476">
        <f t="shared" ref="AI203:AI217" si="352">IF($AH$8=$H203,$R203,0)</f>
        <v>0</v>
      </c>
      <c r="AJ203" s="476">
        <f t="shared" ref="AJ203:AJ217" si="353">IF($AJ$8=$H203,$Q203,0)</f>
        <v>0</v>
      </c>
      <c r="AK203" s="476">
        <f t="shared" ref="AK203:AK217" si="354">IF($AJ$8=$H203,$R203,0)</f>
        <v>0</v>
      </c>
      <c r="AL203" s="476">
        <f t="shared" ref="AL203:AL217" si="355">IF($AL$8=$H203,$Q203,0)</f>
        <v>0</v>
      </c>
      <c r="AM203" s="476">
        <f t="shared" ref="AM203:AM217" si="356">IF($AL$8=$H203,$R203,0)</f>
        <v>0</v>
      </c>
      <c r="AN203" s="476">
        <f t="shared" ref="AN203:AN217" si="357">IF($AN$8=$H203,$Q203,0)</f>
        <v>0</v>
      </c>
      <c r="AO203" s="476">
        <f t="shared" ref="AO203:AO217" si="358">IF($AN$8=$H203,$R203,0)</f>
        <v>0</v>
      </c>
      <c r="AP203" s="476">
        <f t="shared" ref="AP203:AP217" si="359">IF($AP$8=$H203,$Q203,0)</f>
        <v>0</v>
      </c>
      <c r="AQ203" s="476">
        <f t="shared" ref="AQ203:AQ217" si="360">IF($AP$8=$H203,$R203,0)</f>
        <v>0</v>
      </c>
      <c r="AR203" s="476">
        <f t="shared" ref="AR203:AR217" si="361">IF($AR$8=$H203,$Q203,0)</f>
        <v>0</v>
      </c>
      <c r="AS203" s="476">
        <f t="shared" ref="AS203:AS217" si="362">IF($AR$8=$H203,$R203,0)</f>
        <v>0</v>
      </c>
      <c r="AT203" s="476">
        <f t="shared" ref="AT203:AT217" si="363">IF($AT$8=$H203,$Q203,0)</f>
        <v>0</v>
      </c>
      <c r="AU203" s="476">
        <f t="shared" ref="AU203:AU217" si="364">IF($AT$8=$H203,$R203,0)</f>
        <v>0</v>
      </c>
      <c r="AV203" s="476">
        <f t="shared" ref="AV203:AV217" si="365">IF($AV$8=$H203,$Q203,0)</f>
        <v>0</v>
      </c>
      <c r="AW203" s="476">
        <f t="shared" ref="AW203:AW217" si="366">IF($AV$8=$H203,$R203,0)</f>
        <v>0</v>
      </c>
      <c r="AX203" s="476">
        <f t="shared" ref="AX203:AX217" si="367">IF($AX$8=$H203,$Q203,0)</f>
        <v>0</v>
      </c>
      <c r="AY203" s="476">
        <f t="shared" ref="AY203:AY217" si="368">IF($AX$8=$H203,$R203,0)</f>
        <v>0</v>
      </c>
      <c r="AZ203" s="476">
        <f t="shared" ref="AZ203:AZ217" si="369">IF($AZ$8=$H203,$Q203,0)</f>
        <v>0</v>
      </c>
      <c r="BA203" s="476">
        <f t="shared" ref="BA203:BA217" si="370">IF($AZ$8=$H203,$R203,0)</f>
        <v>0</v>
      </c>
      <c r="BB203" s="476">
        <f t="shared" ref="BB203:BB217" si="371">IF($BB$8=$H203,$Q203,0)</f>
        <v>0</v>
      </c>
      <c r="BC203" s="476">
        <f t="shared" ref="BC203:BC217" si="372">IF($BB$8=$H203,$R203,0)</f>
        <v>0</v>
      </c>
      <c r="BD203" s="476">
        <f t="shared" ref="BD203:BD217" si="373">IF($BD$8=$H203,$Q203,0)</f>
        <v>0</v>
      </c>
      <c r="BE203" s="476">
        <f t="shared" ref="BE203:BE217" si="374">IF($BD$8=$H203,$R203,0)</f>
        <v>0</v>
      </c>
      <c r="BF203" s="476">
        <f t="shared" ref="BF203:BF217" si="375">IF($BF$8=$H203,$Q203,0)</f>
        <v>0</v>
      </c>
      <c r="BG203" s="476">
        <f t="shared" ref="BG203:BG217" si="376">IF($BF$8=$H203,$R203,0)</f>
        <v>0</v>
      </c>
    </row>
    <row r="204" spans="1:59" ht="16.5" customHeight="1">
      <c r="A204" s="583" t="s">
        <v>849</v>
      </c>
      <c r="B204" s="584" t="s">
        <v>1677</v>
      </c>
      <c r="C204" s="584" t="s">
        <v>1765</v>
      </c>
      <c r="D204" s="413" t="s">
        <v>1164</v>
      </c>
      <c r="E204" s="412" t="s">
        <v>1167</v>
      </c>
      <c r="F204" s="412" t="s">
        <v>1167</v>
      </c>
      <c r="G204" s="412" t="s">
        <v>1167</v>
      </c>
      <c r="H204" s="412" t="s">
        <v>1027</v>
      </c>
      <c r="I204" s="477">
        <v>0</v>
      </c>
      <c r="J204" s="477">
        <v>0</v>
      </c>
      <c r="K204" s="477">
        <v>0</v>
      </c>
      <c r="L204" s="477">
        <v>0</v>
      </c>
      <c r="M204" s="477">
        <f t="shared" si="334"/>
        <v>0</v>
      </c>
      <c r="N204" s="477">
        <f t="shared" si="335"/>
        <v>0</v>
      </c>
      <c r="O204" s="477"/>
      <c r="P204" s="477"/>
      <c r="Q204" s="477">
        <f t="shared" si="213"/>
        <v>0</v>
      </c>
      <c r="R204" s="477">
        <f t="shared" si="214"/>
        <v>0</v>
      </c>
      <c r="S204" s="477">
        <f t="shared" si="215"/>
        <v>0</v>
      </c>
      <c r="U204" s="473">
        <f t="shared" si="254"/>
        <v>0</v>
      </c>
      <c r="V204" s="476">
        <f t="shared" si="339"/>
        <v>0</v>
      </c>
      <c r="W204" s="476">
        <f t="shared" si="340"/>
        <v>0</v>
      </c>
      <c r="X204" s="476">
        <f t="shared" si="341"/>
        <v>0</v>
      </c>
      <c r="Y204" s="476">
        <f t="shared" si="342"/>
        <v>0</v>
      </c>
      <c r="Z204" s="476">
        <f t="shared" si="343"/>
        <v>0</v>
      </c>
      <c r="AA204" s="476">
        <f t="shared" si="344"/>
        <v>0</v>
      </c>
      <c r="AB204" s="476">
        <f t="shared" si="345"/>
        <v>0</v>
      </c>
      <c r="AC204" s="476">
        <f t="shared" si="346"/>
        <v>0</v>
      </c>
      <c r="AD204" s="476">
        <f t="shared" si="347"/>
        <v>0</v>
      </c>
      <c r="AE204" s="476">
        <f t="shared" si="348"/>
        <v>0</v>
      </c>
      <c r="AF204" s="476">
        <f t="shared" si="349"/>
        <v>0</v>
      </c>
      <c r="AG204" s="476">
        <f t="shared" si="350"/>
        <v>0</v>
      </c>
      <c r="AH204" s="476">
        <f t="shared" si="351"/>
        <v>0</v>
      </c>
      <c r="AI204" s="476">
        <f t="shared" si="352"/>
        <v>0</v>
      </c>
      <c r="AJ204" s="476">
        <f t="shared" si="353"/>
        <v>0</v>
      </c>
      <c r="AK204" s="476">
        <f t="shared" si="354"/>
        <v>0</v>
      </c>
      <c r="AL204" s="476">
        <f t="shared" si="355"/>
        <v>0</v>
      </c>
      <c r="AM204" s="476">
        <f t="shared" si="356"/>
        <v>0</v>
      </c>
      <c r="AN204" s="476">
        <f t="shared" si="357"/>
        <v>0</v>
      </c>
      <c r="AO204" s="476">
        <f t="shared" si="358"/>
        <v>0</v>
      </c>
      <c r="AP204" s="476">
        <f t="shared" si="359"/>
        <v>0</v>
      </c>
      <c r="AQ204" s="476">
        <f t="shared" si="360"/>
        <v>0</v>
      </c>
      <c r="AR204" s="476">
        <f t="shared" si="361"/>
        <v>0</v>
      </c>
      <c r="AS204" s="476">
        <f t="shared" si="362"/>
        <v>0</v>
      </c>
      <c r="AT204" s="476">
        <f t="shared" si="363"/>
        <v>0</v>
      </c>
      <c r="AU204" s="476">
        <f t="shared" si="364"/>
        <v>0</v>
      </c>
      <c r="AV204" s="476">
        <f t="shared" si="365"/>
        <v>0</v>
      </c>
      <c r="AW204" s="476">
        <f t="shared" si="366"/>
        <v>0</v>
      </c>
      <c r="AX204" s="476">
        <f t="shared" si="367"/>
        <v>0</v>
      </c>
      <c r="AY204" s="476">
        <f t="shared" si="368"/>
        <v>0</v>
      </c>
      <c r="AZ204" s="476">
        <f t="shared" si="369"/>
        <v>0</v>
      </c>
      <c r="BA204" s="476">
        <f t="shared" si="370"/>
        <v>0</v>
      </c>
      <c r="BB204" s="476">
        <f t="shared" si="371"/>
        <v>0</v>
      </c>
      <c r="BC204" s="476">
        <f t="shared" si="372"/>
        <v>0</v>
      </c>
      <c r="BD204" s="476">
        <f t="shared" si="373"/>
        <v>0</v>
      </c>
      <c r="BE204" s="476">
        <f t="shared" si="374"/>
        <v>0</v>
      </c>
      <c r="BF204" s="476">
        <f t="shared" si="375"/>
        <v>0</v>
      </c>
      <c r="BG204" s="476">
        <f t="shared" si="376"/>
        <v>0</v>
      </c>
    </row>
    <row r="205" spans="1:59" ht="16.5" customHeight="1">
      <c r="A205" s="583" t="s">
        <v>849</v>
      </c>
      <c r="B205" s="584" t="s">
        <v>1677</v>
      </c>
      <c r="C205" s="584" t="s">
        <v>1766</v>
      </c>
      <c r="D205" s="413" t="s">
        <v>1164</v>
      </c>
      <c r="E205" s="412" t="s">
        <v>1167</v>
      </c>
      <c r="F205" s="412" t="s">
        <v>1167</v>
      </c>
      <c r="G205" s="412" t="s">
        <v>1167</v>
      </c>
      <c r="H205" s="412" t="s">
        <v>992</v>
      </c>
      <c r="I205" s="477">
        <v>0</v>
      </c>
      <c r="J205" s="477">
        <v>0</v>
      </c>
      <c r="K205" s="477">
        <v>0</v>
      </c>
      <c r="L205" s="477">
        <v>0</v>
      </c>
      <c r="M205" s="477">
        <f t="shared" si="334"/>
        <v>0</v>
      </c>
      <c r="N205" s="477">
        <f t="shared" si="335"/>
        <v>0</v>
      </c>
      <c r="O205" s="477"/>
      <c r="P205" s="477"/>
      <c r="Q205" s="477">
        <f t="shared" si="213"/>
        <v>0</v>
      </c>
      <c r="R205" s="477">
        <f t="shared" si="214"/>
        <v>0</v>
      </c>
      <c r="S205" s="477">
        <f t="shared" si="215"/>
        <v>0</v>
      </c>
      <c r="U205" s="473">
        <f t="shared" si="254"/>
        <v>0</v>
      </c>
      <c r="V205" s="476">
        <f t="shared" si="339"/>
        <v>0</v>
      </c>
      <c r="W205" s="476">
        <f t="shared" si="340"/>
        <v>0</v>
      </c>
      <c r="X205" s="476">
        <f t="shared" si="341"/>
        <v>0</v>
      </c>
      <c r="Y205" s="476">
        <f t="shared" si="342"/>
        <v>0</v>
      </c>
      <c r="Z205" s="476">
        <f t="shared" si="343"/>
        <v>0</v>
      </c>
      <c r="AA205" s="476">
        <f t="shared" si="344"/>
        <v>0</v>
      </c>
      <c r="AB205" s="476">
        <f t="shared" si="345"/>
        <v>0</v>
      </c>
      <c r="AC205" s="476">
        <f t="shared" si="346"/>
        <v>0</v>
      </c>
      <c r="AD205" s="476">
        <f t="shared" si="347"/>
        <v>0</v>
      </c>
      <c r="AE205" s="476">
        <f t="shared" si="348"/>
        <v>0</v>
      </c>
      <c r="AF205" s="476">
        <f t="shared" si="349"/>
        <v>0</v>
      </c>
      <c r="AG205" s="476">
        <f t="shared" si="350"/>
        <v>0</v>
      </c>
      <c r="AH205" s="476">
        <f t="shared" si="351"/>
        <v>0</v>
      </c>
      <c r="AI205" s="476">
        <f t="shared" si="352"/>
        <v>0</v>
      </c>
      <c r="AJ205" s="476">
        <f t="shared" si="353"/>
        <v>0</v>
      </c>
      <c r="AK205" s="476">
        <f t="shared" si="354"/>
        <v>0</v>
      </c>
      <c r="AL205" s="476">
        <f t="shared" si="355"/>
        <v>0</v>
      </c>
      <c r="AM205" s="476">
        <f t="shared" si="356"/>
        <v>0</v>
      </c>
      <c r="AN205" s="476">
        <f t="shared" si="357"/>
        <v>0</v>
      </c>
      <c r="AO205" s="476">
        <f t="shared" si="358"/>
        <v>0</v>
      </c>
      <c r="AP205" s="476">
        <f t="shared" si="359"/>
        <v>0</v>
      </c>
      <c r="AQ205" s="476">
        <f t="shared" si="360"/>
        <v>0</v>
      </c>
      <c r="AR205" s="476">
        <f t="shared" si="361"/>
        <v>0</v>
      </c>
      <c r="AS205" s="476">
        <f t="shared" si="362"/>
        <v>0</v>
      </c>
      <c r="AT205" s="476">
        <f t="shared" si="363"/>
        <v>0</v>
      </c>
      <c r="AU205" s="476">
        <f t="shared" si="364"/>
        <v>0</v>
      </c>
      <c r="AV205" s="476">
        <f t="shared" si="365"/>
        <v>0</v>
      </c>
      <c r="AW205" s="476">
        <f t="shared" si="366"/>
        <v>0</v>
      </c>
      <c r="AX205" s="476">
        <f t="shared" si="367"/>
        <v>0</v>
      </c>
      <c r="AY205" s="476">
        <f t="shared" si="368"/>
        <v>0</v>
      </c>
      <c r="AZ205" s="476">
        <f t="shared" si="369"/>
        <v>0</v>
      </c>
      <c r="BA205" s="476">
        <f t="shared" si="370"/>
        <v>0</v>
      </c>
      <c r="BB205" s="476">
        <f t="shared" si="371"/>
        <v>0</v>
      </c>
      <c r="BC205" s="476">
        <f t="shared" si="372"/>
        <v>0</v>
      </c>
      <c r="BD205" s="476">
        <f t="shared" si="373"/>
        <v>0</v>
      </c>
      <c r="BE205" s="476">
        <f t="shared" si="374"/>
        <v>0</v>
      </c>
      <c r="BF205" s="476">
        <f t="shared" si="375"/>
        <v>0</v>
      </c>
      <c r="BG205" s="476">
        <f t="shared" si="376"/>
        <v>0</v>
      </c>
    </row>
    <row r="206" spans="1:59" ht="16.5" customHeight="1">
      <c r="A206" s="583" t="s">
        <v>1168</v>
      </c>
      <c r="B206" s="584" t="s">
        <v>1678</v>
      </c>
      <c r="C206" s="584" t="s">
        <v>1767</v>
      </c>
      <c r="D206" s="413" t="s">
        <v>1164</v>
      </c>
      <c r="E206" s="412" t="s">
        <v>1167</v>
      </c>
      <c r="F206" s="412" t="s">
        <v>1167</v>
      </c>
      <c r="G206" s="412" t="s">
        <v>1167</v>
      </c>
      <c r="H206" s="412" t="s">
        <v>974</v>
      </c>
      <c r="I206" s="477">
        <v>0</v>
      </c>
      <c r="J206" s="477">
        <v>0</v>
      </c>
      <c r="K206" s="477">
        <v>0</v>
      </c>
      <c r="L206" s="477">
        <v>6859946.1900000004</v>
      </c>
      <c r="M206" s="477">
        <f t="shared" si="334"/>
        <v>0</v>
      </c>
      <c r="N206" s="477">
        <f t="shared" si="335"/>
        <v>6859946.1900000004</v>
      </c>
      <c r="O206" s="477"/>
      <c r="P206" s="477"/>
      <c r="Q206" s="477">
        <f t="shared" si="213"/>
        <v>0</v>
      </c>
      <c r="R206" s="477">
        <f t="shared" si="214"/>
        <v>6859946.1900000004</v>
      </c>
      <c r="S206" s="477">
        <f t="shared" si="215"/>
        <v>-6859946.1900000004</v>
      </c>
      <c r="U206" s="473">
        <f t="shared" si="254"/>
        <v>0</v>
      </c>
      <c r="V206" s="476">
        <f t="shared" si="339"/>
        <v>0</v>
      </c>
      <c r="W206" s="476">
        <f t="shared" si="340"/>
        <v>6859946.1900000004</v>
      </c>
      <c r="X206" s="476">
        <f t="shared" si="341"/>
        <v>0</v>
      </c>
      <c r="Y206" s="476">
        <f t="shared" si="342"/>
        <v>0</v>
      </c>
      <c r="Z206" s="476">
        <f t="shared" si="343"/>
        <v>0</v>
      </c>
      <c r="AA206" s="476">
        <f t="shared" si="344"/>
        <v>0</v>
      </c>
      <c r="AB206" s="476">
        <f t="shared" si="345"/>
        <v>0</v>
      </c>
      <c r="AC206" s="476">
        <f t="shared" si="346"/>
        <v>0</v>
      </c>
      <c r="AD206" s="476">
        <f t="shared" si="347"/>
        <v>0</v>
      </c>
      <c r="AE206" s="476">
        <f t="shared" si="348"/>
        <v>0</v>
      </c>
      <c r="AF206" s="476">
        <f t="shared" si="349"/>
        <v>0</v>
      </c>
      <c r="AG206" s="476">
        <f t="shared" si="350"/>
        <v>0</v>
      </c>
      <c r="AH206" s="476">
        <f t="shared" si="351"/>
        <v>0</v>
      </c>
      <c r="AI206" s="476">
        <f t="shared" si="352"/>
        <v>0</v>
      </c>
      <c r="AJ206" s="476">
        <f t="shared" si="353"/>
        <v>0</v>
      </c>
      <c r="AK206" s="476">
        <f t="shared" si="354"/>
        <v>0</v>
      </c>
      <c r="AL206" s="476">
        <f t="shared" si="355"/>
        <v>0</v>
      </c>
      <c r="AM206" s="476">
        <f t="shared" si="356"/>
        <v>0</v>
      </c>
      <c r="AN206" s="476">
        <f t="shared" si="357"/>
        <v>0</v>
      </c>
      <c r="AO206" s="476">
        <f t="shared" si="358"/>
        <v>0</v>
      </c>
      <c r="AP206" s="476">
        <f t="shared" si="359"/>
        <v>0</v>
      </c>
      <c r="AQ206" s="476">
        <f t="shared" si="360"/>
        <v>0</v>
      </c>
      <c r="AR206" s="476">
        <f t="shared" si="361"/>
        <v>0</v>
      </c>
      <c r="AS206" s="476">
        <f t="shared" si="362"/>
        <v>0</v>
      </c>
      <c r="AT206" s="476">
        <f t="shared" si="363"/>
        <v>0</v>
      </c>
      <c r="AU206" s="476">
        <f t="shared" si="364"/>
        <v>0</v>
      </c>
      <c r="AV206" s="476">
        <f t="shared" si="365"/>
        <v>0</v>
      </c>
      <c r="AW206" s="476">
        <f t="shared" si="366"/>
        <v>0</v>
      </c>
      <c r="AX206" s="476">
        <f t="shared" si="367"/>
        <v>0</v>
      </c>
      <c r="AY206" s="476">
        <f t="shared" si="368"/>
        <v>0</v>
      </c>
      <c r="AZ206" s="476">
        <f t="shared" si="369"/>
        <v>0</v>
      </c>
      <c r="BA206" s="476">
        <f t="shared" si="370"/>
        <v>0</v>
      </c>
      <c r="BB206" s="476">
        <f t="shared" si="371"/>
        <v>0</v>
      </c>
      <c r="BC206" s="476">
        <f t="shared" si="372"/>
        <v>0</v>
      </c>
      <c r="BD206" s="476">
        <f t="shared" si="373"/>
        <v>0</v>
      </c>
      <c r="BE206" s="476">
        <f t="shared" si="374"/>
        <v>0</v>
      </c>
      <c r="BF206" s="476">
        <f t="shared" si="375"/>
        <v>0</v>
      </c>
      <c r="BG206" s="476">
        <f t="shared" si="376"/>
        <v>0</v>
      </c>
    </row>
    <row r="207" spans="1:59" ht="16.5" customHeight="1">
      <c r="A207" s="583" t="s">
        <v>1168</v>
      </c>
      <c r="B207" s="584" t="s">
        <v>1678</v>
      </c>
      <c r="C207" s="584" t="s">
        <v>1768</v>
      </c>
      <c r="D207" s="413" t="s">
        <v>1164</v>
      </c>
      <c r="E207" s="412" t="s">
        <v>1167</v>
      </c>
      <c r="F207" s="412" t="s">
        <v>1167</v>
      </c>
      <c r="G207" s="412" t="s">
        <v>1167</v>
      </c>
      <c r="H207" s="412" t="s">
        <v>1055</v>
      </c>
      <c r="I207" s="477">
        <v>0</v>
      </c>
      <c r="J207" s="477">
        <v>0</v>
      </c>
      <c r="K207" s="477">
        <v>0</v>
      </c>
      <c r="L207" s="477">
        <v>0</v>
      </c>
      <c r="M207" s="477">
        <f t="shared" si="334"/>
        <v>0</v>
      </c>
      <c r="N207" s="477">
        <f t="shared" si="335"/>
        <v>0</v>
      </c>
      <c r="O207" s="477"/>
      <c r="P207" s="477"/>
      <c r="Q207" s="477">
        <f t="shared" si="213"/>
        <v>0</v>
      </c>
      <c r="R207" s="477">
        <f t="shared" si="214"/>
        <v>0</v>
      </c>
      <c r="S207" s="477">
        <f t="shared" si="215"/>
        <v>0</v>
      </c>
      <c r="U207" s="473">
        <f t="shared" si="254"/>
        <v>0</v>
      </c>
      <c r="V207" s="476">
        <f t="shared" si="339"/>
        <v>0</v>
      </c>
      <c r="W207" s="476">
        <f t="shared" si="340"/>
        <v>0</v>
      </c>
      <c r="X207" s="476">
        <f t="shared" si="341"/>
        <v>0</v>
      </c>
      <c r="Y207" s="476">
        <f t="shared" si="342"/>
        <v>0</v>
      </c>
      <c r="Z207" s="476">
        <f t="shared" si="343"/>
        <v>0</v>
      </c>
      <c r="AA207" s="476">
        <f t="shared" si="344"/>
        <v>0</v>
      </c>
      <c r="AB207" s="476">
        <f t="shared" si="345"/>
        <v>0</v>
      </c>
      <c r="AC207" s="476">
        <f t="shared" si="346"/>
        <v>0</v>
      </c>
      <c r="AD207" s="476">
        <f t="shared" si="347"/>
        <v>0</v>
      </c>
      <c r="AE207" s="476">
        <f t="shared" si="348"/>
        <v>0</v>
      </c>
      <c r="AF207" s="476">
        <f t="shared" si="349"/>
        <v>0</v>
      </c>
      <c r="AG207" s="476">
        <f t="shared" si="350"/>
        <v>0</v>
      </c>
      <c r="AH207" s="476">
        <f t="shared" si="351"/>
        <v>0</v>
      </c>
      <c r="AI207" s="476">
        <f t="shared" si="352"/>
        <v>0</v>
      </c>
      <c r="AJ207" s="476">
        <f t="shared" si="353"/>
        <v>0</v>
      </c>
      <c r="AK207" s="476">
        <f t="shared" si="354"/>
        <v>0</v>
      </c>
      <c r="AL207" s="476">
        <f t="shared" si="355"/>
        <v>0</v>
      </c>
      <c r="AM207" s="476">
        <f t="shared" si="356"/>
        <v>0</v>
      </c>
      <c r="AN207" s="476">
        <f t="shared" si="357"/>
        <v>0</v>
      </c>
      <c r="AO207" s="476">
        <f t="shared" si="358"/>
        <v>0</v>
      </c>
      <c r="AP207" s="476">
        <f t="shared" si="359"/>
        <v>0</v>
      </c>
      <c r="AQ207" s="476">
        <f t="shared" si="360"/>
        <v>0</v>
      </c>
      <c r="AR207" s="476">
        <f t="shared" si="361"/>
        <v>0</v>
      </c>
      <c r="AS207" s="476">
        <f t="shared" si="362"/>
        <v>0</v>
      </c>
      <c r="AT207" s="476">
        <f t="shared" si="363"/>
        <v>0</v>
      </c>
      <c r="AU207" s="476">
        <f t="shared" si="364"/>
        <v>0</v>
      </c>
      <c r="AV207" s="476">
        <f t="shared" si="365"/>
        <v>0</v>
      </c>
      <c r="AW207" s="476">
        <f t="shared" si="366"/>
        <v>0</v>
      </c>
      <c r="AX207" s="476">
        <f t="shared" si="367"/>
        <v>0</v>
      </c>
      <c r="AY207" s="476">
        <f t="shared" si="368"/>
        <v>0</v>
      </c>
      <c r="AZ207" s="476">
        <f t="shared" si="369"/>
        <v>0</v>
      </c>
      <c r="BA207" s="476">
        <f t="shared" si="370"/>
        <v>0</v>
      </c>
      <c r="BB207" s="476">
        <f t="shared" si="371"/>
        <v>0</v>
      </c>
      <c r="BC207" s="476">
        <f t="shared" si="372"/>
        <v>0</v>
      </c>
      <c r="BD207" s="476">
        <f t="shared" si="373"/>
        <v>0</v>
      </c>
      <c r="BE207" s="476">
        <f t="shared" si="374"/>
        <v>0</v>
      </c>
      <c r="BF207" s="476">
        <f t="shared" si="375"/>
        <v>0</v>
      </c>
      <c r="BG207" s="476">
        <f t="shared" si="376"/>
        <v>0</v>
      </c>
    </row>
    <row r="208" spans="1:59" ht="16.5" customHeight="1">
      <c r="A208" s="583" t="s">
        <v>1250</v>
      </c>
      <c r="B208" s="584" t="s">
        <v>1263</v>
      </c>
      <c r="C208" s="584" t="s">
        <v>1769</v>
      </c>
      <c r="D208" s="413" t="s">
        <v>1164</v>
      </c>
      <c r="E208" s="412" t="s">
        <v>1167</v>
      </c>
      <c r="F208" s="412" t="s">
        <v>1167</v>
      </c>
      <c r="G208" s="412" t="s">
        <v>1167</v>
      </c>
      <c r="H208" s="412" t="s">
        <v>1275</v>
      </c>
      <c r="I208" s="477">
        <v>0</v>
      </c>
      <c r="J208" s="477">
        <v>0</v>
      </c>
      <c r="K208" s="477">
        <v>0</v>
      </c>
      <c r="L208" s="477">
        <v>14814195.390000001</v>
      </c>
      <c r="M208" s="477">
        <f t="shared" si="334"/>
        <v>0</v>
      </c>
      <c r="N208" s="477">
        <f t="shared" si="335"/>
        <v>14814195.390000001</v>
      </c>
      <c r="O208" s="477"/>
      <c r="P208" s="477"/>
      <c r="Q208" s="477">
        <f t="shared" ref="Q208:Q274" si="377">+M208+O208</f>
        <v>0</v>
      </c>
      <c r="R208" s="477">
        <f t="shared" ref="R208:R274" si="378">+N208+P208</f>
        <v>14814195.390000001</v>
      </c>
      <c r="S208" s="477">
        <f t="shared" ref="S208:S274" si="379">+Q208-R208</f>
        <v>-14814195.390000001</v>
      </c>
      <c r="U208" s="473">
        <f t="shared" si="254"/>
        <v>0</v>
      </c>
      <c r="V208" s="476">
        <f t="shared" si="339"/>
        <v>0</v>
      </c>
      <c r="W208" s="476">
        <f t="shared" si="340"/>
        <v>0</v>
      </c>
      <c r="X208" s="476">
        <f t="shared" si="341"/>
        <v>0</v>
      </c>
      <c r="Y208" s="476">
        <f t="shared" si="342"/>
        <v>0</v>
      </c>
      <c r="Z208" s="476">
        <f t="shared" si="343"/>
        <v>0</v>
      </c>
      <c r="AA208" s="476">
        <f t="shared" si="344"/>
        <v>0</v>
      </c>
      <c r="AB208" s="476">
        <f t="shared" si="345"/>
        <v>0</v>
      </c>
      <c r="AC208" s="476">
        <f t="shared" si="346"/>
        <v>0</v>
      </c>
      <c r="AD208" s="476">
        <f t="shared" si="347"/>
        <v>0</v>
      </c>
      <c r="AE208" s="476">
        <f t="shared" si="348"/>
        <v>0</v>
      </c>
      <c r="AF208" s="476">
        <f t="shared" si="349"/>
        <v>0</v>
      </c>
      <c r="AG208" s="476">
        <f t="shared" si="350"/>
        <v>0</v>
      </c>
      <c r="AH208" s="476">
        <f t="shared" si="351"/>
        <v>0</v>
      </c>
      <c r="AI208" s="476">
        <f t="shared" si="352"/>
        <v>0</v>
      </c>
      <c r="AJ208" s="476">
        <f t="shared" si="353"/>
        <v>0</v>
      </c>
      <c r="AK208" s="476">
        <f t="shared" si="354"/>
        <v>0</v>
      </c>
      <c r="AL208" s="476">
        <f t="shared" si="355"/>
        <v>0</v>
      </c>
      <c r="AM208" s="476">
        <f t="shared" si="356"/>
        <v>0</v>
      </c>
      <c r="AN208" s="476">
        <f t="shared" si="357"/>
        <v>0</v>
      </c>
      <c r="AO208" s="476">
        <f t="shared" si="358"/>
        <v>0</v>
      </c>
      <c r="AP208" s="476">
        <f t="shared" si="359"/>
        <v>0</v>
      </c>
      <c r="AQ208" s="476">
        <f t="shared" si="360"/>
        <v>0</v>
      </c>
      <c r="AR208" s="476">
        <f t="shared" si="361"/>
        <v>0</v>
      </c>
      <c r="AS208" s="476">
        <f t="shared" si="362"/>
        <v>0</v>
      </c>
      <c r="AT208" s="476">
        <f t="shared" si="363"/>
        <v>0</v>
      </c>
      <c r="AU208" s="476">
        <f t="shared" si="364"/>
        <v>0</v>
      </c>
      <c r="AV208" s="476">
        <f t="shared" si="365"/>
        <v>0</v>
      </c>
      <c r="AW208" s="476">
        <f t="shared" si="366"/>
        <v>0</v>
      </c>
      <c r="AX208" s="476">
        <f t="shared" si="367"/>
        <v>0</v>
      </c>
      <c r="AY208" s="476">
        <f t="shared" si="368"/>
        <v>0</v>
      </c>
      <c r="AZ208" s="476">
        <f t="shared" si="369"/>
        <v>0</v>
      </c>
      <c r="BA208" s="476">
        <f t="shared" si="370"/>
        <v>0</v>
      </c>
      <c r="BB208" s="476">
        <f t="shared" si="371"/>
        <v>0</v>
      </c>
      <c r="BC208" s="476">
        <f t="shared" si="372"/>
        <v>0</v>
      </c>
      <c r="BD208" s="476">
        <f t="shared" si="373"/>
        <v>0</v>
      </c>
      <c r="BE208" s="476">
        <f t="shared" si="374"/>
        <v>0</v>
      </c>
      <c r="BF208" s="476">
        <f t="shared" si="375"/>
        <v>0</v>
      </c>
      <c r="BG208" s="476">
        <f t="shared" si="376"/>
        <v>0</v>
      </c>
    </row>
    <row r="209" spans="1:59" ht="16.5" customHeight="1">
      <c r="A209" s="583" t="s">
        <v>1437</v>
      </c>
      <c r="B209" s="584" t="s">
        <v>1438</v>
      </c>
      <c r="C209" s="584" t="s">
        <v>1439</v>
      </c>
      <c r="D209" s="413" t="s">
        <v>1164</v>
      </c>
      <c r="E209" s="412" t="s">
        <v>1167</v>
      </c>
      <c r="F209" s="412" t="s">
        <v>1167</v>
      </c>
      <c r="G209" s="412" t="s">
        <v>1167</v>
      </c>
      <c r="H209" s="412" t="s">
        <v>974</v>
      </c>
      <c r="I209" s="477">
        <v>0</v>
      </c>
      <c r="J209" s="477">
        <v>0</v>
      </c>
      <c r="K209" s="477">
        <v>0</v>
      </c>
      <c r="L209" s="477">
        <v>1061158.5</v>
      </c>
      <c r="M209" s="477">
        <f t="shared" si="334"/>
        <v>0</v>
      </c>
      <c r="N209" s="477">
        <f t="shared" si="335"/>
        <v>1061158.5</v>
      </c>
      <c r="O209" s="477"/>
      <c r="P209" s="477"/>
      <c r="Q209" s="477">
        <f t="shared" si="377"/>
        <v>0</v>
      </c>
      <c r="R209" s="477">
        <f t="shared" si="378"/>
        <v>1061158.5</v>
      </c>
      <c r="S209" s="477">
        <f t="shared" si="379"/>
        <v>-1061158.5</v>
      </c>
      <c r="U209" s="473">
        <f t="shared" si="254"/>
        <v>0</v>
      </c>
      <c r="V209" s="476">
        <f t="shared" si="339"/>
        <v>0</v>
      </c>
      <c r="W209" s="476">
        <f t="shared" si="340"/>
        <v>1061158.5</v>
      </c>
      <c r="X209" s="476">
        <f t="shared" si="341"/>
        <v>0</v>
      </c>
      <c r="Y209" s="476">
        <f t="shared" si="342"/>
        <v>0</v>
      </c>
      <c r="Z209" s="476">
        <f t="shared" si="343"/>
        <v>0</v>
      </c>
      <c r="AA209" s="476">
        <f t="shared" si="344"/>
        <v>0</v>
      </c>
      <c r="AB209" s="476">
        <f t="shared" si="345"/>
        <v>0</v>
      </c>
      <c r="AC209" s="476">
        <f t="shared" si="346"/>
        <v>0</v>
      </c>
      <c r="AD209" s="476">
        <f t="shared" si="347"/>
        <v>0</v>
      </c>
      <c r="AE209" s="476">
        <f t="shared" si="348"/>
        <v>0</v>
      </c>
      <c r="AF209" s="476">
        <f t="shared" si="349"/>
        <v>0</v>
      </c>
      <c r="AG209" s="476">
        <f t="shared" si="350"/>
        <v>0</v>
      </c>
      <c r="AH209" s="476">
        <f t="shared" si="351"/>
        <v>0</v>
      </c>
      <c r="AI209" s="476">
        <f t="shared" si="352"/>
        <v>0</v>
      </c>
      <c r="AJ209" s="476">
        <f t="shared" si="353"/>
        <v>0</v>
      </c>
      <c r="AK209" s="476">
        <f t="shared" si="354"/>
        <v>0</v>
      </c>
      <c r="AL209" s="476">
        <f t="shared" si="355"/>
        <v>0</v>
      </c>
      <c r="AM209" s="476">
        <f t="shared" si="356"/>
        <v>0</v>
      </c>
      <c r="AN209" s="476">
        <f t="shared" si="357"/>
        <v>0</v>
      </c>
      <c r="AO209" s="476">
        <f t="shared" si="358"/>
        <v>0</v>
      </c>
      <c r="AP209" s="476">
        <f t="shared" si="359"/>
        <v>0</v>
      </c>
      <c r="AQ209" s="476">
        <f t="shared" si="360"/>
        <v>0</v>
      </c>
      <c r="AR209" s="476">
        <f t="shared" si="361"/>
        <v>0</v>
      </c>
      <c r="AS209" s="476">
        <f t="shared" si="362"/>
        <v>0</v>
      </c>
      <c r="AT209" s="476">
        <f t="shared" si="363"/>
        <v>0</v>
      </c>
      <c r="AU209" s="476">
        <f t="shared" si="364"/>
        <v>0</v>
      </c>
      <c r="AV209" s="476">
        <f t="shared" si="365"/>
        <v>0</v>
      </c>
      <c r="AW209" s="476">
        <f t="shared" si="366"/>
        <v>0</v>
      </c>
      <c r="AX209" s="476">
        <f t="shared" si="367"/>
        <v>0</v>
      </c>
      <c r="AY209" s="476">
        <f t="shared" si="368"/>
        <v>0</v>
      </c>
      <c r="AZ209" s="476">
        <f t="shared" si="369"/>
        <v>0</v>
      </c>
      <c r="BA209" s="476">
        <f t="shared" si="370"/>
        <v>0</v>
      </c>
      <c r="BB209" s="476">
        <f t="shared" si="371"/>
        <v>0</v>
      </c>
      <c r="BC209" s="476">
        <f t="shared" si="372"/>
        <v>0</v>
      </c>
      <c r="BD209" s="476">
        <f t="shared" si="373"/>
        <v>0</v>
      </c>
      <c r="BE209" s="476">
        <f t="shared" si="374"/>
        <v>0</v>
      </c>
      <c r="BF209" s="476">
        <f t="shared" si="375"/>
        <v>0</v>
      </c>
      <c r="BG209" s="476">
        <f t="shared" si="376"/>
        <v>0</v>
      </c>
    </row>
    <row r="210" spans="1:59" ht="16.5" customHeight="1">
      <c r="A210" s="583" t="s">
        <v>1440</v>
      </c>
      <c r="B210" s="584" t="s">
        <v>1441</v>
      </c>
      <c r="C210" s="584" t="s">
        <v>1442</v>
      </c>
      <c r="D210" s="413" t="s">
        <v>1164</v>
      </c>
      <c r="E210" s="412" t="s">
        <v>1167</v>
      </c>
      <c r="F210" s="412" t="s">
        <v>1167</v>
      </c>
      <c r="G210" s="412" t="s">
        <v>1167</v>
      </c>
      <c r="H210" s="412" t="s">
        <v>974</v>
      </c>
      <c r="I210" s="477">
        <v>0</v>
      </c>
      <c r="J210" s="477">
        <v>0</v>
      </c>
      <c r="K210" s="477">
        <v>0</v>
      </c>
      <c r="L210" s="477">
        <v>7402216.9900000002</v>
      </c>
      <c r="M210" s="477">
        <f t="shared" si="334"/>
        <v>0</v>
      </c>
      <c r="N210" s="477">
        <f t="shared" si="335"/>
        <v>7402216.9900000002</v>
      </c>
      <c r="O210" s="477"/>
      <c r="P210" s="477"/>
      <c r="Q210" s="477">
        <f t="shared" si="377"/>
        <v>0</v>
      </c>
      <c r="R210" s="477">
        <f t="shared" si="378"/>
        <v>7402216.9900000002</v>
      </c>
      <c r="S210" s="477">
        <f t="shared" si="379"/>
        <v>-7402216.9900000002</v>
      </c>
      <c r="U210" s="473">
        <f t="shared" si="254"/>
        <v>0</v>
      </c>
      <c r="V210" s="476">
        <f t="shared" si="339"/>
        <v>0</v>
      </c>
      <c r="W210" s="476">
        <f t="shared" si="340"/>
        <v>7402216.9900000002</v>
      </c>
      <c r="X210" s="476">
        <f t="shared" si="341"/>
        <v>0</v>
      </c>
      <c r="Y210" s="476">
        <f t="shared" si="342"/>
        <v>0</v>
      </c>
      <c r="Z210" s="476">
        <f t="shared" si="343"/>
        <v>0</v>
      </c>
      <c r="AA210" s="476">
        <f t="shared" si="344"/>
        <v>0</v>
      </c>
      <c r="AB210" s="476">
        <f t="shared" si="345"/>
        <v>0</v>
      </c>
      <c r="AC210" s="476">
        <f t="shared" si="346"/>
        <v>0</v>
      </c>
      <c r="AD210" s="476">
        <f t="shared" si="347"/>
        <v>0</v>
      </c>
      <c r="AE210" s="476">
        <f t="shared" si="348"/>
        <v>0</v>
      </c>
      <c r="AF210" s="476">
        <f t="shared" si="349"/>
        <v>0</v>
      </c>
      <c r="AG210" s="476">
        <f t="shared" si="350"/>
        <v>0</v>
      </c>
      <c r="AH210" s="476">
        <f t="shared" si="351"/>
        <v>0</v>
      </c>
      <c r="AI210" s="476">
        <f t="shared" si="352"/>
        <v>0</v>
      </c>
      <c r="AJ210" s="476">
        <f t="shared" si="353"/>
        <v>0</v>
      </c>
      <c r="AK210" s="476">
        <f t="shared" si="354"/>
        <v>0</v>
      </c>
      <c r="AL210" s="476">
        <f t="shared" si="355"/>
        <v>0</v>
      </c>
      <c r="AM210" s="476">
        <f t="shared" si="356"/>
        <v>0</v>
      </c>
      <c r="AN210" s="476">
        <f t="shared" si="357"/>
        <v>0</v>
      </c>
      <c r="AO210" s="476">
        <f t="shared" si="358"/>
        <v>0</v>
      </c>
      <c r="AP210" s="476">
        <f t="shared" si="359"/>
        <v>0</v>
      </c>
      <c r="AQ210" s="476">
        <f t="shared" si="360"/>
        <v>0</v>
      </c>
      <c r="AR210" s="476">
        <f t="shared" si="361"/>
        <v>0</v>
      </c>
      <c r="AS210" s="476">
        <f t="shared" si="362"/>
        <v>0</v>
      </c>
      <c r="AT210" s="476">
        <f t="shared" si="363"/>
        <v>0</v>
      </c>
      <c r="AU210" s="476">
        <f t="shared" si="364"/>
        <v>0</v>
      </c>
      <c r="AV210" s="476">
        <f t="shared" si="365"/>
        <v>0</v>
      </c>
      <c r="AW210" s="476">
        <f t="shared" si="366"/>
        <v>0</v>
      </c>
      <c r="AX210" s="476">
        <f t="shared" si="367"/>
        <v>0</v>
      </c>
      <c r="AY210" s="476">
        <f t="shared" si="368"/>
        <v>0</v>
      </c>
      <c r="AZ210" s="476">
        <f t="shared" si="369"/>
        <v>0</v>
      </c>
      <c r="BA210" s="476">
        <f t="shared" si="370"/>
        <v>0</v>
      </c>
      <c r="BB210" s="476">
        <f t="shared" si="371"/>
        <v>0</v>
      </c>
      <c r="BC210" s="476">
        <f t="shared" si="372"/>
        <v>0</v>
      </c>
      <c r="BD210" s="476">
        <f t="shared" si="373"/>
        <v>0</v>
      </c>
      <c r="BE210" s="476">
        <f t="shared" si="374"/>
        <v>0</v>
      </c>
      <c r="BF210" s="476">
        <f t="shared" si="375"/>
        <v>0</v>
      </c>
      <c r="BG210" s="476">
        <f t="shared" si="376"/>
        <v>0</v>
      </c>
    </row>
    <row r="211" spans="1:59" ht="16.5" customHeight="1">
      <c r="A211" s="583" t="s">
        <v>1169</v>
      </c>
      <c r="B211" s="584" t="s">
        <v>594</v>
      </c>
      <c r="C211" s="584" t="s">
        <v>1770</v>
      </c>
      <c r="D211" s="413" t="s">
        <v>1164</v>
      </c>
      <c r="E211" s="412" t="s">
        <v>1165</v>
      </c>
      <c r="F211" s="412" t="s">
        <v>593</v>
      </c>
      <c r="G211" s="412" t="s">
        <v>1170</v>
      </c>
      <c r="H211" s="412" t="s">
        <v>974</v>
      </c>
      <c r="I211" s="477">
        <v>0</v>
      </c>
      <c r="J211" s="477">
        <v>0</v>
      </c>
      <c r="K211" s="477">
        <v>0</v>
      </c>
      <c r="L211" s="477">
        <v>0</v>
      </c>
      <c r="M211" s="477">
        <f t="shared" si="334"/>
        <v>0</v>
      </c>
      <c r="N211" s="477">
        <f t="shared" si="335"/>
        <v>0</v>
      </c>
      <c r="O211" s="477"/>
      <c r="P211" s="477">
        <f>'Adjustments 2025'!F14</f>
        <v>850</v>
      </c>
      <c r="Q211" s="477">
        <f t="shared" si="377"/>
        <v>0</v>
      </c>
      <c r="R211" s="477">
        <f t="shared" si="378"/>
        <v>850</v>
      </c>
      <c r="S211" s="477">
        <f t="shared" si="379"/>
        <v>-850</v>
      </c>
      <c r="U211" s="473">
        <f t="shared" si="254"/>
        <v>0</v>
      </c>
      <c r="V211" s="476">
        <f t="shared" si="339"/>
        <v>0</v>
      </c>
      <c r="W211" s="476">
        <f t="shared" si="340"/>
        <v>850</v>
      </c>
      <c r="X211" s="476">
        <f t="shared" si="341"/>
        <v>0</v>
      </c>
      <c r="Y211" s="476">
        <f t="shared" si="342"/>
        <v>0</v>
      </c>
      <c r="Z211" s="476">
        <f t="shared" si="343"/>
        <v>0</v>
      </c>
      <c r="AA211" s="476">
        <f t="shared" si="344"/>
        <v>0</v>
      </c>
      <c r="AB211" s="476">
        <f t="shared" si="345"/>
        <v>0</v>
      </c>
      <c r="AC211" s="476">
        <f t="shared" si="346"/>
        <v>0</v>
      </c>
      <c r="AD211" s="476">
        <f t="shared" si="347"/>
        <v>0</v>
      </c>
      <c r="AE211" s="476">
        <f t="shared" si="348"/>
        <v>0</v>
      </c>
      <c r="AF211" s="476">
        <f t="shared" si="349"/>
        <v>0</v>
      </c>
      <c r="AG211" s="476">
        <f t="shared" si="350"/>
        <v>0</v>
      </c>
      <c r="AH211" s="476">
        <f t="shared" si="351"/>
        <v>0</v>
      </c>
      <c r="AI211" s="476">
        <f t="shared" si="352"/>
        <v>0</v>
      </c>
      <c r="AJ211" s="476">
        <f t="shared" si="353"/>
        <v>0</v>
      </c>
      <c r="AK211" s="476">
        <f t="shared" si="354"/>
        <v>0</v>
      </c>
      <c r="AL211" s="476">
        <f t="shared" si="355"/>
        <v>0</v>
      </c>
      <c r="AM211" s="476">
        <f t="shared" si="356"/>
        <v>0</v>
      </c>
      <c r="AN211" s="476">
        <f t="shared" si="357"/>
        <v>0</v>
      </c>
      <c r="AO211" s="476">
        <f t="shared" si="358"/>
        <v>0</v>
      </c>
      <c r="AP211" s="476">
        <f t="shared" si="359"/>
        <v>0</v>
      </c>
      <c r="AQ211" s="476">
        <f t="shared" si="360"/>
        <v>0</v>
      </c>
      <c r="AR211" s="476">
        <f t="shared" si="361"/>
        <v>0</v>
      </c>
      <c r="AS211" s="476">
        <f t="shared" si="362"/>
        <v>0</v>
      </c>
      <c r="AT211" s="476">
        <f t="shared" si="363"/>
        <v>0</v>
      </c>
      <c r="AU211" s="476">
        <f t="shared" si="364"/>
        <v>0</v>
      </c>
      <c r="AV211" s="476">
        <f t="shared" si="365"/>
        <v>0</v>
      </c>
      <c r="AW211" s="476">
        <f t="shared" si="366"/>
        <v>0</v>
      </c>
      <c r="AX211" s="476">
        <f t="shared" si="367"/>
        <v>0</v>
      </c>
      <c r="AY211" s="476">
        <f t="shared" si="368"/>
        <v>0</v>
      </c>
      <c r="AZ211" s="476">
        <f t="shared" si="369"/>
        <v>0</v>
      </c>
      <c r="BA211" s="476">
        <f t="shared" si="370"/>
        <v>0</v>
      </c>
      <c r="BB211" s="476">
        <f t="shared" si="371"/>
        <v>0</v>
      </c>
      <c r="BC211" s="476">
        <f t="shared" si="372"/>
        <v>0</v>
      </c>
      <c r="BD211" s="476">
        <f t="shared" si="373"/>
        <v>0</v>
      </c>
      <c r="BE211" s="476">
        <f t="shared" si="374"/>
        <v>0</v>
      </c>
      <c r="BF211" s="476">
        <f t="shared" si="375"/>
        <v>0</v>
      </c>
      <c r="BG211" s="476">
        <f t="shared" si="376"/>
        <v>0</v>
      </c>
    </row>
    <row r="212" spans="1:59" ht="16.5" customHeight="1">
      <c r="A212" s="583" t="s">
        <v>858</v>
      </c>
      <c r="B212" s="584" t="s">
        <v>1264</v>
      </c>
      <c r="C212" s="584" t="s">
        <v>273</v>
      </c>
      <c r="D212" s="413" t="s">
        <v>1164</v>
      </c>
      <c r="E212" s="412" t="s">
        <v>1165</v>
      </c>
      <c r="F212" s="412" t="s">
        <v>1166</v>
      </c>
      <c r="G212" s="412" t="s">
        <v>1166</v>
      </c>
      <c r="H212" s="412" t="s">
        <v>974</v>
      </c>
      <c r="I212" s="477">
        <v>0</v>
      </c>
      <c r="J212" s="477">
        <v>0</v>
      </c>
      <c r="K212" s="477">
        <v>0</v>
      </c>
      <c r="L212" s="477">
        <v>809784</v>
      </c>
      <c r="M212" s="477">
        <f t="shared" si="334"/>
        <v>0</v>
      </c>
      <c r="N212" s="477">
        <f t="shared" si="335"/>
        <v>809784</v>
      </c>
      <c r="O212" s="477"/>
      <c r="P212" s="477"/>
      <c r="Q212" s="477">
        <f t="shared" si="377"/>
        <v>0</v>
      </c>
      <c r="R212" s="477">
        <f t="shared" si="378"/>
        <v>809784</v>
      </c>
      <c r="S212" s="477">
        <f t="shared" si="379"/>
        <v>-809784</v>
      </c>
      <c r="U212" s="473">
        <f t="shared" si="254"/>
        <v>0</v>
      </c>
      <c r="V212" s="476">
        <f t="shared" si="339"/>
        <v>0</v>
      </c>
      <c r="W212" s="476">
        <f t="shared" si="340"/>
        <v>809784</v>
      </c>
      <c r="X212" s="476">
        <f t="shared" si="341"/>
        <v>0</v>
      </c>
      <c r="Y212" s="476">
        <f t="shared" si="342"/>
        <v>0</v>
      </c>
      <c r="Z212" s="476">
        <f t="shared" si="343"/>
        <v>0</v>
      </c>
      <c r="AA212" s="476">
        <f t="shared" si="344"/>
        <v>0</v>
      </c>
      <c r="AB212" s="476">
        <f t="shared" si="345"/>
        <v>0</v>
      </c>
      <c r="AC212" s="476">
        <f t="shared" si="346"/>
        <v>0</v>
      </c>
      <c r="AD212" s="476">
        <f t="shared" si="347"/>
        <v>0</v>
      </c>
      <c r="AE212" s="476">
        <f t="shared" si="348"/>
        <v>0</v>
      </c>
      <c r="AF212" s="476">
        <f t="shared" si="349"/>
        <v>0</v>
      </c>
      <c r="AG212" s="476">
        <f t="shared" si="350"/>
        <v>0</v>
      </c>
      <c r="AH212" s="476">
        <f t="shared" si="351"/>
        <v>0</v>
      </c>
      <c r="AI212" s="476">
        <f t="shared" si="352"/>
        <v>0</v>
      </c>
      <c r="AJ212" s="476">
        <f t="shared" si="353"/>
        <v>0</v>
      </c>
      <c r="AK212" s="476">
        <f t="shared" si="354"/>
        <v>0</v>
      </c>
      <c r="AL212" s="476">
        <f t="shared" si="355"/>
        <v>0</v>
      </c>
      <c r="AM212" s="476">
        <f t="shared" si="356"/>
        <v>0</v>
      </c>
      <c r="AN212" s="476">
        <f t="shared" si="357"/>
        <v>0</v>
      </c>
      <c r="AO212" s="476">
        <f t="shared" si="358"/>
        <v>0</v>
      </c>
      <c r="AP212" s="476">
        <f t="shared" si="359"/>
        <v>0</v>
      </c>
      <c r="AQ212" s="476">
        <f t="shared" si="360"/>
        <v>0</v>
      </c>
      <c r="AR212" s="476">
        <f t="shared" si="361"/>
        <v>0</v>
      </c>
      <c r="AS212" s="476">
        <f t="shared" si="362"/>
        <v>0</v>
      </c>
      <c r="AT212" s="476">
        <f t="shared" si="363"/>
        <v>0</v>
      </c>
      <c r="AU212" s="476">
        <f t="shared" si="364"/>
        <v>0</v>
      </c>
      <c r="AV212" s="476">
        <f t="shared" si="365"/>
        <v>0</v>
      </c>
      <c r="AW212" s="476">
        <f t="shared" si="366"/>
        <v>0</v>
      </c>
      <c r="AX212" s="476">
        <f t="shared" si="367"/>
        <v>0</v>
      </c>
      <c r="AY212" s="476">
        <f t="shared" si="368"/>
        <v>0</v>
      </c>
      <c r="AZ212" s="476">
        <f t="shared" si="369"/>
        <v>0</v>
      </c>
      <c r="BA212" s="476">
        <f t="shared" si="370"/>
        <v>0</v>
      </c>
      <c r="BB212" s="476">
        <f t="shared" si="371"/>
        <v>0</v>
      </c>
      <c r="BC212" s="476">
        <f t="shared" si="372"/>
        <v>0</v>
      </c>
      <c r="BD212" s="476">
        <f t="shared" si="373"/>
        <v>0</v>
      </c>
      <c r="BE212" s="476">
        <f t="shared" si="374"/>
        <v>0</v>
      </c>
      <c r="BF212" s="476">
        <f t="shared" si="375"/>
        <v>0</v>
      </c>
      <c r="BG212" s="476">
        <f t="shared" si="376"/>
        <v>0</v>
      </c>
    </row>
    <row r="213" spans="1:59" ht="16.5" customHeight="1">
      <c r="A213" s="583" t="s">
        <v>1443</v>
      </c>
      <c r="B213" s="584" t="s">
        <v>1444</v>
      </c>
      <c r="C213" s="584" t="s">
        <v>1445</v>
      </c>
      <c r="D213" s="413" t="s">
        <v>1164</v>
      </c>
      <c r="E213" s="412" t="s">
        <v>1165</v>
      </c>
      <c r="F213" s="412" t="s">
        <v>593</v>
      </c>
      <c r="G213" s="412" t="s">
        <v>1170</v>
      </c>
      <c r="H213" s="412" t="s">
        <v>974</v>
      </c>
      <c r="I213" s="477">
        <v>0</v>
      </c>
      <c r="J213" s="477">
        <v>0</v>
      </c>
      <c r="K213" s="477">
        <v>0</v>
      </c>
      <c r="L213" s="477">
        <v>12.01</v>
      </c>
      <c r="M213" s="477">
        <f t="shared" si="334"/>
        <v>0</v>
      </c>
      <c r="N213" s="477">
        <f t="shared" si="335"/>
        <v>12.01</v>
      </c>
      <c r="O213" s="477"/>
      <c r="P213" s="477"/>
      <c r="Q213" s="477">
        <f t="shared" si="377"/>
        <v>0</v>
      </c>
      <c r="R213" s="477">
        <f t="shared" si="378"/>
        <v>12.01</v>
      </c>
      <c r="S213" s="477">
        <f t="shared" si="379"/>
        <v>-12.01</v>
      </c>
      <c r="U213" s="473">
        <f t="shared" si="254"/>
        <v>0</v>
      </c>
      <c r="V213" s="476">
        <f t="shared" si="339"/>
        <v>0</v>
      </c>
      <c r="W213" s="476">
        <f t="shared" si="340"/>
        <v>12.01</v>
      </c>
      <c r="X213" s="476">
        <f t="shared" si="341"/>
        <v>0</v>
      </c>
      <c r="Y213" s="476">
        <f t="shared" si="342"/>
        <v>0</v>
      </c>
      <c r="Z213" s="476">
        <f t="shared" si="343"/>
        <v>0</v>
      </c>
      <c r="AA213" s="476">
        <f t="shared" si="344"/>
        <v>0</v>
      </c>
      <c r="AB213" s="476">
        <f t="shared" si="345"/>
        <v>0</v>
      </c>
      <c r="AC213" s="476">
        <f t="shared" si="346"/>
        <v>0</v>
      </c>
      <c r="AD213" s="476">
        <f t="shared" si="347"/>
        <v>0</v>
      </c>
      <c r="AE213" s="476">
        <f t="shared" si="348"/>
        <v>0</v>
      </c>
      <c r="AF213" s="476">
        <f t="shared" si="349"/>
        <v>0</v>
      </c>
      <c r="AG213" s="476">
        <f t="shared" si="350"/>
        <v>0</v>
      </c>
      <c r="AH213" s="476">
        <f t="shared" si="351"/>
        <v>0</v>
      </c>
      <c r="AI213" s="476">
        <f t="shared" si="352"/>
        <v>0</v>
      </c>
      <c r="AJ213" s="476">
        <f t="shared" si="353"/>
        <v>0</v>
      </c>
      <c r="AK213" s="476">
        <f t="shared" si="354"/>
        <v>0</v>
      </c>
      <c r="AL213" s="476">
        <f t="shared" si="355"/>
        <v>0</v>
      </c>
      <c r="AM213" s="476">
        <f t="shared" si="356"/>
        <v>0</v>
      </c>
      <c r="AN213" s="476">
        <f t="shared" si="357"/>
        <v>0</v>
      </c>
      <c r="AO213" s="476">
        <f t="shared" si="358"/>
        <v>0</v>
      </c>
      <c r="AP213" s="476">
        <f t="shared" si="359"/>
        <v>0</v>
      </c>
      <c r="AQ213" s="476">
        <f t="shared" si="360"/>
        <v>0</v>
      </c>
      <c r="AR213" s="476">
        <f t="shared" si="361"/>
        <v>0</v>
      </c>
      <c r="AS213" s="476">
        <f t="shared" si="362"/>
        <v>0</v>
      </c>
      <c r="AT213" s="476">
        <f t="shared" si="363"/>
        <v>0</v>
      </c>
      <c r="AU213" s="476">
        <f t="shared" si="364"/>
        <v>0</v>
      </c>
      <c r="AV213" s="476">
        <f t="shared" si="365"/>
        <v>0</v>
      </c>
      <c r="AW213" s="476">
        <f t="shared" si="366"/>
        <v>0</v>
      </c>
      <c r="AX213" s="476">
        <f t="shared" si="367"/>
        <v>0</v>
      </c>
      <c r="AY213" s="476">
        <f t="shared" si="368"/>
        <v>0</v>
      </c>
      <c r="AZ213" s="476">
        <f t="shared" si="369"/>
        <v>0</v>
      </c>
      <c r="BA213" s="476">
        <f t="shared" si="370"/>
        <v>0</v>
      </c>
      <c r="BB213" s="476">
        <f t="shared" si="371"/>
        <v>0</v>
      </c>
      <c r="BC213" s="476">
        <f t="shared" si="372"/>
        <v>0</v>
      </c>
      <c r="BD213" s="476">
        <f t="shared" si="373"/>
        <v>0</v>
      </c>
      <c r="BE213" s="476">
        <f t="shared" si="374"/>
        <v>0</v>
      </c>
      <c r="BF213" s="476">
        <f t="shared" si="375"/>
        <v>0</v>
      </c>
      <c r="BG213" s="476">
        <f t="shared" si="376"/>
        <v>0</v>
      </c>
    </row>
    <row r="214" spans="1:59" ht="16.5" customHeight="1">
      <c r="A214" s="583" t="s">
        <v>859</v>
      </c>
      <c r="B214" s="584" t="s">
        <v>1679</v>
      </c>
      <c r="C214" s="584" t="s">
        <v>274</v>
      </c>
      <c r="D214" s="413" t="s">
        <v>1164</v>
      </c>
      <c r="E214" s="412" t="s">
        <v>1171</v>
      </c>
      <c r="F214" s="412" t="s">
        <v>1172</v>
      </c>
      <c r="G214" s="412" t="s">
        <v>1172</v>
      </c>
      <c r="H214" s="412" t="s">
        <v>974</v>
      </c>
      <c r="I214" s="477">
        <v>0</v>
      </c>
      <c r="J214" s="477">
        <v>0</v>
      </c>
      <c r="K214" s="477">
        <v>4360344</v>
      </c>
      <c r="L214" s="477">
        <v>2619012</v>
      </c>
      <c r="M214" s="477">
        <f t="shared" si="334"/>
        <v>4360344</v>
      </c>
      <c r="N214" s="477">
        <f t="shared" si="335"/>
        <v>2619012</v>
      </c>
      <c r="O214" s="477">
        <v>0</v>
      </c>
      <c r="P214" s="477"/>
      <c r="Q214" s="477">
        <f t="shared" si="377"/>
        <v>4360344</v>
      </c>
      <c r="R214" s="477">
        <f t="shared" si="378"/>
        <v>2619012</v>
      </c>
      <c r="S214" s="477">
        <f t="shared" si="379"/>
        <v>1741332</v>
      </c>
      <c r="U214" s="473">
        <f t="shared" si="254"/>
        <v>0</v>
      </c>
      <c r="V214" s="476">
        <f t="shared" si="339"/>
        <v>4360344</v>
      </c>
      <c r="W214" s="476">
        <f t="shared" si="340"/>
        <v>2619012</v>
      </c>
      <c r="X214" s="476">
        <f t="shared" si="341"/>
        <v>0</v>
      </c>
      <c r="Y214" s="476">
        <f t="shared" si="342"/>
        <v>0</v>
      </c>
      <c r="Z214" s="476">
        <f t="shared" si="343"/>
        <v>0</v>
      </c>
      <c r="AA214" s="476">
        <f t="shared" si="344"/>
        <v>0</v>
      </c>
      <c r="AB214" s="476">
        <f t="shared" si="345"/>
        <v>0</v>
      </c>
      <c r="AC214" s="476">
        <f t="shared" si="346"/>
        <v>0</v>
      </c>
      <c r="AD214" s="476">
        <f t="shared" si="347"/>
        <v>0</v>
      </c>
      <c r="AE214" s="476">
        <f t="shared" si="348"/>
        <v>0</v>
      </c>
      <c r="AF214" s="476">
        <f t="shared" si="349"/>
        <v>0</v>
      </c>
      <c r="AG214" s="476">
        <f t="shared" si="350"/>
        <v>0</v>
      </c>
      <c r="AH214" s="476">
        <f t="shared" si="351"/>
        <v>0</v>
      </c>
      <c r="AI214" s="476">
        <f t="shared" si="352"/>
        <v>0</v>
      </c>
      <c r="AJ214" s="476">
        <f t="shared" si="353"/>
        <v>0</v>
      </c>
      <c r="AK214" s="476">
        <f t="shared" si="354"/>
        <v>0</v>
      </c>
      <c r="AL214" s="476">
        <f t="shared" si="355"/>
        <v>0</v>
      </c>
      <c r="AM214" s="476">
        <f t="shared" si="356"/>
        <v>0</v>
      </c>
      <c r="AN214" s="476">
        <f t="shared" si="357"/>
        <v>0</v>
      </c>
      <c r="AO214" s="476">
        <f t="shared" si="358"/>
        <v>0</v>
      </c>
      <c r="AP214" s="476">
        <f t="shared" si="359"/>
        <v>0</v>
      </c>
      <c r="AQ214" s="476">
        <f t="shared" si="360"/>
        <v>0</v>
      </c>
      <c r="AR214" s="476">
        <f t="shared" si="361"/>
        <v>0</v>
      </c>
      <c r="AS214" s="476">
        <f t="shared" si="362"/>
        <v>0</v>
      </c>
      <c r="AT214" s="476">
        <f t="shared" si="363"/>
        <v>0</v>
      </c>
      <c r="AU214" s="476">
        <f t="shared" si="364"/>
        <v>0</v>
      </c>
      <c r="AV214" s="476">
        <f t="shared" si="365"/>
        <v>0</v>
      </c>
      <c r="AW214" s="476">
        <f t="shared" si="366"/>
        <v>0</v>
      </c>
      <c r="AX214" s="476">
        <f t="shared" si="367"/>
        <v>0</v>
      </c>
      <c r="AY214" s="476">
        <f t="shared" si="368"/>
        <v>0</v>
      </c>
      <c r="AZ214" s="476">
        <f t="shared" si="369"/>
        <v>0</v>
      </c>
      <c r="BA214" s="476">
        <f t="shared" si="370"/>
        <v>0</v>
      </c>
      <c r="BB214" s="476">
        <f t="shared" si="371"/>
        <v>0</v>
      </c>
      <c r="BC214" s="476">
        <f t="shared" si="372"/>
        <v>0</v>
      </c>
      <c r="BD214" s="476">
        <f t="shared" si="373"/>
        <v>0</v>
      </c>
      <c r="BE214" s="476">
        <f t="shared" si="374"/>
        <v>0</v>
      </c>
      <c r="BF214" s="476">
        <f t="shared" si="375"/>
        <v>0</v>
      </c>
      <c r="BG214" s="476">
        <f t="shared" si="376"/>
        <v>0</v>
      </c>
    </row>
    <row r="215" spans="1:59" ht="16.5" customHeight="1">
      <c r="A215" s="583" t="s">
        <v>860</v>
      </c>
      <c r="B215" s="584" t="s">
        <v>1680</v>
      </c>
      <c r="C215" s="584" t="s">
        <v>275</v>
      </c>
      <c r="D215" s="413" t="s">
        <v>1164</v>
      </c>
      <c r="E215" s="412" t="s">
        <v>1181</v>
      </c>
      <c r="F215" s="412" t="s">
        <v>1231</v>
      </c>
      <c r="G215" s="412" t="s">
        <v>1231</v>
      </c>
      <c r="H215" s="412" t="s">
        <v>974</v>
      </c>
      <c r="I215" s="477">
        <v>0</v>
      </c>
      <c r="J215" s="477">
        <v>0</v>
      </c>
      <c r="K215" s="477">
        <v>36000</v>
      </c>
      <c r="L215" s="477">
        <v>36000</v>
      </c>
      <c r="M215" s="477">
        <f t="shared" si="334"/>
        <v>36000</v>
      </c>
      <c r="N215" s="477">
        <f t="shared" si="335"/>
        <v>36000</v>
      </c>
      <c r="O215" s="477">
        <f>'Adjustments 2025'!E73</f>
        <v>36000</v>
      </c>
      <c r="P215" s="477"/>
      <c r="Q215" s="477">
        <f t="shared" si="377"/>
        <v>72000</v>
      </c>
      <c r="R215" s="477">
        <f t="shared" si="378"/>
        <v>36000</v>
      </c>
      <c r="S215" s="477">
        <f t="shared" si="379"/>
        <v>36000</v>
      </c>
      <c r="V215" s="476">
        <f t="shared" si="339"/>
        <v>72000</v>
      </c>
      <c r="W215" s="476">
        <f t="shared" si="340"/>
        <v>36000</v>
      </c>
      <c r="X215" s="476">
        <f t="shared" si="341"/>
        <v>0</v>
      </c>
      <c r="Y215" s="476">
        <f t="shared" si="342"/>
        <v>0</v>
      </c>
      <c r="Z215" s="476">
        <f t="shared" si="343"/>
        <v>0</v>
      </c>
      <c r="AA215" s="476">
        <f t="shared" si="344"/>
        <v>0</v>
      </c>
      <c r="AB215" s="476">
        <f t="shared" si="345"/>
        <v>0</v>
      </c>
      <c r="AC215" s="476">
        <f t="shared" si="346"/>
        <v>0</v>
      </c>
      <c r="AD215" s="476">
        <f t="shared" si="347"/>
        <v>0</v>
      </c>
      <c r="AE215" s="476">
        <f t="shared" si="348"/>
        <v>0</v>
      </c>
      <c r="AF215" s="476">
        <f t="shared" si="349"/>
        <v>0</v>
      </c>
      <c r="AG215" s="476">
        <f t="shared" si="350"/>
        <v>0</v>
      </c>
      <c r="AH215" s="476">
        <f t="shared" si="351"/>
        <v>0</v>
      </c>
      <c r="AI215" s="476">
        <f t="shared" si="352"/>
        <v>0</v>
      </c>
      <c r="AJ215" s="476">
        <f t="shared" si="353"/>
        <v>0</v>
      </c>
      <c r="AK215" s="476">
        <f t="shared" si="354"/>
        <v>0</v>
      </c>
      <c r="AL215" s="476">
        <f t="shared" si="355"/>
        <v>0</v>
      </c>
      <c r="AM215" s="476">
        <f t="shared" si="356"/>
        <v>0</v>
      </c>
      <c r="AN215" s="476">
        <f t="shared" si="357"/>
        <v>0</v>
      </c>
      <c r="AO215" s="476">
        <f t="shared" si="358"/>
        <v>0</v>
      </c>
      <c r="AP215" s="476">
        <f t="shared" si="359"/>
        <v>0</v>
      </c>
      <c r="AQ215" s="476">
        <f t="shared" si="360"/>
        <v>0</v>
      </c>
      <c r="AR215" s="476">
        <f t="shared" si="361"/>
        <v>0</v>
      </c>
      <c r="AS215" s="476">
        <f t="shared" si="362"/>
        <v>0</v>
      </c>
      <c r="AT215" s="476">
        <f t="shared" si="363"/>
        <v>0</v>
      </c>
      <c r="AU215" s="476">
        <f t="shared" si="364"/>
        <v>0</v>
      </c>
      <c r="AV215" s="476">
        <f t="shared" si="365"/>
        <v>0</v>
      </c>
      <c r="AW215" s="476">
        <f t="shared" si="366"/>
        <v>0</v>
      </c>
      <c r="AX215" s="476">
        <f t="shared" si="367"/>
        <v>0</v>
      </c>
      <c r="AY215" s="476">
        <f t="shared" si="368"/>
        <v>0</v>
      </c>
      <c r="AZ215" s="476">
        <f t="shared" si="369"/>
        <v>0</v>
      </c>
      <c r="BA215" s="476">
        <f t="shared" si="370"/>
        <v>0</v>
      </c>
      <c r="BB215" s="476">
        <f t="shared" si="371"/>
        <v>0</v>
      </c>
      <c r="BC215" s="476">
        <f t="shared" si="372"/>
        <v>0</v>
      </c>
      <c r="BD215" s="476">
        <f t="shared" si="373"/>
        <v>0</v>
      </c>
      <c r="BE215" s="476">
        <f t="shared" si="374"/>
        <v>0</v>
      </c>
      <c r="BF215" s="476">
        <f t="shared" si="375"/>
        <v>0</v>
      </c>
      <c r="BG215" s="476">
        <f t="shared" si="376"/>
        <v>0</v>
      </c>
    </row>
    <row r="216" spans="1:59" ht="16.5" customHeight="1">
      <c r="A216" s="583" t="s">
        <v>1446</v>
      </c>
      <c r="B216" s="584" t="s">
        <v>1447</v>
      </c>
      <c r="C216" s="584" t="s">
        <v>1448</v>
      </c>
      <c r="D216" s="413" t="s">
        <v>1164</v>
      </c>
      <c r="E216" s="412" t="s">
        <v>1171</v>
      </c>
      <c r="F216" s="412" t="s">
        <v>1172</v>
      </c>
      <c r="G216" s="412" t="s">
        <v>1172</v>
      </c>
      <c r="H216" s="412" t="s">
        <v>974</v>
      </c>
      <c r="I216" s="477">
        <v>0</v>
      </c>
      <c r="J216" s="477">
        <v>0</v>
      </c>
      <c r="K216" s="477">
        <v>250000</v>
      </c>
      <c r="L216" s="477">
        <v>0</v>
      </c>
      <c r="M216" s="477">
        <f t="shared" si="334"/>
        <v>250000</v>
      </c>
      <c r="N216" s="477">
        <f t="shared" si="335"/>
        <v>0</v>
      </c>
      <c r="O216" s="477"/>
      <c r="P216" s="477"/>
      <c r="Q216" s="477">
        <f t="shared" si="377"/>
        <v>250000</v>
      </c>
      <c r="R216" s="477">
        <f t="shared" si="378"/>
        <v>0</v>
      </c>
      <c r="S216" s="477">
        <f t="shared" si="379"/>
        <v>250000</v>
      </c>
      <c r="V216" s="476">
        <f t="shared" si="339"/>
        <v>250000</v>
      </c>
      <c r="W216" s="476">
        <f t="shared" si="340"/>
        <v>0</v>
      </c>
      <c r="X216" s="476">
        <f t="shared" si="341"/>
        <v>0</v>
      </c>
      <c r="Y216" s="476">
        <f t="shared" si="342"/>
        <v>0</v>
      </c>
      <c r="Z216" s="476">
        <f t="shared" si="343"/>
        <v>0</v>
      </c>
      <c r="AA216" s="476">
        <f t="shared" si="344"/>
        <v>0</v>
      </c>
      <c r="AB216" s="476">
        <f t="shared" si="345"/>
        <v>0</v>
      </c>
      <c r="AC216" s="476">
        <f t="shared" si="346"/>
        <v>0</v>
      </c>
      <c r="AD216" s="476">
        <f t="shared" si="347"/>
        <v>0</v>
      </c>
      <c r="AE216" s="476">
        <f t="shared" si="348"/>
        <v>0</v>
      </c>
      <c r="AF216" s="476">
        <f t="shared" si="349"/>
        <v>0</v>
      </c>
      <c r="AG216" s="476">
        <f t="shared" si="350"/>
        <v>0</v>
      </c>
      <c r="AH216" s="476">
        <f t="shared" si="351"/>
        <v>0</v>
      </c>
      <c r="AI216" s="476">
        <f t="shared" si="352"/>
        <v>0</v>
      </c>
      <c r="AJ216" s="476">
        <f t="shared" si="353"/>
        <v>0</v>
      </c>
      <c r="AK216" s="476">
        <f t="shared" si="354"/>
        <v>0</v>
      </c>
      <c r="AL216" s="476">
        <f t="shared" si="355"/>
        <v>0</v>
      </c>
      <c r="AM216" s="476">
        <f t="shared" si="356"/>
        <v>0</v>
      </c>
      <c r="AN216" s="476">
        <f t="shared" si="357"/>
        <v>0</v>
      </c>
      <c r="AO216" s="476">
        <f t="shared" si="358"/>
        <v>0</v>
      </c>
      <c r="AP216" s="476">
        <f t="shared" si="359"/>
        <v>0</v>
      </c>
      <c r="AQ216" s="476">
        <f t="shared" si="360"/>
        <v>0</v>
      </c>
      <c r="AR216" s="476">
        <f t="shared" si="361"/>
        <v>0</v>
      </c>
      <c r="AS216" s="476">
        <f t="shared" si="362"/>
        <v>0</v>
      </c>
      <c r="AT216" s="476">
        <f t="shared" si="363"/>
        <v>0</v>
      </c>
      <c r="AU216" s="476">
        <f t="shared" si="364"/>
        <v>0</v>
      </c>
      <c r="AV216" s="476">
        <f t="shared" si="365"/>
        <v>0</v>
      </c>
      <c r="AW216" s="476">
        <f t="shared" si="366"/>
        <v>0</v>
      </c>
      <c r="AX216" s="476">
        <f t="shared" si="367"/>
        <v>0</v>
      </c>
      <c r="AY216" s="476">
        <f t="shared" si="368"/>
        <v>0</v>
      </c>
      <c r="AZ216" s="476">
        <f t="shared" si="369"/>
        <v>0</v>
      </c>
      <c r="BA216" s="476">
        <f t="shared" si="370"/>
        <v>0</v>
      </c>
      <c r="BB216" s="476">
        <f t="shared" si="371"/>
        <v>0</v>
      </c>
      <c r="BC216" s="476">
        <f t="shared" si="372"/>
        <v>0</v>
      </c>
      <c r="BD216" s="476">
        <f t="shared" si="373"/>
        <v>0</v>
      </c>
      <c r="BE216" s="476">
        <f t="shared" si="374"/>
        <v>0</v>
      </c>
      <c r="BF216" s="476">
        <f t="shared" si="375"/>
        <v>0</v>
      </c>
      <c r="BG216" s="476">
        <f t="shared" si="376"/>
        <v>0</v>
      </c>
    </row>
    <row r="217" spans="1:59" ht="16.5" customHeight="1">
      <c r="A217" s="583" t="s">
        <v>861</v>
      </c>
      <c r="B217" s="584" t="s">
        <v>1681</v>
      </c>
      <c r="C217" s="584" t="s">
        <v>276</v>
      </c>
      <c r="D217" s="413" t="s">
        <v>1164</v>
      </c>
      <c r="E217" s="412" t="s">
        <v>1171</v>
      </c>
      <c r="F217" s="412" t="s">
        <v>1173</v>
      </c>
      <c r="G217" s="412" t="s">
        <v>1173</v>
      </c>
      <c r="H217" s="412" t="s">
        <v>974</v>
      </c>
      <c r="I217" s="477">
        <v>0</v>
      </c>
      <c r="J217" s="477">
        <v>0</v>
      </c>
      <c r="K217" s="477">
        <f>848251+3000</f>
        <v>851251</v>
      </c>
      <c r="L217" s="477">
        <v>190818</v>
      </c>
      <c r="M217" s="477">
        <f t="shared" si="334"/>
        <v>851251</v>
      </c>
      <c r="N217" s="477">
        <f t="shared" si="335"/>
        <v>190818</v>
      </c>
      <c r="O217" s="477">
        <f>'Adjustments 2025'!E42</f>
        <v>190818</v>
      </c>
      <c r="P217" s="477"/>
      <c r="Q217" s="477">
        <f t="shared" si="377"/>
        <v>1042069</v>
      </c>
      <c r="R217" s="477">
        <f t="shared" si="378"/>
        <v>190818</v>
      </c>
      <c r="S217" s="477">
        <f t="shared" si="379"/>
        <v>851251</v>
      </c>
      <c r="V217" s="476">
        <f t="shared" si="339"/>
        <v>1042069</v>
      </c>
      <c r="W217" s="476">
        <f t="shared" si="340"/>
        <v>190818</v>
      </c>
      <c r="X217" s="476">
        <f t="shared" si="341"/>
        <v>0</v>
      </c>
      <c r="Y217" s="476">
        <f t="shared" si="342"/>
        <v>0</v>
      </c>
      <c r="Z217" s="476">
        <f t="shared" si="343"/>
        <v>0</v>
      </c>
      <c r="AA217" s="476">
        <f t="shared" si="344"/>
        <v>0</v>
      </c>
      <c r="AB217" s="476">
        <f t="shared" si="345"/>
        <v>0</v>
      </c>
      <c r="AC217" s="476">
        <f t="shared" si="346"/>
        <v>0</v>
      </c>
      <c r="AD217" s="476">
        <f t="shared" si="347"/>
        <v>0</v>
      </c>
      <c r="AE217" s="476">
        <f t="shared" si="348"/>
        <v>0</v>
      </c>
      <c r="AF217" s="476">
        <f t="shared" si="349"/>
        <v>0</v>
      </c>
      <c r="AG217" s="476">
        <f t="shared" si="350"/>
        <v>0</v>
      </c>
      <c r="AH217" s="476">
        <f t="shared" si="351"/>
        <v>0</v>
      </c>
      <c r="AI217" s="476">
        <f t="shared" si="352"/>
        <v>0</v>
      </c>
      <c r="AJ217" s="476">
        <f t="shared" si="353"/>
        <v>0</v>
      </c>
      <c r="AK217" s="476">
        <f t="shared" si="354"/>
        <v>0</v>
      </c>
      <c r="AL217" s="476">
        <f t="shared" si="355"/>
        <v>0</v>
      </c>
      <c r="AM217" s="476">
        <f t="shared" si="356"/>
        <v>0</v>
      </c>
      <c r="AN217" s="476">
        <f t="shared" si="357"/>
        <v>0</v>
      </c>
      <c r="AO217" s="476">
        <f t="shared" si="358"/>
        <v>0</v>
      </c>
      <c r="AP217" s="476">
        <f t="shared" si="359"/>
        <v>0</v>
      </c>
      <c r="AQ217" s="476">
        <f t="shared" si="360"/>
        <v>0</v>
      </c>
      <c r="AR217" s="476">
        <f t="shared" si="361"/>
        <v>0</v>
      </c>
      <c r="AS217" s="476">
        <f t="shared" si="362"/>
        <v>0</v>
      </c>
      <c r="AT217" s="476">
        <f t="shared" si="363"/>
        <v>0</v>
      </c>
      <c r="AU217" s="476">
        <f t="shared" si="364"/>
        <v>0</v>
      </c>
      <c r="AV217" s="476">
        <f t="shared" si="365"/>
        <v>0</v>
      </c>
      <c r="AW217" s="476">
        <f t="shared" si="366"/>
        <v>0</v>
      </c>
      <c r="AX217" s="476">
        <f t="shared" si="367"/>
        <v>0</v>
      </c>
      <c r="AY217" s="476">
        <f t="shared" si="368"/>
        <v>0</v>
      </c>
      <c r="AZ217" s="476">
        <f t="shared" si="369"/>
        <v>0</v>
      </c>
      <c r="BA217" s="476">
        <f t="shared" si="370"/>
        <v>0</v>
      </c>
      <c r="BB217" s="476">
        <f t="shared" si="371"/>
        <v>0</v>
      </c>
      <c r="BC217" s="476">
        <f t="shared" si="372"/>
        <v>0</v>
      </c>
      <c r="BD217" s="476">
        <f t="shared" si="373"/>
        <v>0</v>
      </c>
      <c r="BE217" s="476">
        <f t="shared" si="374"/>
        <v>0</v>
      </c>
      <c r="BF217" s="476">
        <f t="shared" si="375"/>
        <v>0</v>
      </c>
      <c r="BG217" s="476">
        <f t="shared" si="376"/>
        <v>0</v>
      </c>
    </row>
    <row r="218" spans="1:59" ht="16.5" customHeight="1">
      <c r="A218" s="583" t="s">
        <v>862</v>
      </c>
      <c r="B218" s="584" t="s">
        <v>1682</v>
      </c>
      <c r="C218" s="584" t="s">
        <v>277</v>
      </c>
      <c r="D218" s="413" t="s">
        <v>1164</v>
      </c>
      <c r="E218" s="412" t="s">
        <v>1171</v>
      </c>
      <c r="F218" s="412" t="s">
        <v>1173</v>
      </c>
      <c r="G218" s="412" t="s">
        <v>1173</v>
      </c>
      <c r="H218" s="412" t="s">
        <v>974</v>
      </c>
      <c r="I218" s="477">
        <v>0</v>
      </c>
      <c r="J218" s="477">
        <v>0</v>
      </c>
      <c r="K218" s="477">
        <v>10440</v>
      </c>
      <c r="L218" s="477">
        <v>0</v>
      </c>
      <c r="M218" s="477">
        <f t="shared" si="334"/>
        <v>10440</v>
      </c>
      <c r="N218" s="477">
        <f t="shared" si="335"/>
        <v>0</v>
      </c>
      <c r="O218" s="477"/>
      <c r="P218" s="477"/>
      <c r="Q218" s="477">
        <f t="shared" ref="Q218" si="380">+M218+O218</f>
        <v>10440</v>
      </c>
      <c r="R218" s="477">
        <f t="shared" ref="R218" si="381">+N218+P218</f>
        <v>0</v>
      </c>
      <c r="S218" s="477">
        <f t="shared" ref="S218" si="382">+Q218-R218</f>
        <v>10440</v>
      </c>
      <c r="V218" s="476"/>
      <c r="W218" s="476"/>
      <c r="X218" s="476"/>
      <c r="Y218" s="476"/>
      <c r="Z218" s="476"/>
      <c r="AA218" s="476"/>
      <c r="AB218" s="476"/>
      <c r="AC218" s="476"/>
      <c r="AD218" s="476"/>
      <c r="AE218" s="476"/>
      <c r="AF218" s="476"/>
      <c r="AG218" s="476"/>
      <c r="AH218" s="476"/>
      <c r="AI218" s="476"/>
      <c r="AJ218" s="476"/>
      <c r="AK218" s="476"/>
      <c r="AL218" s="476"/>
      <c r="AM218" s="476"/>
      <c r="AN218" s="476"/>
      <c r="AO218" s="476"/>
      <c r="AP218" s="476"/>
      <c r="AQ218" s="476"/>
      <c r="AR218" s="476"/>
      <c r="AS218" s="476"/>
      <c r="AT218" s="476"/>
      <c r="AU218" s="476"/>
      <c r="AV218" s="476"/>
      <c r="AW218" s="476"/>
      <c r="AX218" s="476"/>
      <c r="AY218" s="476"/>
      <c r="AZ218" s="476"/>
      <c r="BA218" s="476"/>
      <c r="BB218" s="476"/>
      <c r="BC218" s="476"/>
      <c r="BD218" s="476"/>
      <c r="BE218" s="476"/>
      <c r="BF218" s="476"/>
      <c r="BG218" s="476"/>
    </row>
    <row r="219" spans="1:59" ht="16.5" customHeight="1">
      <c r="A219" s="583" t="s">
        <v>863</v>
      </c>
      <c r="B219" s="584" t="s">
        <v>1683</v>
      </c>
      <c r="C219" s="584" t="s">
        <v>278</v>
      </c>
      <c r="D219" s="413" t="s">
        <v>1164</v>
      </c>
      <c r="E219" s="412" t="s">
        <v>1171</v>
      </c>
      <c r="F219" s="412" t="s">
        <v>367</v>
      </c>
      <c r="G219" s="412" t="s">
        <v>367</v>
      </c>
      <c r="H219" s="412" t="s">
        <v>974</v>
      </c>
      <c r="I219" s="477">
        <v>0</v>
      </c>
      <c r="J219" s="477">
        <v>0</v>
      </c>
      <c r="K219" s="477">
        <v>211040</v>
      </c>
      <c r="L219" s="477">
        <v>5500</v>
      </c>
      <c r="M219" s="477">
        <f t="shared" si="334"/>
        <v>211040</v>
      </c>
      <c r="N219" s="477">
        <f t="shared" si="335"/>
        <v>5500</v>
      </c>
      <c r="O219" s="477">
        <f>'Adjustments 2025'!E43</f>
        <v>5500</v>
      </c>
      <c r="P219" s="477"/>
      <c r="Q219" s="477">
        <f t="shared" si="377"/>
        <v>216540</v>
      </c>
      <c r="R219" s="477">
        <f t="shared" si="378"/>
        <v>5500</v>
      </c>
      <c r="S219" s="477">
        <f t="shared" si="379"/>
        <v>211040</v>
      </c>
      <c r="U219" s="473">
        <f>I219-J219</f>
        <v>0</v>
      </c>
      <c r="V219" s="476">
        <f t="shared" ref="V219:V227" si="383">IF($V$8=$H219,$Q219,0)</f>
        <v>216540</v>
      </c>
      <c r="W219" s="476">
        <f t="shared" ref="W219:W227" si="384">IF($V$8=$H219,$R219,0)</f>
        <v>5500</v>
      </c>
      <c r="X219" s="476">
        <f t="shared" ref="X219:X227" si="385">IF($X$8=$H219,$Q219,0)</f>
        <v>0</v>
      </c>
      <c r="Y219" s="476">
        <f t="shared" ref="Y219:Y227" si="386">IF($X$8=$H219,$R219,0)</f>
        <v>0</v>
      </c>
      <c r="Z219" s="476">
        <f t="shared" ref="Z219:Z227" si="387">IF($Z$8=$H219,$Q219,0)</f>
        <v>0</v>
      </c>
      <c r="AA219" s="476">
        <f t="shared" ref="AA219:AA227" si="388">IF($Z$8=$H219,$R219,0)</f>
        <v>0</v>
      </c>
      <c r="AB219" s="476">
        <f t="shared" ref="AB219:AB227" si="389">IF($AB$8=$H219,$Q219,0)</f>
        <v>0</v>
      </c>
      <c r="AC219" s="476">
        <f t="shared" ref="AC219:AC227" si="390">IF($AB$8=$H219,$R219,0)</f>
        <v>0</v>
      </c>
      <c r="AD219" s="476">
        <f t="shared" ref="AD219:AD227" si="391">IF($AD$8=$H219,$Q219,0)</f>
        <v>0</v>
      </c>
      <c r="AE219" s="476">
        <f t="shared" ref="AE219:AE227" si="392">IF($AD$8=$H219,$R219,0)</f>
        <v>0</v>
      </c>
      <c r="AF219" s="476">
        <f t="shared" ref="AF219:AF227" si="393">IF($AF$8=$H219,$Q219,0)</f>
        <v>0</v>
      </c>
      <c r="AG219" s="476">
        <f t="shared" ref="AG219:AG227" si="394">IF($AF$8=$H219,$R219,0)</f>
        <v>0</v>
      </c>
      <c r="AH219" s="476">
        <f t="shared" ref="AH219:AH227" si="395">IF($AH$8=$H219,$Q219,0)</f>
        <v>0</v>
      </c>
      <c r="AI219" s="476">
        <f t="shared" ref="AI219:AI227" si="396">IF($AH$8=$H219,$R219,0)</f>
        <v>0</v>
      </c>
      <c r="AJ219" s="476">
        <f t="shared" ref="AJ219:AJ227" si="397">IF($AJ$8=$H219,$Q219,0)</f>
        <v>0</v>
      </c>
      <c r="AK219" s="476">
        <f t="shared" ref="AK219:AK227" si="398">IF($AJ$8=$H219,$R219,0)</f>
        <v>0</v>
      </c>
      <c r="AL219" s="476">
        <f t="shared" ref="AL219:AL227" si="399">IF($AL$8=$H219,$Q219,0)</f>
        <v>0</v>
      </c>
      <c r="AM219" s="476">
        <f t="shared" ref="AM219:AM227" si="400">IF($AL$8=$H219,$R219,0)</f>
        <v>0</v>
      </c>
      <c r="AN219" s="476">
        <f t="shared" ref="AN219:AN227" si="401">IF($AN$8=$H219,$Q219,0)</f>
        <v>0</v>
      </c>
      <c r="AO219" s="476">
        <f t="shared" ref="AO219:AO227" si="402">IF($AN$8=$H219,$R219,0)</f>
        <v>0</v>
      </c>
      <c r="AP219" s="476">
        <f t="shared" ref="AP219:AP227" si="403">IF($AP$8=$H219,$Q219,0)</f>
        <v>0</v>
      </c>
      <c r="AQ219" s="476">
        <f t="shared" ref="AQ219:AQ227" si="404">IF($AP$8=$H219,$R219,0)</f>
        <v>0</v>
      </c>
      <c r="AR219" s="476">
        <f t="shared" ref="AR219:AR227" si="405">IF($AR$8=$H219,$Q219,0)</f>
        <v>0</v>
      </c>
      <c r="AS219" s="476">
        <f t="shared" ref="AS219:AS227" si="406">IF($AR$8=$H219,$R219,0)</f>
        <v>0</v>
      </c>
      <c r="AT219" s="476">
        <f t="shared" ref="AT219:AT227" si="407">IF($AT$8=$H219,$Q219,0)</f>
        <v>0</v>
      </c>
      <c r="AU219" s="476">
        <f t="shared" ref="AU219:AU227" si="408">IF($AT$8=$H219,$R219,0)</f>
        <v>0</v>
      </c>
      <c r="AV219" s="476">
        <f t="shared" ref="AV219:AV227" si="409">IF($AV$8=$H219,$Q219,0)</f>
        <v>0</v>
      </c>
      <c r="AW219" s="476">
        <f t="shared" ref="AW219:AW227" si="410">IF($AV$8=$H219,$R219,0)</f>
        <v>0</v>
      </c>
      <c r="AX219" s="476">
        <f t="shared" ref="AX219:AX227" si="411">IF($AX$8=$H219,$Q219,0)</f>
        <v>0</v>
      </c>
      <c r="AY219" s="476">
        <f t="shared" ref="AY219:AY227" si="412">IF($AX$8=$H219,$R219,0)</f>
        <v>0</v>
      </c>
      <c r="AZ219" s="476">
        <f t="shared" ref="AZ219:AZ227" si="413">IF($AZ$8=$H219,$Q219,0)</f>
        <v>0</v>
      </c>
      <c r="BA219" s="476">
        <f t="shared" ref="BA219:BA227" si="414">IF($AZ$8=$H219,$R219,0)</f>
        <v>0</v>
      </c>
      <c r="BB219" s="476">
        <f t="shared" ref="BB219:BB227" si="415">IF($BB$8=$H219,$Q219,0)</f>
        <v>0</v>
      </c>
      <c r="BC219" s="476">
        <f t="shared" ref="BC219:BC227" si="416">IF($BB$8=$H219,$R219,0)</f>
        <v>0</v>
      </c>
      <c r="BD219" s="476">
        <f t="shared" ref="BD219:BD227" si="417">IF($BD$8=$H219,$Q219,0)</f>
        <v>0</v>
      </c>
      <c r="BE219" s="476">
        <f t="shared" ref="BE219:BE227" si="418">IF($BD$8=$H219,$R219,0)</f>
        <v>0</v>
      </c>
      <c r="BF219" s="476">
        <f t="shared" ref="BF219:BF227" si="419">IF($BF$8=$H219,$Q219,0)</f>
        <v>0</v>
      </c>
      <c r="BG219" s="476">
        <f t="shared" ref="BG219:BG227" si="420">IF($BF$8=$H219,$R219,0)</f>
        <v>0</v>
      </c>
    </row>
    <row r="220" spans="1:59" ht="16.5" customHeight="1">
      <c r="A220" s="583" t="s">
        <v>864</v>
      </c>
      <c r="B220" s="584" t="s">
        <v>1684</v>
      </c>
      <c r="C220" s="584" t="s">
        <v>279</v>
      </c>
      <c r="D220" s="413" t="s">
        <v>1164</v>
      </c>
      <c r="E220" s="412" t="s">
        <v>1171</v>
      </c>
      <c r="F220" s="412" t="s">
        <v>1173</v>
      </c>
      <c r="G220" s="412" t="s">
        <v>1173</v>
      </c>
      <c r="H220" s="412" t="s">
        <v>974</v>
      </c>
      <c r="I220" s="477">
        <v>0</v>
      </c>
      <c r="J220" s="477">
        <v>0</v>
      </c>
      <c r="K220" s="477">
        <v>109260</v>
      </c>
      <c r="L220" s="477">
        <v>7500</v>
      </c>
      <c r="M220" s="477">
        <f t="shared" si="334"/>
        <v>109260</v>
      </c>
      <c r="N220" s="477">
        <f t="shared" si="335"/>
        <v>7500</v>
      </c>
      <c r="O220" s="477">
        <f>'Adjustments 2025'!E44</f>
        <v>7500</v>
      </c>
      <c r="P220" s="477"/>
      <c r="Q220" s="477">
        <f t="shared" si="377"/>
        <v>116760</v>
      </c>
      <c r="R220" s="477">
        <f t="shared" si="378"/>
        <v>7500</v>
      </c>
      <c r="S220" s="477">
        <f t="shared" si="379"/>
        <v>109260</v>
      </c>
      <c r="U220" s="473">
        <f>I220-J220</f>
        <v>0</v>
      </c>
      <c r="V220" s="476">
        <f t="shared" si="383"/>
        <v>116760</v>
      </c>
      <c r="W220" s="476">
        <f t="shared" si="384"/>
        <v>7500</v>
      </c>
      <c r="X220" s="476">
        <f t="shared" si="385"/>
        <v>0</v>
      </c>
      <c r="Y220" s="476">
        <f t="shared" si="386"/>
        <v>0</v>
      </c>
      <c r="Z220" s="476">
        <f t="shared" si="387"/>
        <v>0</v>
      </c>
      <c r="AA220" s="476">
        <f t="shared" si="388"/>
        <v>0</v>
      </c>
      <c r="AB220" s="476">
        <f t="shared" si="389"/>
        <v>0</v>
      </c>
      <c r="AC220" s="476">
        <f t="shared" si="390"/>
        <v>0</v>
      </c>
      <c r="AD220" s="476">
        <f t="shared" si="391"/>
        <v>0</v>
      </c>
      <c r="AE220" s="476">
        <f t="shared" si="392"/>
        <v>0</v>
      </c>
      <c r="AF220" s="476">
        <f t="shared" si="393"/>
        <v>0</v>
      </c>
      <c r="AG220" s="476">
        <f t="shared" si="394"/>
        <v>0</v>
      </c>
      <c r="AH220" s="476">
        <f t="shared" si="395"/>
        <v>0</v>
      </c>
      <c r="AI220" s="476">
        <f t="shared" si="396"/>
        <v>0</v>
      </c>
      <c r="AJ220" s="476">
        <f t="shared" si="397"/>
        <v>0</v>
      </c>
      <c r="AK220" s="476">
        <f t="shared" si="398"/>
        <v>0</v>
      </c>
      <c r="AL220" s="476">
        <f t="shared" si="399"/>
        <v>0</v>
      </c>
      <c r="AM220" s="476">
        <f t="shared" si="400"/>
        <v>0</v>
      </c>
      <c r="AN220" s="476">
        <f t="shared" si="401"/>
        <v>0</v>
      </c>
      <c r="AO220" s="476">
        <f t="shared" si="402"/>
        <v>0</v>
      </c>
      <c r="AP220" s="476">
        <f t="shared" si="403"/>
        <v>0</v>
      </c>
      <c r="AQ220" s="476">
        <f t="shared" si="404"/>
        <v>0</v>
      </c>
      <c r="AR220" s="476">
        <f t="shared" si="405"/>
        <v>0</v>
      </c>
      <c r="AS220" s="476">
        <f t="shared" si="406"/>
        <v>0</v>
      </c>
      <c r="AT220" s="476">
        <f t="shared" si="407"/>
        <v>0</v>
      </c>
      <c r="AU220" s="476">
        <f t="shared" si="408"/>
        <v>0</v>
      </c>
      <c r="AV220" s="476">
        <f t="shared" si="409"/>
        <v>0</v>
      </c>
      <c r="AW220" s="476">
        <f t="shared" si="410"/>
        <v>0</v>
      </c>
      <c r="AX220" s="476">
        <f t="shared" si="411"/>
        <v>0</v>
      </c>
      <c r="AY220" s="476">
        <f t="shared" si="412"/>
        <v>0</v>
      </c>
      <c r="AZ220" s="476">
        <f t="shared" si="413"/>
        <v>0</v>
      </c>
      <c r="BA220" s="476">
        <f t="shared" si="414"/>
        <v>0</v>
      </c>
      <c r="BB220" s="476">
        <f t="shared" si="415"/>
        <v>0</v>
      </c>
      <c r="BC220" s="476">
        <f t="shared" si="416"/>
        <v>0</v>
      </c>
      <c r="BD220" s="476">
        <f t="shared" si="417"/>
        <v>0</v>
      </c>
      <c r="BE220" s="476">
        <f t="shared" si="418"/>
        <v>0</v>
      </c>
      <c r="BF220" s="476">
        <f t="shared" si="419"/>
        <v>0</v>
      </c>
      <c r="BG220" s="476">
        <f t="shared" si="420"/>
        <v>0</v>
      </c>
    </row>
    <row r="221" spans="1:59" ht="16.5" customHeight="1">
      <c r="A221" s="583" t="s">
        <v>865</v>
      </c>
      <c r="B221" s="584" t="s">
        <v>983</v>
      </c>
      <c r="C221" s="584" t="s">
        <v>280</v>
      </c>
      <c r="D221" s="413" t="s">
        <v>1164</v>
      </c>
      <c r="E221" s="412" t="s">
        <v>1171</v>
      </c>
      <c r="F221" s="412" t="s">
        <v>1174</v>
      </c>
      <c r="G221" s="412" t="s">
        <v>1174</v>
      </c>
      <c r="H221" s="412" t="s">
        <v>974</v>
      </c>
      <c r="I221" s="477">
        <v>0</v>
      </c>
      <c r="J221" s="477">
        <v>0</v>
      </c>
      <c r="K221" s="477">
        <v>409388</v>
      </c>
      <c r="L221" s="477">
        <v>186450</v>
      </c>
      <c r="M221" s="477">
        <f t="shared" si="334"/>
        <v>409388</v>
      </c>
      <c r="N221" s="477">
        <f t="shared" si="335"/>
        <v>186450</v>
      </c>
      <c r="O221" s="477">
        <f>'Adjustments 2025'!E45</f>
        <v>186450</v>
      </c>
      <c r="P221" s="477"/>
      <c r="Q221" s="477">
        <f t="shared" si="377"/>
        <v>595838</v>
      </c>
      <c r="R221" s="477">
        <f t="shared" si="378"/>
        <v>186450</v>
      </c>
      <c r="S221" s="477">
        <f t="shared" si="379"/>
        <v>409388</v>
      </c>
      <c r="V221" s="476">
        <f t="shared" si="383"/>
        <v>595838</v>
      </c>
      <c r="W221" s="476">
        <f t="shared" si="384"/>
        <v>186450</v>
      </c>
      <c r="X221" s="476">
        <f t="shared" si="385"/>
        <v>0</v>
      </c>
      <c r="Y221" s="476">
        <f t="shared" si="386"/>
        <v>0</v>
      </c>
      <c r="Z221" s="476">
        <f t="shared" si="387"/>
        <v>0</v>
      </c>
      <c r="AA221" s="476">
        <f t="shared" si="388"/>
        <v>0</v>
      </c>
      <c r="AB221" s="476">
        <f t="shared" si="389"/>
        <v>0</v>
      </c>
      <c r="AC221" s="476">
        <f t="shared" si="390"/>
        <v>0</v>
      </c>
      <c r="AD221" s="476">
        <f t="shared" si="391"/>
        <v>0</v>
      </c>
      <c r="AE221" s="476">
        <f t="shared" si="392"/>
        <v>0</v>
      </c>
      <c r="AF221" s="476">
        <f t="shared" si="393"/>
        <v>0</v>
      </c>
      <c r="AG221" s="476">
        <f t="shared" si="394"/>
        <v>0</v>
      </c>
      <c r="AH221" s="476">
        <f t="shared" si="395"/>
        <v>0</v>
      </c>
      <c r="AI221" s="476">
        <f t="shared" si="396"/>
        <v>0</v>
      </c>
      <c r="AJ221" s="476">
        <f t="shared" si="397"/>
        <v>0</v>
      </c>
      <c r="AK221" s="476">
        <f t="shared" si="398"/>
        <v>0</v>
      </c>
      <c r="AL221" s="476">
        <f t="shared" si="399"/>
        <v>0</v>
      </c>
      <c r="AM221" s="476">
        <f t="shared" si="400"/>
        <v>0</v>
      </c>
      <c r="AN221" s="476">
        <f t="shared" si="401"/>
        <v>0</v>
      </c>
      <c r="AO221" s="476">
        <f t="shared" si="402"/>
        <v>0</v>
      </c>
      <c r="AP221" s="476">
        <f t="shared" si="403"/>
        <v>0</v>
      </c>
      <c r="AQ221" s="476">
        <f t="shared" si="404"/>
        <v>0</v>
      </c>
      <c r="AR221" s="476">
        <f t="shared" si="405"/>
        <v>0</v>
      </c>
      <c r="AS221" s="476">
        <f t="shared" si="406"/>
        <v>0</v>
      </c>
      <c r="AT221" s="476">
        <f t="shared" si="407"/>
        <v>0</v>
      </c>
      <c r="AU221" s="476">
        <f t="shared" si="408"/>
        <v>0</v>
      </c>
      <c r="AV221" s="476">
        <f t="shared" si="409"/>
        <v>0</v>
      </c>
      <c r="AW221" s="476">
        <f t="shared" si="410"/>
        <v>0</v>
      </c>
      <c r="AX221" s="476">
        <f t="shared" si="411"/>
        <v>0</v>
      </c>
      <c r="AY221" s="476">
        <f t="shared" si="412"/>
        <v>0</v>
      </c>
      <c r="AZ221" s="476">
        <f t="shared" si="413"/>
        <v>0</v>
      </c>
      <c r="BA221" s="476">
        <f t="shared" si="414"/>
        <v>0</v>
      </c>
      <c r="BB221" s="476">
        <f t="shared" si="415"/>
        <v>0</v>
      </c>
      <c r="BC221" s="476">
        <f t="shared" si="416"/>
        <v>0</v>
      </c>
      <c r="BD221" s="476">
        <f t="shared" si="417"/>
        <v>0</v>
      </c>
      <c r="BE221" s="476">
        <f t="shared" si="418"/>
        <v>0</v>
      </c>
      <c r="BF221" s="476">
        <f t="shared" si="419"/>
        <v>0</v>
      </c>
      <c r="BG221" s="476">
        <f t="shared" si="420"/>
        <v>0</v>
      </c>
    </row>
    <row r="222" spans="1:59" ht="16.5" customHeight="1">
      <c r="A222" s="583" t="s">
        <v>866</v>
      </c>
      <c r="B222" s="584" t="s">
        <v>1265</v>
      </c>
      <c r="C222" s="584" t="s">
        <v>281</v>
      </c>
      <c r="D222" s="413" t="s">
        <v>1164</v>
      </c>
      <c r="E222" s="412" t="s">
        <v>1171</v>
      </c>
      <c r="F222" s="413" t="s">
        <v>1174</v>
      </c>
      <c r="G222" s="412" t="s">
        <v>1174</v>
      </c>
      <c r="H222" s="412" t="s">
        <v>974</v>
      </c>
      <c r="I222" s="477">
        <v>0</v>
      </c>
      <c r="J222" s="477">
        <v>0</v>
      </c>
      <c r="K222" s="477">
        <v>5000</v>
      </c>
      <c r="L222" s="477">
        <v>0</v>
      </c>
      <c r="M222" s="477">
        <f t="shared" si="334"/>
        <v>5000</v>
      </c>
      <c r="N222" s="477">
        <f t="shared" si="335"/>
        <v>0</v>
      </c>
      <c r="O222" s="477"/>
      <c r="P222" s="477"/>
      <c r="Q222" s="477">
        <f t="shared" si="377"/>
        <v>5000</v>
      </c>
      <c r="R222" s="477">
        <f t="shared" si="378"/>
        <v>0</v>
      </c>
      <c r="S222" s="477">
        <f t="shared" si="379"/>
        <v>5000</v>
      </c>
      <c r="V222" s="476">
        <f t="shared" si="383"/>
        <v>5000</v>
      </c>
      <c r="W222" s="476">
        <f t="shared" si="384"/>
        <v>0</v>
      </c>
      <c r="X222" s="476">
        <f t="shared" si="385"/>
        <v>0</v>
      </c>
      <c r="Y222" s="476">
        <f t="shared" si="386"/>
        <v>0</v>
      </c>
      <c r="Z222" s="476">
        <f t="shared" si="387"/>
        <v>0</v>
      </c>
      <c r="AA222" s="476">
        <f t="shared" si="388"/>
        <v>0</v>
      </c>
      <c r="AB222" s="476">
        <f t="shared" si="389"/>
        <v>0</v>
      </c>
      <c r="AC222" s="476">
        <f t="shared" si="390"/>
        <v>0</v>
      </c>
      <c r="AD222" s="476">
        <f t="shared" si="391"/>
        <v>0</v>
      </c>
      <c r="AE222" s="476">
        <f t="shared" si="392"/>
        <v>0</v>
      </c>
      <c r="AF222" s="476">
        <f t="shared" si="393"/>
        <v>0</v>
      </c>
      <c r="AG222" s="476">
        <f t="shared" si="394"/>
        <v>0</v>
      </c>
      <c r="AH222" s="476">
        <f t="shared" si="395"/>
        <v>0</v>
      </c>
      <c r="AI222" s="476">
        <f t="shared" si="396"/>
        <v>0</v>
      </c>
      <c r="AJ222" s="476">
        <f t="shared" si="397"/>
        <v>0</v>
      </c>
      <c r="AK222" s="476">
        <f t="shared" si="398"/>
        <v>0</v>
      </c>
      <c r="AL222" s="476">
        <f t="shared" si="399"/>
        <v>0</v>
      </c>
      <c r="AM222" s="476">
        <f t="shared" si="400"/>
        <v>0</v>
      </c>
      <c r="AN222" s="476">
        <f t="shared" si="401"/>
        <v>0</v>
      </c>
      <c r="AO222" s="476">
        <f t="shared" si="402"/>
        <v>0</v>
      </c>
      <c r="AP222" s="476">
        <f t="shared" si="403"/>
        <v>0</v>
      </c>
      <c r="AQ222" s="476">
        <f t="shared" si="404"/>
        <v>0</v>
      </c>
      <c r="AR222" s="476">
        <f t="shared" si="405"/>
        <v>0</v>
      </c>
      <c r="AS222" s="476">
        <f t="shared" si="406"/>
        <v>0</v>
      </c>
      <c r="AT222" s="476">
        <f t="shared" si="407"/>
        <v>0</v>
      </c>
      <c r="AU222" s="476">
        <f t="shared" si="408"/>
        <v>0</v>
      </c>
      <c r="AV222" s="476">
        <f t="shared" si="409"/>
        <v>0</v>
      </c>
      <c r="AW222" s="476">
        <f t="shared" si="410"/>
        <v>0</v>
      </c>
      <c r="AX222" s="476">
        <f t="shared" si="411"/>
        <v>0</v>
      </c>
      <c r="AY222" s="476">
        <f t="shared" si="412"/>
        <v>0</v>
      </c>
      <c r="AZ222" s="476">
        <f t="shared" si="413"/>
        <v>0</v>
      </c>
      <c r="BA222" s="476">
        <f t="shared" si="414"/>
        <v>0</v>
      </c>
      <c r="BB222" s="476">
        <f t="shared" si="415"/>
        <v>0</v>
      </c>
      <c r="BC222" s="476">
        <f t="shared" si="416"/>
        <v>0</v>
      </c>
      <c r="BD222" s="476">
        <f t="shared" si="417"/>
        <v>0</v>
      </c>
      <c r="BE222" s="476">
        <f t="shared" si="418"/>
        <v>0</v>
      </c>
      <c r="BF222" s="476">
        <f t="shared" si="419"/>
        <v>0</v>
      </c>
      <c r="BG222" s="476">
        <f t="shared" si="420"/>
        <v>0</v>
      </c>
    </row>
    <row r="223" spans="1:59" ht="16.5" customHeight="1">
      <c r="A223" s="583" t="s">
        <v>867</v>
      </c>
      <c r="B223" s="584" t="s">
        <v>985</v>
      </c>
      <c r="C223" s="584" t="s">
        <v>282</v>
      </c>
      <c r="D223" s="413" t="s">
        <v>1164</v>
      </c>
      <c r="E223" s="412" t="s">
        <v>1171</v>
      </c>
      <c r="F223" s="413" t="s">
        <v>1175</v>
      </c>
      <c r="G223" s="412" t="s">
        <v>1175</v>
      </c>
      <c r="H223" s="412" t="s">
        <v>974</v>
      </c>
      <c r="I223" s="477">
        <v>0</v>
      </c>
      <c r="J223" s="477">
        <v>0</v>
      </c>
      <c r="K223" s="477">
        <v>149345</v>
      </c>
      <c r="L223" s="477">
        <v>2580</v>
      </c>
      <c r="M223" s="477">
        <f t="shared" si="334"/>
        <v>149345</v>
      </c>
      <c r="N223" s="477">
        <f t="shared" si="335"/>
        <v>2580</v>
      </c>
      <c r="O223" s="477">
        <f>'Adjustments 2025'!E46</f>
        <v>2580</v>
      </c>
      <c r="P223" s="477"/>
      <c r="Q223" s="477">
        <f t="shared" si="377"/>
        <v>151925</v>
      </c>
      <c r="R223" s="477">
        <f t="shared" si="378"/>
        <v>2580</v>
      </c>
      <c r="S223" s="477">
        <f t="shared" si="379"/>
        <v>149345</v>
      </c>
      <c r="V223" s="476">
        <f t="shared" si="383"/>
        <v>151925</v>
      </c>
      <c r="W223" s="476">
        <f t="shared" si="384"/>
        <v>2580</v>
      </c>
      <c r="X223" s="476">
        <f t="shared" si="385"/>
        <v>0</v>
      </c>
      <c r="Y223" s="476">
        <f t="shared" si="386"/>
        <v>0</v>
      </c>
      <c r="Z223" s="476">
        <f t="shared" si="387"/>
        <v>0</v>
      </c>
      <c r="AA223" s="476">
        <f t="shared" si="388"/>
        <v>0</v>
      </c>
      <c r="AB223" s="476">
        <f t="shared" si="389"/>
        <v>0</v>
      </c>
      <c r="AC223" s="476">
        <f t="shared" si="390"/>
        <v>0</v>
      </c>
      <c r="AD223" s="476">
        <f t="shared" si="391"/>
        <v>0</v>
      </c>
      <c r="AE223" s="476">
        <f t="shared" si="392"/>
        <v>0</v>
      </c>
      <c r="AF223" s="476">
        <f t="shared" si="393"/>
        <v>0</v>
      </c>
      <c r="AG223" s="476">
        <f t="shared" si="394"/>
        <v>0</v>
      </c>
      <c r="AH223" s="476">
        <f t="shared" si="395"/>
        <v>0</v>
      </c>
      <c r="AI223" s="476">
        <f t="shared" si="396"/>
        <v>0</v>
      </c>
      <c r="AJ223" s="476">
        <f t="shared" si="397"/>
        <v>0</v>
      </c>
      <c r="AK223" s="476">
        <f t="shared" si="398"/>
        <v>0</v>
      </c>
      <c r="AL223" s="476">
        <f t="shared" si="399"/>
        <v>0</v>
      </c>
      <c r="AM223" s="476">
        <f t="shared" si="400"/>
        <v>0</v>
      </c>
      <c r="AN223" s="476">
        <f t="shared" si="401"/>
        <v>0</v>
      </c>
      <c r="AO223" s="476">
        <f t="shared" si="402"/>
        <v>0</v>
      </c>
      <c r="AP223" s="476">
        <f t="shared" si="403"/>
        <v>0</v>
      </c>
      <c r="AQ223" s="476">
        <f t="shared" si="404"/>
        <v>0</v>
      </c>
      <c r="AR223" s="476">
        <f t="shared" si="405"/>
        <v>0</v>
      </c>
      <c r="AS223" s="476">
        <f t="shared" si="406"/>
        <v>0</v>
      </c>
      <c r="AT223" s="476">
        <f t="shared" si="407"/>
        <v>0</v>
      </c>
      <c r="AU223" s="476">
        <f t="shared" si="408"/>
        <v>0</v>
      </c>
      <c r="AV223" s="476">
        <f t="shared" si="409"/>
        <v>0</v>
      </c>
      <c r="AW223" s="476">
        <f t="shared" si="410"/>
        <v>0</v>
      </c>
      <c r="AX223" s="476">
        <f t="shared" si="411"/>
        <v>0</v>
      </c>
      <c r="AY223" s="476">
        <f t="shared" si="412"/>
        <v>0</v>
      </c>
      <c r="AZ223" s="476">
        <f t="shared" si="413"/>
        <v>0</v>
      </c>
      <c r="BA223" s="476">
        <f t="shared" si="414"/>
        <v>0</v>
      </c>
      <c r="BB223" s="476">
        <f t="shared" si="415"/>
        <v>0</v>
      </c>
      <c r="BC223" s="476">
        <f t="shared" si="416"/>
        <v>0</v>
      </c>
      <c r="BD223" s="476">
        <f t="shared" si="417"/>
        <v>0</v>
      </c>
      <c r="BE223" s="476">
        <f t="shared" si="418"/>
        <v>0</v>
      </c>
      <c r="BF223" s="476">
        <f t="shared" si="419"/>
        <v>0</v>
      </c>
      <c r="BG223" s="476">
        <f t="shared" si="420"/>
        <v>0</v>
      </c>
    </row>
    <row r="224" spans="1:59" ht="16.5" customHeight="1">
      <c r="A224" s="583" t="s">
        <v>868</v>
      </c>
      <c r="B224" s="584" t="s">
        <v>1685</v>
      </c>
      <c r="C224" s="584" t="s">
        <v>283</v>
      </c>
      <c r="D224" s="413" t="s">
        <v>1164</v>
      </c>
      <c r="E224" s="412" t="s">
        <v>1171</v>
      </c>
      <c r="F224" s="413" t="s">
        <v>1176</v>
      </c>
      <c r="G224" s="412" t="s">
        <v>1176</v>
      </c>
      <c r="H224" s="412" t="s">
        <v>974</v>
      </c>
      <c r="I224" s="477">
        <v>0</v>
      </c>
      <c r="J224" s="477">
        <v>0</v>
      </c>
      <c r="K224" s="477">
        <v>13710</v>
      </c>
      <c r="L224" s="477">
        <v>0</v>
      </c>
      <c r="M224" s="477">
        <f t="shared" si="334"/>
        <v>13710</v>
      </c>
      <c r="N224" s="477">
        <f t="shared" si="335"/>
        <v>0</v>
      </c>
      <c r="O224" s="477"/>
      <c r="P224" s="477"/>
      <c r="Q224" s="477">
        <f t="shared" si="377"/>
        <v>13710</v>
      </c>
      <c r="R224" s="477">
        <f t="shared" si="378"/>
        <v>0</v>
      </c>
      <c r="S224" s="477">
        <f t="shared" si="379"/>
        <v>13710</v>
      </c>
      <c r="V224" s="476">
        <f t="shared" si="383"/>
        <v>13710</v>
      </c>
      <c r="W224" s="476">
        <f t="shared" si="384"/>
        <v>0</v>
      </c>
      <c r="X224" s="476">
        <f t="shared" si="385"/>
        <v>0</v>
      </c>
      <c r="Y224" s="476">
        <f t="shared" si="386"/>
        <v>0</v>
      </c>
      <c r="Z224" s="476">
        <f t="shared" si="387"/>
        <v>0</v>
      </c>
      <c r="AA224" s="476">
        <f t="shared" si="388"/>
        <v>0</v>
      </c>
      <c r="AB224" s="476">
        <f t="shared" si="389"/>
        <v>0</v>
      </c>
      <c r="AC224" s="476">
        <f t="shared" si="390"/>
        <v>0</v>
      </c>
      <c r="AD224" s="476">
        <f t="shared" si="391"/>
        <v>0</v>
      </c>
      <c r="AE224" s="476">
        <f t="shared" si="392"/>
        <v>0</v>
      </c>
      <c r="AF224" s="476">
        <f t="shared" si="393"/>
        <v>0</v>
      </c>
      <c r="AG224" s="476">
        <f t="shared" si="394"/>
        <v>0</v>
      </c>
      <c r="AH224" s="476">
        <f t="shared" si="395"/>
        <v>0</v>
      </c>
      <c r="AI224" s="476">
        <f t="shared" si="396"/>
        <v>0</v>
      </c>
      <c r="AJ224" s="476">
        <f t="shared" si="397"/>
        <v>0</v>
      </c>
      <c r="AK224" s="476">
        <f t="shared" si="398"/>
        <v>0</v>
      </c>
      <c r="AL224" s="476">
        <f t="shared" si="399"/>
        <v>0</v>
      </c>
      <c r="AM224" s="476">
        <f t="shared" si="400"/>
        <v>0</v>
      </c>
      <c r="AN224" s="476">
        <f t="shared" si="401"/>
        <v>0</v>
      </c>
      <c r="AO224" s="476">
        <f t="shared" si="402"/>
        <v>0</v>
      </c>
      <c r="AP224" s="476">
        <f t="shared" si="403"/>
        <v>0</v>
      </c>
      <c r="AQ224" s="476">
        <f t="shared" si="404"/>
        <v>0</v>
      </c>
      <c r="AR224" s="476">
        <f t="shared" si="405"/>
        <v>0</v>
      </c>
      <c r="AS224" s="476">
        <f t="shared" si="406"/>
        <v>0</v>
      </c>
      <c r="AT224" s="476">
        <f t="shared" si="407"/>
        <v>0</v>
      </c>
      <c r="AU224" s="476">
        <f t="shared" si="408"/>
        <v>0</v>
      </c>
      <c r="AV224" s="476">
        <f t="shared" si="409"/>
        <v>0</v>
      </c>
      <c r="AW224" s="476">
        <f t="shared" si="410"/>
        <v>0</v>
      </c>
      <c r="AX224" s="476">
        <f t="shared" si="411"/>
        <v>0</v>
      </c>
      <c r="AY224" s="476">
        <f t="shared" si="412"/>
        <v>0</v>
      </c>
      <c r="AZ224" s="476">
        <f t="shared" si="413"/>
        <v>0</v>
      </c>
      <c r="BA224" s="476">
        <f t="shared" si="414"/>
        <v>0</v>
      </c>
      <c r="BB224" s="476">
        <f t="shared" si="415"/>
        <v>0</v>
      </c>
      <c r="BC224" s="476">
        <f t="shared" si="416"/>
        <v>0</v>
      </c>
      <c r="BD224" s="476">
        <f t="shared" si="417"/>
        <v>0</v>
      </c>
      <c r="BE224" s="476">
        <f t="shared" si="418"/>
        <v>0</v>
      </c>
      <c r="BF224" s="476">
        <f t="shared" si="419"/>
        <v>0</v>
      </c>
      <c r="BG224" s="476">
        <f t="shared" si="420"/>
        <v>0</v>
      </c>
    </row>
    <row r="225" spans="1:59" ht="16.5" customHeight="1">
      <c r="A225" s="583" t="s">
        <v>869</v>
      </c>
      <c r="B225" s="584" t="s">
        <v>1686</v>
      </c>
      <c r="C225" s="584" t="s">
        <v>284</v>
      </c>
      <c r="D225" s="413" t="s">
        <v>1164</v>
      </c>
      <c r="E225" s="412" t="s">
        <v>1171</v>
      </c>
      <c r="F225" s="413" t="s">
        <v>1177</v>
      </c>
      <c r="G225" s="412" t="s">
        <v>1177</v>
      </c>
      <c r="H225" s="412" t="s">
        <v>974</v>
      </c>
      <c r="I225" s="477">
        <v>0</v>
      </c>
      <c r="J225" s="477">
        <v>0</v>
      </c>
      <c r="K225" s="477">
        <v>470200</v>
      </c>
      <c r="L225" s="477">
        <v>247770</v>
      </c>
      <c r="M225" s="477">
        <f t="shared" si="334"/>
        <v>470200</v>
      </c>
      <c r="N225" s="477">
        <f t="shared" si="335"/>
        <v>247770</v>
      </c>
      <c r="O225" s="477">
        <f>'Adjustments 2025'!E47</f>
        <v>247770</v>
      </c>
      <c r="P225" s="477"/>
      <c r="Q225" s="477">
        <f t="shared" si="377"/>
        <v>717970</v>
      </c>
      <c r="R225" s="477">
        <f t="shared" si="378"/>
        <v>247770</v>
      </c>
      <c r="S225" s="477">
        <f t="shared" si="379"/>
        <v>470200</v>
      </c>
      <c r="V225" s="476">
        <f t="shared" si="383"/>
        <v>717970</v>
      </c>
      <c r="W225" s="476">
        <f t="shared" si="384"/>
        <v>247770</v>
      </c>
      <c r="X225" s="476">
        <f t="shared" si="385"/>
        <v>0</v>
      </c>
      <c r="Y225" s="476">
        <f t="shared" si="386"/>
        <v>0</v>
      </c>
      <c r="Z225" s="476">
        <f t="shared" si="387"/>
        <v>0</v>
      </c>
      <c r="AA225" s="476">
        <f t="shared" si="388"/>
        <v>0</v>
      </c>
      <c r="AB225" s="476">
        <f t="shared" si="389"/>
        <v>0</v>
      </c>
      <c r="AC225" s="476">
        <f t="shared" si="390"/>
        <v>0</v>
      </c>
      <c r="AD225" s="476">
        <f t="shared" si="391"/>
        <v>0</v>
      </c>
      <c r="AE225" s="476">
        <f t="shared" si="392"/>
        <v>0</v>
      </c>
      <c r="AF225" s="476">
        <f t="shared" si="393"/>
        <v>0</v>
      </c>
      <c r="AG225" s="476">
        <f t="shared" si="394"/>
        <v>0</v>
      </c>
      <c r="AH225" s="476">
        <f t="shared" si="395"/>
        <v>0</v>
      </c>
      <c r="AI225" s="476">
        <f t="shared" si="396"/>
        <v>0</v>
      </c>
      <c r="AJ225" s="476">
        <f t="shared" si="397"/>
        <v>0</v>
      </c>
      <c r="AK225" s="476">
        <f t="shared" si="398"/>
        <v>0</v>
      </c>
      <c r="AL225" s="476">
        <f t="shared" si="399"/>
        <v>0</v>
      </c>
      <c r="AM225" s="476">
        <f t="shared" si="400"/>
        <v>0</v>
      </c>
      <c r="AN225" s="476">
        <f t="shared" si="401"/>
        <v>0</v>
      </c>
      <c r="AO225" s="476">
        <f t="shared" si="402"/>
        <v>0</v>
      </c>
      <c r="AP225" s="476">
        <f t="shared" si="403"/>
        <v>0</v>
      </c>
      <c r="AQ225" s="476">
        <f t="shared" si="404"/>
        <v>0</v>
      </c>
      <c r="AR225" s="476">
        <f t="shared" si="405"/>
        <v>0</v>
      </c>
      <c r="AS225" s="476">
        <f t="shared" si="406"/>
        <v>0</v>
      </c>
      <c r="AT225" s="476">
        <f t="shared" si="407"/>
        <v>0</v>
      </c>
      <c r="AU225" s="476">
        <f t="shared" si="408"/>
        <v>0</v>
      </c>
      <c r="AV225" s="476">
        <f t="shared" si="409"/>
        <v>0</v>
      </c>
      <c r="AW225" s="476">
        <f t="shared" si="410"/>
        <v>0</v>
      </c>
      <c r="AX225" s="476">
        <f t="shared" si="411"/>
        <v>0</v>
      </c>
      <c r="AY225" s="476">
        <f t="shared" si="412"/>
        <v>0</v>
      </c>
      <c r="AZ225" s="476">
        <f t="shared" si="413"/>
        <v>0</v>
      </c>
      <c r="BA225" s="476">
        <f t="shared" si="414"/>
        <v>0</v>
      </c>
      <c r="BB225" s="476">
        <f t="shared" si="415"/>
        <v>0</v>
      </c>
      <c r="BC225" s="476">
        <f t="shared" si="416"/>
        <v>0</v>
      </c>
      <c r="BD225" s="476">
        <f t="shared" si="417"/>
        <v>0</v>
      </c>
      <c r="BE225" s="476">
        <f t="shared" si="418"/>
        <v>0</v>
      </c>
      <c r="BF225" s="476">
        <f t="shared" si="419"/>
        <v>0</v>
      </c>
      <c r="BG225" s="476">
        <f t="shared" si="420"/>
        <v>0</v>
      </c>
    </row>
    <row r="226" spans="1:59" ht="16.5" customHeight="1">
      <c r="A226" s="583" t="s">
        <v>870</v>
      </c>
      <c r="B226" s="584" t="s">
        <v>1687</v>
      </c>
      <c r="C226" s="584" t="s">
        <v>285</v>
      </c>
      <c r="D226" s="413" t="s">
        <v>1164</v>
      </c>
      <c r="E226" s="412" t="s">
        <v>1171</v>
      </c>
      <c r="F226" s="413" t="s">
        <v>1177</v>
      </c>
      <c r="G226" s="412" t="s">
        <v>1177</v>
      </c>
      <c r="H226" s="412" t="s">
        <v>974</v>
      </c>
      <c r="I226" s="477">
        <v>0</v>
      </c>
      <c r="J226" s="477">
        <v>0</v>
      </c>
      <c r="K226" s="477">
        <v>400560</v>
      </c>
      <c r="L226" s="477">
        <v>22390</v>
      </c>
      <c r="M226" s="477">
        <f t="shared" si="334"/>
        <v>400560</v>
      </c>
      <c r="N226" s="477">
        <f t="shared" si="335"/>
        <v>22390</v>
      </c>
      <c r="O226" s="477">
        <f>'Adjustments 2025'!E48</f>
        <v>22390</v>
      </c>
      <c r="P226" s="477"/>
      <c r="Q226" s="477">
        <f t="shared" si="377"/>
        <v>422950</v>
      </c>
      <c r="R226" s="477">
        <f t="shared" si="378"/>
        <v>22390</v>
      </c>
      <c r="S226" s="477">
        <f t="shared" si="379"/>
        <v>400560</v>
      </c>
      <c r="V226" s="476">
        <f t="shared" si="383"/>
        <v>422950</v>
      </c>
      <c r="W226" s="476">
        <f t="shared" si="384"/>
        <v>22390</v>
      </c>
      <c r="X226" s="476">
        <f t="shared" si="385"/>
        <v>0</v>
      </c>
      <c r="Y226" s="476">
        <f t="shared" si="386"/>
        <v>0</v>
      </c>
      <c r="Z226" s="476">
        <f t="shared" si="387"/>
        <v>0</v>
      </c>
      <c r="AA226" s="476">
        <f t="shared" si="388"/>
        <v>0</v>
      </c>
      <c r="AB226" s="476">
        <f t="shared" si="389"/>
        <v>0</v>
      </c>
      <c r="AC226" s="476">
        <f t="shared" si="390"/>
        <v>0</v>
      </c>
      <c r="AD226" s="476">
        <f t="shared" si="391"/>
        <v>0</v>
      </c>
      <c r="AE226" s="476">
        <f t="shared" si="392"/>
        <v>0</v>
      </c>
      <c r="AF226" s="476">
        <f t="shared" si="393"/>
        <v>0</v>
      </c>
      <c r="AG226" s="476">
        <f t="shared" si="394"/>
        <v>0</v>
      </c>
      <c r="AH226" s="476">
        <f t="shared" si="395"/>
        <v>0</v>
      </c>
      <c r="AI226" s="476">
        <f t="shared" si="396"/>
        <v>0</v>
      </c>
      <c r="AJ226" s="476">
        <f t="shared" si="397"/>
        <v>0</v>
      </c>
      <c r="AK226" s="476">
        <f t="shared" si="398"/>
        <v>0</v>
      </c>
      <c r="AL226" s="476">
        <f t="shared" si="399"/>
        <v>0</v>
      </c>
      <c r="AM226" s="476">
        <f t="shared" si="400"/>
        <v>0</v>
      </c>
      <c r="AN226" s="476">
        <f t="shared" si="401"/>
        <v>0</v>
      </c>
      <c r="AO226" s="476">
        <f t="shared" si="402"/>
        <v>0</v>
      </c>
      <c r="AP226" s="476">
        <f t="shared" si="403"/>
        <v>0</v>
      </c>
      <c r="AQ226" s="476">
        <f t="shared" si="404"/>
        <v>0</v>
      </c>
      <c r="AR226" s="476">
        <f t="shared" si="405"/>
        <v>0</v>
      </c>
      <c r="AS226" s="476">
        <f t="shared" si="406"/>
        <v>0</v>
      </c>
      <c r="AT226" s="476">
        <f t="shared" si="407"/>
        <v>0</v>
      </c>
      <c r="AU226" s="476">
        <f t="shared" si="408"/>
        <v>0</v>
      </c>
      <c r="AV226" s="476">
        <f t="shared" si="409"/>
        <v>0</v>
      </c>
      <c r="AW226" s="476">
        <f t="shared" si="410"/>
        <v>0</v>
      </c>
      <c r="AX226" s="476">
        <f t="shared" si="411"/>
        <v>0</v>
      </c>
      <c r="AY226" s="476">
        <f t="shared" si="412"/>
        <v>0</v>
      </c>
      <c r="AZ226" s="476">
        <f t="shared" si="413"/>
        <v>0</v>
      </c>
      <c r="BA226" s="476">
        <f t="shared" si="414"/>
        <v>0</v>
      </c>
      <c r="BB226" s="476">
        <f t="shared" si="415"/>
        <v>0</v>
      </c>
      <c r="BC226" s="476">
        <f t="shared" si="416"/>
        <v>0</v>
      </c>
      <c r="BD226" s="476">
        <f t="shared" si="417"/>
        <v>0</v>
      </c>
      <c r="BE226" s="476">
        <f t="shared" si="418"/>
        <v>0</v>
      </c>
      <c r="BF226" s="476">
        <f t="shared" si="419"/>
        <v>0</v>
      </c>
      <c r="BG226" s="476">
        <f t="shared" si="420"/>
        <v>0</v>
      </c>
    </row>
    <row r="227" spans="1:59" ht="16.5" customHeight="1">
      <c r="A227" s="583" t="s">
        <v>1227</v>
      </c>
      <c r="B227" s="584" t="s">
        <v>1688</v>
      </c>
      <c r="C227" s="584" t="s">
        <v>1771</v>
      </c>
      <c r="D227" s="413" t="s">
        <v>1164</v>
      </c>
      <c r="E227" s="412" t="s">
        <v>1171</v>
      </c>
      <c r="F227" s="413" t="s">
        <v>1177</v>
      </c>
      <c r="G227" s="412" t="s">
        <v>1177</v>
      </c>
      <c r="H227" s="412" t="s">
        <v>974</v>
      </c>
      <c r="I227" s="477">
        <v>0</v>
      </c>
      <c r="J227" s="477">
        <v>0</v>
      </c>
      <c r="K227" s="477">
        <v>26455</v>
      </c>
      <c r="L227" s="477">
        <v>0</v>
      </c>
      <c r="M227" s="477">
        <f t="shared" si="334"/>
        <v>26455</v>
      </c>
      <c r="N227" s="477">
        <f t="shared" si="335"/>
        <v>0</v>
      </c>
      <c r="O227" s="477"/>
      <c r="P227" s="477"/>
      <c r="Q227" s="477">
        <f t="shared" si="377"/>
        <v>26455</v>
      </c>
      <c r="R227" s="477">
        <f t="shared" si="378"/>
        <v>0</v>
      </c>
      <c r="S227" s="477">
        <f t="shared" si="379"/>
        <v>26455</v>
      </c>
      <c r="V227" s="476">
        <f t="shared" si="383"/>
        <v>26455</v>
      </c>
      <c r="W227" s="476">
        <f t="shared" si="384"/>
        <v>0</v>
      </c>
      <c r="X227" s="476">
        <f t="shared" si="385"/>
        <v>0</v>
      </c>
      <c r="Y227" s="476">
        <f t="shared" si="386"/>
        <v>0</v>
      </c>
      <c r="Z227" s="476">
        <f t="shared" si="387"/>
        <v>0</v>
      </c>
      <c r="AA227" s="476">
        <f t="shared" si="388"/>
        <v>0</v>
      </c>
      <c r="AB227" s="476">
        <f t="shared" si="389"/>
        <v>0</v>
      </c>
      <c r="AC227" s="476">
        <f t="shared" si="390"/>
        <v>0</v>
      </c>
      <c r="AD227" s="476">
        <f t="shared" si="391"/>
        <v>0</v>
      </c>
      <c r="AE227" s="476">
        <f t="shared" si="392"/>
        <v>0</v>
      </c>
      <c r="AF227" s="476">
        <f t="shared" si="393"/>
        <v>0</v>
      </c>
      <c r="AG227" s="476">
        <f t="shared" si="394"/>
        <v>0</v>
      </c>
      <c r="AH227" s="476">
        <f t="shared" si="395"/>
        <v>0</v>
      </c>
      <c r="AI227" s="476">
        <f t="shared" si="396"/>
        <v>0</v>
      </c>
      <c r="AJ227" s="476">
        <f t="shared" si="397"/>
        <v>0</v>
      </c>
      <c r="AK227" s="476">
        <f t="shared" si="398"/>
        <v>0</v>
      </c>
      <c r="AL227" s="476">
        <f t="shared" si="399"/>
        <v>0</v>
      </c>
      <c r="AM227" s="476">
        <f t="shared" si="400"/>
        <v>0</v>
      </c>
      <c r="AN227" s="476">
        <f t="shared" si="401"/>
        <v>0</v>
      </c>
      <c r="AO227" s="476">
        <f t="shared" si="402"/>
        <v>0</v>
      </c>
      <c r="AP227" s="476">
        <f t="shared" si="403"/>
        <v>0</v>
      </c>
      <c r="AQ227" s="476">
        <f t="shared" si="404"/>
        <v>0</v>
      </c>
      <c r="AR227" s="476">
        <f t="shared" si="405"/>
        <v>0</v>
      </c>
      <c r="AS227" s="476">
        <f t="shared" si="406"/>
        <v>0</v>
      </c>
      <c r="AT227" s="476">
        <f t="shared" si="407"/>
        <v>0</v>
      </c>
      <c r="AU227" s="476">
        <f t="shared" si="408"/>
        <v>0</v>
      </c>
      <c r="AV227" s="476">
        <f t="shared" si="409"/>
        <v>0</v>
      </c>
      <c r="AW227" s="476">
        <f t="shared" si="410"/>
        <v>0</v>
      </c>
      <c r="AX227" s="476">
        <f t="shared" si="411"/>
        <v>0</v>
      </c>
      <c r="AY227" s="476">
        <f t="shared" si="412"/>
        <v>0</v>
      </c>
      <c r="AZ227" s="476">
        <f t="shared" si="413"/>
        <v>0</v>
      </c>
      <c r="BA227" s="476">
        <f t="shared" si="414"/>
        <v>0</v>
      </c>
      <c r="BB227" s="476">
        <f t="shared" si="415"/>
        <v>0</v>
      </c>
      <c r="BC227" s="476">
        <f t="shared" si="416"/>
        <v>0</v>
      </c>
      <c r="BD227" s="476">
        <f t="shared" si="417"/>
        <v>0</v>
      </c>
      <c r="BE227" s="476">
        <f t="shared" si="418"/>
        <v>0</v>
      </c>
      <c r="BF227" s="476">
        <f t="shared" si="419"/>
        <v>0</v>
      </c>
      <c r="BG227" s="476">
        <f t="shared" si="420"/>
        <v>0</v>
      </c>
    </row>
    <row r="228" spans="1:59" ht="16.5" customHeight="1">
      <c r="A228" s="583" t="s">
        <v>871</v>
      </c>
      <c r="B228" s="584" t="s">
        <v>979</v>
      </c>
      <c r="C228" s="584" t="s">
        <v>286</v>
      </c>
      <c r="D228" s="413" t="s">
        <v>1164</v>
      </c>
      <c r="E228" s="412" t="s">
        <v>1171</v>
      </c>
      <c r="F228" s="413" t="s">
        <v>1177</v>
      </c>
      <c r="G228" s="412" t="s">
        <v>1177</v>
      </c>
      <c r="H228" s="412" t="s">
        <v>974</v>
      </c>
      <c r="I228" s="477">
        <v>0</v>
      </c>
      <c r="J228" s="477">
        <v>0</v>
      </c>
      <c r="K228" s="477">
        <v>4300</v>
      </c>
      <c r="L228" s="477">
        <v>0</v>
      </c>
      <c r="M228" s="477">
        <f t="shared" si="334"/>
        <v>4300</v>
      </c>
      <c r="N228" s="477">
        <f t="shared" si="335"/>
        <v>0</v>
      </c>
      <c r="O228" s="477"/>
      <c r="P228" s="477"/>
      <c r="Q228" s="477">
        <f t="shared" ref="Q228" si="421">+M228+O228</f>
        <v>4300</v>
      </c>
      <c r="R228" s="477">
        <f t="shared" ref="R228" si="422">+N228+P228</f>
        <v>0</v>
      </c>
      <c r="S228" s="477">
        <f t="shared" ref="S228" si="423">+Q228-R228</f>
        <v>4300</v>
      </c>
      <c r="V228" s="476"/>
      <c r="W228" s="476"/>
      <c r="X228" s="476"/>
      <c r="Y228" s="476"/>
      <c r="Z228" s="476"/>
      <c r="AA228" s="476"/>
      <c r="AB228" s="476"/>
      <c r="AC228" s="476"/>
      <c r="AD228" s="476"/>
      <c r="AE228" s="476"/>
      <c r="AF228" s="476"/>
      <c r="AG228" s="476"/>
      <c r="AH228" s="476"/>
      <c r="AI228" s="476"/>
      <c r="AJ228" s="476"/>
      <c r="AK228" s="476"/>
      <c r="AL228" s="476"/>
      <c r="AM228" s="476"/>
      <c r="AN228" s="476"/>
      <c r="AO228" s="476"/>
      <c r="AP228" s="476"/>
      <c r="AQ228" s="476"/>
      <c r="AR228" s="476"/>
      <c r="AS228" s="476"/>
      <c r="AT228" s="476"/>
      <c r="AU228" s="476"/>
      <c r="AV228" s="476"/>
      <c r="AW228" s="476"/>
      <c r="AX228" s="476"/>
      <c r="AY228" s="476"/>
      <c r="AZ228" s="476"/>
      <c r="BA228" s="476"/>
      <c r="BB228" s="476"/>
      <c r="BC228" s="476"/>
      <c r="BD228" s="476"/>
      <c r="BE228" s="476"/>
      <c r="BF228" s="476"/>
      <c r="BG228" s="476"/>
    </row>
    <row r="229" spans="1:59" ht="16.5" customHeight="1">
      <c r="A229" s="583" t="s">
        <v>872</v>
      </c>
      <c r="B229" s="584" t="s">
        <v>1689</v>
      </c>
      <c r="C229" s="584" t="s">
        <v>287</v>
      </c>
      <c r="D229" s="413" t="s">
        <v>1164</v>
      </c>
      <c r="E229" s="412" t="s">
        <v>1171</v>
      </c>
      <c r="F229" s="413" t="s">
        <v>1179</v>
      </c>
      <c r="G229" s="412" t="s">
        <v>1179</v>
      </c>
      <c r="H229" s="412" t="s">
        <v>974</v>
      </c>
      <c r="I229" s="477">
        <v>0</v>
      </c>
      <c r="J229" s="477">
        <v>0</v>
      </c>
      <c r="K229" s="477">
        <v>7540</v>
      </c>
      <c r="L229" s="477">
        <v>4050</v>
      </c>
      <c r="M229" s="477">
        <f t="shared" si="334"/>
        <v>7540</v>
      </c>
      <c r="N229" s="477">
        <f t="shared" si="335"/>
        <v>4050</v>
      </c>
      <c r="O229" s="477">
        <f>'Adjustments 2025'!E49</f>
        <v>4050</v>
      </c>
      <c r="P229" s="477"/>
      <c r="Q229" s="477">
        <f t="shared" si="377"/>
        <v>11590</v>
      </c>
      <c r="R229" s="477">
        <f t="shared" si="378"/>
        <v>4050</v>
      </c>
      <c r="S229" s="477">
        <f t="shared" si="379"/>
        <v>7540</v>
      </c>
      <c r="V229" s="476">
        <f>IF($V$8=$H229,$Q229,0)</f>
        <v>11590</v>
      </c>
      <c r="W229" s="476">
        <f>IF($V$8=$H229,$R229,0)</f>
        <v>4050</v>
      </c>
      <c r="X229" s="476">
        <f>IF($X$8=$H229,$Q229,0)</f>
        <v>0</v>
      </c>
      <c r="Y229" s="476">
        <f>IF($X$8=$H229,$R229,0)</f>
        <v>0</v>
      </c>
      <c r="Z229" s="476">
        <f>IF($Z$8=$H229,$Q229,0)</f>
        <v>0</v>
      </c>
      <c r="AA229" s="476">
        <f>IF($Z$8=$H229,$R229,0)</f>
        <v>0</v>
      </c>
      <c r="AB229" s="476">
        <f>IF($AB$8=$H229,$Q229,0)</f>
        <v>0</v>
      </c>
      <c r="AC229" s="476">
        <f>IF($AB$8=$H229,$R229,0)</f>
        <v>0</v>
      </c>
      <c r="AD229" s="476">
        <f>IF($AD$8=$H229,$Q229,0)</f>
        <v>0</v>
      </c>
      <c r="AE229" s="476">
        <f>IF($AD$8=$H229,$R229,0)</f>
        <v>0</v>
      </c>
      <c r="AF229" s="476">
        <f>IF($AF$8=$H229,$Q229,0)</f>
        <v>0</v>
      </c>
      <c r="AG229" s="476">
        <f>IF($AF$8=$H229,$R229,0)</f>
        <v>0</v>
      </c>
      <c r="AH229" s="476">
        <f>IF($AH$8=$H229,$Q229,0)</f>
        <v>0</v>
      </c>
      <c r="AI229" s="476">
        <f>IF($AH$8=$H229,$R229,0)</f>
        <v>0</v>
      </c>
      <c r="AJ229" s="476">
        <f>IF($AJ$8=$H229,$Q229,0)</f>
        <v>0</v>
      </c>
      <c r="AK229" s="476">
        <f>IF($AJ$8=$H229,$R229,0)</f>
        <v>0</v>
      </c>
      <c r="AL229" s="476">
        <f>IF($AL$8=$H229,$Q229,0)</f>
        <v>0</v>
      </c>
      <c r="AM229" s="476">
        <f>IF($AL$8=$H229,$R229,0)</f>
        <v>0</v>
      </c>
      <c r="AN229" s="476">
        <f>IF($AN$8=$H229,$Q229,0)</f>
        <v>0</v>
      </c>
      <c r="AO229" s="476">
        <f>IF($AN$8=$H229,$R229,0)</f>
        <v>0</v>
      </c>
      <c r="AP229" s="476">
        <f>IF($AP$8=$H229,$Q229,0)</f>
        <v>0</v>
      </c>
      <c r="AQ229" s="476">
        <f>IF($AP$8=$H229,$R229,0)</f>
        <v>0</v>
      </c>
      <c r="AR229" s="476">
        <f>IF($AR$8=$H229,$Q229,0)</f>
        <v>0</v>
      </c>
      <c r="AS229" s="476">
        <f>IF($AR$8=$H229,$R229,0)</f>
        <v>0</v>
      </c>
      <c r="AT229" s="476">
        <f>IF($AT$8=$H229,$Q229,0)</f>
        <v>0</v>
      </c>
      <c r="AU229" s="476">
        <f>IF($AT$8=$H229,$R229,0)</f>
        <v>0</v>
      </c>
      <c r="AV229" s="476">
        <f>IF($AV$8=$H229,$Q229,0)</f>
        <v>0</v>
      </c>
      <c r="AW229" s="476">
        <f>IF($AV$8=$H229,$R229,0)</f>
        <v>0</v>
      </c>
      <c r="AX229" s="476">
        <f>IF($AX$8=$H229,$Q229,0)</f>
        <v>0</v>
      </c>
      <c r="AY229" s="476">
        <f>IF($AX$8=$H229,$R229,0)</f>
        <v>0</v>
      </c>
      <c r="AZ229" s="476">
        <f>IF($AZ$8=$H229,$Q229,0)</f>
        <v>0</v>
      </c>
      <c r="BA229" s="476">
        <f>IF($AZ$8=$H229,$R229,0)</f>
        <v>0</v>
      </c>
      <c r="BB229" s="476">
        <f>IF($BB$8=$H229,$Q229,0)</f>
        <v>0</v>
      </c>
      <c r="BC229" s="476">
        <f>IF($BB$8=$H229,$R229,0)</f>
        <v>0</v>
      </c>
      <c r="BD229" s="476">
        <f>IF($BD$8=$H229,$Q229,0)</f>
        <v>0</v>
      </c>
      <c r="BE229" s="476">
        <f>IF($BD$8=$H229,$R229,0)</f>
        <v>0</v>
      </c>
      <c r="BF229" s="476">
        <f>IF($BF$8=$H229,$Q229,0)</f>
        <v>0</v>
      </c>
      <c r="BG229" s="476">
        <f>IF($BF$8=$H229,$R229,0)</f>
        <v>0</v>
      </c>
    </row>
    <row r="230" spans="1:59" ht="16.5" customHeight="1">
      <c r="A230" s="583" t="s">
        <v>873</v>
      </c>
      <c r="B230" s="584" t="s">
        <v>1690</v>
      </c>
      <c r="C230" s="584" t="s">
        <v>288</v>
      </c>
      <c r="D230" s="413" t="s">
        <v>1164</v>
      </c>
      <c r="E230" s="412" t="s">
        <v>1171</v>
      </c>
      <c r="F230" s="413" t="s">
        <v>1180</v>
      </c>
      <c r="G230" s="412" t="s">
        <v>1180</v>
      </c>
      <c r="H230" s="412" t="s">
        <v>974</v>
      </c>
      <c r="I230" s="477">
        <v>0</v>
      </c>
      <c r="J230" s="477">
        <v>0</v>
      </c>
      <c r="K230" s="477">
        <v>179140</v>
      </c>
      <c r="L230" s="477">
        <v>4650</v>
      </c>
      <c r="M230" s="477">
        <f t="shared" si="334"/>
        <v>179140</v>
      </c>
      <c r="N230" s="477">
        <f t="shared" si="335"/>
        <v>4650</v>
      </c>
      <c r="O230" s="477">
        <f>'Adjustments 2025'!E50</f>
        <v>4650</v>
      </c>
      <c r="P230" s="477"/>
      <c r="Q230" s="477">
        <f t="shared" si="377"/>
        <v>183790</v>
      </c>
      <c r="R230" s="477">
        <f t="shared" si="378"/>
        <v>4650</v>
      </c>
      <c r="S230" s="477">
        <f t="shared" si="379"/>
        <v>179140</v>
      </c>
      <c r="V230" s="476">
        <f>IF($V$8=$H230,$Q230,0)</f>
        <v>183790</v>
      </c>
      <c r="W230" s="476">
        <f>IF($V$8=$H230,$R230,0)</f>
        <v>4650</v>
      </c>
      <c r="X230" s="476">
        <f>IF($X$8=$H230,$Q230,0)</f>
        <v>0</v>
      </c>
      <c r="Y230" s="476">
        <f>IF($X$8=$H230,$R230,0)</f>
        <v>0</v>
      </c>
      <c r="Z230" s="476">
        <f>IF($Z$8=$H230,$Q230,0)</f>
        <v>0</v>
      </c>
      <c r="AA230" s="476">
        <f>IF($Z$8=$H230,$R230,0)</f>
        <v>0</v>
      </c>
      <c r="AB230" s="476">
        <f>IF($AB$8=$H230,$Q230,0)</f>
        <v>0</v>
      </c>
      <c r="AC230" s="476">
        <f>IF($AB$8=$H230,$R230,0)</f>
        <v>0</v>
      </c>
      <c r="AD230" s="476">
        <f>IF($AD$8=$H230,$Q230,0)</f>
        <v>0</v>
      </c>
      <c r="AE230" s="476">
        <f>IF($AD$8=$H230,$R230,0)</f>
        <v>0</v>
      </c>
      <c r="AF230" s="476">
        <f>IF($AF$8=$H230,$Q230,0)</f>
        <v>0</v>
      </c>
      <c r="AG230" s="476">
        <f>IF($AF$8=$H230,$R230,0)</f>
        <v>0</v>
      </c>
      <c r="AH230" s="476">
        <f>IF($AH$8=$H230,$Q230,0)</f>
        <v>0</v>
      </c>
      <c r="AI230" s="476">
        <f>IF($AH$8=$H230,$R230,0)</f>
        <v>0</v>
      </c>
      <c r="AJ230" s="476">
        <f>IF($AJ$8=$H230,$Q230,0)</f>
        <v>0</v>
      </c>
      <c r="AK230" s="476">
        <f>IF($AJ$8=$H230,$R230,0)</f>
        <v>0</v>
      </c>
      <c r="AL230" s="476">
        <f>IF($AL$8=$H230,$Q230,0)</f>
        <v>0</v>
      </c>
      <c r="AM230" s="476">
        <f>IF($AL$8=$H230,$R230,0)</f>
        <v>0</v>
      </c>
      <c r="AN230" s="476">
        <f>IF($AN$8=$H230,$Q230,0)</f>
        <v>0</v>
      </c>
      <c r="AO230" s="476">
        <f>IF($AN$8=$H230,$R230,0)</f>
        <v>0</v>
      </c>
      <c r="AP230" s="476">
        <f>IF($AP$8=$H230,$Q230,0)</f>
        <v>0</v>
      </c>
      <c r="AQ230" s="476">
        <f>IF($AP$8=$H230,$R230,0)</f>
        <v>0</v>
      </c>
      <c r="AR230" s="476">
        <f>IF($AR$8=$H230,$Q230,0)</f>
        <v>0</v>
      </c>
      <c r="AS230" s="476">
        <f>IF($AR$8=$H230,$R230,0)</f>
        <v>0</v>
      </c>
      <c r="AT230" s="476">
        <f>IF($AT$8=$H230,$Q230,0)</f>
        <v>0</v>
      </c>
      <c r="AU230" s="476">
        <f>IF($AT$8=$H230,$R230,0)</f>
        <v>0</v>
      </c>
      <c r="AV230" s="476">
        <f>IF($AV$8=$H230,$Q230,0)</f>
        <v>0</v>
      </c>
      <c r="AW230" s="476">
        <f>IF($AV$8=$H230,$R230,0)</f>
        <v>0</v>
      </c>
      <c r="AX230" s="476">
        <f>IF($AX$8=$H230,$Q230,0)</f>
        <v>0</v>
      </c>
      <c r="AY230" s="476">
        <f>IF($AX$8=$H230,$R230,0)</f>
        <v>0</v>
      </c>
      <c r="AZ230" s="476">
        <f>IF($AZ$8=$H230,$Q230,0)</f>
        <v>0</v>
      </c>
      <c r="BA230" s="476">
        <f>IF($AZ$8=$H230,$R230,0)</f>
        <v>0</v>
      </c>
      <c r="BB230" s="476">
        <f>IF($BB$8=$H230,$Q230,0)</f>
        <v>0</v>
      </c>
      <c r="BC230" s="476">
        <f>IF($BB$8=$H230,$R230,0)</f>
        <v>0</v>
      </c>
      <c r="BD230" s="476">
        <f>IF($BD$8=$H230,$Q230,0)</f>
        <v>0</v>
      </c>
      <c r="BE230" s="476">
        <f>IF($BD$8=$H230,$R230,0)</f>
        <v>0</v>
      </c>
      <c r="BF230" s="476">
        <f>IF($BF$8=$H230,$Q230,0)</f>
        <v>0</v>
      </c>
      <c r="BG230" s="476">
        <f>IF($BF$8=$H230,$R230,0)</f>
        <v>0</v>
      </c>
    </row>
    <row r="231" spans="1:59" ht="16.5" customHeight="1">
      <c r="A231" s="583" t="s">
        <v>874</v>
      </c>
      <c r="B231" s="584" t="s">
        <v>1691</v>
      </c>
      <c r="C231" s="584" t="s">
        <v>289</v>
      </c>
      <c r="D231" s="413" t="s">
        <v>1164</v>
      </c>
      <c r="E231" s="412" t="s">
        <v>1171</v>
      </c>
      <c r="F231" s="413" t="s">
        <v>1180</v>
      </c>
      <c r="G231" s="412" t="s">
        <v>1180</v>
      </c>
      <c r="H231" s="412" t="s">
        <v>974</v>
      </c>
      <c r="I231" s="477">
        <v>0</v>
      </c>
      <c r="J231" s="477">
        <v>0</v>
      </c>
      <c r="K231" s="477">
        <v>5058</v>
      </c>
      <c r="L231" s="477">
        <v>0</v>
      </c>
      <c r="M231" s="477">
        <f t="shared" si="334"/>
        <v>5058</v>
      </c>
      <c r="N231" s="477">
        <f t="shared" si="335"/>
        <v>0</v>
      </c>
      <c r="O231" s="477"/>
      <c r="P231" s="477"/>
      <c r="Q231" s="477">
        <f t="shared" si="377"/>
        <v>5058</v>
      </c>
      <c r="R231" s="477">
        <f t="shared" si="378"/>
        <v>0</v>
      </c>
      <c r="S231" s="477">
        <f t="shared" si="379"/>
        <v>5058</v>
      </c>
      <c r="V231" s="476">
        <f>IF($V$8=$H231,$Q231,0)</f>
        <v>5058</v>
      </c>
      <c r="W231" s="476">
        <f>IF($V$8=$H231,$R231,0)</f>
        <v>0</v>
      </c>
      <c r="X231" s="476">
        <f>IF($X$8=$H231,$Q231,0)</f>
        <v>0</v>
      </c>
      <c r="Y231" s="476">
        <f>IF($X$8=$H231,$R231,0)</f>
        <v>0</v>
      </c>
      <c r="Z231" s="476">
        <f>IF($Z$8=$H231,$Q231,0)</f>
        <v>0</v>
      </c>
      <c r="AA231" s="476">
        <f>IF($Z$8=$H231,$R231,0)</f>
        <v>0</v>
      </c>
      <c r="AB231" s="476">
        <f>IF($AB$8=$H231,$Q231,0)</f>
        <v>0</v>
      </c>
      <c r="AC231" s="476">
        <f>IF($AB$8=$H231,$R231,0)</f>
        <v>0</v>
      </c>
      <c r="AD231" s="476">
        <f>IF($AD$8=$H231,$Q231,0)</f>
        <v>0</v>
      </c>
      <c r="AE231" s="476">
        <f>IF($AD$8=$H231,$R231,0)</f>
        <v>0</v>
      </c>
      <c r="AF231" s="476">
        <f>IF($AF$8=$H231,$Q231,0)</f>
        <v>0</v>
      </c>
      <c r="AG231" s="476">
        <f>IF($AF$8=$H231,$R231,0)</f>
        <v>0</v>
      </c>
      <c r="AH231" s="476">
        <f>IF($AH$8=$H231,$Q231,0)</f>
        <v>0</v>
      </c>
      <c r="AI231" s="476">
        <f>IF($AH$8=$H231,$R231,0)</f>
        <v>0</v>
      </c>
      <c r="AJ231" s="476">
        <f>IF($AJ$8=$H231,$Q231,0)</f>
        <v>0</v>
      </c>
      <c r="AK231" s="476">
        <f>IF($AJ$8=$H231,$R231,0)</f>
        <v>0</v>
      </c>
      <c r="AL231" s="476">
        <f>IF($AL$8=$H231,$Q231,0)</f>
        <v>0</v>
      </c>
      <c r="AM231" s="476">
        <f>IF($AL$8=$H231,$R231,0)</f>
        <v>0</v>
      </c>
      <c r="AN231" s="476">
        <f>IF($AN$8=$H231,$Q231,0)</f>
        <v>0</v>
      </c>
      <c r="AO231" s="476">
        <f>IF($AN$8=$H231,$R231,0)</f>
        <v>0</v>
      </c>
      <c r="AP231" s="476">
        <f>IF($AP$8=$H231,$Q231,0)</f>
        <v>0</v>
      </c>
      <c r="AQ231" s="476">
        <f>IF($AP$8=$H231,$R231,0)</f>
        <v>0</v>
      </c>
      <c r="AR231" s="476">
        <f>IF($AR$8=$H231,$Q231,0)</f>
        <v>0</v>
      </c>
      <c r="AS231" s="476">
        <f>IF($AR$8=$H231,$R231,0)</f>
        <v>0</v>
      </c>
      <c r="AT231" s="476">
        <f>IF($AT$8=$H231,$Q231,0)</f>
        <v>0</v>
      </c>
      <c r="AU231" s="476">
        <f>IF($AT$8=$H231,$R231,0)</f>
        <v>0</v>
      </c>
      <c r="AV231" s="476">
        <f>IF($AV$8=$H231,$Q231,0)</f>
        <v>0</v>
      </c>
      <c r="AW231" s="476">
        <f>IF($AV$8=$H231,$R231,0)</f>
        <v>0</v>
      </c>
      <c r="AX231" s="476">
        <f>IF($AX$8=$H231,$Q231,0)</f>
        <v>0</v>
      </c>
      <c r="AY231" s="476">
        <f>IF($AX$8=$H231,$R231,0)</f>
        <v>0</v>
      </c>
      <c r="AZ231" s="476">
        <f>IF($AZ$8=$H231,$Q231,0)</f>
        <v>0</v>
      </c>
      <c r="BA231" s="476">
        <f>IF($AZ$8=$H231,$R231,0)</f>
        <v>0</v>
      </c>
      <c r="BB231" s="476">
        <f>IF($BB$8=$H231,$Q231,0)</f>
        <v>0</v>
      </c>
      <c r="BC231" s="476">
        <f>IF($BB$8=$H231,$R231,0)</f>
        <v>0</v>
      </c>
      <c r="BD231" s="476">
        <f>IF($BD$8=$H231,$Q231,0)</f>
        <v>0</v>
      </c>
      <c r="BE231" s="476">
        <f>IF($BD$8=$H231,$R231,0)</f>
        <v>0</v>
      </c>
      <c r="BF231" s="476">
        <f>IF($BF$8=$H231,$Q231,0)</f>
        <v>0</v>
      </c>
      <c r="BG231" s="476">
        <f>IF($BF$8=$H231,$R231,0)</f>
        <v>0</v>
      </c>
    </row>
    <row r="232" spans="1:59" ht="16.5" customHeight="1">
      <c r="A232" s="583" t="s">
        <v>875</v>
      </c>
      <c r="B232" s="584" t="s">
        <v>981</v>
      </c>
      <c r="C232" s="584" t="s">
        <v>290</v>
      </c>
      <c r="D232" s="413" t="s">
        <v>1164</v>
      </c>
      <c r="E232" s="412" t="s">
        <v>1171</v>
      </c>
      <c r="F232" s="413" t="s">
        <v>376</v>
      </c>
      <c r="G232" s="412" t="s">
        <v>376</v>
      </c>
      <c r="H232" s="412" t="s">
        <v>974</v>
      </c>
      <c r="I232" s="477">
        <v>0</v>
      </c>
      <c r="J232" s="477">
        <v>0</v>
      </c>
      <c r="K232" s="477">
        <v>370257</v>
      </c>
      <c r="L232" s="477">
        <v>389988.33</v>
      </c>
      <c r="M232" s="477">
        <f t="shared" si="334"/>
        <v>370257</v>
      </c>
      <c r="N232" s="477">
        <f t="shared" si="335"/>
        <v>389988.33</v>
      </c>
      <c r="O232" s="477">
        <f>'Adjustments 2025'!E5+'Adjustments 2025'!E8+'Adjustments 2025'!E16+'Adjustments 2025'!E51</f>
        <v>552053.33000000007</v>
      </c>
      <c r="P232" s="477"/>
      <c r="Q232" s="477">
        <f t="shared" si="377"/>
        <v>922310.33000000007</v>
      </c>
      <c r="R232" s="477">
        <f t="shared" si="378"/>
        <v>389988.33</v>
      </c>
      <c r="S232" s="477">
        <f t="shared" si="379"/>
        <v>532322</v>
      </c>
      <c r="V232" s="476">
        <f>IF($V$8=$H232,$Q232,0)</f>
        <v>922310.33000000007</v>
      </c>
      <c r="W232" s="476">
        <f>IF($V$8=$H232,$R232,0)</f>
        <v>389988.33</v>
      </c>
      <c r="X232" s="476">
        <f>IF($X$8=$H232,$Q232,0)</f>
        <v>0</v>
      </c>
      <c r="Y232" s="476">
        <f>IF($X$8=$H232,$R232,0)</f>
        <v>0</v>
      </c>
      <c r="Z232" s="476">
        <f>IF($Z$8=$H232,$Q232,0)</f>
        <v>0</v>
      </c>
      <c r="AA232" s="476">
        <f>IF($Z$8=$H232,$R232,0)</f>
        <v>0</v>
      </c>
      <c r="AB232" s="476">
        <f>IF($AB$8=$H232,$Q232,0)</f>
        <v>0</v>
      </c>
      <c r="AC232" s="476">
        <f>IF($AB$8=$H232,$R232,0)</f>
        <v>0</v>
      </c>
      <c r="AD232" s="476">
        <f>IF($AD$8=$H232,$Q232,0)</f>
        <v>0</v>
      </c>
      <c r="AE232" s="476">
        <f>IF($AD$8=$H232,$R232,0)</f>
        <v>0</v>
      </c>
      <c r="AF232" s="476">
        <f>IF($AF$8=$H232,$Q232,0)</f>
        <v>0</v>
      </c>
      <c r="AG232" s="476">
        <f>IF($AF$8=$H232,$R232,0)</f>
        <v>0</v>
      </c>
      <c r="AH232" s="476">
        <f>IF($AH$8=$H232,$Q232,0)</f>
        <v>0</v>
      </c>
      <c r="AI232" s="476">
        <f>IF($AH$8=$H232,$R232,0)</f>
        <v>0</v>
      </c>
      <c r="AJ232" s="476">
        <f>IF($AJ$8=$H232,$Q232,0)</f>
        <v>0</v>
      </c>
      <c r="AK232" s="476">
        <f>IF($AJ$8=$H232,$R232,0)</f>
        <v>0</v>
      </c>
      <c r="AL232" s="476">
        <f>IF($AL$8=$H232,$Q232,0)</f>
        <v>0</v>
      </c>
      <c r="AM232" s="476">
        <f>IF($AL$8=$H232,$R232,0)</f>
        <v>0</v>
      </c>
      <c r="AN232" s="476">
        <f>IF($AN$8=$H232,$Q232,0)</f>
        <v>0</v>
      </c>
      <c r="AO232" s="476">
        <f>IF($AN$8=$H232,$R232,0)</f>
        <v>0</v>
      </c>
      <c r="AP232" s="476">
        <f>IF($AP$8=$H232,$Q232,0)</f>
        <v>0</v>
      </c>
      <c r="AQ232" s="476">
        <f>IF($AP$8=$H232,$R232,0)</f>
        <v>0</v>
      </c>
      <c r="AR232" s="476">
        <f>IF($AR$8=$H232,$Q232,0)</f>
        <v>0</v>
      </c>
      <c r="AS232" s="476">
        <f>IF($AR$8=$H232,$R232,0)</f>
        <v>0</v>
      </c>
      <c r="AT232" s="476">
        <f>IF($AT$8=$H232,$Q232,0)</f>
        <v>0</v>
      </c>
      <c r="AU232" s="476">
        <f>IF($AT$8=$H232,$R232,0)</f>
        <v>0</v>
      </c>
      <c r="AV232" s="476">
        <f>IF($AV$8=$H232,$Q232,0)</f>
        <v>0</v>
      </c>
      <c r="AW232" s="476">
        <f>IF($AV$8=$H232,$R232,0)</f>
        <v>0</v>
      </c>
      <c r="AX232" s="476">
        <f>IF($AX$8=$H232,$Q232,0)</f>
        <v>0</v>
      </c>
      <c r="AY232" s="476">
        <f>IF($AX$8=$H232,$R232,0)</f>
        <v>0</v>
      </c>
      <c r="AZ232" s="476">
        <f>IF($AZ$8=$H232,$Q232,0)</f>
        <v>0</v>
      </c>
      <c r="BA232" s="476">
        <f>IF($AZ$8=$H232,$R232,0)</f>
        <v>0</v>
      </c>
      <c r="BB232" s="476">
        <f>IF($BB$8=$H232,$Q232,0)</f>
        <v>0</v>
      </c>
      <c r="BC232" s="476">
        <f>IF($BB$8=$H232,$R232,0)</f>
        <v>0</v>
      </c>
      <c r="BD232" s="476">
        <f>IF($BD$8=$H232,$Q232,0)</f>
        <v>0</v>
      </c>
      <c r="BE232" s="476">
        <f>IF($BD$8=$H232,$R232,0)</f>
        <v>0</v>
      </c>
      <c r="BF232" s="476">
        <f>IF($BF$8=$H232,$Q232,0)</f>
        <v>0</v>
      </c>
      <c r="BG232" s="476">
        <f>IF($BF$8=$H232,$R232,0)</f>
        <v>0</v>
      </c>
    </row>
    <row r="233" spans="1:59" ht="16.5" customHeight="1">
      <c r="A233" s="583" t="s">
        <v>876</v>
      </c>
      <c r="B233" s="584" t="s">
        <v>986</v>
      </c>
      <c r="C233" s="584" t="s">
        <v>291</v>
      </c>
      <c r="D233" s="413" t="s">
        <v>1164</v>
      </c>
      <c r="E233" s="412" t="s">
        <v>1171</v>
      </c>
      <c r="F233" s="413" t="s">
        <v>1174</v>
      </c>
      <c r="G233" s="412" t="s">
        <v>1174</v>
      </c>
      <c r="H233" s="412" t="s">
        <v>974</v>
      </c>
      <c r="I233" s="477">
        <v>0</v>
      </c>
      <c r="J233" s="477">
        <v>0</v>
      </c>
      <c r="K233" s="477">
        <v>16220</v>
      </c>
      <c r="L233" s="477">
        <v>0</v>
      </c>
      <c r="M233" s="477">
        <f t="shared" si="334"/>
        <v>16220</v>
      </c>
      <c r="N233" s="477">
        <f t="shared" si="335"/>
        <v>0</v>
      </c>
      <c r="O233" s="477"/>
      <c r="P233" s="477"/>
      <c r="Q233" s="477">
        <f t="shared" ref="Q233" si="424">+M233+O233</f>
        <v>16220</v>
      </c>
      <c r="R233" s="477">
        <f t="shared" ref="R233" si="425">+N233+P233</f>
        <v>0</v>
      </c>
      <c r="S233" s="477">
        <f t="shared" ref="S233" si="426">+Q233-R233</f>
        <v>16220</v>
      </c>
      <c r="V233" s="476"/>
      <c r="W233" s="476"/>
      <c r="X233" s="476"/>
      <c r="Y233" s="476"/>
      <c r="Z233" s="476"/>
      <c r="AA233" s="476"/>
      <c r="AB233" s="476"/>
      <c r="AC233" s="476"/>
      <c r="AD233" s="476"/>
      <c r="AE233" s="476"/>
      <c r="AF233" s="476"/>
      <c r="AG233" s="476"/>
      <c r="AH233" s="476"/>
      <c r="AI233" s="476"/>
      <c r="AJ233" s="476"/>
      <c r="AK233" s="476"/>
      <c r="AL233" s="476"/>
      <c r="AM233" s="476"/>
      <c r="AN233" s="476"/>
      <c r="AO233" s="476"/>
      <c r="AP233" s="476"/>
      <c r="AQ233" s="476"/>
      <c r="AR233" s="476"/>
      <c r="AS233" s="476"/>
      <c r="AT233" s="476"/>
      <c r="AU233" s="476"/>
      <c r="AV233" s="476"/>
      <c r="AW233" s="476"/>
      <c r="AX233" s="476"/>
      <c r="AY233" s="476"/>
      <c r="AZ233" s="476"/>
      <c r="BA233" s="476"/>
      <c r="BB233" s="476"/>
      <c r="BC233" s="476"/>
      <c r="BD233" s="476"/>
      <c r="BE233" s="476"/>
      <c r="BF233" s="476"/>
      <c r="BG233" s="476"/>
    </row>
    <row r="234" spans="1:59" ht="16.5" customHeight="1">
      <c r="A234" s="583" t="s">
        <v>877</v>
      </c>
      <c r="B234" s="584" t="s">
        <v>980</v>
      </c>
      <c r="C234" s="584" t="s">
        <v>292</v>
      </c>
      <c r="D234" s="413" t="s">
        <v>1164</v>
      </c>
      <c r="E234" s="412" t="s">
        <v>1171</v>
      </c>
      <c r="F234" s="413" t="s">
        <v>1174</v>
      </c>
      <c r="G234" s="412" t="s">
        <v>1174</v>
      </c>
      <c r="H234" s="412" t="s">
        <v>974</v>
      </c>
      <c r="I234" s="477">
        <v>0</v>
      </c>
      <c r="J234" s="477">
        <v>0</v>
      </c>
      <c r="K234" s="477">
        <v>20300</v>
      </c>
      <c r="L234" s="477">
        <v>1800</v>
      </c>
      <c r="M234" s="477">
        <f t="shared" si="334"/>
        <v>20300</v>
      </c>
      <c r="N234" s="477">
        <f t="shared" si="335"/>
        <v>1800</v>
      </c>
      <c r="O234" s="477">
        <f>'Adjustments 2025'!E52</f>
        <v>1800</v>
      </c>
      <c r="P234" s="477"/>
      <c r="Q234" s="477">
        <f t="shared" si="377"/>
        <v>22100</v>
      </c>
      <c r="R234" s="477">
        <f t="shared" si="378"/>
        <v>1800</v>
      </c>
      <c r="S234" s="477">
        <f t="shared" si="379"/>
        <v>20300</v>
      </c>
      <c r="V234" s="476">
        <f t="shared" ref="V234:V280" si="427">IF($V$8=$H234,$Q234,0)</f>
        <v>22100</v>
      </c>
      <c r="W234" s="476">
        <f t="shared" ref="W234:W280" si="428">IF($V$8=$H234,$R234,0)</f>
        <v>1800</v>
      </c>
      <c r="X234" s="476">
        <f t="shared" ref="X234:X280" si="429">IF($X$8=$H234,$Q234,0)</f>
        <v>0</v>
      </c>
      <c r="Y234" s="476">
        <f t="shared" ref="Y234:Y280" si="430">IF($X$8=$H234,$R234,0)</f>
        <v>0</v>
      </c>
      <c r="Z234" s="476">
        <f t="shared" ref="Z234:Z280" si="431">IF($Z$8=$H234,$Q234,0)</f>
        <v>0</v>
      </c>
      <c r="AA234" s="476">
        <f t="shared" ref="AA234:AA280" si="432">IF($Z$8=$H234,$R234,0)</f>
        <v>0</v>
      </c>
      <c r="AB234" s="476">
        <f t="shared" ref="AB234:AB280" si="433">IF($AB$8=$H234,$Q234,0)</f>
        <v>0</v>
      </c>
      <c r="AC234" s="476">
        <f t="shared" ref="AC234:AC280" si="434">IF($AB$8=$H234,$R234,0)</f>
        <v>0</v>
      </c>
      <c r="AD234" s="476">
        <f t="shared" ref="AD234:AD280" si="435">IF($AD$8=$H234,$Q234,0)</f>
        <v>0</v>
      </c>
      <c r="AE234" s="476">
        <f t="shared" ref="AE234:AE280" si="436">IF($AD$8=$H234,$R234,0)</f>
        <v>0</v>
      </c>
      <c r="AF234" s="476">
        <f t="shared" ref="AF234:AF280" si="437">IF($AF$8=$H234,$Q234,0)</f>
        <v>0</v>
      </c>
      <c r="AG234" s="476">
        <f t="shared" ref="AG234:AG280" si="438">IF($AF$8=$H234,$R234,0)</f>
        <v>0</v>
      </c>
      <c r="AH234" s="476">
        <f t="shared" ref="AH234:AH280" si="439">IF($AH$8=$H234,$Q234,0)</f>
        <v>0</v>
      </c>
      <c r="AI234" s="476">
        <f t="shared" ref="AI234:AI280" si="440">IF($AH$8=$H234,$R234,0)</f>
        <v>0</v>
      </c>
      <c r="AJ234" s="476">
        <f t="shared" ref="AJ234:AJ280" si="441">IF($AJ$8=$H234,$Q234,0)</f>
        <v>0</v>
      </c>
      <c r="AK234" s="476">
        <f t="shared" ref="AK234:AK280" si="442">IF($AJ$8=$H234,$R234,0)</f>
        <v>0</v>
      </c>
      <c r="AL234" s="476">
        <f t="shared" ref="AL234:AL280" si="443">IF($AL$8=$H234,$Q234,0)</f>
        <v>0</v>
      </c>
      <c r="AM234" s="476">
        <f t="shared" ref="AM234:AM280" si="444">IF($AL$8=$H234,$R234,0)</f>
        <v>0</v>
      </c>
      <c r="AN234" s="476">
        <f t="shared" ref="AN234:AN280" si="445">IF($AN$8=$H234,$Q234,0)</f>
        <v>0</v>
      </c>
      <c r="AO234" s="476">
        <f t="shared" ref="AO234:AO280" si="446">IF($AN$8=$H234,$R234,0)</f>
        <v>0</v>
      </c>
      <c r="AP234" s="476">
        <f t="shared" ref="AP234:AP280" si="447">IF($AP$8=$H234,$Q234,0)</f>
        <v>0</v>
      </c>
      <c r="AQ234" s="476">
        <f t="shared" ref="AQ234:AQ280" si="448">IF($AP$8=$H234,$R234,0)</f>
        <v>0</v>
      </c>
      <c r="AR234" s="476">
        <f t="shared" ref="AR234:AR280" si="449">IF($AR$8=$H234,$Q234,0)</f>
        <v>0</v>
      </c>
      <c r="AS234" s="476">
        <f t="shared" ref="AS234:AS280" si="450">IF($AR$8=$H234,$R234,0)</f>
        <v>0</v>
      </c>
      <c r="AT234" s="476">
        <f t="shared" ref="AT234:AT280" si="451">IF($AT$8=$H234,$Q234,0)</f>
        <v>0</v>
      </c>
      <c r="AU234" s="476">
        <f t="shared" ref="AU234:AU280" si="452">IF($AT$8=$H234,$R234,0)</f>
        <v>0</v>
      </c>
      <c r="AV234" s="476">
        <f t="shared" ref="AV234:AV280" si="453">IF($AV$8=$H234,$Q234,0)</f>
        <v>0</v>
      </c>
      <c r="AW234" s="476">
        <f t="shared" ref="AW234:AW280" si="454">IF($AV$8=$H234,$R234,0)</f>
        <v>0</v>
      </c>
      <c r="AX234" s="476">
        <f t="shared" ref="AX234:AX280" si="455">IF($AX$8=$H234,$Q234,0)</f>
        <v>0</v>
      </c>
      <c r="AY234" s="476">
        <f t="shared" ref="AY234:AY280" si="456">IF($AX$8=$H234,$R234,0)</f>
        <v>0</v>
      </c>
      <c r="AZ234" s="476">
        <f t="shared" ref="AZ234:AZ280" si="457">IF($AZ$8=$H234,$Q234,0)</f>
        <v>0</v>
      </c>
      <c r="BA234" s="476">
        <f t="shared" ref="BA234:BA280" si="458">IF($AZ$8=$H234,$R234,0)</f>
        <v>0</v>
      </c>
      <c r="BB234" s="476">
        <f t="shared" ref="BB234:BB280" si="459">IF($BB$8=$H234,$Q234,0)</f>
        <v>0</v>
      </c>
      <c r="BC234" s="476">
        <f t="shared" ref="BC234:BC280" si="460">IF($BB$8=$H234,$R234,0)</f>
        <v>0</v>
      </c>
      <c r="BD234" s="476">
        <f t="shared" ref="BD234:BD280" si="461">IF($BD$8=$H234,$Q234,0)</f>
        <v>0</v>
      </c>
      <c r="BE234" s="476">
        <f t="shared" ref="BE234:BE280" si="462">IF($BD$8=$H234,$R234,0)</f>
        <v>0</v>
      </c>
      <c r="BF234" s="476">
        <f t="shared" ref="BF234:BF280" si="463">IF($BF$8=$H234,$Q234,0)</f>
        <v>0</v>
      </c>
      <c r="BG234" s="476">
        <f t="shared" ref="BG234:BG280" si="464">IF($BF$8=$H234,$R234,0)</f>
        <v>0</v>
      </c>
    </row>
    <row r="235" spans="1:59" ht="16.5" customHeight="1">
      <c r="A235" s="583" t="s">
        <v>878</v>
      </c>
      <c r="B235" s="584" t="s">
        <v>1692</v>
      </c>
      <c r="C235" s="584" t="s">
        <v>293</v>
      </c>
      <c r="D235" s="413" t="s">
        <v>1164</v>
      </c>
      <c r="E235" s="412" t="s">
        <v>1171</v>
      </c>
      <c r="F235" s="413" t="s">
        <v>1174</v>
      </c>
      <c r="G235" s="412" t="s">
        <v>1174</v>
      </c>
      <c r="H235" s="412" t="s">
        <v>974</v>
      </c>
      <c r="I235" s="477">
        <v>0</v>
      </c>
      <c r="J235" s="477">
        <v>0</v>
      </c>
      <c r="K235" s="477">
        <v>58600</v>
      </c>
      <c r="L235" s="477">
        <v>0</v>
      </c>
      <c r="M235" s="477">
        <f t="shared" si="334"/>
        <v>58600</v>
      </c>
      <c r="N235" s="477">
        <f t="shared" si="335"/>
        <v>0</v>
      </c>
      <c r="O235" s="477"/>
      <c r="P235" s="477"/>
      <c r="Q235" s="477">
        <f t="shared" si="377"/>
        <v>58600</v>
      </c>
      <c r="R235" s="477">
        <f t="shared" si="378"/>
        <v>0</v>
      </c>
      <c r="S235" s="477">
        <f t="shared" si="379"/>
        <v>58600</v>
      </c>
      <c r="V235" s="476">
        <f t="shared" si="427"/>
        <v>58600</v>
      </c>
      <c r="W235" s="476">
        <f t="shared" si="428"/>
        <v>0</v>
      </c>
      <c r="X235" s="476">
        <f t="shared" si="429"/>
        <v>0</v>
      </c>
      <c r="Y235" s="476">
        <f t="shared" si="430"/>
        <v>0</v>
      </c>
      <c r="Z235" s="476">
        <f t="shared" si="431"/>
        <v>0</v>
      </c>
      <c r="AA235" s="476">
        <f t="shared" si="432"/>
        <v>0</v>
      </c>
      <c r="AB235" s="476">
        <f t="shared" si="433"/>
        <v>0</v>
      </c>
      <c r="AC235" s="476">
        <f t="shared" si="434"/>
        <v>0</v>
      </c>
      <c r="AD235" s="476">
        <f t="shared" si="435"/>
        <v>0</v>
      </c>
      <c r="AE235" s="476">
        <f t="shared" si="436"/>
        <v>0</v>
      </c>
      <c r="AF235" s="476">
        <f t="shared" si="437"/>
        <v>0</v>
      </c>
      <c r="AG235" s="476">
        <f t="shared" si="438"/>
        <v>0</v>
      </c>
      <c r="AH235" s="476">
        <f t="shared" si="439"/>
        <v>0</v>
      </c>
      <c r="AI235" s="476">
        <f t="shared" si="440"/>
        <v>0</v>
      </c>
      <c r="AJ235" s="476">
        <f t="shared" si="441"/>
        <v>0</v>
      </c>
      <c r="AK235" s="476">
        <f t="shared" si="442"/>
        <v>0</v>
      </c>
      <c r="AL235" s="476">
        <f t="shared" si="443"/>
        <v>0</v>
      </c>
      <c r="AM235" s="476">
        <f t="shared" si="444"/>
        <v>0</v>
      </c>
      <c r="AN235" s="476">
        <f t="shared" si="445"/>
        <v>0</v>
      </c>
      <c r="AO235" s="476">
        <f t="shared" si="446"/>
        <v>0</v>
      </c>
      <c r="AP235" s="476">
        <f t="shared" si="447"/>
        <v>0</v>
      </c>
      <c r="AQ235" s="476">
        <f t="shared" si="448"/>
        <v>0</v>
      </c>
      <c r="AR235" s="476">
        <f t="shared" si="449"/>
        <v>0</v>
      </c>
      <c r="AS235" s="476">
        <f t="shared" si="450"/>
        <v>0</v>
      </c>
      <c r="AT235" s="476">
        <f t="shared" si="451"/>
        <v>0</v>
      </c>
      <c r="AU235" s="476">
        <f t="shared" si="452"/>
        <v>0</v>
      </c>
      <c r="AV235" s="476">
        <f t="shared" si="453"/>
        <v>0</v>
      </c>
      <c r="AW235" s="476">
        <f t="shared" si="454"/>
        <v>0</v>
      </c>
      <c r="AX235" s="476">
        <f t="shared" si="455"/>
        <v>0</v>
      </c>
      <c r="AY235" s="476">
        <f t="shared" si="456"/>
        <v>0</v>
      </c>
      <c r="AZ235" s="476">
        <f t="shared" si="457"/>
        <v>0</v>
      </c>
      <c r="BA235" s="476">
        <f t="shared" si="458"/>
        <v>0</v>
      </c>
      <c r="BB235" s="476">
        <f t="shared" si="459"/>
        <v>0</v>
      </c>
      <c r="BC235" s="476">
        <f t="shared" si="460"/>
        <v>0</v>
      </c>
      <c r="BD235" s="476">
        <f t="shared" si="461"/>
        <v>0</v>
      </c>
      <c r="BE235" s="476">
        <f t="shared" si="462"/>
        <v>0</v>
      </c>
      <c r="BF235" s="476">
        <f t="shared" si="463"/>
        <v>0</v>
      </c>
      <c r="BG235" s="476">
        <f t="shared" si="464"/>
        <v>0</v>
      </c>
    </row>
    <row r="236" spans="1:59" ht="16.5" customHeight="1">
      <c r="A236" s="583" t="s">
        <v>879</v>
      </c>
      <c r="B236" s="584" t="s">
        <v>1693</v>
      </c>
      <c r="C236" s="584" t="s">
        <v>420</v>
      </c>
      <c r="D236" s="413" t="s">
        <v>1164</v>
      </c>
      <c r="E236" s="412" t="s">
        <v>1181</v>
      </c>
      <c r="F236" s="413" t="s">
        <v>1182</v>
      </c>
      <c r="G236" s="412" t="s">
        <v>1182</v>
      </c>
      <c r="H236" s="412" t="s">
        <v>974</v>
      </c>
      <c r="I236" s="477">
        <v>0</v>
      </c>
      <c r="J236" s="477">
        <v>0</v>
      </c>
      <c r="K236" s="477">
        <v>0</v>
      </c>
      <c r="L236" s="477">
        <v>0</v>
      </c>
      <c r="M236" s="477">
        <f t="shared" si="334"/>
        <v>0</v>
      </c>
      <c r="N236" s="477">
        <f t="shared" si="335"/>
        <v>0</v>
      </c>
      <c r="O236" s="477"/>
      <c r="P236" s="477"/>
      <c r="Q236" s="477">
        <f t="shared" si="377"/>
        <v>0</v>
      </c>
      <c r="R236" s="477">
        <f t="shared" si="378"/>
        <v>0</v>
      </c>
      <c r="S236" s="477">
        <f t="shared" si="379"/>
        <v>0</v>
      </c>
      <c r="V236" s="476">
        <f t="shared" si="427"/>
        <v>0</v>
      </c>
      <c r="W236" s="476">
        <f t="shared" si="428"/>
        <v>0</v>
      </c>
      <c r="X236" s="476">
        <f t="shared" si="429"/>
        <v>0</v>
      </c>
      <c r="Y236" s="476">
        <f t="shared" si="430"/>
        <v>0</v>
      </c>
      <c r="Z236" s="476">
        <f t="shared" si="431"/>
        <v>0</v>
      </c>
      <c r="AA236" s="476">
        <f t="shared" si="432"/>
        <v>0</v>
      </c>
      <c r="AB236" s="476">
        <f t="shared" si="433"/>
        <v>0</v>
      </c>
      <c r="AC236" s="476">
        <f t="shared" si="434"/>
        <v>0</v>
      </c>
      <c r="AD236" s="476">
        <f t="shared" si="435"/>
        <v>0</v>
      </c>
      <c r="AE236" s="476">
        <f t="shared" si="436"/>
        <v>0</v>
      </c>
      <c r="AF236" s="476">
        <f t="shared" si="437"/>
        <v>0</v>
      </c>
      <c r="AG236" s="476">
        <f t="shared" si="438"/>
        <v>0</v>
      </c>
      <c r="AH236" s="476">
        <f t="shared" si="439"/>
        <v>0</v>
      </c>
      <c r="AI236" s="476">
        <f t="shared" si="440"/>
        <v>0</v>
      </c>
      <c r="AJ236" s="476">
        <f t="shared" si="441"/>
        <v>0</v>
      </c>
      <c r="AK236" s="476">
        <f t="shared" si="442"/>
        <v>0</v>
      </c>
      <c r="AL236" s="476">
        <f t="shared" si="443"/>
        <v>0</v>
      </c>
      <c r="AM236" s="476">
        <f t="shared" si="444"/>
        <v>0</v>
      </c>
      <c r="AN236" s="476">
        <f t="shared" si="445"/>
        <v>0</v>
      </c>
      <c r="AO236" s="476">
        <f t="shared" si="446"/>
        <v>0</v>
      </c>
      <c r="AP236" s="476">
        <f t="shared" si="447"/>
        <v>0</v>
      </c>
      <c r="AQ236" s="476">
        <f t="shared" si="448"/>
        <v>0</v>
      </c>
      <c r="AR236" s="476">
        <f t="shared" si="449"/>
        <v>0</v>
      </c>
      <c r="AS236" s="476">
        <f t="shared" si="450"/>
        <v>0</v>
      </c>
      <c r="AT236" s="476">
        <f t="shared" si="451"/>
        <v>0</v>
      </c>
      <c r="AU236" s="476">
        <f t="shared" si="452"/>
        <v>0</v>
      </c>
      <c r="AV236" s="476">
        <f t="shared" si="453"/>
        <v>0</v>
      </c>
      <c r="AW236" s="476">
        <f t="shared" si="454"/>
        <v>0</v>
      </c>
      <c r="AX236" s="476">
        <f t="shared" si="455"/>
        <v>0</v>
      </c>
      <c r="AY236" s="476">
        <f t="shared" si="456"/>
        <v>0</v>
      </c>
      <c r="AZ236" s="476">
        <f t="shared" si="457"/>
        <v>0</v>
      </c>
      <c r="BA236" s="476">
        <f t="shared" si="458"/>
        <v>0</v>
      </c>
      <c r="BB236" s="476">
        <f t="shared" si="459"/>
        <v>0</v>
      </c>
      <c r="BC236" s="476">
        <f t="shared" si="460"/>
        <v>0</v>
      </c>
      <c r="BD236" s="476">
        <f t="shared" si="461"/>
        <v>0</v>
      </c>
      <c r="BE236" s="476">
        <f t="shared" si="462"/>
        <v>0</v>
      </c>
      <c r="BF236" s="476">
        <f t="shared" si="463"/>
        <v>0</v>
      </c>
      <c r="BG236" s="476">
        <f t="shared" si="464"/>
        <v>0</v>
      </c>
    </row>
    <row r="237" spans="1:59" ht="16.5" customHeight="1">
      <c r="A237" s="583" t="s">
        <v>1183</v>
      </c>
      <c r="B237" s="584" t="s">
        <v>1694</v>
      </c>
      <c r="C237" s="584" t="s">
        <v>1772</v>
      </c>
      <c r="D237" s="413" t="s">
        <v>1164</v>
      </c>
      <c r="E237" s="412" t="s">
        <v>1171</v>
      </c>
      <c r="F237" s="413" t="s">
        <v>1185</v>
      </c>
      <c r="G237" s="412" t="s">
        <v>1184</v>
      </c>
      <c r="H237" s="412" t="s">
        <v>974</v>
      </c>
      <c r="I237" s="477">
        <v>0</v>
      </c>
      <c r="J237" s="477">
        <v>0</v>
      </c>
      <c r="K237" s="477">
        <v>0</v>
      </c>
      <c r="L237" s="477">
        <v>0</v>
      </c>
      <c r="M237" s="477">
        <f t="shared" si="334"/>
        <v>0</v>
      </c>
      <c r="N237" s="477">
        <f t="shared" si="335"/>
        <v>0</v>
      </c>
      <c r="O237" s="477"/>
      <c r="P237" s="477"/>
      <c r="Q237" s="477">
        <f t="shared" si="377"/>
        <v>0</v>
      </c>
      <c r="R237" s="477">
        <f t="shared" si="378"/>
        <v>0</v>
      </c>
      <c r="S237" s="477">
        <f t="shared" si="379"/>
        <v>0</v>
      </c>
      <c r="V237" s="476">
        <f t="shared" si="427"/>
        <v>0</v>
      </c>
      <c r="W237" s="476">
        <f t="shared" si="428"/>
        <v>0</v>
      </c>
      <c r="X237" s="476">
        <f t="shared" si="429"/>
        <v>0</v>
      </c>
      <c r="Y237" s="476">
        <f t="shared" si="430"/>
        <v>0</v>
      </c>
      <c r="Z237" s="476">
        <f t="shared" si="431"/>
        <v>0</v>
      </c>
      <c r="AA237" s="476">
        <f t="shared" si="432"/>
        <v>0</v>
      </c>
      <c r="AB237" s="476">
        <f t="shared" si="433"/>
        <v>0</v>
      </c>
      <c r="AC237" s="476">
        <f t="shared" si="434"/>
        <v>0</v>
      </c>
      <c r="AD237" s="476">
        <f t="shared" si="435"/>
        <v>0</v>
      </c>
      <c r="AE237" s="476">
        <f t="shared" si="436"/>
        <v>0</v>
      </c>
      <c r="AF237" s="476">
        <f t="shared" si="437"/>
        <v>0</v>
      </c>
      <c r="AG237" s="476">
        <f t="shared" si="438"/>
        <v>0</v>
      </c>
      <c r="AH237" s="476">
        <f t="shared" si="439"/>
        <v>0</v>
      </c>
      <c r="AI237" s="476">
        <f t="shared" si="440"/>
        <v>0</v>
      </c>
      <c r="AJ237" s="476">
        <f t="shared" si="441"/>
        <v>0</v>
      </c>
      <c r="AK237" s="476">
        <f t="shared" si="442"/>
        <v>0</v>
      </c>
      <c r="AL237" s="476">
        <f t="shared" si="443"/>
        <v>0</v>
      </c>
      <c r="AM237" s="476">
        <f t="shared" si="444"/>
        <v>0</v>
      </c>
      <c r="AN237" s="476">
        <f t="shared" si="445"/>
        <v>0</v>
      </c>
      <c r="AO237" s="476">
        <f t="shared" si="446"/>
        <v>0</v>
      </c>
      <c r="AP237" s="476">
        <f t="shared" si="447"/>
        <v>0</v>
      </c>
      <c r="AQ237" s="476">
        <f t="shared" si="448"/>
        <v>0</v>
      </c>
      <c r="AR237" s="476">
        <f t="shared" si="449"/>
        <v>0</v>
      </c>
      <c r="AS237" s="476">
        <f t="shared" si="450"/>
        <v>0</v>
      </c>
      <c r="AT237" s="476">
        <f t="shared" si="451"/>
        <v>0</v>
      </c>
      <c r="AU237" s="476">
        <f t="shared" si="452"/>
        <v>0</v>
      </c>
      <c r="AV237" s="476">
        <f t="shared" si="453"/>
        <v>0</v>
      </c>
      <c r="AW237" s="476">
        <f t="shared" si="454"/>
        <v>0</v>
      </c>
      <c r="AX237" s="476">
        <f t="shared" si="455"/>
        <v>0</v>
      </c>
      <c r="AY237" s="476">
        <f t="shared" si="456"/>
        <v>0</v>
      </c>
      <c r="AZ237" s="476">
        <f t="shared" si="457"/>
        <v>0</v>
      </c>
      <c r="BA237" s="476">
        <f t="shared" si="458"/>
        <v>0</v>
      </c>
      <c r="BB237" s="476">
        <f t="shared" si="459"/>
        <v>0</v>
      </c>
      <c r="BC237" s="476">
        <f t="shared" si="460"/>
        <v>0</v>
      </c>
      <c r="BD237" s="476">
        <f t="shared" si="461"/>
        <v>0</v>
      </c>
      <c r="BE237" s="476">
        <f t="shared" si="462"/>
        <v>0</v>
      </c>
      <c r="BF237" s="476">
        <f t="shared" si="463"/>
        <v>0</v>
      </c>
      <c r="BG237" s="476">
        <f t="shared" si="464"/>
        <v>0</v>
      </c>
    </row>
    <row r="238" spans="1:59" ht="16.5" customHeight="1">
      <c r="A238" s="583" t="s">
        <v>880</v>
      </c>
      <c r="B238" s="584" t="s">
        <v>1695</v>
      </c>
      <c r="C238" s="584" t="s">
        <v>294</v>
      </c>
      <c r="D238" s="413" t="s">
        <v>1164</v>
      </c>
      <c r="E238" s="412" t="s">
        <v>1171</v>
      </c>
      <c r="F238" s="413" t="s">
        <v>1180</v>
      </c>
      <c r="G238" s="412" t="s">
        <v>1180</v>
      </c>
      <c r="H238" s="412" t="s">
        <v>974</v>
      </c>
      <c r="I238" s="477">
        <v>0</v>
      </c>
      <c r="J238" s="477">
        <v>0</v>
      </c>
      <c r="K238" s="477">
        <v>14430</v>
      </c>
      <c r="L238" s="477">
        <v>4790</v>
      </c>
      <c r="M238" s="477">
        <f t="shared" si="334"/>
        <v>14430</v>
      </c>
      <c r="N238" s="477">
        <f t="shared" si="335"/>
        <v>4790</v>
      </c>
      <c r="O238" s="477">
        <f>'Adjustments 2025'!E53</f>
        <v>4790</v>
      </c>
      <c r="P238" s="477"/>
      <c r="Q238" s="477">
        <f t="shared" si="377"/>
        <v>19220</v>
      </c>
      <c r="R238" s="477">
        <f t="shared" si="378"/>
        <v>4790</v>
      </c>
      <c r="S238" s="477">
        <f t="shared" si="379"/>
        <v>14430</v>
      </c>
      <c r="V238" s="476">
        <f t="shared" si="427"/>
        <v>19220</v>
      </c>
      <c r="W238" s="476">
        <f t="shared" si="428"/>
        <v>4790</v>
      </c>
      <c r="X238" s="476">
        <f t="shared" si="429"/>
        <v>0</v>
      </c>
      <c r="Y238" s="476">
        <f t="shared" si="430"/>
        <v>0</v>
      </c>
      <c r="Z238" s="476">
        <f t="shared" si="431"/>
        <v>0</v>
      </c>
      <c r="AA238" s="476">
        <f t="shared" si="432"/>
        <v>0</v>
      </c>
      <c r="AB238" s="476">
        <f t="shared" si="433"/>
        <v>0</v>
      </c>
      <c r="AC238" s="476">
        <f t="shared" si="434"/>
        <v>0</v>
      </c>
      <c r="AD238" s="476">
        <f t="shared" si="435"/>
        <v>0</v>
      </c>
      <c r="AE238" s="476">
        <f t="shared" si="436"/>
        <v>0</v>
      </c>
      <c r="AF238" s="476">
        <f t="shared" si="437"/>
        <v>0</v>
      </c>
      <c r="AG238" s="476">
        <f t="shared" si="438"/>
        <v>0</v>
      </c>
      <c r="AH238" s="476">
        <f t="shared" si="439"/>
        <v>0</v>
      </c>
      <c r="AI238" s="476">
        <f t="shared" si="440"/>
        <v>0</v>
      </c>
      <c r="AJ238" s="476">
        <f t="shared" si="441"/>
        <v>0</v>
      </c>
      <c r="AK238" s="476">
        <f t="shared" si="442"/>
        <v>0</v>
      </c>
      <c r="AL238" s="476">
        <f t="shared" si="443"/>
        <v>0</v>
      </c>
      <c r="AM238" s="476">
        <f t="shared" si="444"/>
        <v>0</v>
      </c>
      <c r="AN238" s="476">
        <f t="shared" si="445"/>
        <v>0</v>
      </c>
      <c r="AO238" s="476">
        <f t="shared" si="446"/>
        <v>0</v>
      </c>
      <c r="AP238" s="476">
        <f t="shared" si="447"/>
        <v>0</v>
      </c>
      <c r="AQ238" s="476">
        <f t="shared" si="448"/>
        <v>0</v>
      </c>
      <c r="AR238" s="476">
        <f t="shared" si="449"/>
        <v>0</v>
      </c>
      <c r="AS238" s="476">
        <f t="shared" si="450"/>
        <v>0</v>
      </c>
      <c r="AT238" s="476">
        <f t="shared" si="451"/>
        <v>0</v>
      </c>
      <c r="AU238" s="476">
        <f t="shared" si="452"/>
        <v>0</v>
      </c>
      <c r="AV238" s="476">
        <f t="shared" si="453"/>
        <v>0</v>
      </c>
      <c r="AW238" s="476">
        <f t="shared" si="454"/>
        <v>0</v>
      </c>
      <c r="AX238" s="476">
        <f t="shared" si="455"/>
        <v>0</v>
      </c>
      <c r="AY238" s="476">
        <f t="shared" si="456"/>
        <v>0</v>
      </c>
      <c r="AZ238" s="476">
        <f t="shared" si="457"/>
        <v>0</v>
      </c>
      <c r="BA238" s="476">
        <f t="shared" si="458"/>
        <v>0</v>
      </c>
      <c r="BB238" s="476">
        <f t="shared" si="459"/>
        <v>0</v>
      </c>
      <c r="BC238" s="476">
        <f t="shared" si="460"/>
        <v>0</v>
      </c>
      <c r="BD238" s="476">
        <f t="shared" si="461"/>
        <v>0</v>
      </c>
      <c r="BE238" s="476">
        <f t="shared" si="462"/>
        <v>0</v>
      </c>
      <c r="BF238" s="476">
        <f t="shared" si="463"/>
        <v>0</v>
      </c>
      <c r="BG238" s="476">
        <f t="shared" si="464"/>
        <v>0</v>
      </c>
    </row>
    <row r="239" spans="1:59" ht="16.5" customHeight="1">
      <c r="A239" s="583" t="s">
        <v>881</v>
      </c>
      <c r="B239" s="584" t="s">
        <v>973</v>
      </c>
      <c r="C239" s="584" t="s">
        <v>295</v>
      </c>
      <c r="D239" s="413" t="s">
        <v>1164</v>
      </c>
      <c r="E239" s="412" t="s">
        <v>1171</v>
      </c>
      <c r="F239" s="413" t="s">
        <v>1186</v>
      </c>
      <c r="G239" s="412" t="s">
        <v>1186</v>
      </c>
      <c r="H239" s="412" t="s">
        <v>974</v>
      </c>
      <c r="I239" s="477">
        <v>0</v>
      </c>
      <c r="J239" s="477">
        <v>0</v>
      </c>
      <c r="K239" s="477">
        <v>297896</v>
      </c>
      <c r="L239" s="477">
        <v>0</v>
      </c>
      <c r="M239" s="477">
        <f t="shared" si="334"/>
        <v>297896</v>
      </c>
      <c r="N239" s="477">
        <f t="shared" si="335"/>
        <v>0</v>
      </c>
      <c r="O239" s="477"/>
      <c r="P239" s="477"/>
      <c r="Q239" s="477">
        <f t="shared" si="377"/>
        <v>297896</v>
      </c>
      <c r="R239" s="477">
        <f t="shared" si="378"/>
        <v>0</v>
      </c>
      <c r="S239" s="477">
        <f t="shared" si="379"/>
        <v>297896</v>
      </c>
      <c r="V239" s="476">
        <f t="shared" si="427"/>
        <v>297896</v>
      </c>
      <c r="W239" s="476">
        <f t="shared" si="428"/>
        <v>0</v>
      </c>
      <c r="X239" s="476">
        <f t="shared" si="429"/>
        <v>0</v>
      </c>
      <c r="Y239" s="476">
        <f t="shared" si="430"/>
        <v>0</v>
      </c>
      <c r="Z239" s="476">
        <f t="shared" si="431"/>
        <v>0</v>
      </c>
      <c r="AA239" s="476">
        <f t="shared" si="432"/>
        <v>0</v>
      </c>
      <c r="AB239" s="476">
        <f t="shared" si="433"/>
        <v>0</v>
      </c>
      <c r="AC239" s="476">
        <f t="shared" si="434"/>
        <v>0</v>
      </c>
      <c r="AD239" s="476">
        <f t="shared" si="435"/>
        <v>0</v>
      </c>
      <c r="AE239" s="476">
        <f t="shared" si="436"/>
        <v>0</v>
      </c>
      <c r="AF239" s="476">
        <f t="shared" si="437"/>
        <v>0</v>
      </c>
      <c r="AG239" s="476">
        <f t="shared" si="438"/>
        <v>0</v>
      </c>
      <c r="AH239" s="476">
        <f t="shared" si="439"/>
        <v>0</v>
      </c>
      <c r="AI239" s="476">
        <f t="shared" si="440"/>
        <v>0</v>
      </c>
      <c r="AJ239" s="476">
        <f t="shared" si="441"/>
        <v>0</v>
      </c>
      <c r="AK239" s="476">
        <f t="shared" si="442"/>
        <v>0</v>
      </c>
      <c r="AL239" s="476">
        <f t="shared" si="443"/>
        <v>0</v>
      </c>
      <c r="AM239" s="476">
        <f t="shared" si="444"/>
        <v>0</v>
      </c>
      <c r="AN239" s="476">
        <f t="shared" si="445"/>
        <v>0</v>
      </c>
      <c r="AO239" s="476">
        <f t="shared" si="446"/>
        <v>0</v>
      </c>
      <c r="AP239" s="476">
        <f t="shared" si="447"/>
        <v>0</v>
      </c>
      <c r="AQ239" s="476">
        <f t="shared" si="448"/>
        <v>0</v>
      </c>
      <c r="AR239" s="476">
        <f t="shared" si="449"/>
        <v>0</v>
      </c>
      <c r="AS239" s="476">
        <f t="shared" si="450"/>
        <v>0</v>
      </c>
      <c r="AT239" s="476">
        <f t="shared" si="451"/>
        <v>0</v>
      </c>
      <c r="AU239" s="476">
        <f t="shared" si="452"/>
        <v>0</v>
      </c>
      <c r="AV239" s="476">
        <f t="shared" si="453"/>
        <v>0</v>
      </c>
      <c r="AW239" s="476">
        <f t="shared" si="454"/>
        <v>0</v>
      </c>
      <c r="AX239" s="476">
        <f t="shared" si="455"/>
        <v>0</v>
      </c>
      <c r="AY239" s="476">
        <f t="shared" si="456"/>
        <v>0</v>
      </c>
      <c r="AZ239" s="476">
        <f t="shared" si="457"/>
        <v>0</v>
      </c>
      <c r="BA239" s="476">
        <f t="shared" si="458"/>
        <v>0</v>
      </c>
      <c r="BB239" s="476">
        <f t="shared" si="459"/>
        <v>0</v>
      </c>
      <c r="BC239" s="476">
        <f t="shared" si="460"/>
        <v>0</v>
      </c>
      <c r="BD239" s="476">
        <f t="shared" si="461"/>
        <v>0</v>
      </c>
      <c r="BE239" s="476">
        <f t="shared" si="462"/>
        <v>0</v>
      </c>
      <c r="BF239" s="476">
        <f t="shared" si="463"/>
        <v>0</v>
      </c>
      <c r="BG239" s="476">
        <f t="shared" si="464"/>
        <v>0</v>
      </c>
    </row>
    <row r="240" spans="1:59" ht="16.5" customHeight="1">
      <c r="A240" s="583" t="s">
        <v>1187</v>
      </c>
      <c r="B240" s="584" t="s">
        <v>1696</v>
      </c>
      <c r="C240" s="584" t="s">
        <v>1773</v>
      </c>
      <c r="D240" s="413" t="s">
        <v>1164</v>
      </c>
      <c r="E240" s="412" t="s">
        <v>1171</v>
      </c>
      <c r="F240" s="413" t="s">
        <v>590</v>
      </c>
      <c r="G240" s="412" t="s">
        <v>1188</v>
      </c>
      <c r="H240" s="412" t="s">
        <v>974</v>
      </c>
      <c r="I240" s="477">
        <v>0</v>
      </c>
      <c r="J240" s="477">
        <v>0</v>
      </c>
      <c r="K240" s="477">
        <v>432000</v>
      </c>
      <c r="L240" s="477">
        <v>0</v>
      </c>
      <c r="M240" s="477">
        <f t="shared" si="334"/>
        <v>432000</v>
      </c>
      <c r="N240" s="477">
        <f t="shared" si="335"/>
        <v>0</v>
      </c>
      <c r="O240" s="477"/>
      <c r="P240" s="477"/>
      <c r="Q240" s="477">
        <f t="shared" si="377"/>
        <v>432000</v>
      </c>
      <c r="R240" s="477">
        <f t="shared" si="378"/>
        <v>0</v>
      </c>
      <c r="S240" s="477">
        <f t="shared" si="379"/>
        <v>432000</v>
      </c>
      <c r="V240" s="476">
        <f t="shared" si="427"/>
        <v>432000</v>
      </c>
      <c r="W240" s="476">
        <f t="shared" si="428"/>
        <v>0</v>
      </c>
      <c r="X240" s="476">
        <f t="shared" si="429"/>
        <v>0</v>
      </c>
      <c r="Y240" s="476">
        <f t="shared" si="430"/>
        <v>0</v>
      </c>
      <c r="Z240" s="476">
        <f t="shared" si="431"/>
        <v>0</v>
      </c>
      <c r="AA240" s="476">
        <f t="shared" si="432"/>
        <v>0</v>
      </c>
      <c r="AB240" s="476">
        <f t="shared" si="433"/>
        <v>0</v>
      </c>
      <c r="AC240" s="476">
        <f t="shared" si="434"/>
        <v>0</v>
      </c>
      <c r="AD240" s="476">
        <f t="shared" si="435"/>
        <v>0</v>
      </c>
      <c r="AE240" s="476">
        <f t="shared" si="436"/>
        <v>0</v>
      </c>
      <c r="AF240" s="476">
        <f t="shared" si="437"/>
        <v>0</v>
      </c>
      <c r="AG240" s="476">
        <f t="shared" si="438"/>
        <v>0</v>
      </c>
      <c r="AH240" s="476">
        <f t="shared" si="439"/>
        <v>0</v>
      </c>
      <c r="AI240" s="476">
        <f t="shared" si="440"/>
        <v>0</v>
      </c>
      <c r="AJ240" s="476">
        <f t="shared" si="441"/>
        <v>0</v>
      </c>
      <c r="AK240" s="476">
        <f t="shared" si="442"/>
        <v>0</v>
      </c>
      <c r="AL240" s="476">
        <f t="shared" si="443"/>
        <v>0</v>
      </c>
      <c r="AM240" s="476">
        <f t="shared" si="444"/>
        <v>0</v>
      </c>
      <c r="AN240" s="476">
        <f t="shared" si="445"/>
        <v>0</v>
      </c>
      <c r="AO240" s="476">
        <f t="shared" si="446"/>
        <v>0</v>
      </c>
      <c r="AP240" s="476">
        <f t="shared" si="447"/>
        <v>0</v>
      </c>
      <c r="AQ240" s="476">
        <f t="shared" si="448"/>
        <v>0</v>
      </c>
      <c r="AR240" s="476">
        <f t="shared" si="449"/>
        <v>0</v>
      </c>
      <c r="AS240" s="476">
        <f t="shared" si="450"/>
        <v>0</v>
      </c>
      <c r="AT240" s="476">
        <f t="shared" si="451"/>
        <v>0</v>
      </c>
      <c r="AU240" s="476">
        <f t="shared" si="452"/>
        <v>0</v>
      </c>
      <c r="AV240" s="476">
        <f t="shared" si="453"/>
        <v>0</v>
      </c>
      <c r="AW240" s="476">
        <f t="shared" si="454"/>
        <v>0</v>
      </c>
      <c r="AX240" s="476">
        <f t="shared" si="455"/>
        <v>0</v>
      </c>
      <c r="AY240" s="476">
        <f t="shared" si="456"/>
        <v>0</v>
      </c>
      <c r="AZ240" s="476">
        <f t="shared" si="457"/>
        <v>0</v>
      </c>
      <c r="BA240" s="476">
        <f t="shared" si="458"/>
        <v>0</v>
      </c>
      <c r="BB240" s="476">
        <f t="shared" si="459"/>
        <v>0</v>
      </c>
      <c r="BC240" s="476">
        <f t="shared" si="460"/>
        <v>0</v>
      </c>
      <c r="BD240" s="476">
        <f t="shared" si="461"/>
        <v>0</v>
      </c>
      <c r="BE240" s="476">
        <f t="shared" si="462"/>
        <v>0</v>
      </c>
      <c r="BF240" s="476">
        <f t="shared" si="463"/>
        <v>0</v>
      </c>
      <c r="BG240" s="476">
        <f t="shared" si="464"/>
        <v>0</v>
      </c>
    </row>
    <row r="241" spans="1:59" ht="16.5" customHeight="1">
      <c r="A241" s="583" t="s">
        <v>882</v>
      </c>
      <c r="B241" s="584" t="s">
        <v>1697</v>
      </c>
      <c r="C241" s="584" t="s">
        <v>296</v>
      </c>
      <c r="D241" s="412" t="s">
        <v>1164</v>
      </c>
      <c r="E241" s="412" t="s">
        <v>1171</v>
      </c>
      <c r="F241" s="412" t="s">
        <v>1186</v>
      </c>
      <c r="G241" s="412" t="s">
        <v>1186</v>
      </c>
      <c r="H241" s="412" t="s">
        <v>974</v>
      </c>
      <c r="I241" s="477">
        <v>0</v>
      </c>
      <c r="J241" s="477">
        <v>0</v>
      </c>
      <c r="K241" s="477">
        <v>100000</v>
      </c>
      <c r="L241" s="477">
        <v>0</v>
      </c>
      <c r="M241" s="477">
        <f t="shared" si="334"/>
        <v>100000</v>
      </c>
      <c r="N241" s="477">
        <f t="shared" si="335"/>
        <v>0</v>
      </c>
      <c r="O241" s="477"/>
      <c r="P241" s="477"/>
      <c r="Q241" s="477">
        <f t="shared" si="377"/>
        <v>100000</v>
      </c>
      <c r="R241" s="477">
        <f t="shared" si="378"/>
        <v>0</v>
      </c>
      <c r="S241" s="477">
        <f t="shared" si="379"/>
        <v>100000</v>
      </c>
      <c r="V241" s="476">
        <f t="shared" si="427"/>
        <v>100000</v>
      </c>
      <c r="W241" s="476">
        <f t="shared" si="428"/>
        <v>0</v>
      </c>
      <c r="X241" s="476">
        <f t="shared" si="429"/>
        <v>0</v>
      </c>
      <c r="Y241" s="476">
        <f t="shared" si="430"/>
        <v>0</v>
      </c>
      <c r="Z241" s="476">
        <f t="shared" si="431"/>
        <v>0</v>
      </c>
      <c r="AA241" s="476">
        <f t="shared" si="432"/>
        <v>0</v>
      </c>
      <c r="AB241" s="476">
        <f t="shared" si="433"/>
        <v>0</v>
      </c>
      <c r="AC241" s="476">
        <f t="shared" si="434"/>
        <v>0</v>
      </c>
      <c r="AD241" s="476">
        <f t="shared" si="435"/>
        <v>0</v>
      </c>
      <c r="AE241" s="476">
        <f t="shared" si="436"/>
        <v>0</v>
      </c>
      <c r="AF241" s="476">
        <f t="shared" si="437"/>
        <v>0</v>
      </c>
      <c r="AG241" s="476">
        <f t="shared" si="438"/>
        <v>0</v>
      </c>
      <c r="AH241" s="476">
        <f t="shared" si="439"/>
        <v>0</v>
      </c>
      <c r="AI241" s="476">
        <f t="shared" si="440"/>
        <v>0</v>
      </c>
      <c r="AJ241" s="476">
        <f t="shared" si="441"/>
        <v>0</v>
      </c>
      <c r="AK241" s="476">
        <f t="shared" si="442"/>
        <v>0</v>
      </c>
      <c r="AL241" s="476">
        <f t="shared" si="443"/>
        <v>0</v>
      </c>
      <c r="AM241" s="476">
        <f t="shared" si="444"/>
        <v>0</v>
      </c>
      <c r="AN241" s="476">
        <f t="shared" si="445"/>
        <v>0</v>
      </c>
      <c r="AO241" s="476">
        <f t="shared" si="446"/>
        <v>0</v>
      </c>
      <c r="AP241" s="476">
        <f t="shared" si="447"/>
        <v>0</v>
      </c>
      <c r="AQ241" s="476">
        <f t="shared" si="448"/>
        <v>0</v>
      </c>
      <c r="AR241" s="476">
        <f t="shared" si="449"/>
        <v>0</v>
      </c>
      <c r="AS241" s="476">
        <f t="shared" si="450"/>
        <v>0</v>
      </c>
      <c r="AT241" s="476">
        <f t="shared" si="451"/>
        <v>0</v>
      </c>
      <c r="AU241" s="476">
        <f t="shared" si="452"/>
        <v>0</v>
      </c>
      <c r="AV241" s="476">
        <f t="shared" si="453"/>
        <v>0</v>
      </c>
      <c r="AW241" s="476">
        <f t="shared" si="454"/>
        <v>0</v>
      </c>
      <c r="AX241" s="476">
        <f t="shared" si="455"/>
        <v>0</v>
      </c>
      <c r="AY241" s="476">
        <f t="shared" si="456"/>
        <v>0</v>
      </c>
      <c r="AZ241" s="476">
        <f t="shared" si="457"/>
        <v>0</v>
      </c>
      <c r="BA241" s="476">
        <f t="shared" si="458"/>
        <v>0</v>
      </c>
      <c r="BB241" s="476">
        <f t="shared" si="459"/>
        <v>0</v>
      </c>
      <c r="BC241" s="476">
        <f t="shared" si="460"/>
        <v>0</v>
      </c>
      <c r="BD241" s="476">
        <f t="shared" si="461"/>
        <v>0</v>
      </c>
      <c r="BE241" s="476">
        <f t="shared" si="462"/>
        <v>0</v>
      </c>
      <c r="BF241" s="476">
        <f t="shared" si="463"/>
        <v>0</v>
      </c>
      <c r="BG241" s="476">
        <f t="shared" si="464"/>
        <v>0</v>
      </c>
    </row>
    <row r="242" spans="1:59" ht="16.5" customHeight="1">
      <c r="A242" s="583" t="s">
        <v>883</v>
      </c>
      <c r="B242" s="584" t="s">
        <v>1698</v>
      </c>
      <c r="C242" s="584" t="s">
        <v>297</v>
      </c>
      <c r="D242" s="413" t="s">
        <v>1164</v>
      </c>
      <c r="E242" s="412" t="s">
        <v>1171</v>
      </c>
      <c r="F242" s="413" t="s">
        <v>1178</v>
      </c>
      <c r="G242" s="412" t="s">
        <v>1178</v>
      </c>
      <c r="H242" s="412" t="s">
        <v>974</v>
      </c>
      <c r="I242" s="477">
        <v>0</v>
      </c>
      <c r="J242" s="477">
        <v>0</v>
      </c>
      <c r="K242" s="477">
        <v>1239</v>
      </c>
      <c r="L242" s="477">
        <v>0</v>
      </c>
      <c r="M242" s="477">
        <f t="shared" si="334"/>
        <v>1239</v>
      </c>
      <c r="N242" s="477">
        <f t="shared" si="335"/>
        <v>0</v>
      </c>
      <c r="O242" s="477"/>
      <c r="P242" s="477"/>
      <c r="Q242" s="477">
        <f t="shared" si="377"/>
        <v>1239</v>
      </c>
      <c r="R242" s="477">
        <f t="shared" si="378"/>
        <v>0</v>
      </c>
      <c r="S242" s="477">
        <f t="shared" si="379"/>
        <v>1239</v>
      </c>
      <c r="V242" s="476">
        <f t="shared" si="427"/>
        <v>1239</v>
      </c>
      <c r="W242" s="476">
        <f t="shared" si="428"/>
        <v>0</v>
      </c>
      <c r="X242" s="476">
        <f t="shared" si="429"/>
        <v>0</v>
      </c>
      <c r="Y242" s="476">
        <f t="shared" si="430"/>
        <v>0</v>
      </c>
      <c r="Z242" s="476">
        <f t="shared" si="431"/>
        <v>0</v>
      </c>
      <c r="AA242" s="476">
        <f t="shared" si="432"/>
        <v>0</v>
      </c>
      <c r="AB242" s="476">
        <f t="shared" si="433"/>
        <v>0</v>
      </c>
      <c r="AC242" s="476">
        <f t="shared" si="434"/>
        <v>0</v>
      </c>
      <c r="AD242" s="476">
        <f t="shared" si="435"/>
        <v>0</v>
      </c>
      <c r="AE242" s="476">
        <f t="shared" si="436"/>
        <v>0</v>
      </c>
      <c r="AF242" s="476">
        <f t="shared" si="437"/>
        <v>0</v>
      </c>
      <c r="AG242" s="476">
        <f t="shared" si="438"/>
        <v>0</v>
      </c>
      <c r="AH242" s="476">
        <f t="shared" si="439"/>
        <v>0</v>
      </c>
      <c r="AI242" s="476">
        <f t="shared" si="440"/>
        <v>0</v>
      </c>
      <c r="AJ242" s="476">
        <f t="shared" si="441"/>
        <v>0</v>
      </c>
      <c r="AK242" s="476">
        <f t="shared" si="442"/>
        <v>0</v>
      </c>
      <c r="AL242" s="476">
        <f t="shared" si="443"/>
        <v>0</v>
      </c>
      <c r="AM242" s="476">
        <f t="shared" si="444"/>
        <v>0</v>
      </c>
      <c r="AN242" s="476">
        <f t="shared" si="445"/>
        <v>0</v>
      </c>
      <c r="AO242" s="476">
        <f t="shared" si="446"/>
        <v>0</v>
      </c>
      <c r="AP242" s="476">
        <f t="shared" si="447"/>
        <v>0</v>
      </c>
      <c r="AQ242" s="476">
        <f t="shared" si="448"/>
        <v>0</v>
      </c>
      <c r="AR242" s="476">
        <f t="shared" si="449"/>
        <v>0</v>
      </c>
      <c r="AS242" s="476">
        <f t="shared" si="450"/>
        <v>0</v>
      </c>
      <c r="AT242" s="476">
        <f t="shared" si="451"/>
        <v>0</v>
      </c>
      <c r="AU242" s="476">
        <f t="shared" si="452"/>
        <v>0</v>
      </c>
      <c r="AV242" s="476">
        <f t="shared" si="453"/>
        <v>0</v>
      </c>
      <c r="AW242" s="476">
        <f t="shared" si="454"/>
        <v>0</v>
      </c>
      <c r="AX242" s="476">
        <f t="shared" si="455"/>
        <v>0</v>
      </c>
      <c r="AY242" s="476">
        <f t="shared" si="456"/>
        <v>0</v>
      </c>
      <c r="AZ242" s="476">
        <f t="shared" si="457"/>
        <v>0</v>
      </c>
      <c r="BA242" s="476">
        <f t="shared" si="458"/>
        <v>0</v>
      </c>
      <c r="BB242" s="476">
        <f t="shared" si="459"/>
        <v>0</v>
      </c>
      <c r="BC242" s="476">
        <f t="shared" si="460"/>
        <v>0</v>
      </c>
      <c r="BD242" s="476">
        <f t="shared" si="461"/>
        <v>0</v>
      </c>
      <c r="BE242" s="476">
        <f t="shared" si="462"/>
        <v>0</v>
      </c>
      <c r="BF242" s="476">
        <f t="shared" si="463"/>
        <v>0</v>
      </c>
      <c r="BG242" s="476">
        <f t="shared" si="464"/>
        <v>0</v>
      </c>
    </row>
    <row r="243" spans="1:59" ht="16.5" customHeight="1">
      <c r="A243" s="583" t="s">
        <v>884</v>
      </c>
      <c r="B243" s="584" t="s">
        <v>994</v>
      </c>
      <c r="C243" s="584" t="s">
        <v>298</v>
      </c>
      <c r="D243" s="413" t="s">
        <v>1164</v>
      </c>
      <c r="E243" s="412" t="s">
        <v>1181</v>
      </c>
      <c r="F243" s="413" t="s">
        <v>1189</v>
      </c>
      <c r="G243" s="412" t="s">
        <v>1189</v>
      </c>
      <c r="H243" s="412" t="s">
        <v>974</v>
      </c>
      <c r="I243" s="477">
        <v>0</v>
      </c>
      <c r="J243" s="477">
        <v>0</v>
      </c>
      <c r="K243" s="477">
        <v>205940</v>
      </c>
      <c r="L243" s="477">
        <v>27004</v>
      </c>
      <c r="M243" s="477">
        <f t="shared" si="334"/>
        <v>205940</v>
      </c>
      <c r="N243" s="477">
        <f t="shared" si="335"/>
        <v>27004</v>
      </c>
      <c r="O243" s="477">
        <f>'Adjustments 2025'!E72</f>
        <v>27004</v>
      </c>
      <c r="P243" s="477"/>
      <c r="Q243" s="477">
        <f t="shared" si="377"/>
        <v>232944</v>
      </c>
      <c r="R243" s="477">
        <f t="shared" si="378"/>
        <v>27004</v>
      </c>
      <c r="S243" s="477">
        <f t="shared" si="379"/>
        <v>205940</v>
      </c>
      <c r="V243" s="476">
        <f t="shared" si="427"/>
        <v>232944</v>
      </c>
      <c r="W243" s="476">
        <f t="shared" si="428"/>
        <v>27004</v>
      </c>
      <c r="X243" s="476">
        <f t="shared" si="429"/>
        <v>0</v>
      </c>
      <c r="Y243" s="476">
        <f t="shared" si="430"/>
        <v>0</v>
      </c>
      <c r="Z243" s="476">
        <f t="shared" si="431"/>
        <v>0</v>
      </c>
      <c r="AA243" s="476">
        <f t="shared" si="432"/>
        <v>0</v>
      </c>
      <c r="AB243" s="476">
        <f t="shared" si="433"/>
        <v>0</v>
      </c>
      <c r="AC243" s="476">
        <f t="shared" si="434"/>
        <v>0</v>
      </c>
      <c r="AD243" s="476">
        <f t="shared" si="435"/>
        <v>0</v>
      </c>
      <c r="AE243" s="476">
        <f t="shared" si="436"/>
        <v>0</v>
      </c>
      <c r="AF243" s="476">
        <f t="shared" si="437"/>
        <v>0</v>
      </c>
      <c r="AG243" s="476">
        <f t="shared" si="438"/>
        <v>0</v>
      </c>
      <c r="AH243" s="476">
        <f t="shared" si="439"/>
        <v>0</v>
      </c>
      <c r="AI243" s="476">
        <f t="shared" si="440"/>
        <v>0</v>
      </c>
      <c r="AJ243" s="476">
        <f t="shared" si="441"/>
        <v>0</v>
      </c>
      <c r="AK243" s="476">
        <f t="shared" si="442"/>
        <v>0</v>
      </c>
      <c r="AL243" s="476">
        <f t="shared" si="443"/>
        <v>0</v>
      </c>
      <c r="AM243" s="476">
        <f t="shared" si="444"/>
        <v>0</v>
      </c>
      <c r="AN243" s="476">
        <f t="shared" si="445"/>
        <v>0</v>
      </c>
      <c r="AO243" s="476">
        <f t="shared" si="446"/>
        <v>0</v>
      </c>
      <c r="AP243" s="476">
        <f t="shared" si="447"/>
        <v>0</v>
      </c>
      <c r="AQ243" s="476">
        <f t="shared" si="448"/>
        <v>0</v>
      </c>
      <c r="AR243" s="476">
        <f t="shared" si="449"/>
        <v>0</v>
      </c>
      <c r="AS243" s="476">
        <f t="shared" si="450"/>
        <v>0</v>
      </c>
      <c r="AT243" s="476">
        <f t="shared" si="451"/>
        <v>0</v>
      </c>
      <c r="AU243" s="476">
        <f t="shared" si="452"/>
        <v>0</v>
      </c>
      <c r="AV243" s="476">
        <f t="shared" si="453"/>
        <v>0</v>
      </c>
      <c r="AW243" s="476">
        <f t="shared" si="454"/>
        <v>0</v>
      </c>
      <c r="AX243" s="476">
        <f t="shared" si="455"/>
        <v>0</v>
      </c>
      <c r="AY243" s="476">
        <f t="shared" si="456"/>
        <v>0</v>
      </c>
      <c r="AZ243" s="476">
        <f t="shared" si="457"/>
        <v>0</v>
      </c>
      <c r="BA243" s="476">
        <f t="shared" si="458"/>
        <v>0</v>
      </c>
      <c r="BB243" s="476">
        <f t="shared" si="459"/>
        <v>0</v>
      </c>
      <c r="BC243" s="476">
        <f t="shared" si="460"/>
        <v>0</v>
      </c>
      <c r="BD243" s="476">
        <f t="shared" si="461"/>
        <v>0</v>
      </c>
      <c r="BE243" s="476">
        <f t="shared" si="462"/>
        <v>0</v>
      </c>
      <c r="BF243" s="476">
        <f t="shared" si="463"/>
        <v>0</v>
      </c>
      <c r="BG243" s="476">
        <f t="shared" si="464"/>
        <v>0</v>
      </c>
    </row>
    <row r="244" spans="1:59" ht="16.5" customHeight="1">
      <c r="A244" s="583" t="s">
        <v>885</v>
      </c>
      <c r="B244" s="584" t="s">
        <v>1699</v>
      </c>
      <c r="C244" s="584" t="s">
        <v>299</v>
      </c>
      <c r="D244" s="413" t="s">
        <v>1164</v>
      </c>
      <c r="E244" s="412" t="s">
        <v>1181</v>
      </c>
      <c r="F244" s="413" t="s">
        <v>1189</v>
      </c>
      <c r="G244" s="412" t="s">
        <v>1189</v>
      </c>
      <c r="H244" s="412" t="s">
        <v>974</v>
      </c>
      <c r="I244" s="477">
        <v>0</v>
      </c>
      <c r="J244" s="477">
        <v>0</v>
      </c>
      <c r="K244" s="477">
        <v>146579</v>
      </c>
      <c r="L244" s="477">
        <v>0</v>
      </c>
      <c r="M244" s="477">
        <f t="shared" si="334"/>
        <v>146579</v>
      </c>
      <c r="N244" s="477">
        <f t="shared" si="335"/>
        <v>0</v>
      </c>
      <c r="O244" s="477"/>
      <c r="P244" s="477"/>
      <c r="Q244" s="477">
        <f t="shared" si="377"/>
        <v>146579</v>
      </c>
      <c r="R244" s="477">
        <f t="shared" si="378"/>
        <v>0</v>
      </c>
      <c r="S244" s="477">
        <f t="shared" si="379"/>
        <v>146579</v>
      </c>
      <c r="U244" s="473"/>
      <c r="V244" s="476">
        <f t="shared" si="427"/>
        <v>146579</v>
      </c>
      <c r="W244" s="476">
        <f t="shared" si="428"/>
        <v>0</v>
      </c>
      <c r="X244" s="476">
        <f t="shared" si="429"/>
        <v>0</v>
      </c>
      <c r="Y244" s="476">
        <f t="shared" si="430"/>
        <v>0</v>
      </c>
      <c r="Z244" s="476">
        <f t="shared" si="431"/>
        <v>0</v>
      </c>
      <c r="AA244" s="476">
        <f t="shared" si="432"/>
        <v>0</v>
      </c>
      <c r="AB244" s="476">
        <f t="shared" si="433"/>
        <v>0</v>
      </c>
      <c r="AC244" s="476">
        <f t="shared" si="434"/>
        <v>0</v>
      </c>
      <c r="AD244" s="476">
        <f t="shared" si="435"/>
        <v>0</v>
      </c>
      <c r="AE244" s="476">
        <f t="shared" si="436"/>
        <v>0</v>
      </c>
      <c r="AF244" s="476">
        <f t="shared" si="437"/>
        <v>0</v>
      </c>
      <c r="AG244" s="476">
        <f t="shared" si="438"/>
        <v>0</v>
      </c>
      <c r="AH244" s="476">
        <f t="shared" si="439"/>
        <v>0</v>
      </c>
      <c r="AI244" s="476">
        <f t="shared" si="440"/>
        <v>0</v>
      </c>
      <c r="AJ244" s="476">
        <f t="shared" si="441"/>
        <v>0</v>
      </c>
      <c r="AK244" s="476">
        <f t="shared" si="442"/>
        <v>0</v>
      </c>
      <c r="AL244" s="476">
        <f t="shared" si="443"/>
        <v>0</v>
      </c>
      <c r="AM244" s="476">
        <f t="shared" si="444"/>
        <v>0</v>
      </c>
      <c r="AN244" s="476">
        <f t="shared" si="445"/>
        <v>0</v>
      </c>
      <c r="AO244" s="476">
        <f t="shared" si="446"/>
        <v>0</v>
      </c>
      <c r="AP244" s="476">
        <f t="shared" si="447"/>
        <v>0</v>
      </c>
      <c r="AQ244" s="476">
        <f t="shared" si="448"/>
        <v>0</v>
      </c>
      <c r="AR244" s="476">
        <f t="shared" si="449"/>
        <v>0</v>
      </c>
      <c r="AS244" s="476">
        <f t="shared" si="450"/>
        <v>0</v>
      </c>
      <c r="AT244" s="476">
        <f t="shared" si="451"/>
        <v>0</v>
      </c>
      <c r="AU244" s="476">
        <f t="shared" si="452"/>
        <v>0</v>
      </c>
      <c r="AV244" s="476">
        <f t="shared" si="453"/>
        <v>0</v>
      </c>
      <c r="AW244" s="476">
        <f t="shared" si="454"/>
        <v>0</v>
      </c>
      <c r="AX244" s="476">
        <f t="shared" si="455"/>
        <v>0</v>
      </c>
      <c r="AY244" s="476">
        <f t="shared" si="456"/>
        <v>0</v>
      </c>
      <c r="AZ244" s="476">
        <f t="shared" si="457"/>
        <v>0</v>
      </c>
      <c r="BA244" s="476">
        <f t="shared" si="458"/>
        <v>0</v>
      </c>
      <c r="BB244" s="476">
        <f t="shared" si="459"/>
        <v>0</v>
      </c>
      <c r="BC244" s="476">
        <f t="shared" si="460"/>
        <v>0</v>
      </c>
      <c r="BD244" s="476">
        <f t="shared" si="461"/>
        <v>0</v>
      </c>
      <c r="BE244" s="476">
        <f t="shared" si="462"/>
        <v>0</v>
      </c>
      <c r="BF244" s="476">
        <f t="shared" si="463"/>
        <v>0</v>
      </c>
      <c r="BG244" s="476">
        <f t="shared" si="464"/>
        <v>0</v>
      </c>
    </row>
    <row r="245" spans="1:59" ht="16.5" customHeight="1">
      <c r="A245" s="583" t="s">
        <v>887</v>
      </c>
      <c r="B245" s="584" t="s">
        <v>1700</v>
      </c>
      <c r="C245" s="584" t="s">
        <v>304</v>
      </c>
      <c r="D245" s="413" t="s">
        <v>1164</v>
      </c>
      <c r="E245" s="412" t="s">
        <v>1191</v>
      </c>
      <c r="F245" s="413" t="s">
        <v>1190</v>
      </c>
      <c r="G245" s="412" t="s">
        <v>1190</v>
      </c>
      <c r="H245" s="412" t="s">
        <v>974</v>
      </c>
      <c r="I245" s="477">
        <v>0</v>
      </c>
      <c r="J245" s="477">
        <v>0</v>
      </c>
      <c r="K245" s="477">
        <v>8742.75</v>
      </c>
      <c r="L245" s="477">
        <v>0</v>
      </c>
      <c r="M245" s="477">
        <f t="shared" si="334"/>
        <v>8742.75</v>
      </c>
      <c r="N245" s="477">
        <f t="shared" si="335"/>
        <v>0</v>
      </c>
      <c r="O245" s="477"/>
      <c r="P245" s="477"/>
      <c r="Q245" s="477">
        <f t="shared" si="377"/>
        <v>8742.75</v>
      </c>
      <c r="R245" s="477">
        <f t="shared" si="378"/>
        <v>0</v>
      </c>
      <c r="S245" s="477">
        <f t="shared" si="379"/>
        <v>8742.75</v>
      </c>
      <c r="V245" s="476">
        <f t="shared" si="427"/>
        <v>8742.75</v>
      </c>
      <c r="W245" s="476">
        <f t="shared" si="428"/>
        <v>0</v>
      </c>
      <c r="X245" s="476">
        <f t="shared" si="429"/>
        <v>0</v>
      </c>
      <c r="Y245" s="476">
        <f t="shared" si="430"/>
        <v>0</v>
      </c>
      <c r="Z245" s="476">
        <f t="shared" si="431"/>
        <v>0</v>
      </c>
      <c r="AA245" s="476">
        <f t="shared" si="432"/>
        <v>0</v>
      </c>
      <c r="AB245" s="476">
        <f t="shared" si="433"/>
        <v>0</v>
      </c>
      <c r="AC245" s="476">
        <f t="shared" si="434"/>
        <v>0</v>
      </c>
      <c r="AD245" s="476">
        <f t="shared" si="435"/>
        <v>0</v>
      </c>
      <c r="AE245" s="476">
        <f t="shared" si="436"/>
        <v>0</v>
      </c>
      <c r="AF245" s="476">
        <f t="shared" si="437"/>
        <v>0</v>
      </c>
      <c r="AG245" s="476">
        <f t="shared" si="438"/>
        <v>0</v>
      </c>
      <c r="AH245" s="476">
        <f t="shared" si="439"/>
        <v>0</v>
      </c>
      <c r="AI245" s="476">
        <f t="shared" si="440"/>
        <v>0</v>
      </c>
      <c r="AJ245" s="476">
        <f t="shared" si="441"/>
        <v>0</v>
      </c>
      <c r="AK245" s="476">
        <f t="shared" si="442"/>
        <v>0</v>
      </c>
      <c r="AL245" s="476">
        <f t="shared" si="443"/>
        <v>0</v>
      </c>
      <c r="AM245" s="476">
        <f t="shared" si="444"/>
        <v>0</v>
      </c>
      <c r="AN245" s="476">
        <f t="shared" si="445"/>
        <v>0</v>
      </c>
      <c r="AO245" s="476">
        <f t="shared" si="446"/>
        <v>0</v>
      </c>
      <c r="AP245" s="476">
        <f t="shared" si="447"/>
        <v>0</v>
      </c>
      <c r="AQ245" s="476">
        <f t="shared" si="448"/>
        <v>0</v>
      </c>
      <c r="AR245" s="476">
        <f t="shared" si="449"/>
        <v>0</v>
      </c>
      <c r="AS245" s="476">
        <f t="shared" si="450"/>
        <v>0</v>
      </c>
      <c r="AT245" s="476">
        <f t="shared" si="451"/>
        <v>0</v>
      </c>
      <c r="AU245" s="476">
        <f t="shared" si="452"/>
        <v>0</v>
      </c>
      <c r="AV245" s="476">
        <f t="shared" si="453"/>
        <v>0</v>
      </c>
      <c r="AW245" s="476">
        <f t="shared" si="454"/>
        <v>0</v>
      </c>
      <c r="AX245" s="476">
        <f t="shared" si="455"/>
        <v>0</v>
      </c>
      <c r="AY245" s="476">
        <f t="shared" si="456"/>
        <v>0</v>
      </c>
      <c r="AZ245" s="476">
        <f t="shared" si="457"/>
        <v>0</v>
      </c>
      <c r="BA245" s="476">
        <f t="shared" si="458"/>
        <v>0</v>
      </c>
      <c r="BB245" s="476">
        <f t="shared" si="459"/>
        <v>0</v>
      </c>
      <c r="BC245" s="476">
        <f t="shared" si="460"/>
        <v>0</v>
      </c>
      <c r="BD245" s="476">
        <f t="shared" si="461"/>
        <v>0</v>
      </c>
      <c r="BE245" s="476">
        <f t="shared" si="462"/>
        <v>0</v>
      </c>
      <c r="BF245" s="476">
        <f t="shared" si="463"/>
        <v>0</v>
      </c>
      <c r="BG245" s="476">
        <f t="shared" si="464"/>
        <v>0</v>
      </c>
    </row>
    <row r="246" spans="1:59" ht="16.5" customHeight="1">
      <c r="A246" s="583" t="s">
        <v>887</v>
      </c>
      <c r="B246" s="584" t="s">
        <v>1700</v>
      </c>
      <c r="C246" s="584" t="s">
        <v>1774</v>
      </c>
      <c r="D246" s="413" t="s">
        <v>1164</v>
      </c>
      <c r="E246" s="412" t="s">
        <v>1191</v>
      </c>
      <c r="F246" s="413" t="s">
        <v>1190</v>
      </c>
      <c r="G246" s="412" t="s">
        <v>1190</v>
      </c>
      <c r="H246" s="412" t="s">
        <v>1055</v>
      </c>
      <c r="I246" s="477">
        <v>0</v>
      </c>
      <c r="J246" s="477">
        <v>0</v>
      </c>
      <c r="K246" s="477">
        <v>0</v>
      </c>
      <c r="L246" s="477">
        <v>0</v>
      </c>
      <c r="M246" s="477">
        <f t="shared" si="334"/>
        <v>0</v>
      </c>
      <c r="N246" s="477">
        <f t="shared" si="335"/>
        <v>0</v>
      </c>
      <c r="O246" s="477"/>
      <c r="P246" s="477"/>
      <c r="Q246" s="477">
        <f t="shared" si="377"/>
        <v>0</v>
      </c>
      <c r="R246" s="477">
        <f t="shared" si="378"/>
        <v>0</v>
      </c>
      <c r="S246" s="477">
        <f t="shared" si="379"/>
        <v>0</v>
      </c>
      <c r="U246" s="473"/>
      <c r="V246" s="476">
        <f t="shared" si="427"/>
        <v>0</v>
      </c>
      <c r="W246" s="476">
        <f t="shared" si="428"/>
        <v>0</v>
      </c>
      <c r="X246" s="476">
        <f t="shared" si="429"/>
        <v>0</v>
      </c>
      <c r="Y246" s="476">
        <f t="shared" si="430"/>
        <v>0</v>
      </c>
      <c r="Z246" s="476">
        <f t="shared" si="431"/>
        <v>0</v>
      </c>
      <c r="AA246" s="476">
        <f t="shared" si="432"/>
        <v>0</v>
      </c>
      <c r="AB246" s="476">
        <f t="shared" si="433"/>
        <v>0</v>
      </c>
      <c r="AC246" s="476">
        <f t="shared" si="434"/>
        <v>0</v>
      </c>
      <c r="AD246" s="476">
        <f t="shared" si="435"/>
        <v>0</v>
      </c>
      <c r="AE246" s="476">
        <f t="shared" si="436"/>
        <v>0</v>
      </c>
      <c r="AF246" s="476">
        <f t="shared" si="437"/>
        <v>0</v>
      </c>
      <c r="AG246" s="476">
        <f t="shared" si="438"/>
        <v>0</v>
      </c>
      <c r="AH246" s="476">
        <f t="shared" si="439"/>
        <v>0</v>
      </c>
      <c r="AI246" s="476">
        <f t="shared" si="440"/>
        <v>0</v>
      </c>
      <c r="AJ246" s="476">
        <f t="shared" si="441"/>
        <v>0</v>
      </c>
      <c r="AK246" s="476">
        <f t="shared" si="442"/>
        <v>0</v>
      </c>
      <c r="AL246" s="476">
        <f t="shared" si="443"/>
        <v>0</v>
      </c>
      <c r="AM246" s="476">
        <f t="shared" si="444"/>
        <v>0</v>
      </c>
      <c r="AN246" s="476">
        <f t="shared" si="445"/>
        <v>0</v>
      </c>
      <c r="AO246" s="476">
        <f t="shared" si="446"/>
        <v>0</v>
      </c>
      <c r="AP246" s="476">
        <f t="shared" si="447"/>
        <v>0</v>
      </c>
      <c r="AQ246" s="476">
        <f t="shared" si="448"/>
        <v>0</v>
      </c>
      <c r="AR246" s="476">
        <f t="shared" si="449"/>
        <v>0</v>
      </c>
      <c r="AS246" s="476">
        <f t="shared" si="450"/>
        <v>0</v>
      </c>
      <c r="AT246" s="476">
        <f t="shared" si="451"/>
        <v>0</v>
      </c>
      <c r="AU246" s="476">
        <f t="shared" si="452"/>
        <v>0</v>
      </c>
      <c r="AV246" s="476">
        <f t="shared" si="453"/>
        <v>0</v>
      </c>
      <c r="AW246" s="476">
        <f t="shared" si="454"/>
        <v>0</v>
      </c>
      <c r="AX246" s="476">
        <f t="shared" si="455"/>
        <v>0</v>
      </c>
      <c r="AY246" s="476">
        <f t="shared" si="456"/>
        <v>0</v>
      </c>
      <c r="AZ246" s="476">
        <f t="shared" si="457"/>
        <v>0</v>
      </c>
      <c r="BA246" s="476">
        <f t="shared" si="458"/>
        <v>0</v>
      </c>
      <c r="BB246" s="476">
        <f t="shared" si="459"/>
        <v>0</v>
      </c>
      <c r="BC246" s="476">
        <f t="shared" si="460"/>
        <v>0</v>
      </c>
      <c r="BD246" s="476">
        <f t="shared" si="461"/>
        <v>0</v>
      </c>
      <c r="BE246" s="476">
        <f t="shared" si="462"/>
        <v>0</v>
      </c>
      <c r="BF246" s="476">
        <f t="shared" si="463"/>
        <v>0</v>
      </c>
      <c r="BG246" s="476">
        <f t="shared" si="464"/>
        <v>0</v>
      </c>
    </row>
    <row r="247" spans="1:59" ht="16.5" customHeight="1">
      <c r="A247" s="583" t="s">
        <v>887</v>
      </c>
      <c r="B247" s="584" t="s">
        <v>1700</v>
      </c>
      <c r="C247" s="584" t="s">
        <v>303</v>
      </c>
      <c r="D247" s="413" t="s">
        <v>1164</v>
      </c>
      <c r="E247" s="412" t="s">
        <v>1191</v>
      </c>
      <c r="F247" s="413" t="s">
        <v>1190</v>
      </c>
      <c r="G247" s="412" t="s">
        <v>1190</v>
      </c>
      <c r="H247" s="412" t="s">
        <v>1022</v>
      </c>
      <c r="I247" s="477">
        <v>0</v>
      </c>
      <c r="J247" s="477">
        <v>0</v>
      </c>
      <c r="K247" s="477">
        <v>0</v>
      </c>
      <c r="L247" s="477">
        <v>0</v>
      </c>
      <c r="M247" s="477">
        <f t="shared" si="334"/>
        <v>0</v>
      </c>
      <c r="N247" s="477">
        <f t="shared" si="335"/>
        <v>0</v>
      </c>
      <c r="O247" s="477"/>
      <c r="P247" s="477"/>
      <c r="Q247" s="477">
        <f t="shared" si="377"/>
        <v>0</v>
      </c>
      <c r="R247" s="477">
        <f t="shared" si="378"/>
        <v>0</v>
      </c>
      <c r="S247" s="477">
        <f t="shared" si="379"/>
        <v>0</v>
      </c>
      <c r="V247" s="476">
        <f t="shared" si="427"/>
        <v>0</v>
      </c>
      <c r="W247" s="476">
        <f t="shared" si="428"/>
        <v>0</v>
      </c>
      <c r="X247" s="476">
        <f t="shared" si="429"/>
        <v>0</v>
      </c>
      <c r="Y247" s="476">
        <f t="shared" si="430"/>
        <v>0</v>
      </c>
      <c r="Z247" s="476">
        <f t="shared" si="431"/>
        <v>0</v>
      </c>
      <c r="AA247" s="476">
        <f t="shared" si="432"/>
        <v>0</v>
      </c>
      <c r="AB247" s="476">
        <f t="shared" si="433"/>
        <v>0</v>
      </c>
      <c r="AC247" s="476">
        <f t="shared" si="434"/>
        <v>0</v>
      </c>
      <c r="AD247" s="476">
        <f t="shared" si="435"/>
        <v>0</v>
      </c>
      <c r="AE247" s="476">
        <f t="shared" si="436"/>
        <v>0</v>
      </c>
      <c r="AF247" s="476">
        <f t="shared" si="437"/>
        <v>0</v>
      </c>
      <c r="AG247" s="476">
        <f t="shared" si="438"/>
        <v>0</v>
      </c>
      <c r="AH247" s="476">
        <f t="shared" si="439"/>
        <v>0</v>
      </c>
      <c r="AI247" s="476">
        <f t="shared" si="440"/>
        <v>0</v>
      </c>
      <c r="AJ247" s="476">
        <f t="shared" si="441"/>
        <v>0</v>
      </c>
      <c r="AK247" s="476">
        <f t="shared" si="442"/>
        <v>0</v>
      </c>
      <c r="AL247" s="476">
        <f t="shared" si="443"/>
        <v>0</v>
      </c>
      <c r="AM247" s="476">
        <f t="shared" si="444"/>
        <v>0</v>
      </c>
      <c r="AN247" s="476">
        <f t="shared" si="445"/>
        <v>0</v>
      </c>
      <c r="AO247" s="476">
        <f t="shared" si="446"/>
        <v>0</v>
      </c>
      <c r="AP247" s="476">
        <f t="shared" si="447"/>
        <v>0</v>
      </c>
      <c r="AQ247" s="476">
        <f t="shared" si="448"/>
        <v>0</v>
      </c>
      <c r="AR247" s="476">
        <f t="shared" si="449"/>
        <v>0</v>
      </c>
      <c r="AS247" s="476">
        <f t="shared" si="450"/>
        <v>0</v>
      </c>
      <c r="AT247" s="476">
        <f t="shared" si="451"/>
        <v>0</v>
      </c>
      <c r="AU247" s="476">
        <f t="shared" si="452"/>
        <v>0</v>
      </c>
      <c r="AV247" s="476">
        <f t="shared" si="453"/>
        <v>0</v>
      </c>
      <c r="AW247" s="476">
        <f t="shared" si="454"/>
        <v>0</v>
      </c>
      <c r="AX247" s="476">
        <f t="shared" si="455"/>
        <v>0</v>
      </c>
      <c r="AY247" s="476">
        <f t="shared" si="456"/>
        <v>0</v>
      </c>
      <c r="AZ247" s="476">
        <f t="shared" si="457"/>
        <v>0</v>
      </c>
      <c r="BA247" s="476">
        <f t="shared" si="458"/>
        <v>0</v>
      </c>
      <c r="BB247" s="476">
        <f t="shared" si="459"/>
        <v>0</v>
      </c>
      <c r="BC247" s="476">
        <f t="shared" si="460"/>
        <v>0</v>
      </c>
      <c r="BD247" s="476">
        <f t="shared" si="461"/>
        <v>0</v>
      </c>
      <c r="BE247" s="476">
        <f t="shared" si="462"/>
        <v>0</v>
      </c>
      <c r="BF247" s="476">
        <f t="shared" si="463"/>
        <v>0</v>
      </c>
      <c r="BG247" s="476">
        <f t="shared" si="464"/>
        <v>0</v>
      </c>
    </row>
    <row r="248" spans="1:59" ht="16.5" customHeight="1">
      <c r="A248" s="583" t="s">
        <v>887</v>
      </c>
      <c r="B248" s="584" t="s">
        <v>1700</v>
      </c>
      <c r="C248" s="584" t="s">
        <v>302</v>
      </c>
      <c r="D248" s="413" t="s">
        <v>1164</v>
      </c>
      <c r="E248" s="412" t="s">
        <v>1191</v>
      </c>
      <c r="F248" s="413" t="s">
        <v>1190</v>
      </c>
      <c r="G248" s="412" t="s">
        <v>1190</v>
      </c>
      <c r="H248" s="412" t="s">
        <v>1019</v>
      </c>
      <c r="I248" s="477">
        <v>0</v>
      </c>
      <c r="J248" s="477">
        <v>0</v>
      </c>
      <c r="K248" s="477">
        <v>0</v>
      </c>
      <c r="L248" s="477">
        <v>0</v>
      </c>
      <c r="M248" s="477">
        <f t="shared" si="334"/>
        <v>0</v>
      </c>
      <c r="N248" s="477">
        <f t="shared" si="335"/>
        <v>0</v>
      </c>
      <c r="O248" s="477"/>
      <c r="P248" s="477"/>
      <c r="Q248" s="477">
        <f t="shared" si="377"/>
        <v>0</v>
      </c>
      <c r="R248" s="477">
        <f t="shared" si="378"/>
        <v>0</v>
      </c>
      <c r="S248" s="477">
        <f t="shared" si="379"/>
        <v>0</v>
      </c>
      <c r="U248" s="473"/>
      <c r="V248" s="476">
        <f t="shared" si="427"/>
        <v>0</v>
      </c>
      <c r="W248" s="476">
        <f t="shared" si="428"/>
        <v>0</v>
      </c>
      <c r="X248" s="476">
        <f t="shared" si="429"/>
        <v>0</v>
      </c>
      <c r="Y248" s="476">
        <f t="shared" si="430"/>
        <v>0</v>
      </c>
      <c r="Z248" s="476">
        <f t="shared" si="431"/>
        <v>0</v>
      </c>
      <c r="AA248" s="476">
        <f t="shared" si="432"/>
        <v>0</v>
      </c>
      <c r="AB248" s="476">
        <f t="shared" si="433"/>
        <v>0</v>
      </c>
      <c r="AC248" s="476">
        <f t="shared" si="434"/>
        <v>0</v>
      </c>
      <c r="AD248" s="476">
        <f t="shared" si="435"/>
        <v>0</v>
      </c>
      <c r="AE248" s="476">
        <f t="shared" si="436"/>
        <v>0</v>
      </c>
      <c r="AF248" s="476">
        <f t="shared" si="437"/>
        <v>0</v>
      </c>
      <c r="AG248" s="476">
        <f t="shared" si="438"/>
        <v>0</v>
      </c>
      <c r="AH248" s="476">
        <f t="shared" si="439"/>
        <v>0</v>
      </c>
      <c r="AI248" s="476">
        <f t="shared" si="440"/>
        <v>0</v>
      </c>
      <c r="AJ248" s="476">
        <f t="shared" si="441"/>
        <v>0</v>
      </c>
      <c r="AK248" s="476">
        <f t="shared" si="442"/>
        <v>0</v>
      </c>
      <c r="AL248" s="476">
        <f t="shared" si="443"/>
        <v>0</v>
      </c>
      <c r="AM248" s="476">
        <f t="shared" si="444"/>
        <v>0</v>
      </c>
      <c r="AN248" s="476">
        <f t="shared" si="445"/>
        <v>0</v>
      </c>
      <c r="AO248" s="476">
        <f t="shared" si="446"/>
        <v>0</v>
      </c>
      <c r="AP248" s="476">
        <f t="shared" si="447"/>
        <v>0</v>
      </c>
      <c r="AQ248" s="476">
        <f t="shared" si="448"/>
        <v>0</v>
      </c>
      <c r="AR248" s="476">
        <f t="shared" si="449"/>
        <v>0</v>
      </c>
      <c r="AS248" s="476">
        <f t="shared" si="450"/>
        <v>0</v>
      </c>
      <c r="AT248" s="476">
        <f t="shared" si="451"/>
        <v>0</v>
      </c>
      <c r="AU248" s="476">
        <f t="shared" si="452"/>
        <v>0</v>
      </c>
      <c r="AV248" s="476">
        <f t="shared" si="453"/>
        <v>0</v>
      </c>
      <c r="AW248" s="476">
        <f t="shared" si="454"/>
        <v>0</v>
      </c>
      <c r="AX248" s="476">
        <f t="shared" si="455"/>
        <v>0</v>
      </c>
      <c r="AY248" s="476">
        <f t="shared" si="456"/>
        <v>0</v>
      </c>
      <c r="AZ248" s="476">
        <f t="shared" si="457"/>
        <v>0</v>
      </c>
      <c r="BA248" s="476">
        <f t="shared" si="458"/>
        <v>0</v>
      </c>
      <c r="BB248" s="476">
        <f t="shared" si="459"/>
        <v>0</v>
      </c>
      <c r="BC248" s="476">
        <f t="shared" si="460"/>
        <v>0</v>
      </c>
      <c r="BD248" s="476">
        <f t="shared" si="461"/>
        <v>0</v>
      </c>
      <c r="BE248" s="476">
        <f t="shared" si="462"/>
        <v>0</v>
      </c>
      <c r="BF248" s="476">
        <f t="shared" si="463"/>
        <v>0</v>
      </c>
      <c r="BG248" s="476">
        <f t="shared" si="464"/>
        <v>0</v>
      </c>
    </row>
    <row r="249" spans="1:59" ht="16.5" customHeight="1">
      <c r="A249" s="583" t="s">
        <v>887</v>
      </c>
      <c r="B249" s="584" t="s">
        <v>1700</v>
      </c>
      <c r="C249" s="584" t="s">
        <v>421</v>
      </c>
      <c r="D249" s="413" t="s">
        <v>1164</v>
      </c>
      <c r="E249" s="412" t="s">
        <v>1191</v>
      </c>
      <c r="F249" s="413" t="s">
        <v>1190</v>
      </c>
      <c r="G249" s="412" t="s">
        <v>1190</v>
      </c>
      <c r="H249" s="412" t="s">
        <v>1027</v>
      </c>
      <c r="I249" s="477">
        <v>0</v>
      </c>
      <c r="J249" s="477">
        <v>0</v>
      </c>
      <c r="K249" s="477">
        <v>0</v>
      </c>
      <c r="L249" s="477">
        <v>0</v>
      </c>
      <c r="M249" s="477">
        <f t="shared" si="334"/>
        <v>0</v>
      </c>
      <c r="N249" s="477">
        <f t="shared" si="335"/>
        <v>0</v>
      </c>
      <c r="O249" s="477"/>
      <c r="P249" s="477"/>
      <c r="Q249" s="477">
        <f t="shared" si="377"/>
        <v>0</v>
      </c>
      <c r="R249" s="477">
        <f t="shared" si="378"/>
        <v>0</v>
      </c>
      <c r="S249" s="477">
        <f t="shared" si="379"/>
        <v>0</v>
      </c>
      <c r="U249" s="473"/>
      <c r="V249" s="476">
        <f t="shared" si="427"/>
        <v>0</v>
      </c>
      <c r="W249" s="476">
        <f t="shared" si="428"/>
        <v>0</v>
      </c>
      <c r="X249" s="476">
        <f t="shared" si="429"/>
        <v>0</v>
      </c>
      <c r="Y249" s="476">
        <f t="shared" si="430"/>
        <v>0</v>
      </c>
      <c r="Z249" s="476">
        <f t="shared" si="431"/>
        <v>0</v>
      </c>
      <c r="AA249" s="476">
        <f t="shared" si="432"/>
        <v>0</v>
      </c>
      <c r="AB249" s="476">
        <f t="shared" si="433"/>
        <v>0</v>
      </c>
      <c r="AC249" s="476">
        <f t="shared" si="434"/>
        <v>0</v>
      </c>
      <c r="AD249" s="476">
        <f t="shared" si="435"/>
        <v>0</v>
      </c>
      <c r="AE249" s="476">
        <f t="shared" si="436"/>
        <v>0</v>
      </c>
      <c r="AF249" s="476">
        <f t="shared" si="437"/>
        <v>0</v>
      </c>
      <c r="AG249" s="476">
        <f t="shared" si="438"/>
        <v>0</v>
      </c>
      <c r="AH249" s="476">
        <f t="shared" si="439"/>
        <v>0</v>
      </c>
      <c r="AI249" s="476">
        <f t="shared" si="440"/>
        <v>0</v>
      </c>
      <c r="AJ249" s="476">
        <f t="shared" si="441"/>
        <v>0</v>
      </c>
      <c r="AK249" s="476">
        <f t="shared" si="442"/>
        <v>0</v>
      </c>
      <c r="AL249" s="476">
        <f t="shared" si="443"/>
        <v>0</v>
      </c>
      <c r="AM249" s="476">
        <f t="shared" si="444"/>
        <v>0</v>
      </c>
      <c r="AN249" s="476">
        <f t="shared" si="445"/>
        <v>0</v>
      </c>
      <c r="AO249" s="476">
        <f t="shared" si="446"/>
        <v>0</v>
      </c>
      <c r="AP249" s="476">
        <f t="shared" si="447"/>
        <v>0</v>
      </c>
      <c r="AQ249" s="476">
        <f t="shared" si="448"/>
        <v>0</v>
      </c>
      <c r="AR249" s="476">
        <f t="shared" si="449"/>
        <v>0</v>
      </c>
      <c r="AS249" s="476">
        <f t="shared" si="450"/>
        <v>0</v>
      </c>
      <c r="AT249" s="476">
        <f t="shared" si="451"/>
        <v>0</v>
      </c>
      <c r="AU249" s="476">
        <f t="shared" si="452"/>
        <v>0</v>
      </c>
      <c r="AV249" s="476">
        <f t="shared" si="453"/>
        <v>0</v>
      </c>
      <c r="AW249" s="476">
        <f t="shared" si="454"/>
        <v>0</v>
      </c>
      <c r="AX249" s="476">
        <f t="shared" si="455"/>
        <v>0</v>
      </c>
      <c r="AY249" s="476">
        <f t="shared" si="456"/>
        <v>0</v>
      </c>
      <c r="AZ249" s="476">
        <f t="shared" si="457"/>
        <v>0</v>
      </c>
      <c r="BA249" s="476">
        <f t="shared" si="458"/>
        <v>0</v>
      </c>
      <c r="BB249" s="476">
        <f t="shared" si="459"/>
        <v>0</v>
      </c>
      <c r="BC249" s="476">
        <f t="shared" si="460"/>
        <v>0</v>
      </c>
      <c r="BD249" s="476">
        <f t="shared" si="461"/>
        <v>0</v>
      </c>
      <c r="BE249" s="476">
        <f t="shared" si="462"/>
        <v>0</v>
      </c>
      <c r="BF249" s="476">
        <f t="shared" si="463"/>
        <v>0</v>
      </c>
      <c r="BG249" s="476">
        <f t="shared" si="464"/>
        <v>0</v>
      </c>
    </row>
    <row r="250" spans="1:59" ht="16.5" customHeight="1">
      <c r="A250" s="583" t="s">
        <v>887</v>
      </c>
      <c r="B250" s="584" t="s">
        <v>1700</v>
      </c>
      <c r="C250" s="584" t="s">
        <v>301</v>
      </c>
      <c r="D250" s="413" t="s">
        <v>1164</v>
      </c>
      <c r="E250" s="412" t="s">
        <v>1191</v>
      </c>
      <c r="F250" s="413" t="s">
        <v>1190</v>
      </c>
      <c r="G250" s="412" t="s">
        <v>1190</v>
      </c>
      <c r="H250" s="412" t="s">
        <v>992</v>
      </c>
      <c r="I250" s="477">
        <v>0</v>
      </c>
      <c r="J250" s="477">
        <v>0</v>
      </c>
      <c r="K250" s="477">
        <v>0</v>
      </c>
      <c r="L250" s="477">
        <v>0</v>
      </c>
      <c r="M250" s="477">
        <f t="shared" si="334"/>
        <v>0</v>
      </c>
      <c r="N250" s="477">
        <f t="shared" si="335"/>
        <v>0</v>
      </c>
      <c r="O250" s="477"/>
      <c r="P250" s="477"/>
      <c r="Q250" s="477">
        <f t="shared" si="377"/>
        <v>0</v>
      </c>
      <c r="R250" s="477">
        <f t="shared" si="378"/>
        <v>0</v>
      </c>
      <c r="S250" s="477">
        <f t="shared" si="379"/>
        <v>0</v>
      </c>
      <c r="U250" s="473"/>
      <c r="V250" s="476">
        <f t="shared" si="427"/>
        <v>0</v>
      </c>
      <c r="W250" s="476">
        <f t="shared" si="428"/>
        <v>0</v>
      </c>
      <c r="X250" s="476">
        <f t="shared" si="429"/>
        <v>0</v>
      </c>
      <c r="Y250" s="476">
        <f t="shared" si="430"/>
        <v>0</v>
      </c>
      <c r="Z250" s="476">
        <f t="shared" si="431"/>
        <v>0</v>
      </c>
      <c r="AA250" s="476">
        <f t="shared" si="432"/>
        <v>0</v>
      </c>
      <c r="AB250" s="476">
        <f t="shared" si="433"/>
        <v>0</v>
      </c>
      <c r="AC250" s="476">
        <f t="shared" si="434"/>
        <v>0</v>
      </c>
      <c r="AD250" s="476">
        <f t="shared" si="435"/>
        <v>0</v>
      </c>
      <c r="AE250" s="476">
        <f t="shared" si="436"/>
        <v>0</v>
      </c>
      <c r="AF250" s="476">
        <f t="shared" si="437"/>
        <v>0</v>
      </c>
      <c r="AG250" s="476">
        <f t="shared" si="438"/>
        <v>0</v>
      </c>
      <c r="AH250" s="476">
        <f t="shared" si="439"/>
        <v>0</v>
      </c>
      <c r="AI250" s="476">
        <f t="shared" si="440"/>
        <v>0</v>
      </c>
      <c r="AJ250" s="476">
        <f t="shared" si="441"/>
        <v>0</v>
      </c>
      <c r="AK250" s="476">
        <f t="shared" si="442"/>
        <v>0</v>
      </c>
      <c r="AL250" s="476">
        <f t="shared" si="443"/>
        <v>0</v>
      </c>
      <c r="AM250" s="476">
        <f t="shared" si="444"/>
        <v>0</v>
      </c>
      <c r="AN250" s="476">
        <f t="shared" si="445"/>
        <v>0</v>
      </c>
      <c r="AO250" s="476">
        <f t="shared" si="446"/>
        <v>0</v>
      </c>
      <c r="AP250" s="476">
        <f t="shared" si="447"/>
        <v>0</v>
      </c>
      <c r="AQ250" s="476">
        <f t="shared" si="448"/>
        <v>0</v>
      </c>
      <c r="AR250" s="476">
        <f t="shared" si="449"/>
        <v>0</v>
      </c>
      <c r="AS250" s="476">
        <f t="shared" si="450"/>
        <v>0</v>
      </c>
      <c r="AT250" s="476">
        <f t="shared" si="451"/>
        <v>0</v>
      </c>
      <c r="AU250" s="476">
        <f t="shared" si="452"/>
        <v>0</v>
      </c>
      <c r="AV250" s="476">
        <f t="shared" si="453"/>
        <v>0</v>
      </c>
      <c r="AW250" s="476">
        <f t="shared" si="454"/>
        <v>0</v>
      </c>
      <c r="AX250" s="476">
        <f t="shared" si="455"/>
        <v>0</v>
      </c>
      <c r="AY250" s="476">
        <f t="shared" si="456"/>
        <v>0</v>
      </c>
      <c r="AZ250" s="476">
        <f t="shared" si="457"/>
        <v>0</v>
      </c>
      <c r="BA250" s="476">
        <f t="shared" si="458"/>
        <v>0</v>
      </c>
      <c r="BB250" s="476">
        <f t="shared" si="459"/>
        <v>0</v>
      </c>
      <c r="BC250" s="476">
        <f t="shared" si="460"/>
        <v>0</v>
      </c>
      <c r="BD250" s="476">
        <f t="shared" si="461"/>
        <v>0</v>
      </c>
      <c r="BE250" s="476">
        <f t="shared" si="462"/>
        <v>0</v>
      </c>
      <c r="BF250" s="476">
        <f t="shared" si="463"/>
        <v>0</v>
      </c>
      <c r="BG250" s="476">
        <f t="shared" si="464"/>
        <v>0</v>
      </c>
    </row>
    <row r="251" spans="1:59" ht="16.5" customHeight="1">
      <c r="A251" s="583" t="s">
        <v>887</v>
      </c>
      <c r="B251" s="584" t="s">
        <v>1700</v>
      </c>
      <c r="C251" s="584" t="s">
        <v>1775</v>
      </c>
      <c r="D251" s="413" t="s">
        <v>1164</v>
      </c>
      <c r="E251" s="412" t="s">
        <v>1191</v>
      </c>
      <c r="F251" s="413" t="s">
        <v>1190</v>
      </c>
      <c r="G251" s="412" t="s">
        <v>1190</v>
      </c>
      <c r="H251" s="412" t="s">
        <v>1275</v>
      </c>
      <c r="I251" s="477">
        <v>0</v>
      </c>
      <c r="J251" s="477">
        <v>0</v>
      </c>
      <c r="K251" s="477">
        <v>9119.75</v>
      </c>
      <c r="L251" s="477">
        <v>0</v>
      </c>
      <c r="M251" s="477">
        <f t="shared" si="334"/>
        <v>9119.75</v>
      </c>
      <c r="N251" s="477">
        <f t="shared" si="335"/>
        <v>0</v>
      </c>
      <c r="O251" s="477"/>
      <c r="P251" s="477"/>
      <c r="Q251" s="477">
        <f t="shared" si="377"/>
        <v>9119.75</v>
      </c>
      <c r="R251" s="477">
        <f t="shared" si="378"/>
        <v>0</v>
      </c>
      <c r="S251" s="477">
        <f t="shared" si="379"/>
        <v>9119.75</v>
      </c>
      <c r="U251" s="473"/>
      <c r="V251" s="476">
        <f t="shared" si="427"/>
        <v>0</v>
      </c>
      <c r="W251" s="476">
        <f t="shared" si="428"/>
        <v>0</v>
      </c>
      <c r="X251" s="476">
        <f t="shared" si="429"/>
        <v>0</v>
      </c>
      <c r="Y251" s="476">
        <f t="shared" si="430"/>
        <v>0</v>
      </c>
      <c r="Z251" s="476">
        <f t="shared" si="431"/>
        <v>0</v>
      </c>
      <c r="AA251" s="476">
        <f t="shared" si="432"/>
        <v>0</v>
      </c>
      <c r="AB251" s="476">
        <f t="shared" si="433"/>
        <v>0</v>
      </c>
      <c r="AC251" s="476">
        <f t="shared" si="434"/>
        <v>0</v>
      </c>
      <c r="AD251" s="476">
        <f t="shared" si="435"/>
        <v>0</v>
      </c>
      <c r="AE251" s="476">
        <f t="shared" si="436"/>
        <v>0</v>
      </c>
      <c r="AF251" s="476">
        <f t="shared" si="437"/>
        <v>0</v>
      </c>
      <c r="AG251" s="476">
        <f t="shared" si="438"/>
        <v>0</v>
      </c>
      <c r="AH251" s="476">
        <f t="shared" si="439"/>
        <v>0</v>
      </c>
      <c r="AI251" s="476">
        <f t="shared" si="440"/>
        <v>0</v>
      </c>
      <c r="AJ251" s="476">
        <f t="shared" si="441"/>
        <v>0</v>
      </c>
      <c r="AK251" s="476">
        <f t="shared" si="442"/>
        <v>0</v>
      </c>
      <c r="AL251" s="476">
        <f t="shared" si="443"/>
        <v>0</v>
      </c>
      <c r="AM251" s="476">
        <f t="shared" si="444"/>
        <v>0</v>
      </c>
      <c r="AN251" s="476">
        <f t="shared" si="445"/>
        <v>0</v>
      </c>
      <c r="AO251" s="476">
        <f t="shared" si="446"/>
        <v>0</v>
      </c>
      <c r="AP251" s="476">
        <f t="shared" si="447"/>
        <v>0</v>
      </c>
      <c r="AQ251" s="476">
        <f t="shared" si="448"/>
        <v>0</v>
      </c>
      <c r="AR251" s="476">
        <f t="shared" si="449"/>
        <v>0</v>
      </c>
      <c r="AS251" s="476">
        <f t="shared" si="450"/>
        <v>0</v>
      </c>
      <c r="AT251" s="476">
        <f t="shared" si="451"/>
        <v>0</v>
      </c>
      <c r="AU251" s="476">
        <f t="shared" si="452"/>
        <v>0</v>
      </c>
      <c r="AV251" s="476">
        <f t="shared" si="453"/>
        <v>0</v>
      </c>
      <c r="AW251" s="476">
        <f t="shared" si="454"/>
        <v>0</v>
      </c>
      <c r="AX251" s="476">
        <f t="shared" si="455"/>
        <v>0</v>
      </c>
      <c r="AY251" s="476">
        <f t="shared" si="456"/>
        <v>0</v>
      </c>
      <c r="AZ251" s="476">
        <f t="shared" si="457"/>
        <v>0</v>
      </c>
      <c r="BA251" s="476">
        <f t="shared" si="458"/>
        <v>0</v>
      </c>
      <c r="BB251" s="476">
        <f t="shared" si="459"/>
        <v>0</v>
      </c>
      <c r="BC251" s="476">
        <f t="shared" si="460"/>
        <v>0</v>
      </c>
      <c r="BD251" s="476">
        <f t="shared" si="461"/>
        <v>0</v>
      </c>
      <c r="BE251" s="476">
        <f t="shared" si="462"/>
        <v>0</v>
      </c>
      <c r="BF251" s="476">
        <f t="shared" si="463"/>
        <v>0</v>
      </c>
      <c r="BG251" s="476">
        <f t="shared" si="464"/>
        <v>0</v>
      </c>
    </row>
    <row r="252" spans="1:59" ht="16.5" customHeight="1">
      <c r="A252" s="583" t="s">
        <v>1449</v>
      </c>
      <c r="B252" s="584" t="s">
        <v>1450</v>
      </c>
      <c r="C252" s="584" t="s">
        <v>1451</v>
      </c>
      <c r="D252" s="413" t="s">
        <v>1164</v>
      </c>
      <c r="E252" s="412" t="s">
        <v>1191</v>
      </c>
      <c r="F252" s="413" t="s">
        <v>1190</v>
      </c>
      <c r="G252" s="412" t="s">
        <v>1190</v>
      </c>
      <c r="H252" s="412" t="s">
        <v>974</v>
      </c>
      <c r="I252" s="477">
        <v>0</v>
      </c>
      <c r="J252" s="477">
        <v>0</v>
      </c>
      <c r="K252" s="477">
        <v>0</v>
      </c>
      <c r="L252" s="477">
        <v>0</v>
      </c>
      <c r="M252" s="477">
        <f t="shared" si="334"/>
        <v>0</v>
      </c>
      <c r="N252" s="477">
        <f t="shared" si="335"/>
        <v>0</v>
      </c>
      <c r="O252" s="477"/>
      <c r="P252" s="477"/>
      <c r="Q252" s="477">
        <f t="shared" si="377"/>
        <v>0</v>
      </c>
      <c r="R252" s="477">
        <f t="shared" si="378"/>
        <v>0</v>
      </c>
      <c r="S252" s="477">
        <f t="shared" si="379"/>
        <v>0</v>
      </c>
      <c r="U252" s="473"/>
      <c r="V252" s="476">
        <f t="shared" si="427"/>
        <v>0</v>
      </c>
      <c r="W252" s="476">
        <f t="shared" si="428"/>
        <v>0</v>
      </c>
      <c r="X252" s="476">
        <f t="shared" si="429"/>
        <v>0</v>
      </c>
      <c r="Y252" s="476">
        <f t="shared" si="430"/>
        <v>0</v>
      </c>
      <c r="Z252" s="476">
        <f t="shared" si="431"/>
        <v>0</v>
      </c>
      <c r="AA252" s="476">
        <f t="shared" si="432"/>
        <v>0</v>
      </c>
      <c r="AB252" s="476">
        <f t="shared" si="433"/>
        <v>0</v>
      </c>
      <c r="AC252" s="476">
        <f t="shared" si="434"/>
        <v>0</v>
      </c>
      <c r="AD252" s="476">
        <f t="shared" si="435"/>
        <v>0</v>
      </c>
      <c r="AE252" s="476">
        <f t="shared" si="436"/>
        <v>0</v>
      </c>
      <c r="AF252" s="476">
        <f t="shared" si="437"/>
        <v>0</v>
      </c>
      <c r="AG252" s="476">
        <f t="shared" si="438"/>
        <v>0</v>
      </c>
      <c r="AH252" s="476">
        <f t="shared" si="439"/>
        <v>0</v>
      </c>
      <c r="AI252" s="476">
        <f t="shared" si="440"/>
        <v>0</v>
      </c>
      <c r="AJ252" s="476">
        <f t="shared" si="441"/>
        <v>0</v>
      </c>
      <c r="AK252" s="476">
        <f t="shared" si="442"/>
        <v>0</v>
      </c>
      <c r="AL252" s="476">
        <f t="shared" si="443"/>
        <v>0</v>
      </c>
      <c r="AM252" s="476">
        <f t="shared" si="444"/>
        <v>0</v>
      </c>
      <c r="AN252" s="476">
        <f t="shared" si="445"/>
        <v>0</v>
      </c>
      <c r="AO252" s="476">
        <f t="shared" si="446"/>
        <v>0</v>
      </c>
      <c r="AP252" s="476">
        <f t="shared" si="447"/>
        <v>0</v>
      </c>
      <c r="AQ252" s="476">
        <f t="shared" si="448"/>
        <v>0</v>
      </c>
      <c r="AR252" s="476">
        <f t="shared" si="449"/>
        <v>0</v>
      </c>
      <c r="AS252" s="476">
        <f t="shared" si="450"/>
        <v>0</v>
      </c>
      <c r="AT252" s="476">
        <f t="shared" si="451"/>
        <v>0</v>
      </c>
      <c r="AU252" s="476">
        <f t="shared" si="452"/>
        <v>0</v>
      </c>
      <c r="AV252" s="476">
        <f t="shared" si="453"/>
        <v>0</v>
      </c>
      <c r="AW252" s="476">
        <f t="shared" si="454"/>
        <v>0</v>
      </c>
      <c r="AX252" s="476">
        <f t="shared" si="455"/>
        <v>0</v>
      </c>
      <c r="AY252" s="476">
        <f t="shared" si="456"/>
        <v>0</v>
      </c>
      <c r="AZ252" s="476">
        <f t="shared" si="457"/>
        <v>0</v>
      </c>
      <c r="BA252" s="476">
        <f t="shared" si="458"/>
        <v>0</v>
      </c>
      <c r="BB252" s="476">
        <f t="shared" si="459"/>
        <v>0</v>
      </c>
      <c r="BC252" s="476">
        <f t="shared" si="460"/>
        <v>0</v>
      </c>
      <c r="BD252" s="476">
        <f t="shared" si="461"/>
        <v>0</v>
      </c>
      <c r="BE252" s="476">
        <f t="shared" si="462"/>
        <v>0</v>
      </c>
      <c r="BF252" s="476">
        <f t="shared" si="463"/>
        <v>0</v>
      </c>
      <c r="BG252" s="476">
        <f t="shared" si="464"/>
        <v>0</v>
      </c>
    </row>
    <row r="253" spans="1:59" ht="16.5" customHeight="1">
      <c r="A253" s="583" t="s">
        <v>888</v>
      </c>
      <c r="B253" s="584" t="s">
        <v>1701</v>
      </c>
      <c r="C253" s="584" t="s">
        <v>306</v>
      </c>
      <c r="D253" s="413" t="s">
        <v>1164</v>
      </c>
      <c r="E253" s="412" t="s">
        <v>1171</v>
      </c>
      <c r="F253" s="413" t="s">
        <v>1192</v>
      </c>
      <c r="G253" s="412" t="s">
        <v>1193</v>
      </c>
      <c r="H253" s="412" t="s">
        <v>974</v>
      </c>
      <c r="I253" s="477">
        <v>0</v>
      </c>
      <c r="J253" s="477">
        <v>0</v>
      </c>
      <c r="K253" s="477">
        <v>455276</v>
      </c>
      <c r="L253" s="477">
        <v>0</v>
      </c>
      <c r="M253" s="477">
        <f t="shared" si="334"/>
        <v>455276</v>
      </c>
      <c r="N253" s="477">
        <f t="shared" si="335"/>
        <v>0</v>
      </c>
      <c r="O253" s="477"/>
      <c r="P253" s="477"/>
      <c r="Q253" s="477">
        <f t="shared" si="377"/>
        <v>455276</v>
      </c>
      <c r="R253" s="477">
        <f t="shared" si="378"/>
        <v>0</v>
      </c>
      <c r="S253" s="477">
        <f t="shared" si="379"/>
        <v>455276</v>
      </c>
      <c r="U253" s="473"/>
      <c r="V253" s="476">
        <f t="shared" si="427"/>
        <v>455276</v>
      </c>
      <c r="W253" s="476">
        <f t="shared" si="428"/>
        <v>0</v>
      </c>
      <c r="X253" s="476">
        <f t="shared" si="429"/>
        <v>0</v>
      </c>
      <c r="Y253" s="476">
        <f t="shared" si="430"/>
        <v>0</v>
      </c>
      <c r="Z253" s="476">
        <f t="shared" si="431"/>
        <v>0</v>
      </c>
      <c r="AA253" s="476">
        <f t="shared" si="432"/>
        <v>0</v>
      </c>
      <c r="AB253" s="476">
        <f t="shared" si="433"/>
        <v>0</v>
      </c>
      <c r="AC253" s="476">
        <f t="shared" si="434"/>
        <v>0</v>
      </c>
      <c r="AD253" s="476">
        <f t="shared" si="435"/>
        <v>0</v>
      </c>
      <c r="AE253" s="476">
        <f t="shared" si="436"/>
        <v>0</v>
      </c>
      <c r="AF253" s="476">
        <f t="shared" si="437"/>
        <v>0</v>
      </c>
      <c r="AG253" s="476">
        <f t="shared" si="438"/>
        <v>0</v>
      </c>
      <c r="AH253" s="476">
        <f t="shared" si="439"/>
        <v>0</v>
      </c>
      <c r="AI253" s="476">
        <f t="shared" si="440"/>
        <v>0</v>
      </c>
      <c r="AJ253" s="476">
        <f t="shared" si="441"/>
        <v>0</v>
      </c>
      <c r="AK253" s="476">
        <f t="shared" si="442"/>
        <v>0</v>
      </c>
      <c r="AL253" s="476">
        <f t="shared" si="443"/>
        <v>0</v>
      </c>
      <c r="AM253" s="476">
        <f t="shared" si="444"/>
        <v>0</v>
      </c>
      <c r="AN253" s="476">
        <f t="shared" si="445"/>
        <v>0</v>
      </c>
      <c r="AO253" s="476">
        <f t="shared" si="446"/>
        <v>0</v>
      </c>
      <c r="AP253" s="476">
        <f t="shared" si="447"/>
        <v>0</v>
      </c>
      <c r="AQ253" s="476">
        <f t="shared" si="448"/>
        <v>0</v>
      </c>
      <c r="AR253" s="476">
        <f t="shared" si="449"/>
        <v>0</v>
      </c>
      <c r="AS253" s="476">
        <f t="shared" si="450"/>
        <v>0</v>
      </c>
      <c r="AT253" s="476">
        <f t="shared" si="451"/>
        <v>0</v>
      </c>
      <c r="AU253" s="476">
        <f t="shared" si="452"/>
        <v>0</v>
      </c>
      <c r="AV253" s="476">
        <f t="shared" si="453"/>
        <v>0</v>
      </c>
      <c r="AW253" s="476">
        <f t="shared" si="454"/>
        <v>0</v>
      </c>
      <c r="AX253" s="476">
        <f t="shared" si="455"/>
        <v>0</v>
      </c>
      <c r="AY253" s="476">
        <f t="shared" si="456"/>
        <v>0</v>
      </c>
      <c r="AZ253" s="476">
        <f t="shared" si="457"/>
        <v>0</v>
      </c>
      <c r="BA253" s="476">
        <f t="shared" si="458"/>
        <v>0</v>
      </c>
      <c r="BB253" s="476">
        <f t="shared" si="459"/>
        <v>0</v>
      </c>
      <c r="BC253" s="476">
        <f t="shared" si="460"/>
        <v>0</v>
      </c>
      <c r="BD253" s="476">
        <f t="shared" si="461"/>
        <v>0</v>
      </c>
      <c r="BE253" s="476">
        <f t="shared" si="462"/>
        <v>0</v>
      </c>
      <c r="BF253" s="476">
        <f t="shared" si="463"/>
        <v>0</v>
      </c>
      <c r="BG253" s="476">
        <f t="shared" si="464"/>
        <v>0</v>
      </c>
    </row>
    <row r="254" spans="1:59" ht="16.5" customHeight="1">
      <c r="A254" s="583" t="s">
        <v>889</v>
      </c>
      <c r="B254" s="584" t="s">
        <v>1702</v>
      </c>
      <c r="C254" s="584" t="s">
        <v>307</v>
      </c>
      <c r="D254" s="413" t="s">
        <v>1164</v>
      </c>
      <c r="E254" s="412" t="s">
        <v>1171</v>
      </c>
      <c r="F254" s="413" t="s">
        <v>1192</v>
      </c>
      <c r="G254" s="412" t="s">
        <v>1193</v>
      </c>
      <c r="H254" s="412" t="s">
        <v>974</v>
      </c>
      <c r="I254" s="477">
        <v>0</v>
      </c>
      <c r="J254" s="477">
        <v>0</v>
      </c>
      <c r="K254" s="477">
        <v>62204</v>
      </c>
      <c r="L254" s="477">
        <v>0</v>
      </c>
      <c r="M254" s="477">
        <f t="shared" si="334"/>
        <v>62204</v>
      </c>
      <c r="N254" s="477">
        <f t="shared" si="335"/>
        <v>0</v>
      </c>
      <c r="O254" s="477"/>
      <c r="P254" s="477">
        <f>'Adjustments 2025'!F26</f>
        <v>19881</v>
      </c>
      <c r="Q254" s="477">
        <f t="shared" si="377"/>
        <v>62204</v>
      </c>
      <c r="R254" s="477">
        <f t="shared" si="378"/>
        <v>19881</v>
      </c>
      <c r="S254" s="477">
        <f t="shared" si="379"/>
        <v>42323</v>
      </c>
      <c r="U254" s="473"/>
      <c r="V254" s="476">
        <f t="shared" si="427"/>
        <v>62204</v>
      </c>
      <c r="W254" s="476">
        <f t="shared" si="428"/>
        <v>19881</v>
      </c>
      <c r="X254" s="476">
        <f t="shared" si="429"/>
        <v>0</v>
      </c>
      <c r="Y254" s="476">
        <f t="shared" si="430"/>
        <v>0</v>
      </c>
      <c r="Z254" s="476">
        <f t="shared" si="431"/>
        <v>0</v>
      </c>
      <c r="AA254" s="476">
        <f t="shared" si="432"/>
        <v>0</v>
      </c>
      <c r="AB254" s="476">
        <f t="shared" si="433"/>
        <v>0</v>
      </c>
      <c r="AC254" s="476">
        <f t="shared" si="434"/>
        <v>0</v>
      </c>
      <c r="AD254" s="476">
        <f t="shared" si="435"/>
        <v>0</v>
      </c>
      <c r="AE254" s="476">
        <f t="shared" si="436"/>
        <v>0</v>
      </c>
      <c r="AF254" s="476">
        <f t="shared" si="437"/>
        <v>0</v>
      </c>
      <c r="AG254" s="476">
        <f t="shared" si="438"/>
        <v>0</v>
      </c>
      <c r="AH254" s="476">
        <f t="shared" si="439"/>
        <v>0</v>
      </c>
      <c r="AI254" s="476">
        <f t="shared" si="440"/>
        <v>0</v>
      </c>
      <c r="AJ254" s="476">
        <f t="shared" si="441"/>
        <v>0</v>
      </c>
      <c r="AK254" s="476">
        <f t="shared" si="442"/>
        <v>0</v>
      </c>
      <c r="AL254" s="476">
        <f t="shared" si="443"/>
        <v>0</v>
      </c>
      <c r="AM254" s="476">
        <f t="shared" si="444"/>
        <v>0</v>
      </c>
      <c r="AN254" s="476">
        <f t="shared" si="445"/>
        <v>0</v>
      </c>
      <c r="AO254" s="476">
        <f t="shared" si="446"/>
        <v>0</v>
      </c>
      <c r="AP254" s="476">
        <f t="shared" si="447"/>
        <v>0</v>
      </c>
      <c r="AQ254" s="476">
        <f t="shared" si="448"/>
        <v>0</v>
      </c>
      <c r="AR254" s="476">
        <f t="shared" si="449"/>
        <v>0</v>
      </c>
      <c r="AS254" s="476">
        <f t="shared" si="450"/>
        <v>0</v>
      </c>
      <c r="AT254" s="476">
        <f t="shared" si="451"/>
        <v>0</v>
      </c>
      <c r="AU254" s="476">
        <f t="shared" si="452"/>
        <v>0</v>
      </c>
      <c r="AV254" s="476">
        <f t="shared" si="453"/>
        <v>0</v>
      </c>
      <c r="AW254" s="476">
        <f t="shared" si="454"/>
        <v>0</v>
      </c>
      <c r="AX254" s="476">
        <f t="shared" si="455"/>
        <v>0</v>
      </c>
      <c r="AY254" s="476">
        <f t="shared" si="456"/>
        <v>0</v>
      </c>
      <c r="AZ254" s="476">
        <f t="shared" si="457"/>
        <v>0</v>
      </c>
      <c r="BA254" s="476">
        <f t="shared" si="458"/>
        <v>0</v>
      </c>
      <c r="BB254" s="476">
        <f t="shared" si="459"/>
        <v>0</v>
      </c>
      <c r="BC254" s="476">
        <f t="shared" si="460"/>
        <v>0</v>
      </c>
      <c r="BD254" s="476">
        <f t="shared" si="461"/>
        <v>0</v>
      </c>
      <c r="BE254" s="476">
        <f t="shared" si="462"/>
        <v>0</v>
      </c>
      <c r="BF254" s="476">
        <f t="shared" si="463"/>
        <v>0</v>
      </c>
      <c r="BG254" s="476">
        <f t="shared" si="464"/>
        <v>0</v>
      </c>
    </row>
    <row r="255" spans="1:59" ht="16.5" customHeight="1">
      <c r="A255" s="583" t="s">
        <v>890</v>
      </c>
      <c r="B255" s="584" t="s">
        <v>1703</v>
      </c>
      <c r="C255" s="584" t="s">
        <v>308</v>
      </c>
      <c r="D255" s="413" t="s">
        <v>1164</v>
      </c>
      <c r="E255" s="412" t="s">
        <v>1171</v>
      </c>
      <c r="F255" s="413" t="s">
        <v>1192</v>
      </c>
      <c r="G255" s="412" t="s">
        <v>1193</v>
      </c>
      <c r="H255" s="412" t="s">
        <v>974</v>
      </c>
      <c r="I255" s="477">
        <v>0</v>
      </c>
      <c r="J255" s="477">
        <v>0</v>
      </c>
      <c r="K255" s="477">
        <v>355637</v>
      </c>
      <c r="L255" s="477">
        <v>0</v>
      </c>
      <c r="M255" s="477">
        <f t="shared" si="334"/>
        <v>355637</v>
      </c>
      <c r="N255" s="477">
        <f t="shared" si="335"/>
        <v>0</v>
      </c>
      <c r="O255" s="477"/>
      <c r="P255" s="477"/>
      <c r="Q255" s="477">
        <f t="shared" si="377"/>
        <v>355637</v>
      </c>
      <c r="R255" s="477">
        <f t="shared" si="378"/>
        <v>0</v>
      </c>
      <c r="S255" s="477">
        <f t="shared" si="379"/>
        <v>355637</v>
      </c>
      <c r="U255" s="473"/>
      <c r="V255" s="476">
        <f t="shared" si="427"/>
        <v>355637</v>
      </c>
      <c r="W255" s="476">
        <f t="shared" si="428"/>
        <v>0</v>
      </c>
      <c r="X255" s="476">
        <f t="shared" si="429"/>
        <v>0</v>
      </c>
      <c r="Y255" s="476">
        <f t="shared" si="430"/>
        <v>0</v>
      </c>
      <c r="Z255" s="476">
        <f t="shared" si="431"/>
        <v>0</v>
      </c>
      <c r="AA255" s="476">
        <f t="shared" si="432"/>
        <v>0</v>
      </c>
      <c r="AB255" s="476">
        <f t="shared" si="433"/>
        <v>0</v>
      </c>
      <c r="AC255" s="476">
        <f t="shared" si="434"/>
        <v>0</v>
      </c>
      <c r="AD255" s="476">
        <f t="shared" si="435"/>
        <v>0</v>
      </c>
      <c r="AE255" s="476">
        <f t="shared" si="436"/>
        <v>0</v>
      </c>
      <c r="AF255" s="476">
        <f t="shared" si="437"/>
        <v>0</v>
      </c>
      <c r="AG255" s="476">
        <f t="shared" si="438"/>
        <v>0</v>
      </c>
      <c r="AH255" s="476">
        <f t="shared" si="439"/>
        <v>0</v>
      </c>
      <c r="AI255" s="476">
        <f t="shared" si="440"/>
        <v>0</v>
      </c>
      <c r="AJ255" s="476">
        <f t="shared" si="441"/>
        <v>0</v>
      </c>
      <c r="AK255" s="476">
        <f t="shared" si="442"/>
        <v>0</v>
      </c>
      <c r="AL255" s="476">
        <f t="shared" si="443"/>
        <v>0</v>
      </c>
      <c r="AM255" s="476">
        <f t="shared" si="444"/>
        <v>0</v>
      </c>
      <c r="AN255" s="476">
        <f t="shared" si="445"/>
        <v>0</v>
      </c>
      <c r="AO255" s="476">
        <f t="shared" si="446"/>
        <v>0</v>
      </c>
      <c r="AP255" s="476">
        <f t="shared" si="447"/>
        <v>0</v>
      </c>
      <c r="AQ255" s="476">
        <f t="shared" si="448"/>
        <v>0</v>
      </c>
      <c r="AR255" s="476">
        <f t="shared" si="449"/>
        <v>0</v>
      </c>
      <c r="AS255" s="476">
        <f t="shared" si="450"/>
        <v>0</v>
      </c>
      <c r="AT255" s="476">
        <f t="shared" si="451"/>
        <v>0</v>
      </c>
      <c r="AU255" s="476">
        <f t="shared" si="452"/>
        <v>0</v>
      </c>
      <c r="AV255" s="476">
        <f t="shared" si="453"/>
        <v>0</v>
      </c>
      <c r="AW255" s="476">
        <f t="shared" si="454"/>
        <v>0</v>
      </c>
      <c r="AX255" s="476">
        <f t="shared" si="455"/>
        <v>0</v>
      </c>
      <c r="AY255" s="476">
        <f t="shared" si="456"/>
        <v>0</v>
      </c>
      <c r="AZ255" s="476">
        <f t="shared" si="457"/>
        <v>0</v>
      </c>
      <c r="BA255" s="476">
        <f t="shared" si="458"/>
        <v>0</v>
      </c>
      <c r="BB255" s="476">
        <f t="shared" si="459"/>
        <v>0</v>
      </c>
      <c r="BC255" s="476">
        <f t="shared" si="460"/>
        <v>0</v>
      </c>
      <c r="BD255" s="476">
        <f t="shared" si="461"/>
        <v>0</v>
      </c>
      <c r="BE255" s="476">
        <f t="shared" si="462"/>
        <v>0</v>
      </c>
      <c r="BF255" s="476">
        <f t="shared" si="463"/>
        <v>0</v>
      </c>
      <c r="BG255" s="476">
        <f t="shared" si="464"/>
        <v>0</v>
      </c>
    </row>
    <row r="256" spans="1:59" ht="16.5" customHeight="1">
      <c r="A256" s="583" t="s">
        <v>891</v>
      </c>
      <c r="B256" s="584" t="s">
        <v>1704</v>
      </c>
      <c r="C256" s="584" t="s">
        <v>309</v>
      </c>
      <c r="D256" s="413" t="s">
        <v>1164</v>
      </c>
      <c r="E256" s="412" t="s">
        <v>1171</v>
      </c>
      <c r="F256" s="413" t="s">
        <v>1192</v>
      </c>
      <c r="G256" s="412" t="s">
        <v>1193</v>
      </c>
      <c r="H256" s="412" t="s">
        <v>974</v>
      </c>
      <c r="I256" s="477">
        <v>0</v>
      </c>
      <c r="J256" s="477">
        <v>0</v>
      </c>
      <c r="K256" s="477">
        <v>7068</v>
      </c>
      <c r="L256" s="477">
        <v>0</v>
      </c>
      <c r="M256" s="477">
        <f t="shared" si="334"/>
        <v>7068</v>
      </c>
      <c r="N256" s="477">
        <f t="shared" si="335"/>
        <v>0</v>
      </c>
      <c r="O256" s="477"/>
      <c r="P256" s="477"/>
      <c r="Q256" s="477">
        <f t="shared" si="377"/>
        <v>7068</v>
      </c>
      <c r="R256" s="477">
        <f t="shared" si="378"/>
        <v>0</v>
      </c>
      <c r="S256" s="477">
        <f t="shared" si="379"/>
        <v>7068</v>
      </c>
      <c r="U256" s="473"/>
      <c r="V256" s="476">
        <f t="shared" si="427"/>
        <v>7068</v>
      </c>
      <c r="W256" s="476">
        <f t="shared" si="428"/>
        <v>0</v>
      </c>
      <c r="X256" s="476">
        <f t="shared" si="429"/>
        <v>0</v>
      </c>
      <c r="Y256" s="476">
        <f t="shared" si="430"/>
        <v>0</v>
      </c>
      <c r="Z256" s="476">
        <f t="shared" si="431"/>
        <v>0</v>
      </c>
      <c r="AA256" s="476">
        <f t="shared" si="432"/>
        <v>0</v>
      </c>
      <c r="AB256" s="476">
        <f t="shared" si="433"/>
        <v>0</v>
      </c>
      <c r="AC256" s="476">
        <f t="shared" si="434"/>
        <v>0</v>
      </c>
      <c r="AD256" s="476">
        <f t="shared" si="435"/>
        <v>0</v>
      </c>
      <c r="AE256" s="476">
        <f t="shared" si="436"/>
        <v>0</v>
      </c>
      <c r="AF256" s="476">
        <f t="shared" si="437"/>
        <v>0</v>
      </c>
      <c r="AG256" s="476">
        <f t="shared" si="438"/>
        <v>0</v>
      </c>
      <c r="AH256" s="476">
        <f t="shared" si="439"/>
        <v>0</v>
      </c>
      <c r="AI256" s="476">
        <f t="shared" si="440"/>
        <v>0</v>
      </c>
      <c r="AJ256" s="476">
        <f t="shared" si="441"/>
        <v>0</v>
      </c>
      <c r="AK256" s="476">
        <f t="shared" si="442"/>
        <v>0</v>
      </c>
      <c r="AL256" s="476">
        <f t="shared" si="443"/>
        <v>0</v>
      </c>
      <c r="AM256" s="476">
        <f t="shared" si="444"/>
        <v>0</v>
      </c>
      <c r="AN256" s="476">
        <f t="shared" si="445"/>
        <v>0</v>
      </c>
      <c r="AO256" s="476">
        <f t="shared" si="446"/>
        <v>0</v>
      </c>
      <c r="AP256" s="476">
        <f t="shared" si="447"/>
        <v>0</v>
      </c>
      <c r="AQ256" s="476">
        <f t="shared" si="448"/>
        <v>0</v>
      </c>
      <c r="AR256" s="476">
        <f t="shared" si="449"/>
        <v>0</v>
      </c>
      <c r="AS256" s="476">
        <f t="shared" si="450"/>
        <v>0</v>
      </c>
      <c r="AT256" s="476">
        <f t="shared" si="451"/>
        <v>0</v>
      </c>
      <c r="AU256" s="476">
        <f t="shared" si="452"/>
        <v>0</v>
      </c>
      <c r="AV256" s="476">
        <f t="shared" si="453"/>
        <v>0</v>
      </c>
      <c r="AW256" s="476">
        <f t="shared" si="454"/>
        <v>0</v>
      </c>
      <c r="AX256" s="476">
        <f t="shared" si="455"/>
        <v>0</v>
      </c>
      <c r="AY256" s="476">
        <f t="shared" si="456"/>
        <v>0</v>
      </c>
      <c r="AZ256" s="476">
        <f t="shared" si="457"/>
        <v>0</v>
      </c>
      <c r="BA256" s="476">
        <f t="shared" si="458"/>
        <v>0</v>
      </c>
      <c r="BB256" s="476">
        <f t="shared" si="459"/>
        <v>0</v>
      </c>
      <c r="BC256" s="476">
        <f t="shared" si="460"/>
        <v>0</v>
      </c>
      <c r="BD256" s="476">
        <f t="shared" si="461"/>
        <v>0</v>
      </c>
      <c r="BE256" s="476">
        <f t="shared" si="462"/>
        <v>0</v>
      </c>
      <c r="BF256" s="476">
        <f t="shared" si="463"/>
        <v>0</v>
      </c>
      <c r="BG256" s="476">
        <f t="shared" si="464"/>
        <v>0</v>
      </c>
    </row>
    <row r="257" spans="1:59" ht="16.5" customHeight="1">
      <c r="A257" s="583" t="s">
        <v>892</v>
      </c>
      <c r="B257" s="584" t="s">
        <v>1705</v>
      </c>
      <c r="C257" s="584" t="s">
        <v>310</v>
      </c>
      <c r="D257" s="413" t="s">
        <v>1164</v>
      </c>
      <c r="E257" s="412" t="s">
        <v>1171</v>
      </c>
      <c r="F257" s="413" t="s">
        <v>1192</v>
      </c>
      <c r="G257" s="412" t="s">
        <v>1193</v>
      </c>
      <c r="H257" s="412" t="s">
        <v>974</v>
      </c>
      <c r="I257" s="477">
        <v>0</v>
      </c>
      <c r="J257" s="477">
        <v>0</v>
      </c>
      <c r="K257" s="477">
        <v>9680</v>
      </c>
      <c r="L257" s="477">
        <v>0</v>
      </c>
      <c r="M257" s="477">
        <f t="shared" si="334"/>
        <v>9680</v>
      </c>
      <c r="N257" s="477">
        <f t="shared" si="335"/>
        <v>0</v>
      </c>
      <c r="O257" s="477"/>
      <c r="P257" s="477"/>
      <c r="Q257" s="477">
        <f t="shared" si="377"/>
        <v>9680</v>
      </c>
      <c r="R257" s="477">
        <f t="shared" si="378"/>
        <v>0</v>
      </c>
      <c r="S257" s="477">
        <f t="shared" si="379"/>
        <v>9680</v>
      </c>
      <c r="U257" s="473"/>
      <c r="V257" s="476">
        <f t="shared" si="427"/>
        <v>9680</v>
      </c>
      <c r="W257" s="476">
        <f t="shared" si="428"/>
        <v>0</v>
      </c>
      <c r="X257" s="476">
        <f t="shared" si="429"/>
        <v>0</v>
      </c>
      <c r="Y257" s="476">
        <f t="shared" si="430"/>
        <v>0</v>
      </c>
      <c r="Z257" s="476">
        <f t="shared" si="431"/>
        <v>0</v>
      </c>
      <c r="AA257" s="476">
        <f t="shared" si="432"/>
        <v>0</v>
      </c>
      <c r="AB257" s="476">
        <f t="shared" si="433"/>
        <v>0</v>
      </c>
      <c r="AC257" s="476">
        <f t="shared" si="434"/>
        <v>0</v>
      </c>
      <c r="AD257" s="476">
        <f t="shared" si="435"/>
        <v>0</v>
      </c>
      <c r="AE257" s="476">
        <f t="shared" si="436"/>
        <v>0</v>
      </c>
      <c r="AF257" s="476">
        <f t="shared" si="437"/>
        <v>0</v>
      </c>
      <c r="AG257" s="476">
        <f t="shared" si="438"/>
        <v>0</v>
      </c>
      <c r="AH257" s="476">
        <f t="shared" si="439"/>
        <v>0</v>
      </c>
      <c r="AI257" s="476">
        <f t="shared" si="440"/>
        <v>0</v>
      </c>
      <c r="AJ257" s="476">
        <f t="shared" si="441"/>
        <v>0</v>
      </c>
      <c r="AK257" s="476">
        <f t="shared" si="442"/>
        <v>0</v>
      </c>
      <c r="AL257" s="476">
        <f t="shared" si="443"/>
        <v>0</v>
      </c>
      <c r="AM257" s="476">
        <f t="shared" si="444"/>
        <v>0</v>
      </c>
      <c r="AN257" s="476">
        <f t="shared" si="445"/>
        <v>0</v>
      </c>
      <c r="AO257" s="476">
        <f t="shared" si="446"/>
        <v>0</v>
      </c>
      <c r="AP257" s="476">
        <f t="shared" si="447"/>
        <v>0</v>
      </c>
      <c r="AQ257" s="476">
        <f t="shared" si="448"/>
        <v>0</v>
      </c>
      <c r="AR257" s="476">
        <f t="shared" si="449"/>
        <v>0</v>
      </c>
      <c r="AS257" s="476">
        <f t="shared" si="450"/>
        <v>0</v>
      </c>
      <c r="AT257" s="476">
        <f t="shared" si="451"/>
        <v>0</v>
      </c>
      <c r="AU257" s="476">
        <f t="shared" si="452"/>
        <v>0</v>
      </c>
      <c r="AV257" s="476">
        <f t="shared" si="453"/>
        <v>0</v>
      </c>
      <c r="AW257" s="476">
        <f t="shared" si="454"/>
        <v>0</v>
      </c>
      <c r="AX257" s="476">
        <f t="shared" si="455"/>
        <v>0</v>
      </c>
      <c r="AY257" s="476">
        <f t="shared" si="456"/>
        <v>0</v>
      </c>
      <c r="AZ257" s="476">
        <f t="shared" si="457"/>
        <v>0</v>
      </c>
      <c r="BA257" s="476">
        <f t="shared" si="458"/>
        <v>0</v>
      </c>
      <c r="BB257" s="476">
        <f t="shared" si="459"/>
        <v>0</v>
      </c>
      <c r="BC257" s="476">
        <f t="shared" si="460"/>
        <v>0</v>
      </c>
      <c r="BD257" s="476">
        <f t="shared" si="461"/>
        <v>0</v>
      </c>
      <c r="BE257" s="476">
        <f t="shared" si="462"/>
        <v>0</v>
      </c>
      <c r="BF257" s="476">
        <f t="shared" si="463"/>
        <v>0</v>
      </c>
      <c r="BG257" s="476">
        <f t="shared" si="464"/>
        <v>0</v>
      </c>
    </row>
    <row r="258" spans="1:59" ht="16.5" customHeight="1">
      <c r="A258" s="583" t="s">
        <v>1194</v>
      </c>
      <c r="B258" s="584" t="s">
        <v>1706</v>
      </c>
      <c r="C258" s="584" t="s">
        <v>1776</v>
      </c>
      <c r="D258" s="413" t="s">
        <v>1164</v>
      </c>
      <c r="E258" s="412" t="s">
        <v>1171</v>
      </c>
      <c r="F258" s="413" t="s">
        <v>1192</v>
      </c>
      <c r="G258" s="412" t="s">
        <v>1193</v>
      </c>
      <c r="H258" s="412" t="s">
        <v>974</v>
      </c>
      <c r="I258" s="477">
        <v>0</v>
      </c>
      <c r="J258" s="477">
        <v>0</v>
      </c>
      <c r="K258" s="477">
        <v>0</v>
      </c>
      <c r="L258" s="477">
        <v>0</v>
      </c>
      <c r="M258" s="477">
        <f t="shared" si="334"/>
        <v>0</v>
      </c>
      <c r="N258" s="477">
        <f t="shared" si="335"/>
        <v>0</v>
      </c>
      <c r="O258" s="477">
        <f>'Adjustments 2025'!E31</f>
        <v>0</v>
      </c>
      <c r="P258" s="477"/>
      <c r="Q258" s="477">
        <f t="shared" si="377"/>
        <v>0</v>
      </c>
      <c r="R258" s="477">
        <f t="shared" si="378"/>
        <v>0</v>
      </c>
      <c r="S258" s="477">
        <f t="shared" si="379"/>
        <v>0</v>
      </c>
      <c r="V258" s="476">
        <f t="shared" si="427"/>
        <v>0</v>
      </c>
      <c r="W258" s="476">
        <f t="shared" si="428"/>
        <v>0</v>
      </c>
      <c r="X258" s="476">
        <f t="shared" si="429"/>
        <v>0</v>
      </c>
      <c r="Y258" s="476">
        <f t="shared" si="430"/>
        <v>0</v>
      </c>
      <c r="Z258" s="476">
        <f t="shared" si="431"/>
        <v>0</v>
      </c>
      <c r="AA258" s="476">
        <f t="shared" si="432"/>
        <v>0</v>
      </c>
      <c r="AB258" s="476">
        <f t="shared" si="433"/>
        <v>0</v>
      </c>
      <c r="AC258" s="476">
        <f t="shared" si="434"/>
        <v>0</v>
      </c>
      <c r="AD258" s="476">
        <f t="shared" si="435"/>
        <v>0</v>
      </c>
      <c r="AE258" s="476">
        <f t="shared" si="436"/>
        <v>0</v>
      </c>
      <c r="AF258" s="476">
        <f t="shared" si="437"/>
        <v>0</v>
      </c>
      <c r="AG258" s="476">
        <f t="shared" si="438"/>
        <v>0</v>
      </c>
      <c r="AH258" s="476">
        <f t="shared" si="439"/>
        <v>0</v>
      </c>
      <c r="AI258" s="476">
        <f t="shared" si="440"/>
        <v>0</v>
      </c>
      <c r="AJ258" s="476">
        <f t="shared" si="441"/>
        <v>0</v>
      </c>
      <c r="AK258" s="476">
        <f t="shared" si="442"/>
        <v>0</v>
      </c>
      <c r="AL258" s="476">
        <f t="shared" si="443"/>
        <v>0</v>
      </c>
      <c r="AM258" s="476">
        <f t="shared" si="444"/>
        <v>0</v>
      </c>
      <c r="AN258" s="476">
        <f t="shared" si="445"/>
        <v>0</v>
      </c>
      <c r="AO258" s="476">
        <f t="shared" si="446"/>
        <v>0</v>
      </c>
      <c r="AP258" s="476">
        <f t="shared" si="447"/>
        <v>0</v>
      </c>
      <c r="AQ258" s="476">
        <f t="shared" si="448"/>
        <v>0</v>
      </c>
      <c r="AR258" s="476">
        <f t="shared" si="449"/>
        <v>0</v>
      </c>
      <c r="AS258" s="476">
        <f t="shared" si="450"/>
        <v>0</v>
      </c>
      <c r="AT258" s="476">
        <f t="shared" si="451"/>
        <v>0</v>
      </c>
      <c r="AU258" s="476">
        <f t="shared" si="452"/>
        <v>0</v>
      </c>
      <c r="AV258" s="476">
        <f t="shared" si="453"/>
        <v>0</v>
      </c>
      <c r="AW258" s="476">
        <f t="shared" si="454"/>
        <v>0</v>
      </c>
      <c r="AX258" s="476">
        <f t="shared" si="455"/>
        <v>0</v>
      </c>
      <c r="AY258" s="476">
        <f t="shared" si="456"/>
        <v>0</v>
      </c>
      <c r="AZ258" s="476">
        <f t="shared" si="457"/>
        <v>0</v>
      </c>
      <c r="BA258" s="476">
        <f t="shared" si="458"/>
        <v>0</v>
      </c>
      <c r="BB258" s="476">
        <f t="shared" si="459"/>
        <v>0</v>
      </c>
      <c r="BC258" s="476">
        <f t="shared" si="460"/>
        <v>0</v>
      </c>
      <c r="BD258" s="476">
        <f t="shared" si="461"/>
        <v>0</v>
      </c>
      <c r="BE258" s="476">
        <f t="shared" si="462"/>
        <v>0</v>
      </c>
      <c r="BF258" s="476">
        <f t="shared" si="463"/>
        <v>0</v>
      </c>
      <c r="BG258" s="476">
        <f t="shared" si="464"/>
        <v>0</v>
      </c>
    </row>
    <row r="259" spans="1:59" ht="16.5" customHeight="1">
      <c r="A259" s="583" t="s">
        <v>893</v>
      </c>
      <c r="B259" s="584" t="s">
        <v>1707</v>
      </c>
      <c r="C259" s="584" t="s">
        <v>311</v>
      </c>
      <c r="D259" s="413" t="s">
        <v>1164</v>
      </c>
      <c r="E259" s="412" t="s">
        <v>1171</v>
      </c>
      <c r="F259" s="413" t="s">
        <v>1192</v>
      </c>
      <c r="G259" s="412" t="s">
        <v>1193</v>
      </c>
      <c r="H259" s="412" t="s">
        <v>974</v>
      </c>
      <c r="I259" s="477">
        <v>0</v>
      </c>
      <c r="J259" s="477">
        <v>0</v>
      </c>
      <c r="K259" s="477">
        <v>0</v>
      </c>
      <c r="L259" s="477">
        <v>0</v>
      </c>
      <c r="M259" s="477">
        <f t="shared" si="334"/>
        <v>0</v>
      </c>
      <c r="N259" s="477">
        <f t="shared" si="335"/>
        <v>0</v>
      </c>
      <c r="O259" s="477"/>
      <c r="P259" s="477"/>
      <c r="Q259" s="477">
        <f t="shared" si="377"/>
        <v>0</v>
      </c>
      <c r="R259" s="477">
        <f t="shared" si="378"/>
        <v>0</v>
      </c>
      <c r="S259" s="477">
        <f t="shared" si="379"/>
        <v>0</v>
      </c>
      <c r="U259" s="473"/>
      <c r="V259" s="476">
        <f t="shared" si="427"/>
        <v>0</v>
      </c>
      <c r="W259" s="476">
        <f t="shared" si="428"/>
        <v>0</v>
      </c>
      <c r="X259" s="476">
        <f t="shared" si="429"/>
        <v>0</v>
      </c>
      <c r="Y259" s="476">
        <f t="shared" si="430"/>
        <v>0</v>
      </c>
      <c r="Z259" s="476">
        <f t="shared" si="431"/>
        <v>0</v>
      </c>
      <c r="AA259" s="476">
        <f t="shared" si="432"/>
        <v>0</v>
      </c>
      <c r="AB259" s="476">
        <f t="shared" si="433"/>
        <v>0</v>
      </c>
      <c r="AC259" s="476">
        <f t="shared" si="434"/>
        <v>0</v>
      </c>
      <c r="AD259" s="476">
        <f t="shared" si="435"/>
        <v>0</v>
      </c>
      <c r="AE259" s="476">
        <f t="shared" si="436"/>
        <v>0</v>
      </c>
      <c r="AF259" s="476">
        <f t="shared" si="437"/>
        <v>0</v>
      </c>
      <c r="AG259" s="476">
        <f t="shared" si="438"/>
        <v>0</v>
      </c>
      <c r="AH259" s="476">
        <f t="shared" si="439"/>
        <v>0</v>
      </c>
      <c r="AI259" s="476">
        <f t="shared" si="440"/>
        <v>0</v>
      </c>
      <c r="AJ259" s="476">
        <f t="shared" si="441"/>
        <v>0</v>
      </c>
      <c r="AK259" s="476">
        <f t="shared" si="442"/>
        <v>0</v>
      </c>
      <c r="AL259" s="476">
        <f t="shared" si="443"/>
        <v>0</v>
      </c>
      <c r="AM259" s="476">
        <f t="shared" si="444"/>
        <v>0</v>
      </c>
      <c r="AN259" s="476">
        <f t="shared" si="445"/>
        <v>0</v>
      </c>
      <c r="AO259" s="476">
        <f t="shared" si="446"/>
        <v>0</v>
      </c>
      <c r="AP259" s="476">
        <f t="shared" si="447"/>
        <v>0</v>
      </c>
      <c r="AQ259" s="476">
        <f t="shared" si="448"/>
        <v>0</v>
      </c>
      <c r="AR259" s="476">
        <f t="shared" si="449"/>
        <v>0</v>
      </c>
      <c r="AS259" s="476">
        <f t="shared" si="450"/>
        <v>0</v>
      </c>
      <c r="AT259" s="476">
        <f t="shared" si="451"/>
        <v>0</v>
      </c>
      <c r="AU259" s="476">
        <f t="shared" si="452"/>
        <v>0</v>
      </c>
      <c r="AV259" s="476">
        <f t="shared" si="453"/>
        <v>0</v>
      </c>
      <c r="AW259" s="476">
        <f t="shared" si="454"/>
        <v>0</v>
      </c>
      <c r="AX259" s="476">
        <f t="shared" si="455"/>
        <v>0</v>
      </c>
      <c r="AY259" s="476">
        <f t="shared" si="456"/>
        <v>0</v>
      </c>
      <c r="AZ259" s="476">
        <f t="shared" si="457"/>
        <v>0</v>
      </c>
      <c r="BA259" s="476">
        <f t="shared" si="458"/>
        <v>0</v>
      </c>
      <c r="BB259" s="476">
        <f t="shared" si="459"/>
        <v>0</v>
      </c>
      <c r="BC259" s="476">
        <f t="shared" si="460"/>
        <v>0</v>
      </c>
      <c r="BD259" s="476">
        <f t="shared" si="461"/>
        <v>0</v>
      </c>
      <c r="BE259" s="476">
        <f t="shared" si="462"/>
        <v>0</v>
      </c>
      <c r="BF259" s="476">
        <f t="shared" si="463"/>
        <v>0</v>
      </c>
      <c r="BG259" s="476">
        <f t="shared" si="464"/>
        <v>0</v>
      </c>
    </row>
    <row r="260" spans="1:59" ht="16.5" customHeight="1">
      <c r="A260" s="583" t="s">
        <v>1195</v>
      </c>
      <c r="B260" s="584" t="s">
        <v>1708</v>
      </c>
      <c r="C260" s="584" t="s">
        <v>1777</v>
      </c>
      <c r="D260" s="413" t="s">
        <v>1164</v>
      </c>
      <c r="E260" s="412" t="s">
        <v>1171</v>
      </c>
      <c r="F260" s="413" t="s">
        <v>586</v>
      </c>
      <c r="G260" s="412" t="s">
        <v>1196</v>
      </c>
      <c r="H260" s="412" t="s">
        <v>974</v>
      </c>
      <c r="I260" s="477">
        <v>0</v>
      </c>
      <c r="J260" s="477">
        <v>0</v>
      </c>
      <c r="K260" s="477">
        <v>115326</v>
      </c>
      <c r="L260" s="477">
        <v>0</v>
      </c>
      <c r="M260" s="477">
        <f t="shared" si="334"/>
        <v>115326</v>
      </c>
      <c r="N260" s="477">
        <f t="shared" si="335"/>
        <v>0</v>
      </c>
      <c r="O260" s="477">
        <v>2907</v>
      </c>
      <c r="P260" s="477">
        <f>'Adjustments 2025'!F35</f>
        <v>115326</v>
      </c>
      <c r="Q260" s="477">
        <f t="shared" si="377"/>
        <v>118233</v>
      </c>
      <c r="R260" s="477">
        <f t="shared" si="378"/>
        <v>115326</v>
      </c>
      <c r="S260" s="477">
        <f t="shared" si="379"/>
        <v>2907</v>
      </c>
      <c r="V260" s="476">
        <f t="shared" si="427"/>
        <v>118233</v>
      </c>
      <c r="W260" s="476">
        <f t="shared" si="428"/>
        <v>115326</v>
      </c>
      <c r="X260" s="476">
        <f t="shared" si="429"/>
        <v>0</v>
      </c>
      <c r="Y260" s="476">
        <f t="shared" si="430"/>
        <v>0</v>
      </c>
      <c r="Z260" s="476">
        <f t="shared" si="431"/>
        <v>0</v>
      </c>
      <c r="AA260" s="476">
        <f t="shared" si="432"/>
        <v>0</v>
      </c>
      <c r="AB260" s="476">
        <f t="shared" si="433"/>
        <v>0</v>
      </c>
      <c r="AC260" s="476">
        <f t="shared" si="434"/>
        <v>0</v>
      </c>
      <c r="AD260" s="476">
        <f t="shared" si="435"/>
        <v>0</v>
      </c>
      <c r="AE260" s="476">
        <f t="shared" si="436"/>
        <v>0</v>
      </c>
      <c r="AF260" s="476">
        <f t="shared" si="437"/>
        <v>0</v>
      </c>
      <c r="AG260" s="476">
        <f t="shared" si="438"/>
        <v>0</v>
      </c>
      <c r="AH260" s="476">
        <f t="shared" si="439"/>
        <v>0</v>
      </c>
      <c r="AI260" s="476">
        <f t="shared" si="440"/>
        <v>0</v>
      </c>
      <c r="AJ260" s="476">
        <f t="shared" si="441"/>
        <v>0</v>
      </c>
      <c r="AK260" s="476">
        <f t="shared" si="442"/>
        <v>0</v>
      </c>
      <c r="AL260" s="476">
        <f t="shared" si="443"/>
        <v>0</v>
      </c>
      <c r="AM260" s="476">
        <f t="shared" si="444"/>
        <v>0</v>
      </c>
      <c r="AN260" s="476">
        <f t="shared" si="445"/>
        <v>0</v>
      </c>
      <c r="AO260" s="476">
        <f t="shared" si="446"/>
        <v>0</v>
      </c>
      <c r="AP260" s="476">
        <f t="shared" si="447"/>
        <v>0</v>
      </c>
      <c r="AQ260" s="476">
        <f t="shared" si="448"/>
        <v>0</v>
      </c>
      <c r="AR260" s="476">
        <f t="shared" si="449"/>
        <v>0</v>
      </c>
      <c r="AS260" s="476">
        <f t="shared" si="450"/>
        <v>0</v>
      </c>
      <c r="AT260" s="476">
        <f t="shared" si="451"/>
        <v>0</v>
      </c>
      <c r="AU260" s="476">
        <f t="shared" si="452"/>
        <v>0</v>
      </c>
      <c r="AV260" s="476">
        <f t="shared" si="453"/>
        <v>0</v>
      </c>
      <c r="AW260" s="476">
        <f t="shared" si="454"/>
        <v>0</v>
      </c>
      <c r="AX260" s="476">
        <f t="shared" si="455"/>
        <v>0</v>
      </c>
      <c r="AY260" s="476">
        <f t="shared" si="456"/>
        <v>0</v>
      </c>
      <c r="AZ260" s="476">
        <f t="shared" si="457"/>
        <v>0</v>
      </c>
      <c r="BA260" s="476">
        <f t="shared" si="458"/>
        <v>0</v>
      </c>
      <c r="BB260" s="476">
        <f t="shared" si="459"/>
        <v>0</v>
      </c>
      <c r="BC260" s="476">
        <f t="shared" si="460"/>
        <v>0</v>
      </c>
      <c r="BD260" s="476">
        <f t="shared" si="461"/>
        <v>0</v>
      </c>
      <c r="BE260" s="476">
        <f t="shared" si="462"/>
        <v>0</v>
      </c>
      <c r="BF260" s="476">
        <f t="shared" si="463"/>
        <v>0</v>
      </c>
      <c r="BG260" s="476">
        <f t="shared" si="464"/>
        <v>0</v>
      </c>
    </row>
    <row r="261" spans="1:59" ht="16.5" customHeight="1">
      <c r="A261" s="583" t="s">
        <v>1197</v>
      </c>
      <c r="B261" s="584" t="s">
        <v>1709</v>
      </c>
      <c r="C261" s="584" t="s">
        <v>1778</v>
      </c>
      <c r="D261" s="413" t="s">
        <v>1164</v>
      </c>
      <c r="E261" s="412" t="s">
        <v>484</v>
      </c>
      <c r="F261" s="413" t="s">
        <v>1198</v>
      </c>
      <c r="G261" s="412" t="s">
        <v>1198</v>
      </c>
      <c r="H261" s="412" t="s">
        <v>974</v>
      </c>
      <c r="I261" s="477">
        <v>0</v>
      </c>
      <c r="J261" s="477">
        <v>0</v>
      </c>
      <c r="K261" s="477">
        <v>284001.12</v>
      </c>
      <c r="L261" s="477">
        <v>0</v>
      </c>
      <c r="M261" s="477">
        <f t="shared" si="334"/>
        <v>284001.12</v>
      </c>
      <c r="N261" s="477">
        <f t="shared" si="335"/>
        <v>0</v>
      </c>
      <c r="O261" s="477"/>
      <c r="P261" s="477"/>
      <c r="Q261" s="477">
        <f t="shared" si="377"/>
        <v>284001.12</v>
      </c>
      <c r="R261" s="477">
        <f t="shared" si="378"/>
        <v>0</v>
      </c>
      <c r="S261" s="477">
        <f t="shared" si="379"/>
        <v>284001.12</v>
      </c>
      <c r="V261" s="476">
        <f t="shared" si="427"/>
        <v>284001.12</v>
      </c>
      <c r="W261" s="476">
        <f t="shared" si="428"/>
        <v>0</v>
      </c>
      <c r="X261" s="476">
        <f t="shared" si="429"/>
        <v>0</v>
      </c>
      <c r="Y261" s="476">
        <f t="shared" si="430"/>
        <v>0</v>
      </c>
      <c r="Z261" s="476">
        <f t="shared" si="431"/>
        <v>0</v>
      </c>
      <c r="AA261" s="476">
        <f t="shared" si="432"/>
        <v>0</v>
      </c>
      <c r="AB261" s="476">
        <f t="shared" si="433"/>
        <v>0</v>
      </c>
      <c r="AC261" s="476">
        <f t="shared" si="434"/>
        <v>0</v>
      </c>
      <c r="AD261" s="476">
        <f t="shared" si="435"/>
        <v>0</v>
      </c>
      <c r="AE261" s="476">
        <f t="shared" si="436"/>
        <v>0</v>
      </c>
      <c r="AF261" s="476">
        <f t="shared" si="437"/>
        <v>0</v>
      </c>
      <c r="AG261" s="476">
        <f t="shared" si="438"/>
        <v>0</v>
      </c>
      <c r="AH261" s="476">
        <f t="shared" si="439"/>
        <v>0</v>
      </c>
      <c r="AI261" s="476">
        <f t="shared" si="440"/>
        <v>0</v>
      </c>
      <c r="AJ261" s="476">
        <f t="shared" si="441"/>
        <v>0</v>
      </c>
      <c r="AK261" s="476">
        <f t="shared" si="442"/>
        <v>0</v>
      </c>
      <c r="AL261" s="476">
        <f t="shared" si="443"/>
        <v>0</v>
      </c>
      <c r="AM261" s="476">
        <f t="shared" si="444"/>
        <v>0</v>
      </c>
      <c r="AN261" s="476">
        <f t="shared" si="445"/>
        <v>0</v>
      </c>
      <c r="AO261" s="476">
        <f t="shared" si="446"/>
        <v>0</v>
      </c>
      <c r="AP261" s="476">
        <f t="shared" si="447"/>
        <v>0</v>
      </c>
      <c r="AQ261" s="476">
        <f t="shared" si="448"/>
        <v>0</v>
      </c>
      <c r="AR261" s="476">
        <f t="shared" si="449"/>
        <v>0</v>
      </c>
      <c r="AS261" s="476">
        <f t="shared" si="450"/>
        <v>0</v>
      </c>
      <c r="AT261" s="476">
        <f t="shared" si="451"/>
        <v>0</v>
      </c>
      <c r="AU261" s="476">
        <f t="shared" si="452"/>
        <v>0</v>
      </c>
      <c r="AV261" s="476">
        <f t="shared" si="453"/>
        <v>0</v>
      </c>
      <c r="AW261" s="476">
        <f t="shared" si="454"/>
        <v>0</v>
      </c>
      <c r="AX261" s="476">
        <f t="shared" si="455"/>
        <v>0</v>
      </c>
      <c r="AY261" s="476">
        <f t="shared" si="456"/>
        <v>0</v>
      </c>
      <c r="AZ261" s="476">
        <f t="shared" si="457"/>
        <v>0</v>
      </c>
      <c r="BA261" s="476">
        <f t="shared" si="458"/>
        <v>0</v>
      </c>
      <c r="BB261" s="476">
        <f t="shared" si="459"/>
        <v>0</v>
      </c>
      <c r="BC261" s="476">
        <f t="shared" si="460"/>
        <v>0</v>
      </c>
      <c r="BD261" s="476">
        <f t="shared" si="461"/>
        <v>0</v>
      </c>
      <c r="BE261" s="476">
        <f t="shared" si="462"/>
        <v>0</v>
      </c>
      <c r="BF261" s="476">
        <f t="shared" si="463"/>
        <v>0</v>
      </c>
      <c r="BG261" s="476">
        <f t="shared" si="464"/>
        <v>0</v>
      </c>
    </row>
    <row r="262" spans="1:59" ht="16.5" customHeight="1">
      <c r="A262" s="583" t="s">
        <v>1197</v>
      </c>
      <c r="B262" s="584" t="s">
        <v>1709</v>
      </c>
      <c r="C262" s="584" t="s">
        <v>1779</v>
      </c>
      <c r="D262" s="413" t="s">
        <v>1164</v>
      </c>
      <c r="E262" s="412" t="s">
        <v>484</v>
      </c>
      <c r="F262" s="413" t="s">
        <v>1198</v>
      </c>
      <c r="G262" s="412" t="s">
        <v>1198</v>
      </c>
      <c r="H262" s="412" t="s">
        <v>1055</v>
      </c>
      <c r="I262" s="477">
        <v>0</v>
      </c>
      <c r="J262" s="477">
        <v>0</v>
      </c>
      <c r="K262" s="477">
        <v>0</v>
      </c>
      <c r="L262" s="477">
        <v>0</v>
      </c>
      <c r="M262" s="477">
        <f t="shared" si="334"/>
        <v>0</v>
      </c>
      <c r="N262" s="477">
        <f t="shared" si="335"/>
        <v>0</v>
      </c>
      <c r="O262" s="477"/>
      <c r="P262" s="477"/>
      <c r="Q262" s="477">
        <f t="shared" si="377"/>
        <v>0</v>
      </c>
      <c r="R262" s="477">
        <f t="shared" si="378"/>
        <v>0</v>
      </c>
      <c r="S262" s="477">
        <f t="shared" si="379"/>
        <v>0</v>
      </c>
      <c r="V262" s="476">
        <f t="shared" si="427"/>
        <v>0</v>
      </c>
      <c r="W262" s="476">
        <f t="shared" si="428"/>
        <v>0</v>
      </c>
      <c r="X262" s="476">
        <f t="shared" si="429"/>
        <v>0</v>
      </c>
      <c r="Y262" s="476">
        <f t="shared" si="430"/>
        <v>0</v>
      </c>
      <c r="Z262" s="476">
        <f t="shared" si="431"/>
        <v>0</v>
      </c>
      <c r="AA262" s="476">
        <f t="shared" si="432"/>
        <v>0</v>
      </c>
      <c r="AB262" s="476">
        <f t="shared" si="433"/>
        <v>0</v>
      </c>
      <c r="AC262" s="476">
        <f t="shared" si="434"/>
        <v>0</v>
      </c>
      <c r="AD262" s="476">
        <f t="shared" si="435"/>
        <v>0</v>
      </c>
      <c r="AE262" s="476">
        <f t="shared" si="436"/>
        <v>0</v>
      </c>
      <c r="AF262" s="476">
        <f t="shared" si="437"/>
        <v>0</v>
      </c>
      <c r="AG262" s="476">
        <f t="shared" si="438"/>
        <v>0</v>
      </c>
      <c r="AH262" s="476">
        <f t="shared" si="439"/>
        <v>0</v>
      </c>
      <c r="AI262" s="476">
        <f t="shared" si="440"/>
        <v>0</v>
      </c>
      <c r="AJ262" s="476">
        <f t="shared" si="441"/>
        <v>0</v>
      </c>
      <c r="AK262" s="476">
        <f t="shared" si="442"/>
        <v>0</v>
      </c>
      <c r="AL262" s="476">
        <f t="shared" si="443"/>
        <v>0</v>
      </c>
      <c r="AM262" s="476">
        <f t="shared" si="444"/>
        <v>0</v>
      </c>
      <c r="AN262" s="476">
        <f t="shared" si="445"/>
        <v>0</v>
      </c>
      <c r="AO262" s="476">
        <f t="shared" si="446"/>
        <v>0</v>
      </c>
      <c r="AP262" s="476">
        <f t="shared" si="447"/>
        <v>0</v>
      </c>
      <c r="AQ262" s="476">
        <f t="shared" si="448"/>
        <v>0</v>
      </c>
      <c r="AR262" s="476">
        <f t="shared" si="449"/>
        <v>0</v>
      </c>
      <c r="AS262" s="476">
        <f t="shared" si="450"/>
        <v>0</v>
      </c>
      <c r="AT262" s="476">
        <f t="shared" si="451"/>
        <v>0</v>
      </c>
      <c r="AU262" s="476">
        <f t="shared" si="452"/>
        <v>0</v>
      </c>
      <c r="AV262" s="476">
        <f t="shared" si="453"/>
        <v>0</v>
      </c>
      <c r="AW262" s="476">
        <f t="shared" si="454"/>
        <v>0</v>
      </c>
      <c r="AX262" s="476">
        <f t="shared" si="455"/>
        <v>0</v>
      </c>
      <c r="AY262" s="476">
        <f t="shared" si="456"/>
        <v>0</v>
      </c>
      <c r="AZ262" s="476">
        <f t="shared" si="457"/>
        <v>0</v>
      </c>
      <c r="BA262" s="476">
        <f t="shared" si="458"/>
        <v>0</v>
      </c>
      <c r="BB262" s="476">
        <f t="shared" si="459"/>
        <v>0</v>
      </c>
      <c r="BC262" s="476">
        <f t="shared" si="460"/>
        <v>0</v>
      </c>
      <c r="BD262" s="476">
        <f t="shared" si="461"/>
        <v>0</v>
      </c>
      <c r="BE262" s="476">
        <f t="shared" si="462"/>
        <v>0</v>
      </c>
      <c r="BF262" s="476">
        <f t="shared" si="463"/>
        <v>0</v>
      </c>
      <c r="BG262" s="476">
        <f t="shared" si="464"/>
        <v>0</v>
      </c>
    </row>
    <row r="263" spans="1:59" ht="16.5" customHeight="1">
      <c r="A263" s="583" t="s">
        <v>1197</v>
      </c>
      <c r="B263" s="584" t="s">
        <v>1709</v>
      </c>
      <c r="C263" s="584" t="s">
        <v>1780</v>
      </c>
      <c r="D263" s="413" t="s">
        <v>1164</v>
      </c>
      <c r="E263" s="412" t="s">
        <v>484</v>
      </c>
      <c r="F263" s="413" t="s">
        <v>1198</v>
      </c>
      <c r="G263" s="412" t="s">
        <v>1198</v>
      </c>
      <c r="H263" s="412" t="s">
        <v>1275</v>
      </c>
      <c r="I263" s="477">
        <v>0</v>
      </c>
      <c r="J263" s="477">
        <v>0</v>
      </c>
      <c r="K263" s="477">
        <v>120169.41</v>
      </c>
      <c r="L263" s="477">
        <v>0</v>
      </c>
      <c r="M263" s="477">
        <f t="shared" si="334"/>
        <v>120169.41</v>
      </c>
      <c r="N263" s="477">
        <f t="shared" si="335"/>
        <v>0</v>
      </c>
      <c r="O263" s="477"/>
      <c r="P263" s="477"/>
      <c r="Q263" s="477">
        <f t="shared" si="377"/>
        <v>120169.41</v>
      </c>
      <c r="R263" s="477">
        <f t="shared" si="378"/>
        <v>0</v>
      </c>
      <c r="S263" s="477">
        <f t="shared" si="379"/>
        <v>120169.41</v>
      </c>
      <c r="V263" s="476">
        <f t="shared" si="427"/>
        <v>0</v>
      </c>
      <c r="W263" s="476">
        <f t="shared" si="428"/>
        <v>0</v>
      </c>
      <c r="X263" s="476">
        <f t="shared" si="429"/>
        <v>0</v>
      </c>
      <c r="Y263" s="476">
        <f t="shared" si="430"/>
        <v>0</v>
      </c>
      <c r="Z263" s="476">
        <f t="shared" si="431"/>
        <v>0</v>
      </c>
      <c r="AA263" s="476">
        <f t="shared" si="432"/>
        <v>0</v>
      </c>
      <c r="AB263" s="476">
        <f t="shared" si="433"/>
        <v>0</v>
      </c>
      <c r="AC263" s="476">
        <f t="shared" si="434"/>
        <v>0</v>
      </c>
      <c r="AD263" s="476">
        <f t="shared" si="435"/>
        <v>0</v>
      </c>
      <c r="AE263" s="476">
        <f t="shared" si="436"/>
        <v>0</v>
      </c>
      <c r="AF263" s="476">
        <f t="shared" si="437"/>
        <v>0</v>
      </c>
      <c r="AG263" s="476">
        <f t="shared" si="438"/>
        <v>0</v>
      </c>
      <c r="AH263" s="476">
        <f t="shared" si="439"/>
        <v>0</v>
      </c>
      <c r="AI263" s="476">
        <f t="shared" si="440"/>
        <v>0</v>
      </c>
      <c r="AJ263" s="476">
        <f t="shared" si="441"/>
        <v>0</v>
      </c>
      <c r="AK263" s="476">
        <f t="shared" si="442"/>
        <v>0</v>
      </c>
      <c r="AL263" s="476">
        <f t="shared" si="443"/>
        <v>0</v>
      </c>
      <c r="AM263" s="476">
        <f t="shared" si="444"/>
        <v>0</v>
      </c>
      <c r="AN263" s="476">
        <f t="shared" si="445"/>
        <v>0</v>
      </c>
      <c r="AO263" s="476">
        <f t="shared" si="446"/>
        <v>0</v>
      </c>
      <c r="AP263" s="476">
        <f t="shared" si="447"/>
        <v>0</v>
      </c>
      <c r="AQ263" s="476">
        <f t="shared" si="448"/>
        <v>0</v>
      </c>
      <c r="AR263" s="476">
        <f t="shared" si="449"/>
        <v>0</v>
      </c>
      <c r="AS263" s="476">
        <f t="shared" si="450"/>
        <v>0</v>
      </c>
      <c r="AT263" s="476">
        <f t="shared" si="451"/>
        <v>0</v>
      </c>
      <c r="AU263" s="476">
        <f t="shared" si="452"/>
        <v>0</v>
      </c>
      <c r="AV263" s="476">
        <f t="shared" si="453"/>
        <v>0</v>
      </c>
      <c r="AW263" s="476">
        <f t="shared" si="454"/>
        <v>0</v>
      </c>
      <c r="AX263" s="476">
        <f t="shared" si="455"/>
        <v>0</v>
      </c>
      <c r="AY263" s="476">
        <f t="shared" si="456"/>
        <v>0</v>
      </c>
      <c r="AZ263" s="476">
        <f t="shared" si="457"/>
        <v>0</v>
      </c>
      <c r="BA263" s="476">
        <f t="shared" si="458"/>
        <v>0</v>
      </c>
      <c r="BB263" s="476">
        <f t="shared" si="459"/>
        <v>0</v>
      </c>
      <c r="BC263" s="476">
        <f t="shared" si="460"/>
        <v>0</v>
      </c>
      <c r="BD263" s="476">
        <f t="shared" si="461"/>
        <v>0</v>
      </c>
      <c r="BE263" s="476">
        <f t="shared" si="462"/>
        <v>0</v>
      </c>
      <c r="BF263" s="476">
        <f t="shared" si="463"/>
        <v>0</v>
      </c>
      <c r="BG263" s="476">
        <f t="shared" si="464"/>
        <v>0</v>
      </c>
    </row>
    <row r="264" spans="1:59" ht="16.5" customHeight="1">
      <c r="A264" s="583" t="s">
        <v>1197</v>
      </c>
      <c r="B264" s="584" t="s">
        <v>1709</v>
      </c>
      <c r="C264" s="584" t="s">
        <v>1781</v>
      </c>
      <c r="D264" s="413" t="s">
        <v>1164</v>
      </c>
      <c r="E264" s="412" t="s">
        <v>484</v>
      </c>
      <c r="F264" s="413" t="s">
        <v>1198</v>
      </c>
      <c r="G264" s="412" t="s">
        <v>1198</v>
      </c>
      <c r="H264" s="412" t="s">
        <v>1723</v>
      </c>
      <c r="I264" s="477">
        <v>0</v>
      </c>
      <c r="J264" s="477">
        <v>0</v>
      </c>
      <c r="K264" s="477">
        <v>88083.71</v>
      </c>
      <c r="L264" s="477">
        <v>0</v>
      </c>
      <c r="M264" s="477">
        <f t="shared" si="334"/>
        <v>88083.71</v>
      </c>
      <c r="N264" s="477">
        <f t="shared" si="335"/>
        <v>0</v>
      </c>
      <c r="O264" s="477"/>
      <c r="P264" s="477"/>
      <c r="Q264" s="477">
        <f t="shared" si="377"/>
        <v>88083.71</v>
      </c>
      <c r="R264" s="477">
        <f t="shared" si="378"/>
        <v>0</v>
      </c>
      <c r="S264" s="477">
        <f t="shared" si="379"/>
        <v>88083.71</v>
      </c>
      <c r="V264" s="476">
        <f t="shared" si="427"/>
        <v>0</v>
      </c>
      <c r="W264" s="476">
        <f t="shared" si="428"/>
        <v>0</v>
      </c>
      <c r="X264" s="476">
        <f t="shared" si="429"/>
        <v>0</v>
      </c>
      <c r="Y264" s="476">
        <f t="shared" si="430"/>
        <v>0</v>
      </c>
      <c r="Z264" s="476">
        <f t="shared" si="431"/>
        <v>0</v>
      </c>
      <c r="AA264" s="476">
        <f t="shared" si="432"/>
        <v>0</v>
      </c>
      <c r="AB264" s="476">
        <f t="shared" si="433"/>
        <v>0</v>
      </c>
      <c r="AC264" s="476">
        <f t="shared" si="434"/>
        <v>0</v>
      </c>
      <c r="AD264" s="476">
        <f t="shared" si="435"/>
        <v>0</v>
      </c>
      <c r="AE264" s="476">
        <f t="shared" si="436"/>
        <v>0</v>
      </c>
      <c r="AF264" s="476">
        <f t="shared" si="437"/>
        <v>0</v>
      </c>
      <c r="AG264" s="476">
        <f t="shared" si="438"/>
        <v>0</v>
      </c>
      <c r="AH264" s="476">
        <f t="shared" si="439"/>
        <v>0</v>
      </c>
      <c r="AI264" s="476">
        <f t="shared" si="440"/>
        <v>0</v>
      </c>
      <c r="AJ264" s="476">
        <f t="shared" si="441"/>
        <v>0</v>
      </c>
      <c r="AK264" s="476">
        <f t="shared" si="442"/>
        <v>0</v>
      </c>
      <c r="AL264" s="476">
        <f t="shared" si="443"/>
        <v>0</v>
      </c>
      <c r="AM264" s="476">
        <f t="shared" si="444"/>
        <v>0</v>
      </c>
      <c r="AN264" s="476">
        <f t="shared" si="445"/>
        <v>0</v>
      </c>
      <c r="AO264" s="476">
        <f t="shared" si="446"/>
        <v>0</v>
      </c>
      <c r="AP264" s="476">
        <f t="shared" si="447"/>
        <v>0</v>
      </c>
      <c r="AQ264" s="476">
        <f t="shared" si="448"/>
        <v>0</v>
      </c>
      <c r="AR264" s="476">
        <f t="shared" si="449"/>
        <v>0</v>
      </c>
      <c r="AS264" s="476">
        <f t="shared" si="450"/>
        <v>0</v>
      </c>
      <c r="AT264" s="476">
        <f t="shared" si="451"/>
        <v>0</v>
      </c>
      <c r="AU264" s="476">
        <f t="shared" si="452"/>
        <v>0</v>
      </c>
      <c r="AV264" s="476">
        <f t="shared" si="453"/>
        <v>0</v>
      </c>
      <c r="AW264" s="476">
        <f t="shared" si="454"/>
        <v>0</v>
      </c>
      <c r="AX264" s="476">
        <f t="shared" si="455"/>
        <v>0</v>
      </c>
      <c r="AY264" s="476">
        <f t="shared" si="456"/>
        <v>0</v>
      </c>
      <c r="AZ264" s="476">
        <f t="shared" si="457"/>
        <v>0</v>
      </c>
      <c r="BA264" s="476">
        <f t="shared" si="458"/>
        <v>0</v>
      </c>
      <c r="BB264" s="476">
        <f t="shared" si="459"/>
        <v>0</v>
      </c>
      <c r="BC264" s="476">
        <f t="shared" si="460"/>
        <v>0</v>
      </c>
      <c r="BD264" s="476">
        <f t="shared" si="461"/>
        <v>0</v>
      </c>
      <c r="BE264" s="476">
        <f t="shared" si="462"/>
        <v>0</v>
      </c>
      <c r="BF264" s="476">
        <f t="shared" si="463"/>
        <v>0</v>
      </c>
      <c r="BG264" s="476">
        <f t="shared" si="464"/>
        <v>0</v>
      </c>
    </row>
    <row r="265" spans="1:59" ht="16.5" customHeight="1">
      <c r="A265" s="583" t="s">
        <v>894</v>
      </c>
      <c r="B265" s="584" t="s">
        <v>982</v>
      </c>
      <c r="C265" s="584" t="s">
        <v>312</v>
      </c>
      <c r="D265" s="413" t="s">
        <v>1164</v>
      </c>
      <c r="E265" s="412" t="s">
        <v>1171</v>
      </c>
      <c r="F265" s="413" t="s">
        <v>376</v>
      </c>
      <c r="G265" s="412" t="s">
        <v>376</v>
      </c>
      <c r="H265" s="412" t="s">
        <v>974</v>
      </c>
      <c r="I265" s="477">
        <v>0</v>
      </c>
      <c r="J265" s="477">
        <v>0</v>
      </c>
      <c r="K265" s="477">
        <v>35745</v>
      </c>
      <c r="L265" s="477">
        <v>17630</v>
      </c>
      <c r="M265" s="477">
        <f t="shared" ref="M265:M329" si="465">+I265+K265</f>
        <v>35745</v>
      </c>
      <c r="N265" s="477">
        <f t="shared" ref="N265:N329" si="466">+J265+L265</f>
        <v>17630</v>
      </c>
      <c r="O265" s="477">
        <f>'Adjustments 2025'!E54</f>
        <v>17630</v>
      </c>
      <c r="P265" s="477"/>
      <c r="Q265" s="477">
        <f t="shared" si="377"/>
        <v>53375</v>
      </c>
      <c r="R265" s="477">
        <f t="shared" si="378"/>
        <v>17630</v>
      </c>
      <c r="S265" s="477">
        <f t="shared" si="379"/>
        <v>35745</v>
      </c>
      <c r="V265" s="476">
        <f t="shared" si="427"/>
        <v>53375</v>
      </c>
      <c r="W265" s="476">
        <f t="shared" si="428"/>
        <v>17630</v>
      </c>
      <c r="X265" s="476">
        <f t="shared" si="429"/>
        <v>0</v>
      </c>
      <c r="Y265" s="476">
        <f t="shared" si="430"/>
        <v>0</v>
      </c>
      <c r="Z265" s="476">
        <f t="shared" si="431"/>
        <v>0</v>
      </c>
      <c r="AA265" s="476">
        <f t="shared" si="432"/>
        <v>0</v>
      </c>
      <c r="AB265" s="476">
        <f t="shared" si="433"/>
        <v>0</v>
      </c>
      <c r="AC265" s="476">
        <f t="shared" si="434"/>
        <v>0</v>
      </c>
      <c r="AD265" s="476">
        <f t="shared" si="435"/>
        <v>0</v>
      </c>
      <c r="AE265" s="476">
        <f t="shared" si="436"/>
        <v>0</v>
      </c>
      <c r="AF265" s="476">
        <f t="shared" si="437"/>
        <v>0</v>
      </c>
      <c r="AG265" s="476">
        <f t="shared" si="438"/>
        <v>0</v>
      </c>
      <c r="AH265" s="476">
        <f t="shared" si="439"/>
        <v>0</v>
      </c>
      <c r="AI265" s="476">
        <f t="shared" si="440"/>
        <v>0</v>
      </c>
      <c r="AJ265" s="476">
        <f t="shared" si="441"/>
        <v>0</v>
      </c>
      <c r="AK265" s="476">
        <f t="shared" si="442"/>
        <v>0</v>
      </c>
      <c r="AL265" s="476">
        <f t="shared" si="443"/>
        <v>0</v>
      </c>
      <c r="AM265" s="476">
        <f t="shared" si="444"/>
        <v>0</v>
      </c>
      <c r="AN265" s="476">
        <f t="shared" si="445"/>
        <v>0</v>
      </c>
      <c r="AO265" s="476">
        <f t="shared" si="446"/>
        <v>0</v>
      </c>
      <c r="AP265" s="476">
        <f t="shared" si="447"/>
        <v>0</v>
      </c>
      <c r="AQ265" s="476">
        <f t="shared" si="448"/>
        <v>0</v>
      </c>
      <c r="AR265" s="476">
        <f t="shared" si="449"/>
        <v>0</v>
      </c>
      <c r="AS265" s="476">
        <f t="shared" si="450"/>
        <v>0</v>
      </c>
      <c r="AT265" s="476">
        <f t="shared" si="451"/>
        <v>0</v>
      </c>
      <c r="AU265" s="476">
        <f t="shared" si="452"/>
        <v>0</v>
      </c>
      <c r="AV265" s="476">
        <f t="shared" si="453"/>
        <v>0</v>
      </c>
      <c r="AW265" s="476">
        <f t="shared" si="454"/>
        <v>0</v>
      </c>
      <c r="AX265" s="476">
        <f t="shared" si="455"/>
        <v>0</v>
      </c>
      <c r="AY265" s="476">
        <f t="shared" si="456"/>
        <v>0</v>
      </c>
      <c r="AZ265" s="476">
        <f t="shared" si="457"/>
        <v>0</v>
      </c>
      <c r="BA265" s="476">
        <f t="shared" si="458"/>
        <v>0</v>
      </c>
      <c r="BB265" s="476">
        <f t="shared" si="459"/>
        <v>0</v>
      </c>
      <c r="BC265" s="476">
        <f t="shared" si="460"/>
        <v>0</v>
      </c>
      <c r="BD265" s="476">
        <f t="shared" si="461"/>
        <v>0</v>
      </c>
      <c r="BE265" s="476">
        <f t="shared" si="462"/>
        <v>0</v>
      </c>
      <c r="BF265" s="476">
        <f t="shared" si="463"/>
        <v>0</v>
      </c>
      <c r="BG265" s="476">
        <f t="shared" si="464"/>
        <v>0</v>
      </c>
    </row>
    <row r="266" spans="1:59" ht="16.5" customHeight="1">
      <c r="A266" s="583" t="s">
        <v>1199</v>
      </c>
      <c r="B266" s="584" t="s">
        <v>1710</v>
      </c>
      <c r="C266" s="584" t="s">
        <v>1782</v>
      </c>
      <c r="D266" s="413" t="s">
        <v>1164</v>
      </c>
      <c r="E266" s="412" t="s">
        <v>1171</v>
      </c>
      <c r="F266" s="413" t="s">
        <v>376</v>
      </c>
      <c r="G266" s="412" t="s">
        <v>1200</v>
      </c>
      <c r="H266" s="412" t="s">
        <v>974</v>
      </c>
      <c r="I266" s="477">
        <v>0</v>
      </c>
      <c r="J266" s="477">
        <v>0</v>
      </c>
      <c r="K266" s="477">
        <v>0</v>
      </c>
      <c r="L266" s="477">
        <v>0</v>
      </c>
      <c r="M266" s="477">
        <f t="shared" si="465"/>
        <v>0</v>
      </c>
      <c r="N266" s="477">
        <f t="shared" si="466"/>
        <v>0</v>
      </c>
      <c r="O266" s="477"/>
      <c r="P266" s="477"/>
      <c r="Q266" s="477">
        <f t="shared" si="377"/>
        <v>0</v>
      </c>
      <c r="R266" s="477">
        <f t="shared" si="378"/>
        <v>0</v>
      </c>
      <c r="S266" s="477">
        <f t="shared" si="379"/>
        <v>0</v>
      </c>
      <c r="V266" s="476">
        <f t="shared" si="427"/>
        <v>0</v>
      </c>
      <c r="W266" s="476">
        <f t="shared" si="428"/>
        <v>0</v>
      </c>
      <c r="X266" s="476">
        <f t="shared" si="429"/>
        <v>0</v>
      </c>
      <c r="Y266" s="476">
        <f t="shared" si="430"/>
        <v>0</v>
      </c>
      <c r="Z266" s="476">
        <f t="shared" si="431"/>
        <v>0</v>
      </c>
      <c r="AA266" s="476">
        <f t="shared" si="432"/>
        <v>0</v>
      </c>
      <c r="AB266" s="476">
        <f t="shared" si="433"/>
        <v>0</v>
      </c>
      <c r="AC266" s="476">
        <f t="shared" si="434"/>
        <v>0</v>
      </c>
      <c r="AD266" s="476">
        <f t="shared" si="435"/>
        <v>0</v>
      </c>
      <c r="AE266" s="476">
        <f t="shared" si="436"/>
        <v>0</v>
      </c>
      <c r="AF266" s="476">
        <f t="shared" si="437"/>
        <v>0</v>
      </c>
      <c r="AG266" s="476">
        <f t="shared" si="438"/>
        <v>0</v>
      </c>
      <c r="AH266" s="476">
        <f t="shared" si="439"/>
        <v>0</v>
      </c>
      <c r="AI266" s="476">
        <f t="shared" si="440"/>
        <v>0</v>
      </c>
      <c r="AJ266" s="476">
        <f t="shared" si="441"/>
        <v>0</v>
      </c>
      <c r="AK266" s="476">
        <f t="shared" si="442"/>
        <v>0</v>
      </c>
      <c r="AL266" s="476">
        <f t="shared" si="443"/>
        <v>0</v>
      </c>
      <c r="AM266" s="476">
        <f t="shared" si="444"/>
        <v>0</v>
      </c>
      <c r="AN266" s="476">
        <f t="shared" si="445"/>
        <v>0</v>
      </c>
      <c r="AO266" s="476">
        <f t="shared" si="446"/>
        <v>0</v>
      </c>
      <c r="AP266" s="476">
        <f t="shared" si="447"/>
        <v>0</v>
      </c>
      <c r="AQ266" s="476">
        <f t="shared" si="448"/>
        <v>0</v>
      </c>
      <c r="AR266" s="476">
        <f t="shared" si="449"/>
        <v>0</v>
      </c>
      <c r="AS266" s="476">
        <f t="shared" si="450"/>
        <v>0</v>
      </c>
      <c r="AT266" s="476">
        <f t="shared" si="451"/>
        <v>0</v>
      </c>
      <c r="AU266" s="476">
        <f t="shared" si="452"/>
        <v>0</v>
      </c>
      <c r="AV266" s="476">
        <f t="shared" si="453"/>
        <v>0</v>
      </c>
      <c r="AW266" s="476">
        <f t="shared" si="454"/>
        <v>0</v>
      </c>
      <c r="AX266" s="476">
        <f t="shared" si="455"/>
        <v>0</v>
      </c>
      <c r="AY266" s="476">
        <f t="shared" si="456"/>
        <v>0</v>
      </c>
      <c r="AZ266" s="476">
        <f t="shared" si="457"/>
        <v>0</v>
      </c>
      <c r="BA266" s="476">
        <f t="shared" si="458"/>
        <v>0</v>
      </c>
      <c r="BB266" s="476">
        <f t="shared" si="459"/>
        <v>0</v>
      </c>
      <c r="BC266" s="476">
        <f t="shared" si="460"/>
        <v>0</v>
      </c>
      <c r="BD266" s="476">
        <f t="shared" si="461"/>
        <v>0</v>
      </c>
      <c r="BE266" s="476">
        <f t="shared" si="462"/>
        <v>0</v>
      </c>
      <c r="BF266" s="476">
        <f t="shared" si="463"/>
        <v>0</v>
      </c>
      <c r="BG266" s="476">
        <f t="shared" si="464"/>
        <v>0</v>
      </c>
    </row>
    <row r="267" spans="1:59" ht="16.5" customHeight="1">
      <c r="A267" s="583" t="s">
        <v>895</v>
      </c>
      <c r="B267" s="584" t="s">
        <v>1711</v>
      </c>
      <c r="C267" s="584" t="s">
        <v>313</v>
      </c>
      <c r="D267" s="413" t="s">
        <v>1164</v>
      </c>
      <c r="E267" s="412" t="s">
        <v>1181</v>
      </c>
      <c r="F267" s="413" t="s">
        <v>1182</v>
      </c>
      <c r="G267" s="412" t="s">
        <v>1182</v>
      </c>
      <c r="H267" s="412" t="s">
        <v>974</v>
      </c>
      <c r="I267" s="477">
        <v>0</v>
      </c>
      <c r="J267" s="477">
        <v>0</v>
      </c>
      <c r="K267" s="477">
        <v>154760</v>
      </c>
      <c r="L267" s="477">
        <v>0</v>
      </c>
      <c r="M267" s="477">
        <f t="shared" si="465"/>
        <v>154760</v>
      </c>
      <c r="N267" s="477">
        <f t="shared" si="466"/>
        <v>0</v>
      </c>
      <c r="O267" s="477"/>
      <c r="P267" s="477"/>
      <c r="Q267" s="477">
        <f t="shared" si="377"/>
        <v>154760</v>
      </c>
      <c r="R267" s="477">
        <f t="shared" si="378"/>
        <v>0</v>
      </c>
      <c r="S267" s="477">
        <f t="shared" si="379"/>
        <v>154760</v>
      </c>
      <c r="V267" s="476">
        <f t="shared" si="427"/>
        <v>154760</v>
      </c>
      <c r="W267" s="476">
        <f t="shared" si="428"/>
        <v>0</v>
      </c>
      <c r="X267" s="476">
        <f t="shared" si="429"/>
        <v>0</v>
      </c>
      <c r="Y267" s="476">
        <f t="shared" si="430"/>
        <v>0</v>
      </c>
      <c r="Z267" s="476">
        <f t="shared" si="431"/>
        <v>0</v>
      </c>
      <c r="AA267" s="476">
        <f t="shared" si="432"/>
        <v>0</v>
      </c>
      <c r="AB267" s="476">
        <f t="shared" si="433"/>
        <v>0</v>
      </c>
      <c r="AC267" s="476">
        <f t="shared" si="434"/>
        <v>0</v>
      </c>
      <c r="AD267" s="476">
        <f t="shared" si="435"/>
        <v>0</v>
      </c>
      <c r="AE267" s="476">
        <f t="shared" si="436"/>
        <v>0</v>
      </c>
      <c r="AF267" s="476">
        <f t="shared" si="437"/>
        <v>0</v>
      </c>
      <c r="AG267" s="476">
        <f t="shared" si="438"/>
        <v>0</v>
      </c>
      <c r="AH267" s="476">
        <f t="shared" si="439"/>
        <v>0</v>
      </c>
      <c r="AI267" s="476">
        <f t="shared" si="440"/>
        <v>0</v>
      </c>
      <c r="AJ267" s="476">
        <f t="shared" si="441"/>
        <v>0</v>
      </c>
      <c r="AK267" s="476">
        <f t="shared" si="442"/>
        <v>0</v>
      </c>
      <c r="AL267" s="476">
        <f t="shared" si="443"/>
        <v>0</v>
      </c>
      <c r="AM267" s="476">
        <f t="shared" si="444"/>
        <v>0</v>
      </c>
      <c r="AN267" s="476">
        <f t="shared" si="445"/>
        <v>0</v>
      </c>
      <c r="AO267" s="476">
        <f t="shared" si="446"/>
        <v>0</v>
      </c>
      <c r="AP267" s="476">
        <f t="shared" si="447"/>
        <v>0</v>
      </c>
      <c r="AQ267" s="476">
        <f t="shared" si="448"/>
        <v>0</v>
      </c>
      <c r="AR267" s="476">
        <f t="shared" si="449"/>
        <v>0</v>
      </c>
      <c r="AS267" s="476">
        <f t="shared" si="450"/>
        <v>0</v>
      </c>
      <c r="AT267" s="476">
        <f t="shared" si="451"/>
        <v>0</v>
      </c>
      <c r="AU267" s="476">
        <f t="shared" si="452"/>
        <v>0</v>
      </c>
      <c r="AV267" s="476">
        <f t="shared" si="453"/>
        <v>0</v>
      </c>
      <c r="AW267" s="476">
        <f t="shared" si="454"/>
        <v>0</v>
      </c>
      <c r="AX267" s="476">
        <f t="shared" si="455"/>
        <v>0</v>
      </c>
      <c r="AY267" s="476">
        <f t="shared" si="456"/>
        <v>0</v>
      </c>
      <c r="AZ267" s="476">
        <f t="shared" si="457"/>
        <v>0</v>
      </c>
      <c r="BA267" s="476">
        <f t="shared" si="458"/>
        <v>0</v>
      </c>
      <c r="BB267" s="476">
        <f t="shared" si="459"/>
        <v>0</v>
      </c>
      <c r="BC267" s="476">
        <f t="shared" si="460"/>
        <v>0</v>
      </c>
      <c r="BD267" s="476">
        <f t="shared" si="461"/>
        <v>0</v>
      </c>
      <c r="BE267" s="476">
        <f t="shared" si="462"/>
        <v>0</v>
      </c>
      <c r="BF267" s="476">
        <f t="shared" si="463"/>
        <v>0</v>
      </c>
      <c r="BG267" s="476">
        <f t="shared" si="464"/>
        <v>0</v>
      </c>
    </row>
    <row r="268" spans="1:59" ht="16.5" customHeight="1">
      <c r="A268" s="583" t="s">
        <v>896</v>
      </c>
      <c r="B268" s="584" t="s">
        <v>1712</v>
      </c>
      <c r="C268" s="584" t="s">
        <v>314</v>
      </c>
      <c r="D268" s="413" t="s">
        <v>1164</v>
      </c>
      <c r="E268" s="412" t="s">
        <v>1181</v>
      </c>
      <c r="F268" s="413" t="s">
        <v>1182</v>
      </c>
      <c r="G268" s="412" t="s">
        <v>1182</v>
      </c>
      <c r="H268" s="412" t="s">
        <v>974</v>
      </c>
      <c r="I268" s="477">
        <v>0</v>
      </c>
      <c r="J268" s="477">
        <v>0</v>
      </c>
      <c r="K268" s="477">
        <v>0</v>
      </c>
      <c r="L268" s="477">
        <v>0</v>
      </c>
      <c r="M268" s="477">
        <f t="shared" si="465"/>
        <v>0</v>
      </c>
      <c r="N268" s="477">
        <f t="shared" si="466"/>
        <v>0</v>
      </c>
      <c r="O268" s="477"/>
      <c r="P268" s="477"/>
      <c r="Q268" s="477">
        <f t="shared" si="377"/>
        <v>0</v>
      </c>
      <c r="R268" s="477">
        <f t="shared" si="378"/>
        <v>0</v>
      </c>
      <c r="S268" s="477">
        <f t="shared" si="379"/>
        <v>0</v>
      </c>
      <c r="V268" s="476">
        <f t="shared" si="427"/>
        <v>0</v>
      </c>
      <c r="W268" s="476">
        <f t="shared" si="428"/>
        <v>0</v>
      </c>
      <c r="X268" s="476">
        <f t="shared" si="429"/>
        <v>0</v>
      </c>
      <c r="Y268" s="476">
        <f t="shared" si="430"/>
        <v>0</v>
      </c>
      <c r="Z268" s="476">
        <f t="shared" si="431"/>
        <v>0</v>
      </c>
      <c r="AA268" s="476">
        <f t="shared" si="432"/>
        <v>0</v>
      </c>
      <c r="AB268" s="476">
        <f t="shared" si="433"/>
        <v>0</v>
      </c>
      <c r="AC268" s="476">
        <f t="shared" si="434"/>
        <v>0</v>
      </c>
      <c r="AD268" s="476">
        <f t="shared" si="435"/>
        <v>0</v>
      </c>
      <c r="AE268" s="476">
        <f t="shared" si="436"/>
        <v>0</v>
      </c>
      <c r="AF268" s="476">
        <f t="shared" si="437"/>
        <v>0</v>
      </c>
      <c r="AG268" s="476">
        <f t="shared" si="438"/>
        <v>0</v>
      </c>
      <c r="AH268" s="476">
        <f t="shared" si="439"/>
        <v>0</v>
      </c>
      <c r="AI268" s="476">
        <f t="shared" si="440"/>
        <v>0</v>
      </c>
      <c r="AJ268" s="476">
        <f t="shared" si="441"/>
        <v>0</v>
      </c>
      <c r="AK268" s="476">
        <f t="shared" si="442"/>
        <v>0</v>
      </c>
      <c r="AL268" s="476">
        <f t="shared" si="443"/>
        <v>0</v>
      </c>
      <c r="AM268" s="476">
        <f t="shared" si="444"/>
        <v>0</v>
      </c>
      <c r="AN268" s="476">
        <f t="shared" si="445"/>
        <v>0</v>
      </c>
      <c r="AO268" s="476">
        <f t="shared" si="446"/>
        <v>0</v>
      </c>
      <c r="AP268" s="476">
        <f t="shared" si="447"/>
        <v>0</v>
      </c>
      <c r="AQ268" s="476">
        <f t="shared" si="448"/>
        <v>0</v>
      </c>
      <c r="AR268" s="476">
        <f t="shared" si="449"/>
        <v>0</v>
      </c>
      <c r="AS268" s="476">
        <f t="shared" si="450"/>
        <v>0</v>
      </c>
      <c r="AT268" s="476">
        <f t="shared" si="451"/>
        <v>0</v>
      </c>
      <c r="AU268" s="476">
        <f t="shared" si="452"/>
        <v>0</v>
      </c>
      <c r="AV268" s="476">
        <f t="shared" si="453"/>
        <v>0</v>
      </c>
      <c r="AW268" s="476">
        <f t="shared" si="454"/>
        <v>0</v>
      </c>
      <c r="AX268" s="476">
        <f t="shared" si="455"/>
        <v>0</v>
      </c>
      <c r="AY268" s="476">
        <f t="shared" si="456"/>
        <v>0</v>
      </c>
      <c r="AZ268" s="476">
        <f t="shared" si="457"/>
        <v>0</v>
      </c>
      <c r="BA268" s="476">
        <f t="shared" si="458"/>
        <v>0</v>
      </c>
      <c r="BB268" s="476">
        <f t="shared" si="459"/>
        <v>0</v>
      </c>
      <c r="BC268" s="476">
        <f t="shared" si="460"/>
        <v>0</v>
      </c>
      <c r="BD268" s="476">
        <f t="shared" si="461"/>
        <v>0</v>
      </c>
      <c r="BE268" s="476">
        <f t="shared" si="462"/>
        <v>0</v>
      </c>
      <c r="BF268" s="476">
        <f t="shared" si="463"/>
        <v>0</v>
      </c>
      <c r="BG268" s="476">
        <f t="shared" si="464"/>
        <v>0</v>
      </c>
    </row>
    <row r="269" spans="1:59" ht="16.5" customHeight="1">
      <c r="A269" s="583" t="s">
        <v>1452</v>
      </c>
      <c r="B269" s="584" t="s">
        <v>1453</v>
      </c>
      <c r="C269" s="584" t="s">
        <v>1454</v>
      </c>
      <c r="D269" s="413" t="s">
        <v>1164</v>
      </c>
      <c r="E269" s="412" t="s">
        <v>1171</v>
      </c>
      <c r="F269" s="413" t="s">
        <v>1180</v>
      </c>
      <c r="G269" s="412" t="s">
        <v>1180</v>
      </c>
      <c r="H269" s="412" t="s">
        <v>974</v>
      </c>
      <c r="I269" s="477">
        <v>0</v>
      </c>
      <c r="J269" s="477">
        <v>0</v>
      </c>
      <c r="K269" s="477">
        <v>17650</v>
      </c>
      <c r="L269" s="477">
        <v>0</v>
      </c>
      <c r="M269" s="477">
        <f t="shared" si="465"/>
        <v>17650</v>
      </c>
      <c r="N269" s="477">
        <f t="shared" si="466"/>
        <v>0</v>
      </c>
      <c r="O269" s="477"/>
      <c r="P269" s="477"/>
      <c r="Q269" s="477">
        <f t="shared" si="377"/>
        <v>17650</v>
      </c>
      <c r="R269" s="477">
        <f t="shared" si="378"/>
        <v>0</v>
      </c>
      <c r="S269" s="477">
        <f t="shared" si="379"/>
        <v>17650</v>
      </c>
      <c r="V269" s="476">
        <f t="shared" si="427"/>
        <v>17650</v>
      </c>
      <c r="W269" s="476">
        <f t="shared" si="428"/>
        <v>0</v>
      </c>
      <c r="X269" s="476">
        <f t="shared" si="429"/>
        <v>0</v>
      </c>
      <c r="Y269" s="476">
        <f t="shared" si="430"/>
        <v>0</v>
      </c>
      <c r="Z269" s="476">
        <f t="shared" si="431"/>
        <v>0</v>
      </c>
      <c r="AA269" s="476">
        <f t="shared" si="432"/>
        <v>0</v>
      </c>
      <c r="AB269" s="476">
        <f t="shared" si="433"/>
        <v>0</v>
      </c>
      <c r="AC269" s="476">
        <f t="shared" si="434"/>
        <v>0</v>
      </c>
      <c r="AD269" s="476">
        <f t="shared" si="435"/>
        <v>0</v>
      </c>
      <c r="AE269" s="476">
        <f t="shared" si="436"/>
        <v>0</v>
      </c>
      <c r="AF269" s="476">
        <f t="shared" si="437"/>
        <v>0</v>
      </c>
      <c r="AG269" s="476">
        <f t="shared" si="438"/>
        <v>0</v>
      </c>
      <c r="AH269" s="476">
        <f t="shared" si="439"/>
        <v>0</v>
      </c>
      <c r="AI269" s="476">
        <f t="shared" si="440"/>
        <v>0</v>
      </c>
      <c r="AJ269" s="476">
        <f t="shared" si="441"/>
        <v>0</v>
      </c>
      <c r="AK269" s="476">
        <f t="shared" si="442"/>
        <v>0</v>
      </c>
      <c r="AL269" s="476">
        <f t="shared" si="443"/>
        <v>0</v>
      </c>
      <c r="AM269" s="476">
        <f t="shared" si="444"/>
        <v>0</v>
      </c>
      <c r="AN269" s="476">
        <f t="shared" si="445"/>
        <v>0</v>
      </c>
      <c r="AO269" s="476">
        <f t="shared" si="446"/>
        <v>0</v>
      </c>
      <c r="AP269" s="476">
        <f t="shared" si="447"/>
        <v>0</v>
      </c>
      <c r="AQ269" s="476">
        <f t="shared" si="448"/>
        <v>0</v>
      </c>
      <c r="AR269" s="476">
        <f t="shared" si="449"/>
        <v>0</v>
      </c>
      <c r="AS269" s="476">
        <f t="shared" si="450"/>
        <v>0</v>
      </c>
      <c r="AT269" s="476">
        <f t="shared" si="451"/>
        <v>0</v>
      </c>
      <c r="AU269" s="476">
        <f t="shared" si="452"/>
        <v>0</v>
      </c>
      <c r="AV269" s="476">
        <f t="shared" si="453"/>
        <v>0</v>
      </c>
      <c r="AW269" s="476">
        <f t="shared" si="454"/>
        <v>0</v>
      </c>
      <c r="AX269" s="476">
        <f t="shared" si="455"/>
        <v>0</v>
      </c>
      <c r="AY269" s="476">
        <f t="shared" si="456"/>
        <v>0</v>
      </c>
      <c r="AZ269" s="476">
        <f t="shared" si="457"/>
        <v>0</v>
      </c>
      <c r="BA269" s="476">
        <f t="shared" si="458"/>
        <v>0</v>
      </c>
      <c r="BB269" s="476">
        <f t="shared" si="459"/>
        <v>0</v>
      </c>
      <c r="BC269" s="476">
        <f t="shared" si="460"/>
        <v>0</v>
      </c>
      <c r="BD269" s="476">
        <f t="shared" si="461"/>
        <v>0</v>
      </c>
      <c r="BE269" s="476">
        <f t="shared" si="462"/>
        <v>0</v>
      </c>
      <c r="BF269" s="476">
        <f t="shared" si="463"/>
        <v>0</v>
      </c>
      <c r="BG269" s="476">
        <f t="shared" si="464"/>
        <v>0</v>
      </c>
    </row>
    <row r="270" spans="1:59" ht="16.5" customHeight="1">
      <c r="A270" s="583" t="s">
        <v>897</v>
      </c>
      <c r="B270" s="584" t="s">
        <v>984</v>
      </c>
      <c r="C270" s="584" t="s">
        <v>315</v>
      </c>
      <c r="D270" s="413" t="s">
        <v>1164</v>
      </c>
      <c r="E270" s="412" t="s">
        <v>1181</v>
      </c>
      <c r="F270" s="413" t="s">
        <v>1232</v>
      </c>
      <c r="G270" s="412" t="s">
        <v>1232</v>
      </c>
      <c r="H270" s="412" t="s">
        <v>974</v>
      </c>
      <c r="I270" s="477">
        <v>0</v>
      </c>
      <c r="J270" s="477">
        <v>0</v>
      </c>
      <c r="K270" s="477">
        <v>176380</v>
      </c>
      <c r="L270" s="477">
        <v>0</v>
      </c>
      <c r="M270" s="477">
        <f t="shared" si="465"/>
        <v>176380</v>
      </c>
      <c r="N270" s="477">
        <f t="shared" si="466"/>
        <v>0</v>
      </c>
      <c r="O270" s="477"/>
      <c r="P270" s="477"/>
      <c r="Q270" s="477">
        <f t="shared" si="377"/>
        <v>176380</v>
      </c>
      <c r="R270" s="477">
        <f t="shared" si="378"/>
        <v>0</v>
      </c>
      <c r="S270" s="477">
        <f t="shared" si="379"/>
        <v>176380</v>
      </c>
      <c r="V270" s="476">
        <f t="shared" si="427"/>
        <v>176380</v>
      </c>
      <c r="W270" s="476">
        <f t="shared" si="428"/>
        <v>0</v>
      </c>
      <c r="X270" s="476">
        <f t="shared" si="429"/>
        <v>0</v>
      </c>
      <c r="Y270" s="476">
        <f t="shared" si="430"/>
        <v>0</v>
      </c>
      <c r="Z270" s="476">
        <f t="shared" si="431"/>
        <v>0</v>
      </c>
      <c r="AA270" s="476">
        <f t="shared" si="432"/>
        <v>0</v>
      </c>
      <c r="AB270" s="476">
        <f t="shared" si="433"/>
        <v>0</v>
      </c>
      <c r="AC270" s="476">
        <f t="shared" si="434"/>
        <v>0</v>
      </c>
      <c r="AD270" s="476">
        <f t="shared" si="435"/>
        <v>0</v>
      </c>
      <c r="AE270" s="476">
        <f t="shared" si="436"/>
        <v>0</v>
      </c>
      <c r="AF270" s="476">
        <f t="shared" si="437"/>
        <v>0</v>
      </c>
      <c r="AG270" s="476">
        <f t="shared" si="438"/>
        <v>0</v>
      </c>
      <c r="AH270" s="476">
        <f t="shared" si="439"/>
        <v>0</v>
      </c>
      <c r="AI270" s="476">
        <f t="shared" si="440"/>
        <v>0</v>
      </c>
      <c r="AJ270" s="476">
        <f t="shared" si="441"/>
        <v>0</v>
      </c>
      <c r="AK270" s="476">
        <f t="shared" si="442"/>
        <v>0</v>
      </c>
      <c r="AL270" s="476">
        <f t="shared" si="443"/>
        <v>0</v>
      </c>
      <c r="AM270" s="476">
        <f t="shared" si="444"/>
        <v>0</v>
      </c>
      <c r="AN270" s="476">
        <f t="shared" si="445"/>
        <v>0</v>
      </c>
      <c r="AO270" s="476">
        <f t="shared" si="446"/>
        <v>0</v>
      </c>
      <c r="AP270" s="476">
        <f t="shared" si="447"/>
        <v>0</v>
      </c>
      <c r="AQ270" s="476">
        <f t="shared" si="448"/>
        <v>0</v>
      </c>
      <c r="AR270" s="476">
        <f t="shared" si="449"/>
        <v>0</v>
      </c>
      <c r="AS270" s="476">
        <f t="shared" si="450"/>
        <v>0</v>
      </c>
      <c r="AT270" s="476">
        <f t="shared" si="451"/>
        <v>0</v>
      </c>
      <c r="AU270" s="476">
        <f t="shared" si="452"/>
        <v>0</v>
      </c>
      <c r="AV270" s="476">
        <f t="shared" si="453"/>
        <v>0</v>
      </c>
      <c r="AW270" s="476">
        <f t="shared" si="454"/>
        <v>0</v>
      </c>
      <c r="AX270" s="476">
        <f t="shared" si="455"/>
        <v>0</v>
      </c>
      <c r="AY270" s="476">
        <f t="shared" si="456"/>
        <v>0</v>
      </c>
      <c r="AZ270" s="476">
        <f t="shared" si="457"/>
        <v>0</v>
      </c>
      <c r="BA270" s="476">
        <f t="shared" si="458"/>
        <v>0</v>
      </c>
      <c r="BB270" s="476">
        <f t="shared" si="459"/>
        <v>0</v>
      </c>
      <c r="BC270" s="476">
        <f t="shared" si="460"/>
        <v>0</v>
      </c>
      <c r="BD270" s="476">
        <f t="shared" si="461"/>
        <v>0</v>
      </c>
      <c r="BE270" s="476">
        <f t="shared" si="462"/>
        <v>0</v>
      </c>
      <c r="BF270" s="476">
        <f t="shared" si="463"/>
        <v>0</v>
      </c>
      <c r="BG270" s="476">
        <f t="shared" si="464"/>
        <v>0</v>
      </c>
    </row>
    <row r="271" spans="1:59" ht="16.5" customHeight="1">
      <c r="A271" s="583" t="s">
        <v>1345</v>
      </c>
      <c r="B271" s="584" t="s">
        <v>1346</v>
      </c>
      <c r="C271" s="584" t="s">
        <v>1783</v>
      </c>
      <c r="D271" s="413" t="s">
        <v>1164</v>
      </c>
      <c r="E271" s="412" t="s">
        <v>1171</v>
      </c>
      <c r="F271" s="413" t="s">
        <v>1171</v>
      </c>
      <c r="G271" s="412" t="s">
        <v>1347</v>
      </c>
      <c r="H271" s="412" t="s">
        <v>974</v>
      </c>
      <c r="I271" s="477">
        <v>0</v>
      </c>
      <c r="J271" s="477">
        <v>0</v>
      </c>
      <c r="K271" s="477">
        <v>362500</v>
      </c>
      <c r="L271" s="477">
        <v>362500</v>
      </c>
      <c r="M271" s="477">
        <f t="shared" si="465"/>
        <v>362500</v>
      </c>
      <c r="N271" s="477">
        <f t="shared" si="466"/>
        <v>362500</v>
      </c>
      <c r="O271" s="477">
        <f>'Adjustments 2025'!E55</f>
        <v>362500</v>
      </c>
      <c r="P271" s="477"/>
      <c r="Q271" s="477">
        <f t="shared" si="377"/>
        <v>725000</v>
      </c>
      <c r="R271" s="477">
        <f t="shared" si="378"/>
        <v>362500</v>
      </c>
      <c r="S271" s="477">
        <f t="shared" si="379"/>
        <v>362500</v>
      </c>
      <c r="V271" s="476">
        <f t="shared" si="427"/>
        <v>725000</v>
      </c>
      <c r="W271" s="476">
        <f t="shared" si="428"/>
        <v>362500</v>
      </c>
      <c r="X271" s="476">
        <f t="shared" si="429"/>
        <v>0</v>
      </c>
      <c r="Y271" s="476">
        <f t="shared" si="430"/>
        <v>0</v>
      </c>
      <c r="Z271" s="476">
        <f t="shared" si="431"/>
        <v>0</v>
      </c>
      <c r="AA271" s="476">
        <f t="shared" si="432"/>
        <v>0</v>
      </c>
      <c r="AB271" s="476">
        <f t="shared" si="433"/>
        <v>0</v>
      </c>
      <c r="AC271" s="476">
        <f t="shared" si="434"/>
        <v>0</v>
      </c>
      <c r="AD271" s="476">
        <f t="shared" si="435"/>
        <v>0</v>
      </c>
      <c r="AE271" s="476">
        <f t="shared" si="436"/>
        <v>0</v>
      </c>
      <c r="AF271" s="476">
        <f t="shared" si="437"/>
        <v>0</v>
      </c>
      <c r="AG271" s="476">
        <f t="shared" si="438"/>
        <v>0</v>
      </c>
      <c r="AH271" s="476">
        <f t="shared" si="439"/>
        <v>0</v>
      </c>
      <c r="AI271" s="476">
        <f t="shared" si="440"/>
        <v>0</v>
      </c>
      <c r="AJ271" s="476">
        <f t="shared" si="441"/>
        <v>0</v>
      </c>
      <c r="AK271" s="476">
        <f t="shared" si="442"/>
        <v>0</v>
      </c>
      <c r="AL271" s="476">
        <f t="shared" si="443"/>
        <v>0</v>
      </c>
      <c r="AM271" s="476">
        <f t="shared" si="444"/>
        <v>0</v>
      </c>
      <c r="AN271" s="476">
        <f t="shared" si="445"/>
        <v>0</v>
      </c>
      <c r="AO271" s="476">
        <f t="shared" si="446"/>
        <v>0</v>
      </c>
      <c r="AP271" s="476">
        <f t="shared" si="447"/>
        <v>0</v>
      </c>
      <c r="AQ271" s="476">
        <f t="shared" si="448"/>
        <v>0</v>
      </c>
      <c r="AR271" s="476">
        <f t="shared" si="449"/>
        <v>0</v>
      </c>
      <c r="AS271" s="476">
        <f t="shared" si="450"/>
        <v>0</v>
      </c>
      <c r="AT271" s="476">
        <f t="shared" si="451"/>
        <v>0</v>
      </c>
      <c r="AU271" s="476">
        <f t="shared" si="452"/>
        <v>0</v>
      </c>
      <c r="AV271" s="476">
        <f t="shared" si="453"/>
        <v>0</v>
      </c>
      <c r="AW271" s="476">
        <f t="shared" si="454"/>
        <v>0</v>
      </c>
      <c r="AX271" s="476">
        <f t="shared" si="455"/>
        <v>0</v>
      </c>
      <c r="AY271" s="476">
        <f t="shared" si="456"/>
        <v>0</v>
      </c>
      <c r="AZ271" s="476">
        <f t="shared" si="457"/>
        <v>0</v>
      </c>
      <c r="BA271" s="476">
        <f t="shared" si="458"/>
        <v>0</v>
      </c>
      <c r="BB271" s="476">
        <f t="shared" si="459"/>
        <v>0</v>
      </c>
      <c r="BC271" s="476">
        <f t="shared" si="460"/>
        <v>0</v>
      </c>
      <c r="BD271" s="476">
        <f t="shared" si="461"/>
        <v>0</v>
      </c>
      <c r="BE271" s="476">
        <f t="shared" si="462"/>
        <v>0</v>
      </c>
      <c r="BF271" s="476">
        <f t="shared" si="463"/>
        <v>0</v>
      </c>
      <c r="BG271" s="476">
        <f t="shared" si="464"/>
        <v>0</v>
      </c>
    </row>
    <row r="272" spans="1:59" ht="16.5" customHeight="1">
      <c r="A272" s="583" t="s">
        <v>899</v>
      </c>
      <c r="B272" s="584" t="s">
        <v>1713</v>
      </c>
      <c r="C272" s="584" t="s">
        <v>317</v>
      </c>
      <c r="D272" s="413" t="s">
        <v>1164</v>
      </c>
      <c r="E272" s="412" t="s">
        <v>1171</v>
      </c>
      <c r="F272" s="413" t="s">
        <v>385</v>
      </c>
      <c r="G272" s="412" t="s">
        <v>385</v>
      </c>
      <c r="H272" s="412" t="s">
        <v>974</v>
      </c>
      <c r="I272" s="477">
        <v>0</v>
      </c>
      <c r="J272" s="477">
        <v>0</v>
      </c>
      <c r="K272" s="477">
        <v>0</v>
      </c>
      <c r="L272" s="477">
        <v>0</v>
      </c>
      <c r="M272" s="477">
        <f t="shared" si="465"/>
        <v>0</v>
      </c>
      <c r="N272" s="477">
        <f t="shared" si="466"/>
        <v>0</v>
      </c>
      <c r="O272" s="477"/>
      <c r="P272" s="477"/>
      <c r="Q272" s="477">
        <f t="shared" si="377"/>
        <v>0</v>
      </c>
      <c r="R272" s="477">
        <f t="shared" si="378"/>
        <v>0</v>
      </c>
      <c r="S272" s="477">
        <f t="shared" si="379"/>
        <v>0</v>
      </c>
      <c r="V272" s="476">
        <f t="shared" si="427"/>
        <v>0</v>
      </c>
      <c r="W272" s="476">
        <f t="shared" si="428"/>
        <v>0</v>
      </c>
      <c r="X272" s="476">
        <f t="shared" si="429"/>
        <v>0</v>
      </c>
      <c r="Y272" s="476">
        <f t="shared" si="430"/>
        <v>0</v>
      </c>
      <c r="Z272" s="476">
        <f t="shared" si="431"/>
        <v>0</v>
      </c>
      <c r="AA272" s="476">
        <f t="shared" si="432"/>
        <v>0</v>
      </c>
      <c r="AB272" s="476">
        <f t="shared" si="433"/>
        <v>0</v>
      </c>
      <c r="AC272" s="476">
        <f t="shared" si="434"/>
        <v>0</v>
      </c>
      <c r="AD272" s="476">
        <f t="shared" si="435"/>
        <v>0</v>
      </c>
      <c r="AE272" s="476">
        <f t="shared" si="436"/>
        <v>0</v>
      </c>
      <c r="AF272" s="476">
        <f t="shared" si="437"/>
        <v>0</v>
      </c>
      <c r="AG272" s="476">
        <f t="shared" si="438"/>
        <v>0</v>
      </c>
      <c r="AH272" s="476">
        <f t="shared" si="439"/>
        <v>0</v>
      </c>
      <c r="AI272" s="476">
        <f t="shared" si="440"/>
        <v>0</v>
      </c>
      <c r="AJ272" s="476">
        <f t="shared" si="441"/>
        <v>0</v>
      </c>
      <c r="AK272" s="476">
        <f t="shared" si="442"/>
        <v>0</v>
      </c>
      <c r="AL272" s="476">
        <f t="shared" si="443"/>
        <v>0</v>
      </c>
      <c r="AM272" s="476">
        <f t="shared" si="444"/>
        <v>0</v>
      </c>
      <c r="AN272" s="476">
        <f t="shared" si="445"/>
        <v>0</v>
      </c>
      <c r="AO272" s="476">
        <f t="shared" si="446"/>
        <v>0</v>
      </c>
      <c r="AP272" s="476">
        <f t="shared" si="447"/>
        <v>0</v>
      </c>
      <c r="AQ272" s="476">
        <f t="shared" si="448"/>
        <v>0</v>
      </c>
      <c r="AR272" s="476">
        <f t="shared" si="449"/>
        <v>0</v>
      </c>
      <c r="AS272" s="476">
        <f t="shared" si="450"/>
        <v>0</v>
      </c>
      <c r="AT272" s="476">
        <f t="shared" si="451"/>
        <v>0</v>
      </c>
      <c r="AU272" s="476">
        <f t="shared" si="452"/>
        <v>0</v>
      </c>
      <c r="AV272" s="476">
        <f t="shared" si="453"/>
        <v>0</v>
      </c>
      <c r="AW272" s="476">
        <f t="shared" si="454"/>
        <v>0</v>
      </c>
      <c r="AX272" s="476">
        <f t="shared" si="455"/>
        <v>0</v>
      </c>
      <c r="AY272" s="476">
        <f t="shared" si="456"/>
        <v>0</v>
      </c>
      <c r="AZ272" s="476">
        <f t="shared" si="457"/>
        <v>0</v>
      </c>
      <c r="BA272" s="476">
        <f t="shared" si="458"/>
        <v>0</v>
      </c>
      <c r="BB272" s="476">
        <f t="shared" si="459"/>
        <v>0</v>
      </c>
      <c r="BC272" s="476">
        <f t="shared" si="460"/>
        <v>0</v>
      </c>
      <c r="BD272" s="476">
        <f t="shared" si="461"/>
        <v>0</v>
      </c>
      <c r="BE272" s="476">
        <f t="shared" si="462"/>
        <v>0</v>
      </c>
      <c r="BF272" s="476">
        <f t="shared" si="463"/>
        <v>0</v>
      </c>
      <c r="BG272" s="476">
        <f t="shared" si="464"/>
        <v>0</v>
      </c>
    </row>
    <row r="273" spans="1:59" ht="16.5" customHeight="1">
      <c r="A273" s="583" t="s">
        <v>901</v>
      </c>
      <c r="B273" s="584" t="s">
        <v>978</v>
      </c>
      <c r="C273" s="584" t="s">
        <v>318</v>
      </c>
      <c r="D273" s="413" t="s">
        <v>1164</v>
      </c>
      <c r="E273" s="412" t="s">
        <v>1181</v>
      </c>
      <c r="F273" s="413" t="s">
        <v>1182</v>
      </c>
      <c r="G273" s="412" t="s">
        <v>1182</v>
      </c>
      <c r="H273" s="412" t="s">
        <v>974</v>
      </c>
      <c r="I273" s="477">
        <v>0</v>
      </c>
      <c r="J273" s="477">
        <v>0</v>
      </c>
      <c r="K273" s="477">
        <v>108990</v>
      </c>
      <c r="L273" s="477">
        <v>0</v>
      </c>
      <c r="M273" s="477">
        <f t="shared" si="465"/>
        <v>108990</v>
      </c>
      <c r="N273" s="477">
        <f t="shared" si="466"/>
        <v>0</v>
      </c>
      <c r="O273" s="477"/>
      <c r="P273" s="477"/>
      <c r="Q273" s="477">
        <f t="shared" si="377"/>
        <v>108990</v>
      </c>
      <c r="R273" s="477">
        <f t="shared" si="378"/>
        <v>0</v>
      </c>
      <c r="S273" s="477">
        <f t="shared" si="379"/>
        <v>108990</v>
      </c>
      <c r="V273" s="476">
        <f t="shared" si="427"/>
        <v>108990</v>
      </c>
      <c r="W273" s="476">
        <f t="shared" si="428"/>
        <v>0</v>
      </c>
      <c r="X273" s="476">
        <f t="shared" si="429"/>
        <v>0</v>
      </c>
      <c r="Y273" s="476">
        <f t="shared" si="430"/>
        <v>0</v>
      </c>
      <c r="Z273" s="476">
        <f t="shared" si="431"/>
        <v>0</v>
      </c>
      <c r="AA273" s="476">
        <f t="shared" si="432"/>
        <v>0</v>
      </c>
      <c r="AB273" s="476">
        <f t="shared" si="433"/>
        <v>0</v>
      </c>
      <c r="AC273" s="476">
        <f t="shared" si="434"/>
        <v>0</v>
      </c>
      <c r="AD273" s="476">
        <f t="shared" si="435"/>
        <v>0</v>
      </c>
      <c r="AE273" s="476">
        <f t="shared" si="436"/>
        <v>0</v>
      </c>
      <c r="AF273" s="476">
        <f t="shared" si="437"/>
        <v>0</v>
      </c>
      <c r="AG273" s="476">
        <f t="shared" si="438"/>
        <v>0</v>
      </c>
      <c r="AH273" s="476">
        <f t="shared" si="439"/>
        <v>0</v>
      </c>
      <c r="AI273" s="476">
        <f t="shared" si="440"/>
        <v>0</v>
      </c>
      <c r="AJ273" s="476">
        <f t="shared" si="441"/>
        <v>0</v>
      </c>
      <c r="AK273" s="476">
        <f t="shared" si="442"/>
        <v>0</v>
      </c>
      <c r="AL273" s="476">
        <f t="shared" si="443"/>
        <v>0</v>
      </c>
      <c r="AM273" s="476">
        <f t="shared" si="444"/>
        <v>0</v>
      </c>
      <c r="AN273" s="476">
        <f t="shared" si="445"/>
        <v>0</v>
      </c>
      <c r="AO273" s="476">
        <f t="shared" si="446"/>
        <v>0</v>
      </c>
      <c r="AP273" s="476">
        <f t="shared" si="447"/>
        <v>0</v>
      </c>
      <c r="AQ273" s="476">
        <f t="shared" si="448"/>
        <v>0</v>
      </c>
      <c r="AR273" s="476">
        <f t="shared" si="449"/>
        <v>0</v>
      </c>
      <c r="AS273" s="476">
        <f t="shared" si="450"/>
        <v>0</v>
      </c>
      <c r="AT273" s="476">
        <f t="shared" si="451"/>
        <v>0</v>
      </c>
      <c r="AU273" s="476">
        <f t="shared" si="452"/>
        <v>0</v>
      </c>
      <c r="AV273" s="476">
        <f t="shared" si="453"/>
        <v>0</v>
      </c>
      <c r="AW273" s="476">
        <f t="shared" si="454"/>
        <v>0</v>
      </c>
      <c r="AX273" s="476">
        <f t="shared" si="455"/>
        <v>0</v>
      </c>
      <c r="AY273" s="476">
        <f t="shared" si="456"/>
        <v>0</v>
      </c>
      <c r="AZ273" s="476">
        <f t="shared" si="457"/>
        <v>0</v>
      </c>
      <c r="BA273" s="476">
        <f t="shared" si="458"/>
        <v>0</v>
      </c>
      <c r="BB273" s="476">
        <f t="shared" si="459"/>
        <v>0</v>
      </c>
      <c r="BC273" s="476">
        <f t="shared" si="460"/>
        <v>0</v>
      </c>
      <c r="BD273" s="476">
        <f t="shared" si="461"/>
        <v>0</v>
      </c>
      <c r="BE273" s="476">
        <f t="shared" si="462"/>
        <v>0</v>
      </c>
      <c r="BF273" s="476">
        <f t="shared" si="463"/>
        <v>0</v>
      </c>
      <c r="BG273" s="476">
        <f t="shared" si="464"/>
        <v>0</v>
      </c>
    </row>
    <row r="274" spans="1:59" ht="16.5" customHeight="1">
      <c r="A274" s="583" t="s">
        <v>902</v>
      </c>
      <c r="B274" s="584" t="s">
        <v>1714</v>
      </c>
      <c r="C274" s="584" t="s">
        <v>423</v>
      </c>
      <c r="D274" s="413" t="s">
        <v>1164</v>
      </c>
      <c r="E274" s="412" t="s">
        <v>1181</v>
      </c>
      <c r="F274" s="413" t="s">
        <v>1233</v>
      </c>
      <c r="G274" s="412" t="s">
        <v>1233</v>
      </c>
      <c r="H274" s="412" t="s">
        <v>974</v>
      </c>
      <c r="I274" s="477">
        <v>0</v>
      </c>
      <c r="J274" s="477">
        <v>0</v>
      </c>
      <c r="K274" s="477">
        <v>76100</v>
      </c>
      <c r="L274" s="477">
        <v>0</v>
      </c>
      <c r="M274" s="477">
        <f t="shared" si="465"/>
        <v>76100</v>
      </c>
      <c r="N274" s="477">
        <f t="shared" si="466"/>
        <v>0</v>
      </c>
      <c r="O274" s="477"/>
      <c r="P274" s="477"/>
      <c r="Q274" s="477">
        <f t="shared" si="377"/>
        <v>76100</v>
      </c>
      <c r="R274" s="477">
        <f t="shared" si="378"/>
        <v>0</v>
      </c>
      <c r="S274" s="477">
        <f t="shared" si="379"/>
        <v>76100</v>
      </c>
      <c r="V274" s="476">
        <f t="shared" si="427"/>
        <v>76100</v>
      </c>
      <c r="W274" s="476">
        <f t="shared" si="428"/>
        <v>0</v>
      </c>
      <c r="X274" s="476">
        <f t="shared" si="429"/>
        <v>0</v>
      </c>
      <c r="Y274" s="476">
        <f t="shared" si="430"/>
        <v>0</v>
      </c>
      <c r="Z274" s="476">
        <f t="shared" si="431"/>
        <v>0</v>
      </c>
      <c r="AA274" s="476">
        <f t="shared" si="432"/>
        <v>0</v>
      </c>
      <c r="AB274" s="476">
        <f t="shared" si="433"/>
        <v>0</v>
      </c>
      <c r="AC274" s="476">
        <f t="shared" si="434"/>
        <v>0</v>
      </c>
      <c r="AD274" s="476">
        <f t="shared" si="435"/>
        <v>0</v>
      </c>
      <c r="AE274" s="476">
        <f t="shared" si="436"/>
        <v>0</v>
      </c>
      <c r="AF274" s="476">
        <f t="shared" si="437"/>
        <v>0</v>
      </c>
      <c r="AG274" s="476">
        <f t="shared" si="438"/>
        <v>0</v>
      </c>
      <c r="AH274" s="476">
        <f t="shared" si="439"/>
        <v>0</v>
      </c>
      <c r="AI274" s="476">
        <f t="shared" si="440"/>
        <v>0</v>
      </c>
      <c r="AJ274" s="476">
        <f t="shared" si="441"/>
        <v>0</v>
      </c>
      <c r="AK274" s="476">
        <f t="shared" si="442"/>
        <v>0</v>
      </c>
      <c r="AL274" s="476">
        <f t="shared" si="443"/>
        <v>0</v>
      </c>
      <c r="AM274" s="476">
        <f t="shared" si="444"/>
        <v>0</v>
      </c>
      <c r="AN274" s="476">
        <f t="shared" si="445"/>
        <v>0</v>
      </c>
      <c r="AO274" s="476">
        <f t="shared" si="446"/>
        <v>0</v>
      </c>
      <c r="AP274" s="476">
        <f t="shared" si="447"/>
        <v>0</v>
      </c>
      <c r="AQ274" s="476">
        <f t="shared" si="448"/>
        <v>0</v>
      </c>
      <c r="AR274" s="476">
        <f t="shared" si="449"/>
        <v>0</v>
      </c>
      <c r="AS274" s="476">
        <f t="shared" si="450"/>
        <v>0</v>
      </c>
      <c r="AT274" s="476">
        <f t="shared" si="451"/>
        <v>0</v>
      </c>
      <c r="AU274" s="476">
        <f t="shared" si="452"/>
        <v>0</v>
      </c>
      <c r="AV274" s="476">
        <f t="shared" si="453"/>
        <v>0</v>
      </c>
      <c r="AW274" s="476">
        <f t="shared" si="454"/>
        <v>0</v>
      </c>
      <c r="AX274" s="476">
        <f t="shared" si="455"/>
        <v>0</v>
      </c>
      <c r="AY274" s="476">
        <f t="shared" si="456"/>
        <v>0</v>
      </c>
      <c r="AZ274" s="476">
        <f t="shared" si="457"/>
        <v>0</v>
      </c>
      <c r="BA274" s="476">
        <f t="shared" si="458"/>
        <v>0</v>
      </c>
      <c r="BB274" s="476">
        <f t="shared" si="459"/>
        <v>0</v>
      </c>
      <c r="BC274" s="476">
        <f t="shared" si="460"/>
        <v>0</v>
      </c>
      <c r="BD274" s="476">
        <f t="shared" si="461"/>
        <v>0</v>
      </c>
      <c r="BE274" s="476">
        <f t="shared" si="462"/>
        <v>0</v>
      </c>
      <c r="BF274" s="476">
        <f t="shared" si="463"/>
        <v>0</v>
      </c>
      <c r="BG274" s="476">
        <f t="shared" si="464"/>
        <v>0</v>
      </c>
    </row>
    <row r="275" spans="1:59" ht="16.5" customHeight="1">
      <c r="A275" s="583" t="s">
        <v>903</v>
      </c>
      <c r="B275" s="584" t="s">
        <v>1234</v>
      </c>
      <c r="C275" s="584" t="s">
        <v>319</v>
      </c>
      <c r="D275" s="413" t="s">
        <v>1164</v>
      </c>
      <c r="E275" s="412" t="s">
        <v>1181</v>
      </c>
      <c r="F275" s="413" t="s">
        <v>1234</v>
      </c>
      <c r="G275" s="412" t="s">
        <v>1234</v>
      </c>
      <c r="H275" s="412" t="s">
        <v>974</v>
      </c>
      <c r="I275" s="477">
        <v>0</v>
      </c>
      <c r="J275" s="477">
        <v>0</v>
      </c>
      <c r="K275" s="477">
        <v>0</v>
      </c>
      <c r="L275" s="477">
        <v>0</v>
      </c>
      <c r="M275" s="477">
        <f t="shared" si="465"/>
        <v>0</v>
      </c>
      <c r="N275" s="477">
        <f t="shared" si="466"/>
        <v>0</v>
      </c>
      <c r="O275" s="477"/>
      <c r="P275" s="477"/>
      <c r="Q275" s="477">
        <f t="shared" ref="Q275:Q346" si="467">+M275+O275</f>
        <v>0</v>
      </c>
      <c r="R275" s="477">
        <f t="shared" ref="R275:R346" si="468">+N275+P275</f>
        <v>0</v>
      </c>
      <c r="S275" s="477">
        <f t="shared" ref="S275:S346" si="469">+Q275-R275</f>
        <v>0</v>
      </c>
      <c r="V275" s="476">
        <f t="shared" si="427"/>
        <v>0</v>
      </c>
      <c r="W275" s="476">
        <f t="shared" si="428"/>
        <v>0</v>
      </c>
      <c r="X275" s="476">
        <f t="shared" si="429"/>
        <v>0</v>
      </c>
      <c r="Y275" s="476">
        <f t="shared" si="430"/>
        <v>0</v>
      </c>
      <c r="Z275" s="476">
        <f t="shared" si="431"/>
        <v>0</v>
      </c>
      <c r="AA275" s="476">
        <f t="shared" si="432"/>
        <v>0</v>
      </c>
      <c r="AB275" s="476">
        <f t="shared" si="433"/>
        <v>0</v>
      </c>
      <c r="AC275" s="476">
        <f t="shared" si="434"/>
        <v>0</v>
      </c>
      <c r="AD275" s="476">
        <f t="shared" si="435"/>
        <v>0</v>
      </c>
      <c r="AE275" s="476">
        <f t="shared" si="436"/>
        <v>0</v>
      </c>
      <c r="AF275" s="476">
        <f t="shared" si="437"/>
        <v>0</v>
      </c>
      <c r="AG275" s="476">
        <f t="shared" si="438"/>
        <v>0</v>
      </c>
      <c r="AH275" s="476">
        <f t="shared" si="439"/>
        <v>0</v>
      </c>
      <c r="AI275" s="476">
        <f t="shared" si="440"/>
        <v>0</v>
      </c>
      <c r="AJ275" s="476">
        <f t="shared" si="441"/>
        <v>0</v>
      </c>
      <c r="AK275" s="476">
        <f t="shared" si="442"/>
        <v>0</v>
      </c>
      <c r="AL275" s="476">
        <f t="shared" si="443"/>
        <v>0</v>
      </c>
      <c r="AM275" s="476">
        <f t="shared" si="444"/>
        <v>0</v>
      </c>
      <c r="AN275" s="476">
        <f t="shared" si="445"/>
        <v>0</v>
      </c>
      <c r="AO275" s="476">
        <f t="shared" si="446"/>
        <v>0</v>
      </c>
      <c r="AP275" s="476">
        <f t="shared" si="447"/>
        <v>0</v>
      </c>
      <c r="AQ275" s="476">
        <f t="shared" si="448"/>
        <v>0</v>
      </c>
      <c r="AR275" s="476">
        <f t="shared" si="449"/>
        <v>0</v>
      </c>
      <c r="AS275" s="476">
        <f t="shared" si="450"/>
        <v>0</v>
      </c>
      <c r="AT275" s="476">
        <f t="shared" si="451"/>
        <v>0</v>
      </c>
      <c r="AU275" s="476">
        <f t="shared" si="452"/>
        <v>0</v>
      </c>
      <c r="AV275" s="476">
        <f t="shared" si="453"/>
        <v>0</v>
      </c>
      <c r="AW275" s="476">
        <f t="shared" si="454"/>
        <v>0</v>
      </c>
      <c r="AX275" s="476">
        <f t="shared" si="455"/>
        <v>0</v>
      </c>
      <c r="AY275" s="476">
        <f t="shared" si="456"/>
        <v>0</v>
      </c>
      <c r="AZ275" s="476">
        <f t="shared" si="457"/>
        <v>0</v>
      </c>
      <c r="BA275" s="476">
        <f t="shared" si="458"/>
        <v>0</v>
      </c>
      <c r="BB275" s="476">
        <f t="shared" si="459"/>
        <v>0</v>
      </c>
      <c r="BC275" s="476">
        <f t="shared" si="460"/>
        <v>0</v>
      </c>
      <c r="BD275" s="476">
        <f t="shared" si="461"/>
        <v>0</v>
      </c>
      <c r="BE275" s="476">
        <f t="shared" si="462"/>
        <v>0</v>
      </c>
      <c r="BF275" s="476">
        <f t="shared" si="463"/>
        <v>0</v>
      </c>
      <c r="BG275" s="476">
        <f t="shared" si="464"/>
        <v>0</v>
      </c>
    </row>
    <row r="276" spans="1:59" ht="16.5" customHeight="1">
      <c r="A276" s="583" t="s">
        <v>1455</v>
      </c>
      <c r="B276" s="584" t="s">
        <v>1456</v>
      </c>
      <c r="C276" s="584" t="s">
        <v>1457</v>
      </c>
      <c r="D276" s="413" t="s">
        <v>1164</v>
      </c>
      <c r="E276" s="412" t="s">
        <v>1181</v>
      </c>
      <c r="F276" s="413" t="s">
        <v>1182</v>
      </c>
      <c r="G276" s="412" t="s">
        <v>1182</v>
      </c>
      <c r="H276" s="412" t="s">
        <v>974</v>
      </c>
      <c r="I276" s="477">
        <v>0</v>
      </c>
      <c r="J276" s="477">
        <v>0</v>
      </c>
      <c r="K276" s="477">
        <v>1655749</v>
      </c>
      <c r="L276" s="477">
        <v>0</v>
      </c>
      <c r="M276" s="477">
        <f t="shared" si="465"/>
        <v>1655749</v>
      </c>
      <c r="N276" s="477">
        <f t="shared" si="466"/>
        <v>0</v>
      </c>
      <c r="O276" s="477"/>
      <c r="P276" s="477"/>
      <c r="Q276" s="477">
        <f t="shared" si="467"/>
        <v>1655749</v>
      </c>
      <c r="R276" s="477">
        <f t="shared" si="468"/>
        <v>0</v>
      </c>
      <c r="S276" s="477">
        <f t="shared" si="469"/>
        <v>1655749</v>
      </c>
      <c r="V276" s="476">
        <f t="shared" si="427"/>
        <v>1655749</v>
      </c>
      <c r="W276" s="476">
        <f t="shared" si="428"/>
        <v>0</v>
      </c>
      <c r="X276" s="476">
        <f t="shared" si="429"/>
        <v>0</v>
      </c>
      <c r="Y276" s="476">
        <f t="shared" si="430"/>
        <v>0</v>
      </c>
      <c r="Z276" s="476">
        <f t="shared" si="431"/>
        <v>0</v>
      </c>
      <c r="AA276" s="476">
        <f t="shared" si="432"/>
        <v>0</v>
      </c>
      <c r="AB276" s="476">
        <f t="shared" si="433"/>
        <v>0</v>
      </c>
      <c r="AC276" s="476">
        <f t="shared" si="434"/>
        <v>0</v>
      </c>
      <c r="AD276" s="476">
        <f t="shared" si="435"/>
        <v>0</v>
      </c>
      <c r="AE276" s="476">
        <f t="shared" si="436"/>
        <v>0</v>
      </c>
      <c r="AF276" s="476">
        <f t="shared" si="437"/>
        <v>0</v>
      </c>
      <c r="AG276" s="476">
        <f t="shared" si="438"/>
        <v>0</v>
      </c>
      <c r="AH276" s="476">
        <f t="shared" si="439"/>
        <v>0</v>
      </c>
      <c r="AI276" s="476">
        <f t="shared" si="440"/>
        <v>0</v>
      </c>
      <c r="AJ276" s="476">
        <f t="shared" si="441"/>
        <v>0</v>
      </c>
      <c r="AK276" s="476">
        <f t="shared" si="442"/>
        <v>0</v>
      </c>
      <c r="AL276" s="476">
        <f t="shared" si="443"/>
        <v>0</v>
      </c>
      <c r="AM276" s="476">
        <f t="shared" si="444"/>
        <v>0</v>
      </c>
      <c r="AN276" s="476">
        <f t="shared" si="445"/>
        <v>0</v>
      </c>
      <c r="AO276" s="476">
        <f t="shared" si="446"/>
        <v>0</v>
      </c>
      <c r="AP276" s="476">
        <f t="shared" si="447"/>
        <v>0</v>
      </c>
      <c r="AQ276" s="476">
        <f t="shared" si="448"/>
        <v>0</v>
      </c>
      <c r="AR276" s="476">
        <f t="shared" si="449"/>
        <v>0</v>
      </c>
      <c r="AS276" s="476">
        <f t="shared" si="450"/>
        <v>0</v>
      </c>
      <c r="AT276" s="476">
        <f t="shared" si="451"/>
        <v>0</v>
      </c>
      <c r="AU276" s="476">
        <f t="shared" si="452"/>
        <v>0</v>
      </c>
      <c r="AV276" s="476">
        <f t="shared" si="453"/>
        <v>0</v>
      </c>
      <c r="AW276" s="476">
        <f t="shared" si="454"/>
        <v>0</v>
      </c>
      <c r="AX276" s="476">
        <f t="shared" si="455"/>
        <v>0</v>
      </c>
      <c r="AY276" s="476">
        <f t="shared" si="456"/>
        <v>0</v>
      </c>
      <c r="AZ276" s="476">
        <f t="shared" si="457"/>
        <v>0</v>
      </c>
      <c r="BA276" s="476">
        <f t="shared" si="458"/>
        <v>0</v>
      </c>
      <c r="BB276" s="476">
        <f t="shared" si="459"/>
        <v>0</v>
      </c>
      <c r="BC276" s="476">
        <f t="shared" si="460"/>
        <v>0</v>
      </c>
      <c r="BD276" s="476">
        <f t="shared" si="461"/>
        <v>0</v>
      </c>
      <c r="BE276" s="476">
        <f t="shared" si="462"/>
        <v>0</v>
      </c>
      <c r="BF276" s="476">
        <f t="shared" si="463"/>
        <v>0</v>
      </c>
      <c r="BG276" s="476">
        <f t="shared" si="464"/>
        <v>0</v>
      </c>
    </row>
    <row r="277" spans="1:59" ht="16.5" customHeight="1">
      <c r="A277" s="583" t="s">
        <v>1284</v>
      </c>
      <c r="B277" s="584" t="s">
        <v>1282</v>
      </c>
      <c r="C277" s="584" t="s">
        <v>1784</v>
      </c>
      <c r="D277" s="413" t="s">
        <v>1164</v>
      </c>
      <c r="E277" s="412" t="s">
        <v>1171</v>
      </c>
      <c r="F277" s="413" t="s">
        <v>1203</v>
      </c>
      <c r="G277" s="412" t="s">
        <v>1204</v>
      </c>
      <c r="H277" s="412" t="s">
        <v>1055</v>
      </c>
      <c r="I277" s="477">
        <v>0</v>
      </c>
      <c r="J277" s="477">
        <v>0</v>
      </c>
      <c r="K277" s="477">
        <v>0</v>
      </c>
      <c r="L277" s="477">
        <v>0</v>
      </c>
      <c r="M277" s="477">
        <f t="shared" si="465"/>
        <v>0</v>
      </c>
      <c r="N277" s="477">
        <f t="shared" si="466"/>
        <v>0</v>
      </c>
      <c r="O277" s="477"/>
      <c r="P277" s="477"/>
      <c r="Q277" s="477">
        <f t="shared" si="467"/>
        <v>0</v>
      </c>
      <c r="R277" s="477">
        <f t="shared" si="468"/>
        <v>0</v>
      </c>
      <c r="S277" s="477">
        <f t="shared" si="469"/>
        <v>0</v>
      </c>
      <c r="V277" s="476">
        <f t="shared" si="427"/>
        <v>0</v>
      </c>
      <c r="W277" s="476">
        <f t="shared" si="428"/>
        <v>0</v>
      </c>
      <c r="X277" s="476">
        <f t="shared" si="429"/>
        <v>0</v>
      </c>
      <c r="Y277" s="476">
        <f t="shared" si="430"/>
        <v>0</v>
      </c>
      <c r="Z277" s="476">
        <f t="shared" si="431"/>
        <v>0</v>
      </c>
      <c r="AA277" s="476">
        <f t="shared" si="432"/>
        <v>0</v>
      </c>
      <c r="AB277" s="476">
        <f t="shared" si="433"/>
        <v>0</v>
      </c>
      <c r="AC277" s="476">
        <f t="shared" si="434"/>
        <v>0</v>
      </c>
      <c r="AD277" s="476">
        <f t="shared" si="435"/>
        <v>0</v>
      </c>
      <c r="AE277" s="476">
        <f t="shared" si="436"/>
        <v>0</v>
      </c>
      <c r="AF277" s="476">
        <f t="shared" si="437"/>
        <v>0</v>
      </c>
      <c r="AG277" s="476">
        <f t="shared" si="438"/>
        <v>0</v>
      </c>
      <c r="AH277" s="476">
        <f t="shared" si="439"/>
        <v>0</v>
      </c>
      <c r="AI277" s="476">
        <f t="shared" si="440"/>
        <v>0</v>
      </c>
      <c r="AJ277" s="476">
        <f t="shared" si="441"/>
        <v>0</v>
      </c>
      <c r="AK277" s="476">
        <f t="shared" si="442"/>
        <v>0</v>
      </c>
      <c r="AL277" s="476">
        <f t="shared" si="443"/>
        <v>0</v>
      </c>
      <c r="AM277" s="476">
        <f t="shared" si="444"/>
        <v>0</v>
      </c>
      <c r="AN277" s="476">
        <f t="shared" si="445"/>
        <v>0</v>
      </c>
      <c r="AO277" s="476">
        <f t="shared" si="446"/>
        <v>0</v>
      </c>
      <c r="AP277" s="476">
        <f t="shared" si="447"/>
        <v>0</v>
      </c>
      <c r="AQ277" s="476">
        <f t="shared" si="448"/>
        <v>0</v>
      </c>
      <c r="AR277" s="476">
        <f t="shared" si="449"/>
        <v>0</v>
      </c>
      <c r="AS277" s="476">
        <f t="shared" si="450"/>
        <v>0</v>
      </c>
      <c r="AT277" s="476">
        <f t="shared" si="451"/>
        <v>0</v>
      </c>
      <c r="AU277" s="476">
        <f t="shared" si="452"/>
        <v>0</v>
      </c>
      <c r="AV277" s="476">
        <f t="shared" si="453"/>
        <v>0</v>
      </c>
      <c r="AW277" s="476">
        <f t="shared" si="454"/>
        <v>0</v>
      </c>
      <c r="AX277" s="476">
        <f t="shared" si="455"/>
        <v>0</v>
      </c>
      <c r="AY277" s="476">
        <f t="shared" si="456"/>
        <v>0</v>
      </c>
      <c r="AZ277" s="476">
        <f t="shared" si="457"/>
        <v>0</v>
      </c>
      <c r="BA277" s="476">
        <f t="shared" si="458"/>
        <v>0</v>
      </c>
      <c r="BB277" s="476">
        <f t="shared" si="459"/>
        <v>0</v>
      </c>
      <c r="BC277" s="476">
        <f t="shared" si="460"/>
        <v>0</v>
      </c>
      <c r="BD277" s="476">
        <f t="shared" si="461"/>
        <v>0</v>
      </c>
      <c r="BE277" s="476">
        <f t="shared" si="462"/>
        <v>0</v>
      </c>
      <c r="BF277" s="476">
        <f t="shared" si="463"/>
        <v>0</v>
      </c>
      <c r="BG277" s="476">
        <f t="shared" si="464"/>
        <v>0</v>
      </c>
    </row>
    <row r="278" spans="1:59" ht="16.5" customHeight="1">
      <c r="A278" s="583" t="s">
        <v>1205</v>
      </c>
      <c r="B278" s="584" t="s">
        <v>1715</v>
      </c>
      <c r="C278" s="584" t="s">
        <v>1785</v>
      </c>
      <c r="D278" s="413" t="s">
        <v>1164</v>
      </c>
      <c r="E278" s="412" t="s">
        <v>1181</v>
      </c>
      <c r="F278" s="413" t="s">
        <v>1172</v>
      </c>
      <c r="G278" s="412" t="s">
        <v>1202</v>
      </c>
      <c r="H278" s="412" t="s">
        <v>974</v>
      </c>
      <c r="I278" s="477">
        <v>0</v>
      </c>
      <c r="J278" s="477">
        <v>0</v>
      </c>
      <c r="K278" s="477">
        <v>0</v>
      </c>
      <c r="L278" s="477">
        <v>0</v>
      </c>
      <c r="M278" s="477">
        <f t="shared" si="465"/>
        <v>0</v>
      </c>
      <c r="N278" s="477">
        <f t="shared" si="466"/>
        <v>0</v>
      </c>
      <c r="O278" s="477"/>
      <c r="P278" s="477"/>
      <c r="Q278" s="477">
        <f t="shared" si="467"/>
        <v>0</v>
      </c>
      <c r="R278" s="477">
        <f t="shared" si="468"/>
        <v>0</v>
      </c>
      <c r="S278" s="477">
        <f t="shared" si="469"/>
        <v>0</v>
      </c>
      <c r="V278" s="476">
        <f t="shared" si="427"/>
        <v>0</v>
      </c>
      <c r="W278" s="476">
        <f t="shared" si="428"/>
        <v>0</v>
      </c>
      <c r="X278" s="476">
        <f t="shared" si="429"/>
        <v>0</v>
      </c>
      <c r="Y278" s="476">
        <f t="shared" si="430"/>
        <v>0</v>
      </c>
      <c r="Z278" s="476">
        <f t="shared" si="431"/>
        <v>0</v>
      </c>
      <c r="AA278" s="476">
        <f t="shared" si="432"/>
        <v>0</v>
      </c>
      <c r="AB278" s="476">
        <f t="shared" si="433"/>
        <v>0</v>
      </c>
      <c r="AC278" s="476">
        <f t="shared" si="434"/>
        <v>0</v>
      </c>
      <c r="AD278" s="476">
        <f t="shared" si="435"/>
        <v>0</v>
      </c>
      <c r="AE278" s="476">
        <f t="shared" si="436"/>
        <v>0</v>
      </c>
      <c r="AF278" s="476">
        <f t="shared" si="437"/>
        <v>0</v>
      </c>
      <c r="AG278" s="476">
        <f t="shared" si="438"/>
        <v>0</v>
      </c>
      <c r="AH278" s="476">
        <f t="shared" si="439"/>
        <v>0</v>
      </c>
      <c r="AI278" s="476">
        <f t="shared" si="440"/>
        <v>0</v>
      </c>
      <c r="AJ278" s="476">
        <f t="shared" si="441"/>
        <v>0</v>
      </c>
      <c r="AK278" s="476">
        <f t="shared" si="442"/>
        <v>0</v>
      </c>
      <c r="AL278" s="476">
        <f t="shared" si="443"/>
        <v>0</v>
      </c>
      <c r="AM278" s="476">
        <f t="shared" si="444"/>
        <v>0</v>
      </c>
      <c r="AN278" s="476">
        <f t="shared" si="445"/>
        <v>0</v>
      </c>
      <c r="AO278" s="476">
        <f t="shared" si="446"/>
        <v>0</v>
      </c>
      <c r="AP278" s="476">
        <f t="shared" si="447"/>
        <v>0</v>
      </c>
      <c r="AQ278" s="476">
        <f t="shared" si="448"/>
        <v>0</v>
      </c>
      <c r="AR278" s="476">
        <f t="shared" si="449"/>
        <v>0</v>
      </c>
      <c r="AS278" s="476">
        <f t="shared" si="450"/>
        <v>0</v>
      </c>
      <c r="AT278" s="476">
        <f t="shared" si="451"/>
        <v>0</v>
      </c>
      <c r="AU278" s="476">
        <f t="shared" si="452"/>
        <v>0</v>
      </c>
      <c r="AV278" s="476">
        <f t="shared" si="453"/>
        <v>0</v>
      </c>
      <c r="AW278" s="476">
        <f t="shared" si="454"/>
        <v>0</v>
      </c>
      <c r="AX278" s="476">
        <f t="shared" si="455"/>
        <v>0</v>
      </c>
      <c r="AY278" s="476">
        <f t="shared" si="456"/>
        <v>0</v>
      </c>
      <c r="AZ278" s="476">
        <f t="shared" si="457"/>
        <v>0</v>
      </c>
      <c r="BA278" s="476">
        <f t="shared" si="458"/>
        <v>0</v>
      </c>
      <c r="BB278" s="476">
        <f t="shared" si="459"/>
        <v>0</v>
      </c>
      <c r="BC278" s="476">
        <f t="shared" si="460"/>
        <v>0</v>
      </c>
      <c r="BD278" s="476">
        <f t="shared" si="461"/>
        <v>0</v>
      </c>
      <c r="BE278" s="476">
        <f t="shared" si="462"/>
        <v>0</v>
      </c>
      <c r="BF278" s="476">
        <f t="shared" si="463"/>
        <v>0</v>
      </c>
      <c r="BG278" s="476">
        <f t="shared" si="464"/>
        <v>0</v>
      </c>
    </row>
    <row r="279" spans="1:59" ht="16.5" customHeight="1">
      <c r="A279" s="583" t="s">
        <v>1205</v>
      </c>
      <c r="B279" s="584" t="s">
        <v>1715</v>
      </c>
      <c r="C279" s="584" t="s">
        <v>1786</v>
      </c>
      <c r="D279" s="413" t="s">
        <v>1164</v>
      </c>
      <c r="E279" s="412" t="s">
        <v>1181</v>
      </c>
      <c r="F279" s="413" t="s">
        <v>1172</v>
      </c>
      <c r="G279" s="412" t="s">
        <v>1202</v>
      </c>
      <c r="H279" s="412" t="s">
        <v>1055</v>
      </c>
      <c r="I279" s="477">
        <v>0</v>
      </c>
      <c r="J279" s="477">
        <v>0</v>
      </c>
      <c r="K279" s="477">
        <v>0</v>
      </c>
      <c r="L279" s="477">
        <v>0</v>
      </c>
      <c r="M279" s="477">
        <f t="shared" si="465"/>
        <v>0</v>
      </c>
      <c r="N279" s="477">
        <f t="shared" si="466"/>
        <v>0</v>
      </c>
      <c r="O279" s="477"/>
      <c r="P279" s="477"/>
      <c r="Q279" s="477">
        <f t="shared" si="467"/>
        <v>0</v>
      </c>
      <c r="R279" s="477">
        <f t="shared" si="468"/>
        <v>0</v>
      </c>
      <c r="S279" s="477">
        <f t="shared" si="469"/>
        <v>0</v>
      </c>
      <c r="V279" s="476">
        <f t="shared" si="427"/>
        <v>0</v>
      </c>
      <c r="W279" s="476">
        <f t="shared" si="428"/>
        <v>0</v>
      </c>
      <c r="X279" s="476">
        <f t="shared" si="429"/>
        <v>0</v>
      </c>
      <c r="Y279" s="476">
        <f t="shared" si="430"/>
        <v>0</v>
      </c>
      <c r="Z279" s="476">
        <f t="shared" si="431"/>
        <v>0</v>
      </c>
      <c r="AA279" s="476">
        <f t="shared" si="432"/>
        <v>0</v>
      </c>
      <c r="AB279" s="476">
        <f t="shared" si="433"/>
        <v>0</v>
      </c>
      <c r="AC279" s="476">
        <f t="shared" si="434"/>
        <v>0</v>
      </c>
      <c r="AD279" s="476">
        <f t="shared" si="435"/>
        <v>0</v>
      </c>
      <c r="AE279" s="476">
        <f t="shared" si="436"/>
        <v>0</v>
      </c>
      <c r="AF279" s="476">
        <f t="shared" si="437"/>
        <v>0</v>
      </c>
      <c r="AG279" s="476">
        <f t="shared" si="438"/>
        <v>0</v>
      </c>
      <c r="AH279" s="476">
        <f t="shared" si="439"/>
        <v>0</v>
      </c>
      <c r="AI279" s="476">
        <f t="shared" si="440"/>
        <v>0</v>
      </c>
      <c r="AJ279" s="476">
        <f t="shared" si="441"/>
        <v>0</v>
      </c>
      <c r="AK279" s="476">
        <f t="shared" si="442"/>
        <v>0</v>
      </c>
      <c r="AL279" s="476">
        <f t="shared" si="443"/>
        <v>0</v>
      </c>
      <c r="AM279" s="476">
        <f t="shared" si="444"/>
        <v>0</v>
      </c>
      <c r="AN279" s="476">
        <f t="shared" si="445"/>
        <v>0</v>
      </c>
      <c r="AO279" s="476">
        <f t="shared" si="446"/>
        <v>0</v>
      </c>
      <c r="AP279" s="476">
        <f t="shared" si="447"/>
        <v>0</v>
      </c>
      <c r="AQ279" s="476">
        <f t="shared" si="448"/>
        <v>0</v>
      </c>
      <c r="AR279" s="476">
        <f t="shared" si="449"/>
        <v>0</v>
      </c>
      <c r="AS279" s="476">
        <f t="shared" si="450"/>
        <v>0</v>
      </c>
      <c r="AT279" s="476">
        <f t="shared" si="451"/>
        <v>0</v>
      </c>
      <c r="AU279" s="476">
        <f t="shared" si="452"/>
        <v>0</v>
      </c>
      <c r="AV279" s="476">
        <f t="shared" si="453"/>
        <v>0</v>
      </c>
      <c r="AW279" s="476">
        <f t="shared" si="454"/>
        <v>0</v>
      </c>
      <c r="AX279" s="476">
        <f t="shared" si="455"/>
        <v>0</v>
      </c>
      <c r="AY279" s="476">
        <f t="shared" si="456"/>
        <v>0</v>
      </c>
      <c r="AZ279" s="476">
        <f t="shared" si="457"/>
        <v>0</v>
      </c>
      <c r="BA279" s="476">
        <f t="shared" si="458"/>
        <v>0</v>
      </c>
      <c r="BB279" s="476">
        <f t="shared" si="459"/>
        <v>0</v>
      </c>
      <c r="BC279" s="476">
        <f t="shared" si="460"/>
        <v>0</v>
      </c>
      <c r="BD279" s="476">
        <f t="shared" si="461"/>
        <v>0</v>
      </c>
      <c r="BE279" s="476">
        <f t="shared" si="462"/>
        <v>0</v>
      </c>
      <c r="BF279" s="476">
        <f t="shared" si="463"/>
        <v>0</v>
      </c>
      <c r="BG279" s="476">
        <f t="shared" si="464"/>
        <v>0</v>
      </c>
    </row>
    <row r="280" spans="1:59" ht="16.5" customHeight="1">
      <c r="A280" s="583" t="s">
        <v>1206</v>
      </c>
      <c r="B280" s="584" t="s">
        <v>1716</v>
      </c>
      <c r="C280" s="584" t="s">
        <v>1787</v>
      </c>
      <c r="D280" s="413" t="s">
        <v>1164</v>
      </c>
      <c r="E280" s="412" t="s">
        <v>1181</v>
      </c>
      <c r="F280" s="413" t="s">
        <v>1203</v>
      </c>
      <c r="G280" s="412" t="s">
        <v>1207</v>
      </c>
      <c r="H280" s="412" t="s">
        <v>1055</v>
      </c>
      <c r="I280" s="477">
        <v>0</v>
      </c>
      <c r="J280" s="477">
        <v>0</v>
      </c>
      <c r="K280" s="477">
        <v>0</v>
      </c>
      <c r="L280" s="477">
        <v>0</v>
      </c>
      <c r="M280" s="477">
        <f t="shared" si="465"/>
        <v>0</v>
      </c>
      <c r="N280" s="477">
        <f t="shared" si="466"/>
        <v>0</v>
      </c>
      <c r="O280" s="477"/>
      <c r="P280" s="477"/>
      <c r="Q280" s="477">
        <f t="shared" si="467"/>
        <v>0</v>
      </c>
      <c r="R280" s="477">
        <f t="shared" si="468"/>
        <v>0</v>
      </c>
      <c r="S280" s="477">
        <f t="shared" si="469"/>
        <v>0</v>
      </c>
      <c r="V280" s="476">
        <f t="shared" si="427"/>
        <v>0</v>
      </c>
      <c r="W280" s="476">
        <f t="shared" si="428"/>
        <v>0</v>
      </c>
      <c r="X280" s="476">
        <f t="shared" si="429"/>
        <v>0</v>
      </c>
      <c r="Y280" s="476">
        <f t="shared" si="430"/>
        <v>0</v>
      </c>
      <c r="Z280" s="476">
        <f t="shared" si="431"/>
        <v>0</v>
      </c>
      <c r="AA280" s="476">
        <f t="shared" si="432"/>
        <v>0</v>
      </c>
      <c r="AB280" s="476">
        <f t="shared" si="433"/>
        <v>0</v>
      </c>
      <c r="AC280" s="476">
        <f t="shared" si="434"/>
        <v>0</v>
      </c>
      <c r="AD280" s="476">
        <f t="shared" si="435"/>
        <v>0</v>
      </c>
      <c r="AE280" s="476">
        <f t="shared" si="436"/>
        <v>0</v>
      </c>
      <c r="AF280" s="476">
        <f t="shared" si="437"/>
        <v>0</v>
      </c>
      <c r="AG280" s="476">
        <f t="shared" si="438"/>
        <v>0</v>
      </c>
      <c r="AH280" s="476">
        <f t="shared" si="439"/>
        <v>0</v>
      </c>
      <c r="AI280" s="476">
        <f t="shared" si="440"/>
        <v>0</v>
      </c>
      <c r="AJ280" s="476">
        <f t="shared" si="441"/>
        <v>0</v>
      </c>
      <c r="AK280" s="476">
        <f t="shared" si="442"/>
        <v>0</v>
      </c>
      <c r="AL280" s="476">
        <f t="shared" si="443"/>
        <v>0</v>
      </c>
      <c r="AM280" s="476">
        <f t="shared" si="444"/>
        <v>0</v>
      </c>
      <c r="AN280" s="476">
        <f t="shared" si="445"/>
        <v>0</v>
      </c>
      <c r="AO280" s="476">
        <f t="shared" si="446"/>
        <v>0</v>
      </c>
      <c r="AP280" s="476">
        <f t="shared" si="447"/>
        <v>0</v>
      </c>
      <c r="AQ280" s="476">
        <f t="shared" si="448"/>
        <v>0</v>
      </c>
      <c r="AR280" s="476">
        <f t="shared" si="449"/>
        <v>0</v>
      </c>
      <c r="AS280" s="476">
        <f t="shared" si="450"/>
        <v>0</v>
      </c>
      <c r="AT280" s="476">
        <f t="shared" si="451"/>
        <v>0</v>
      </c>
      <c r="AU280" s="476">
        <f t="shared" si="452"/>
        <v>0</v>
      </c>
      <c r="AV280" s="476">
        <f t="shared" si="453"/>
        <v>0</v>
      </c>
      <c r="AW280" s="476">
        <f t="shared" si="454"/>
        <v>0</v>
      </c>
      <c r="AX280" s="476">
        <f t="shared" si="455"/>
        <v>0</v>
      </c>
      <c r="AY280" s="476">
        <f t="shared" si="456"/>
        <v>0</v>
      </c>
      <c r="AZ280" s="476">
        <f t="shared" si="457"/>
        <v>0</v>
      </c>
      <c r="BA280" s="476">
        <f t="shared" si="458"/>
        <v>0</v>
      </c>
      <c r="BB280" s="476">
        <f t="shared" si="459"/>
        <v>0</v>
      </c>
      <c r="BC280" s="476">
        <f t="shared" si="460"/>
        <v>0</v>
      </c>
      <c r="BD280" s="476">
        <f t="shared" si="461"/>
        <v>0</v>
      </c>
      <c r="BE280" s="476">
        <f t="shared" si="462"/>
        <v>0</v>
      </c>
      <c r="BF280" s="476">
        <f t="shared" si="463"/>
        <v>0</v>
      </c>
      <c r="BG280" s="476">
        <f t="shared" si="464"/>
        <v>0</v>
      </c>
    </row>
    <row r="281" spans="1:59" ht="16.5" customHeight="1">
      <c r="A281" s="583" t="s">
        <v>1208</v>
      </c>
      <c r="B281" s="584" t="s">
        <v>1717</v>
      </c>
      <c r="C281" s="584" t="s">
        <v>1788</v>
      </c>
      <c r="D281" s="413" t="s">
        <v>1164</v>
      </c>
      <c r="E281" s="412" t="s">
        <v>1171</v>
      </c>
      <c r="F281" s="413" t="s">
        <v>1203</v>
      </c>
      <c r="G281" s="412" t="s">
        <v>1204</v>
      </c>
      <c r="H281" s="412" t="s">
        <v>974</v>
      </c>
      <c r="I281" s="477">
        <v>0</v>
      </c>
      <c r="J281" s="477">
        <v>0</v>
      </c>
      <c r="K281" s="477">
        <v>0</v>
      </c>
      <c r="L281" s="477">
        <v>0</v>
      </c>
      <c r="M281" s="477">
        <f t="shared" si="465"/>
        <v>0</v>
      </c>
      <c r="N281" s="477">
        <f t="shared" si="466"/>
        <v>0</v>
      </c>
      <c r="O281" s="477"/>
      <c r="P281" s="477"/>
      <c r="Q281" s="477">
        <f t="shared" ref="Q281" si="470">+M281+O281</f>
        <v>0</v>
      </c>
      <c r="R281" s="477">
        <f t="shared" ref="R281" si="471">+N281+P281</f>
        <v>0</v>
      </c>
      <c r="S281" s="477">
        <f t="shared" ref="S281" si="472">+Q281-R281</f>
        <v>0</v>
      </c>
      <c r="V281" s="476"/>
      <c r="W281" s="476"/>
      <c r="X281" s="476"/>
      <c r="Y281" s="476"/>
      <c r="Z281" s="476"/>
      <c r="AA281" s="476"/>
      <c r="AB281" s="476"/>
      <c r="AC281" s="476"/>
      <c r="AD281" s="476"/>
      <c r="AE281" s="476"/>
      <c r="AF281" s="476"/>
      <c r="AG281" s="476"/>
      <c r="AH281" s="476"/>
      <c r="AI281" s="476"/>
      <c r="AJ281" s="476"/>
      <c r="AK281" s="476"/>
      <c r="AL281" s="476"/>
      <c r="AM281" s="476"/>
      <c r="AN281" s="476"/>
      <c r="AO281" s="476"/>
      <c r="AP281" s="476"/>
      <c r="AQ281" s="476"/>
      <c r="AR281" s="476"/>
      <c r="AS281" s="476"/>
      <c r="AT281" s="476"/>
      <c r="AU281" s="476"/>
      <c r="AV281" s="476"/>
      <c r="AW281" s="476"/>
      <c r="AX281" s="476"/>
      <c r="AY281" s="476"/>
      <c r="AZ281" s="476"/>
      <c r="BA281" s="476"/>
      <c r="BB281" s="476"/>
      <c r="BC281" s="476"/>
      <c r="BD281" s="476"/>
      <c r="BE281" s="476"/>
      <c r="BF281" s="476"/>
      <c r="BG281" s="476"/>
    </row>
    <row r="282" spans="1:59" ht="16.5" customHeight="1">
      <c r="A282" s="583" t="s">
        <v>1208</v>
      </c>
      <c r="B282" s="584" t="s">
        <v>1717</v>
      </c>
      <c r="C282" s="584" t="s">
        <v>1789</v>
      </c>
      <c r="D282" s="413" t="s">
        <v>1164</v>
      </c>
      <c r="E282" s="412" t="s">
        <v>1171</v>
      </c>
      <c r="F282" s="413" t="s">
        <v>1203</v>
      </c>
      <c r="G282" s="412" t="s">
        <v>1204</v>
      </c>
      <c r="H282" s="412" t="s">
        <v>1055</v>
      </c>
      <c r="I282" s="477">
        <v>0</v>
      </c>
      <c r="J282" s="477">
        <v>0</v>
      </c>
      <c r="K282" s="477">
        <v>0</v>
      </c>
      <c r="L282" s="477">
        <v>0</v>
      </c>
      <c r="M282" s="477">
        <f t="shared" si="465"/>
        <v>0</v>
      </c>
      <c r="N282" s="477">
        <f t="shared" si="466"/>
        <v>0</v>
      </c>
      <c r="O282" s="477"/>
      <c r="P282" s="477"/>
      <c r="Q282" s="477">
        <f t="shared" si="467"/>
        <v>0</v>
      </c>
      <c r="R282" s="477">
        <f t="shared" si="468"/>
        <v>0</v>
      </c>
      <c r="S282" s="477">
        <f t="shared" si="469"/>
        <v>0</v>
      </c>
      <c r="V282" s="476">
        <f t="shared" ref="V282:V302" si="473">IF($V$8=$H282,$Q282,0)</f>
        <v>0</v>
      </c>
      <c r="W282" s="476">
        <f t="shared" ref="W282:W302" si="474">IF($V$8=$H282,$R282,0)</f>
        <v>0</v>
      </c>
      <c r="X282" s="476">
        <f t="shared" ref="X282:X302" si="475">IF($X$8=$H282,$Q282,0)</f>
        <v>0</v>
      </c>
      <c r="Y282" s="476">
        <f t="shared" ref="Y282:Y302" si="476">IF($X$8=$H282,$R282,0)</f>
        <v>0</v>
      </c>
      <c r="Z282" s="476">
        <f t="shared" ref="Z282:Z302" si="477">IF($Z$8=$H282,$Q282,0)</f>
        <v>0</v>
      </c>
      <c r="AA282" s="476">
        <f t="shared" ref="AA282:AA302" si="478">IF($Z$8=$H282,$R282,0)</f>
        <v>0</v>
      </c>
      <c r="AB282" s="476">
        <f t="shared" ref="AB282:AB302" si="479">IF($AB$8=$H282,$Q282,0)</f>
        <v>0</v>
      </c>
      <c r="AC282" s="476">
        <f t="shared" ref="AC282:AC302" si="480">IF($AB$8=$H282,$R282,0)</f>
        <v>0</v>
      </c>
      <c r="AD282" s="476">
        <f t="shared" ref="AD282:AD302" si="481">IF($AD$8=$H282,$Q282,0)</f>
        <v>0</v>
      </c>
      <c r="AE282" s="476">
        <f t="shared" ref="AE282:AE302" si="482">IF($AD$8=$H282,$R282,0)</f>
        <v>0</v>
      </c>
      <c r="AF282" s="476">
        <f t="shared" ref="AF282:AF302" si="483">IF($AF$8=$H282,$Q282,0)</f>
        <v>0</v>
      </c>
      <c r="AG282" s="476">
        <f t="shared" ref="AG282:AG302" si="484">IF($AF$8=$H282,$R282,0)</f>
        <v>0</v>
      </c>
      <c r="AH282" s="476">
        <f t="shared" ref="AH282:AH302" si="485">IF($AH$8=$H282,$Q282,0)</f>
        <v>0</v>
      </c>
      <c r="AI282" s="476">
        <f t="shared" ref="AI282:AI302" si="486">IF($AH$8=$H282,$R282,0)</f>
        <v>0</v>
      </c>
      <c r="AJ282" s="476">
        <f t="shared" ref="AJ282:AJ302" si="487">IF($AJ$8=$H282,$Q282,0)</f>
        <v>0</v>
      </c>
      <c r="AK282" s="476">
        <f t="shared" ref="AK282:AK302" si="488">IF($AJ$8=$H282,$R282,0)</f>
        <v>0</v>
      </c>
      <c r="AL282" s="476">
        <f t="shared" ref="AL282:AL302" si="489">IF($AL$8=$H282,$Q282,0)</f>
        <v>0</v>
      </c>
      <c r="AM282" s="476">
        <f t="shared" ref="AM282:AM302" si="490">IF($AL$8=$H282,$R282,0)</f>
        <v>0</v>
      </c>
      <c r="AN282" s="476">
        <f t="shared" ref="AN282:AN302" si="491">IF($AN$8=$H282,$Q282,0)</f>
        <v>0</v>
      </c>
      <c r="AO282" s="476">
        <f t="shared" ref="AO282:AO302" si="492">IF($AN$8=$H282,$R282,0)</f>
        <v>0</v>
      </c>
      <c r="AP282" s="476">
        <f t="shared" ref="AP282:AP302" si="493">IF($AP$8=$H282,$Q282,0)</f>
        <v>0</v>
      </c>
      <c r="AQ282" s="476">
        <f t="shared" ref="AQ282:AQ302" si="494">IF($AP$8=$H282,$R282,0)</f>
        <v>0</v>
      </c>
      <c r="AR282" s="476">
        <f t="shared" ref="AR282:AR302" si="495">IF($AR$8=$H282,$Q282,0)</f>
        <v>0</v>
      </c>
      <c r="AS282" s="476">
        <f t="shared" ref="AS282:AS302" si="496">IF($AR$8=$H282,$R282,0)</f>
        <v>0</v>
      </c>
      <c r="AT282" s="476">
        <f t="shared" ref="AT282:AT302" si="497">IF($AT$8=$H282,$Q282,0)</f>
        <v>0</v>
      </c>
      <c r="AU282" s="476">
        <f t="shared" ref="AU282:AU302" si="498">IF($AT$8=$H282,$R282,0)</f>
        <v>0</v>
      </c>
      <c r="AV282" s="476">
        <f t="shared" ref="AV282:AV302" si="499">IF($AV$8=$H282,$Q282,0)</f>
        <v>0</v>
      </c>
      <c r="AW282" s="476">
        <f t="shared" ref="AW282:AW302" si="500">IF($AV$8=$H282,$R282,0)</f>
        <v>0</v>
      </c>
      <c r="AX282" s="476">
        <f t="shared" ref="AX282:AX302" si="501">IF($AX$8=$H282,$Q282,0)</f>
        <v>0</v>
      </c>
      <c r="AY282" s="476">
        <f t="shared" ref="AY282:AY302" si="502">IF($AX$8=$H282,$R282,0)</f>
        <v>0</v>
      </c>
      <c r="AZ282" s="476">
        <f t="shared" ref="AZ282:AZ302" si="503">IF($AZ$8=$H282,$Q282,0)</f>
        <v>0</v>
      </c>
      <c r="BA282" s="476">
        <f t="shared" ref="BA282:BA302" si="504">IF($AZ$8=$H282,$R282,0)</f>
        <v>0</v>
      </c>
      <c r="BB282" s="476">
        <f t="shared" ref="BB282:BB302" si="505">IF($BB$8=$H282,$Q282,0)</f>
        <v>0</v>
      </c>
      <c r="BC282" s="476">
        <f t="shared" ref="BC282:BC302" si="506">IF($BB$8=$H282,$R282,0)</f>
        <v>0</v>
      </c>
      <c r="BD282" s="476">
        <f t="shared" ref="BD282:BD302" si="507">IF($BD$8=$H282,$Q282,0)</f>
        <v>0</v>
      </c>
      <c r="BE282" s="476">
        <f t="shared" ref="BE282:BE302" si="508">IF($BD$8=$H282,$R282,0)</f>
        <v>0</v>
      </c>
      <c r="BF282" s="476">
        <f t="shared" ref="BF282:BF302" si="509">IF($BF$8=$H282,$Q282,0)</f>
        <v>0</v>
      </c>
      <c r="BG282" s="476">
        <f t="shared" ref="BG282:BG302" si="510">IF($BF$8=$H282,$R282,0)</f>
        <v>0</v>
      </c>
    </row>
    <row r="283" spans="1:59" ht="16.5" customHeight="1">
      <c r="A283" s="583" t="s">
        <v>1228</v>
      </c>
      <c r="B283" s="584" t="s">
        <v>1718</v>
      </c>
      <c r="C283" s="584" t="s">
        <v>1790</v>
      </c>
      <c r="D283" s="413" t="s">
        <v>1164</v>
      </c>
      <c r="E283" s="412" t="s">
        <v>1181</v>
      </c>
      <c r="F283" s="413" t="s">
        <v>1235</v>
      </c>
      <c r="G283" s="412" t="s">
        <v>1235</v>
      </c>
      <c r="H283" s="412" t="s">
        <v>974</v>
      </c>
      <c r="I283" s="477">
        <v>0</v>
      </c>
      <c r="J283" s="477">
        <v>0</v>
      </c>
      <c r="K283" s="477">
        <v>627020</v>
      </c>
      <c r="L283" s="477">
        <v>0</v>
      </c>
      <c r="M283" s="477">
        <f t="shared" si="465"/>
        <v>627020</v>
      </c>
      <c r="N283" s="477">
        <f t="shared" si="466"/>
        <v>0</v>
      </c>
      <c r="O283" s="477"/>
      <c r="P283" s="477"/>
      <c r="Q283" s="477">
        <f t="shared" si="467"/>
        <v>627020</v>
      </c>
      <c r="R283" s="477">
        <f t="shared" si="468"/>
        <v>0</v>
      </c>
      <c r="S283" s="477">
        <f t="shared" si="469"/>
        <v>627020</v>
      </c>
      <c r="V283" s="476">
        <f t="shared" si="473"/>
        <v>627020</v>
      </c>
      <c r="W283" s="476">
        <f t="shared" si="474"/>
        <v>0</v>
      </c>
      <c r="X283" s="476">
        <f t="shared" si="475"/>
        <v>0</v>
      </c>
      <c r="Y283" s="476">
        <f t="shared" si="476"/>
        <v>0</v>
      </c>
      <c r="Z283" s="476">
        <f t="shared" si="477"/>
        <v>0</v>
      </c>
      <c r="AA283" s="476">
        <f t="shared" si="478"/>
        <v>0</v>
      </c>
      <c r="AB283" s="476">
        <f t="shared" si="479"/>
        <v>0</v>
      </c>
      <c r="AC283" s="476">
        <f t="shared" si="480"/>
        <v>0</v>
      </c>
      <c r="AD283" s="476">
        <f t="shared" si="481"/>
        <v>0</v>
      </c>
      <c r="AE283" s="476">
        <f t="shared" si="482"/>
        <v>0</v>
      </c>
      <c r="AF283" s="476">
        <f t="shared" si="483"/>
        <v>0</v>
      </c>
      <c r="AG283" s="476">
        <f t="shared" si="484"/>
        <v>0</v>
      </c>
      <c r="AH283" s="476">
        <f t="shared" si="485"/>
        <v>0</v>
      </c>
      <c r="AI283" s="476">
        <f t="shared" si="486"/>
        <v>0</v>
      </c>
      <c r="AJ283" s="476">
        <f t="shared" si="487"/>
        <v>0</v>
      </c>
      <c r="AK283" s="476">
        <f t="shared" si="488"/>
        <v>0</v>
      </c>
      <c r="AL283" s="476">
        <f t="shared" si="489"/>
        <v>0</v>
      </c>
      <c r="AM283" s="476">
        <f t="shared" si="490"/>
        <v>0</v>
      </c>
      <c r="AN283" s="476">
        <f t="shared" si="491"/>
        <v>0</v>
      </c>
      <c r="AO283" s="476">
        <f t="shared" si="492"/>
        <v>0</v>
      </c>
      <c r="AP283" s="476">
        <f t="shared" si="493"/>
        <v>0</v>
      </c>
      <c r="AQ283" s="476">
        <f t="shared" si="494"/>
        <v>0</v>
      </c>
      <c r="AR283" s="476">
        <f t="shared" si="495"/>
        <v>0</v>
      </c>
      <c r="AS283" s="476">
        <f t="shared" si="496"/>
        <v>0</v>
      </c>
      <c r="AT283" s="476">
        <f t="shared" si="497"/>
        <v>0</v>
      </c>
      <c r="AU283" s="476">
        <f t="shared" si="498"/>
        <v>0</v>
      </c>
      <c r="AV283" s="476">
        <f t="shared" si="499"/>
        <v>0</v>
      </c>
      <c r="AW283" s="476">
        <f t="shared" si="500"/>
        <v>0</v>
      </c>
      <c r="AX283" s="476">
        <f t="shared" si="501"/>
        <v>0</v>
      </c>
      <c r="AY283" s="476">
        <f t="shared" si="502"/>
        <v>0</v>
      </c>
      <c r="AZ283" s="476">
        <f t="shared" si="503"/>
        <v>0</v>
      </c>
      <c r="BA283" s="476">
        <f t="shared" si="504"/>
        <v>0</v>
      </c>
      <c r="BB283" s="476">
        <f t="shared" si="505"/>
        <v>0</v>
      </c>
      <c r="BC283" s="476">
        <f t="shared" si="506"/>
        <v>0</v>
      </c>
      <c r="BD283" s="476">
        <f t="shared" si="507"/>
        <v>0</v>
      </c>
      <c r="BE283" s="476">
        <f t="shared" si="508"/>
        <v>0</v>
      </c>
      <c r="BF283" s="476">
        <f t="shared" si="509"/>
        <v>0</v>
      </c>
      <c r="BG283" s="476">
        <f t="shared" si="510"/>
        <v>0</v>
      </c>
    </row>
    <row r="284" spans="1:59" ht="16.5" customHeight="1">
      <c r="A284" s="583" t="s">
        <v>1251</v>
      </c>
      <c r="B284" s="584" t="s">
        <v>1266</v>
      </c>
      <c r="C284" s="584" t="s">
        <v>1791</v>
      </c>
      <c r="D284" s="413" t="s">
        <v>1164</v>
      </c>
      <c r="E284" s="412" t="s">
        <v>1181</v>
      </c>
      <c r="F284" s="413" t="s">
        <v>1266</v>
      </c>
      <c r="G284" s="412" t="s">
        <v>1266</v>
      </c>
      <c r="H284" s="412" t="s">
        <v>974</v>
      </c>
      <c r="I284" s="477">
        <v>0</v>
      </c>
      <c r="J284" s="477">
        <v>0</v>
      </c>
      <c r="K284" s="477">
        <v>0</v>
      </c>
      <c r="L284" s="477">
        <v>0</v>
      </c>
      <c r="M284" s="477">
        <f t="shared" si="465"/>
        <v>0</v>
      </c>
      <c r="N284" s="477">
        <f t="shared" si="466"/>
        <v>0</v>
      </c>
      <c r="O284" s="477"/>
      <c r="P284" s="477"/>
      <c r="Q284" s="477">
        <f t="shared" si="467"/>
        <v>0</v>
      </c>
      <c r="R284" s="477">
        <f t="shared" si="468"/>
        <v>0</v>
      </c>
      <c r="S284" s="477">
        <f t="shared" si="469"/>
        <v>0</v>
      </c>
      <c r="V284" s="476">
        <f t="shared" si="473"/>
        <v>0</v>
      </c>
      <c r="W284" s="476">
        <f t="shared" si="474"/>
        <v>0</v>
      </c>
      <c r="X284" s="476">
        <f t="shared" si="475"/>
        <v>0</v>
      </c>
      <c r="Y284" s="476">
        <f t="shared" si="476"/>
        <v>0</v>
      </c>
      <c r="Z284" s="476">
        <f t="shared" si="477"/>
        <v>0</v>
      </c>
      <c r="AA284" s="476">
        <f t="shared" si="478"/>
        <v>0</v>
      </c>
      <c r="AB284" s="476">
        <f t="shared" si="479"/>
        <v>0</v>
      </c>
      <c r="AC284" s="476">
        <f t="shared" si="480"/>
        <v>0</v>
      </c>
      <c r="AD284" s="476">
        <f t="shared" si="481"/>
        <v>0</v>
      </c>
      <c r="AE284" s="476">
        <f t="shared" si="482"/>
        <v>0</v>
      </c>
      <c r="AF284" s="476">
        <f t="shared" si="483"/>
        <v>0</v>
      </c>
      <c r="AG284" s="476">
        <f t="shared" si="484"/>
        <v>0</v>
      </c>
      <c r="AH284" s="476">
        <f t="shared" si="485"/>
        <v>0</v>
      </c>
      <c r="AI284" s="476">
        <f t="shared" si="486"/>
        <v>0</v>
      </c>
      <c r="AJ284" s="476">
        <f t="shared" si="487"/>
        <v>0</v>
      </c>
      <c r="AK284" s="476">
        <f t="shared" si="488"/>
        <v>0</v>
      </c>
      <c r="AL284" s="476">
        <f t="shared" si="489"/>
        <v>0</v>
      </c>
      <c r="AM284" s="476">
        <f t="shared" si="490"/>
        <v>0</v>
      </c>
      <c r="AN284" s="476">
        <f t="shared" si="491"/>
        <v>0</v>
      </c>
      <c r="AO284" s="476">
        <f t="shared" si="492"/>
        <v>0</v>
      </c>
      <c r="AP284" s="476">
        <f t="shared" si="493"/>
        <v>0</v>
      </c>
      <c r="AQ284" s="476">
        <f t="shared" si="494"/>
        <v>0</v>
      </c>
      <c r="AR284" s="476">
        <f t="shared" si="495"/>
        <v>0</v>
      </c>
      <c r="AS284" s="476">
        <f t="shared" si="496"/>
        <v>0</v>
      </c>
      <c r="AT284" s="476">
        <f t="shared" si="497"/>
        <v>0</v>
      </c>
      <c r="AU284" s="476">
        <f t="shared" si="498"/>
        <v>0</v>
      </c>
      <c r="AV284" s="476">
        <f t="shared" si="499"/>
        <v>0</v>
      </c>
      <c r="AW284" s="476">
        <f t="shared" si="500"/>
        <v>0</v>
      </c>
      <c r="AX284" s="476">
        <f t="shared" si="501"/>
        <v>0</v>
      </c>
      <c r="AY284" s="476">
        <f t="shared" si="502"/>
        <v>0</v>
      </c>
      <c r="AZ284" s="476">
        <f t="shared" si="503"/>
        <v>0</v>
      </c>
      <c r="BA284" s="476">
        <f t="shared" si="504"/>
        <v>0</v>
      </c>
      <c r="BB284" s="476">
        <f t="shared" si="505"/>
        <v>0</v>
      </c>
      <c r="BC284" s="476">
        <f t="shared" si="506"/>
        <v>0</v>
      </c>
      <c r="BD284" s="476">
        <f t="shared" si="507"/>
        <v>0</v>
      </c>
      <c r="BE284" s="476">
        <f t="shared" si="508"/>
        <v>0</v>
      </c>
      <c r="BF284" s="476">
        <f t="shared" si="509"/>
        <v>0</v>
      </c>
      <c r="BG284" s="476">
        <f t="shared" si="510"/>
        <v>0</v>
      </c>
    </row>
    <row r="285" spans="1:59" ht="16.5" customHeight="1">
      <c r="A285" s="583" t="s">
        <v>1251</v>
      </c>
      <c r="B285" s="584" t="s">
        <v>1266</v>
      </c>
      <c r="C285" s="584" t="s">
        <v>1792</v>
      </c>
      <c r="D285" s="413" t="s">
        <v>1164</v>
      </c>
      <c r="E285" s="412" t="s">
        <v>1181</v>
      </c>
      <c r="F285" s="413" t="s">
        <v>1266</v>
      </c>
      <c r="G285" s="412" t="s">
        <v>1266</v>
      </c>
      <c r="H285" s="412" t="s">
        <v>1055</v>
      </c>
      <c r="I285" s="477">
        <v>0</v>
      </c>
      <c r="J285" s="477">
        <v>0</v>
      </c>
      <c r="K285" s="477">
        <v>0</v>
      </c>
      <c r="L285" s="477">
        <v>0</v>
      </c>
      <c r="M285" s="477">
        <f t="shared" si="465"/>
        <v>0</v>
      </c>
      <c r="N285" s="477">
        <f t="shared" si="466"/>
        <v>0</v>
      </c>
      <c r="O285" s="477"/>
      <c r="P285" s="477"/>
      <c r="Q285" s="477">
        <f t="shared" si="467"/>
        <v>0</v>
      </c>
      <c r="R285" s="477">
        <f t="shared" si="468"/>
        <v>0</v>
      </c>
      <c r="S285" s="477">
        <f t="shared" si="469"/>
        <v>0</v>
      </c>
      <c r="V285" s="476">
        <f t="shared" si="473"/>
        <v>0</v>
      </c>
      <c r="W285" s="476">
        <f t="shared" si="474"/>
        <v>0</v>
      </c>
      <c r="X285" s="476">
        <f t="shared" si="475"/>
        <v>0</v>
      </c>
      <c r="Y285" s="476">
        <f t="shared" si="476"/>
        <v>0</v>
      </c>
      <c r="Z285" s="476">
        <f t="shared" si="477"/>
        <v>0</v>
      </c>
      <c r="AA285" s="476">
        <f t="shared" si="478"/>
        <v>0</v>
      </c>
      <c r="AB285" s="476">
        <f t="shared" si="479"/>
        <v>0</v>
      </c>
      <c r="AC285" s="476">
        <f t="shared" si="480"/>
        <v>0</v>
      </c>
      <c r="AD285" s="476">
        <f t="shared" si="481"/>
        <v>0</v>
      </c>
      <c r="AE285" s="476">
        <f t="shared" si="482"/>
        <v>0</v>
      </c>
      <c r="AF285" s="476">
        <f t="shared" si="483"/>
        <v>0</v>
      </c>
      <c r="AG285" s="476">
        <f t="shared" si="484"/>
        <v>0</v>
      </c>
      <c r="AH285" s="476">
        <f t="shared" si="485"/>
        <v>0</v>
      </c>
      <c r="AI285" s="476">
        <f t="shared" si="486"/>
        <v>0</v>
      </c>
      <c r="AJ285" s="476">
        <f t="shared" si="487"/>
        <v>0</v>
      </c>
      <c r="AK285" s="476">
        <f t="shared" si="488"/>
        <v>0</v>
      </c>
      <c r="AL285" s="476">
        <f t="shared" si="489"/>
        <v>0</v>
      </c>
      <c r="AM285" s="476">
        <f t="shared" si="490"/>
        <v>0</v>
      </c>
      <c r="AN285" s="476">
        <f t="shared" si="491"/>
        <v>0</v>
      </c>
      <c r="AO285" s="476">
        <f t="shared" si="492"/>
        <v>0</v>
      </c>
      <c r="AP285" s="476">
        <f t="shared" si="493"/>
        <v>0</v>
      </c>
      <c r="AQ285" s="476">
        <f t="shared" si="494"/>
        <v>0</v>
      </c>
      <c r="AR285" s="476">
        <f t="shared" si="495"/>
        <v>0</v>
      </c>
      <c r="AS285" s="476">
        <f t="shared" si="496"/>
        <v>0</v>
      </c>
      <c r="AT285" s="476">
        <f t="shared" si="497"/>
        <v>0</v>
      </c>
      <c r="AU285" s="476">
        <f t="shared" si="498"/>
        <v>0</v>
      </c>
      <c r="AV285" s="476">
        <f t="shared" si="499"/>
        <v>0</v>
      </c>
      <c r="AW285" s="476">
        <f t="shared" si="500"/>
        <v>0</v>
      </c>
      <c r="AX285" s="476">
        <f t="shared" si="501"/>
        <v>0</v>
      </c>
      <c r="AY285" s="476">
        <f t="shared" si="502"/>
        <v>0</v>
      </c>
      <c r="AZ285" s="476">
        <f t="shared" si="503"/>
        <v>0</v>
      </c>
      <c r="BA285" s="476">
        <f t="shared" si="504"/>
        <v>0</v>
      </c>
      <c r="BB285" s="476">
        <f t="shared" si="505"/>
        <v>0</v>
      </c>
      <c r="BC285" s="476">
        <f t="shared" si="506"/>
        <v>0</v>
      </c>
      <c r="BD285" s="476">
        <f t="shared" si="507"/>
        <v>0</v>
      </c>
      <c r="BE285" s="476">
        <f t="shared" si="508"/>
        <v>0</v>
      </c>
      <c r="BF285" s="476">
        <f t="shared" si="509"/>
        <v>0</v>
      </c>
      <c r="BG285" s="476">
        <f t="shared" si="510"/>
        <v>0</v>
      </c>
    </row>
    <row r="286" spans="1:59" ht="16.5" customHeight="1">
      <c r="A286" s="583" t="s">
        <v>1229</v>
      </c>
      <c r="B286" s="584" t="s">
        <v>1719</v>
      </c>
      <c r="C286" s="584" t="s">
        <v>1793</v>
      </c>
      <c r="D286" s="413" t="s">
        <v>1164</v>
      </c>
      <c r="E286" s="412" t="s">
        <v>1181</v>
      </c>
      <c r="F286" s="413" t="s">
        <v>1236</v>
      </c>
      <c r="G286" s="412" t="s">
        <v>1236</v>
      </c>
      <c r="H286" s="412" t="s">
        <v>1055</v>
      </c>
      <c r="I286" s="477">
        <v>0</v>
      </c>
      <c r="J286" s="477">
        <v>0</v>
      </c>
      <c r="K286" s="477">
        <v>0</v>
      </c>
      <c r="L286" s="477">
        <v>0</v>
      </c>
      <c r="M286" s="477">
        <f t="shared" si="465"/>
        <v>0</v>
      </c>
      <c r="N286" s="477">
        <f t="shared" si="466"/>
        <v>0</v>
      </c>
      <c r="O286" s="477"/>
      <c r="P286" s="477"/>
      <c r="Q286" s="477">
        <f t="shared" si="467"/>
        <v>0</v>
      </c>
      <c r="R286" s="477">
        <f t="shared" si="468"/>
        <v>0</v>
      </c>
      <c r="S286" s="477">
        <f t="shared" si="469"/>
        <v>0</v>
      </c>
      <c r="U286" s="473"/>
      <c r="V286" s="476">
        <f t="shared" si="473"/>
        <v>0</v>
      </c>
      <c r="W286" s="476">
        <f t="shared" si="474"/>
        <v>0</v>
      </c>
      <c r="X286" s="476">
        <f t="shared" si="475"/>
        <v>0</v>
      </c>
      <c r="Y286" s="476">
        <f t="shared" si="476"/>
        <v>0</v>
      </c>
      <c r="Z286" s="476">
        <f t="shared" si="477"/>
        <v>0</v>
      </c>
      <c r="AA286" s="476">
        <f t="shared" si="478"/>
        <v>0</v>
      </c>
      <c r="AB286" s="476">
        <f t="shared" si="479"/>
        <v>0</v>
      </c>
      <c r="AC286" s="476">
        <f t="shared" si="480"/>
        <v>0</v>
      </c>
      <c r="AD286" s="476">
        <f t="shared" si="481"/>
        <v>0</v>
      </c>
      <c r="AE286" s="476">
        <f t="shared" si="482"/>
        <v>0</v>
      </c>
      <c r="AF286" s="476">
        <f t="shared" si="483"/>
        <v>0</v>
      </c>
      <c r="AG286" s="476">
        <f t="shared" si="484"/>
        <v>0</v>
      </c>
      <c r="AH286" s="476">
        <f t="shared" si="485"/>
        <v>0</v>
      </c>
      <c r="AI286" s="476">
        <f t="shared" si="486"/>
        <v>0</v>
      </c>
      <c r="AJ286" s="476">
        <f t="shared" si="487"/>
        <v>0</v>
      </c>
      <c r="AK286" s="476">
        <f t="shared" si="488"/>
        <v>0</v>
      </c>
      <c r="AL286" s="476">
        <f t="shared" si="489"/>
        <v>0</v>
      </c>
      <c r="AM286" s="476">
        <f t="shared" si="490"/>
        <v>0</v>
      </c>
      <c r="AN286" s="476">
        <f t="shared" si="491"/>
        <v>0</v>
      </c>
      <c r="AO286" s="476">
        <f t="shared" si="492"/>
        <v>0</v>
      </c>
      <c r="AP286" s="476">
        <f t="shared" si="493"/>
        <v>0</v>
      </c>
      <c r="AQ286" s="476">
        <f t="shared" si="494"/>
        <v>0</v>
      </c>
      <c r="AR286" s="476">
        <f t="shared" si="495"/>
        <v>0</v>
      </c>
      <c r="AS286" s="476">
        <f t="shared" si="496"/>
        <v>0</v>
      </c>
      <c r="AT286" s="476">
        <f t="shared" si="497"/>
        <v>0</v>
      </c>
      <c r="AU286" s="476">
        <f t="shared" si="498"/>
        <v>0</v>
      </c>
      <c r="AV286" s="476">
        <f t="shared" si="499"/>
        <v>0</v>
      </c>
      <c r="AW286" s="476">
        <f t="shared" si="500"/>
        <v>0</v>
      </c>
      <c r="AX286" s="476">
        <f t="shared" si="501"/>
        <v>0</v>
      </c>
      <c r="AY286" s="476">
        <f t="shared" si="502"/>
        <v>0</v>
      </c>
      <c r="AZ286" s="476">
        <f t="shared" si="503"/>
        <v>0</v>
      </c>
      <c r="BA286" s="476">
        <f t="shared" si="504"/>
        <v>0</v>
      </c>
      <c r="BB286" s="476">
        <f t="shared" si="505"/>
        <v>0</v>
      </c>
      <c r="BC286" s="476">
        <f t="shared" si="506"/>
        <v>0</v>
      </c>
      <c r="BD286" s="476">
        <f t="shared" si="507"/>
        <v>0</v>
      </c>
      <c r="BE286" s="476">
        <f t="shared" si="508"/>
        <v>0</v>
      </c>
      <c r="BF286" s="476">
        <f t="shared" si="509"/>
        <v>0</v>
      </c>
      <c r="BG286" s="476">
        <f t="shared" si="510"/>
        <v>0</v>
      </c>
    </row>
    <row r="287" spans="1:59" ht="16.5" customHeight="1">
      <c r="A287" s="583" t="s">
        <v>1230</v>
      </c>
      <c r="B287" s="584" t="s">
        <v>1720</v>
      </c>
      <c r="C287" s="584" t="s">
        <v>1794</v>
      </c>
      <c r="D287" s="413" t="s">
        <v>1164</v>
      </c>
      <c r="E287" s="412" t="s">
        <v>1181</v>
      </c>
      <c r="F287" s="413" t="s">
        <v>1237</v>
      </c>
      <c r="G287" s="412" t="s">
        <v>1237</v>
      </c>
      <c r="H287" s="412" t="s">
        <v>974</v>
      </c>
      <c r="I287" s="477">
        <v>0</v>
      </c>
      <c r="J287" s="477">
        <v>0</v>
      </c>
      <c r="K287" s="477">
        <v>799306</v>
      </c>
      <c r="L287" s="477">
        <v>0</v>
      </c>
      <c r="M287" s="477">
        <f t="shared" si="465"/>
        <v>799306</v>
      </c>
      <c r="N287" s="477">
        <f t="shared" si="466"/>
        <v>0</v>
      </c>
      <c r="O287" s="477"/>
      <c r="P287" s="477"/>
      <c r="Q287" s="477">
        <f t="shared" si="467"/>
        <v>799306</v>
      </c>
      <c r="R287" s="477">
        <f t="shared" si="468"/>
        <v>0</v>
      </c>
      <c r="S287" s="477">
        <f t="shared" si="469"/>
        <v>799306</v>
      </c>
      <c r="U287" s="473"/>
      <c r="V287" s="476">
        <f t="shared" si="473"/>
        <v>799306</v>
      </c>
      <c r="W287" s="476">
        <f t="shared" si="474"/>
        <v>0</v>
      </c>
      <c r="X287" s="476">
        <f t="shared" si="475"/>
        <v>0</v>
      </c>
      <c r="Y287" s="476">
        <f t="shared" si="476"/>
        <v>0</v>
      </c>
      <c r="Z287" s="476">
        <f t="shared" si="477"/>
        <v>0</v>
      </c>
      <c r="AA287" s="476">
        <f t="shared" si="478"/>
        <v>0</v>
      </c>
      <c r="AB287" s="476">
        <f t="shared" si="479"/>
        <v>0</v>
      </c>
      <c r="AC287" s="476">
        <f t="shared" si="480"/>
        <v>0</v>
      </c>
      <c r="AD287" s="476">
        <f t="shared" si="481"/>
        <v>0</v>
      </c>
      <c r="AE287" s="476">
        <f t="shared" si="482"/>
        <v>0</v>
      </c>
      <c r="AF287" s="476">
        <f t="shared" si="483"/>
        <v>0</v>
      </c>
      <c r="AG287" s="476">
        <f t="shared" si="484"/>
        <v>0</v>
      </c>
      <c r="AH287" s="476">
        <f t="shared" si="485"/>
        <v>0</v>
      </c>
      <c r="AI287" s="476">
        <f t="shared" si="486"/>
        <v>0</v>
      </c>
      <c r="AJ287" s="476">
        <f t="shared" si="487"/>
        <v>0</v>
      </c>
      <c r="AK287" s="476">
        <f t="shared" si="488"/>
        <v>0</v>
      </c>
      <c r="AL287" s="476">
        <f t="shared" si="489"/>
        <v>0</v>
      </c>
      <c r="AM287" s="476">
        <f t="shared" si="490"/>
        <v>0</v>
      </c>
      <c r="AN287" s="476">
        <f t="shared" si="491"/>
        <v>0</v>
      </c>
      <c r="AO287" s="476">
        <f t="shared" si="492"/>
        <v>0</v>
      </c>
      <c r="AP287" s="476">
        <f t="shared" si="493"/>
        <v>0</v>
      </c>
      <c r="AQ287" s="476">
        <f t="shared" si="494"/>
        <v>0</v>
      </c>
      <c r="AR287" s="476">
        <f t="shared" si="495"/>
        <v>0</v>
      </c>
      <c r="AS287" s="476">
        <f t="shared" si="496"/>
        <v>0</v>
      </c>
      <c r="AT287" s="476">
        <f t="shared" si="497"/>
        <v>0</v>
      </c>
      <c r="AU287" s="476">
        <f t="shared" si="498"/>
        <v>0</v>
      </c>
      <c r="AV287" s="476">
        <f t="shared" si="499"/>
        <v>0</v>
      </c>
      <c r="AW287" s="476">
        <f t="shared" si="500"/>
        <v>0</v>
      </c>
      <c r="AX287" s="476">
        <f t="shared" si="501"/>
        <v>0</v>
      </c>
      <c r="AY287" s="476">
        <f t="shared" si="502"/>
        <v>0</v>
      </c>
      <c r="AZ287" s="476">
        <f t="shared" si="503"/>
        <v>0</v>
      </c>
      <c r="BA287" s="476">
        <f t="shared" si="504"/>
        <v>0</v>
      </c>
      <c r="BB287" s="476">
        <f t="shared" si="505"/>
        <v>0</v>
      </c>
      <c r="BC287" s="476">
        <f t="shared" si="506"/>
        <v>0</v>
      </c>
      <c r="BD287" s="476">
        <f t="shared" si="507"/>
        <v>0</v>
      </c>
      <c r="BE287" s="476">
        <f t="shared" si="508"/>
        <v>0</v>
      </c>
      <c r="BF287" s="476">
        <f t="shared" si="509"/>
        <v>0</v>
      </c>
      <c r="BG287" s="476">
        <f t="shared" si="510"/>
        <v>0</v>
      </c>
    </row>
    <row r="288" spans="1:59" ht="16.5" customHeight="1">
      <c r="A288" s="583" t="s">
        <v>1252</v>
      </c>
      <c r="B288" s="584" t="s">
        <v>1267</v>
      </c>
      <c r="C288" s="584" t="s">
        <v>1795</v>
      </c>
      <c r="D288" s="413" t="s">
        <v>1164</v>
      </c>
      <c r="E288" s="412" t="s">
        <v>1181</v>
      </c>
      <c r="F288" s="413" t="s">
        <v>1267</v>
      </c>
      <c r="G288" s="412" t="s">
        <v>1267</v>
      </c>
      <c r="H288" s="412" t="s">
        <v>974</v>
      </c>
      <c r="I288" s="477">
        <v>0</v>
      </c>
      <c r="J288" s="477">
        <v>0</v>
      </c>
      <c r="K288" s="477">
        <v>0</v>
      </c>
      <c r="L288" s="477">
        <v>0</v>
      </c>
      <c r="M288" s="477">
        <f t="shared" si="465"/>
        <v>0</v>
      </c>
      <c r="N288" s="477">
        <f t="shared" si="466"/>
        <v>0</v>
      </c>
      <c r="O288" s="477"/>
      <c r="P288" s="477"/>
      <c r="Q288" s="477">
        <f t="shared" si="467"/>
        <v>0</v>
      </c>
      <c r="R288" s="477">
        <f t="shared" si="468"/>
        <v>0</v>
      </c>
      <c r="S288" s="477">
        <f t="shared" si="469"/>
        <v>0</v>
      </c>
      <c r="V288" s="476">
        <f t="shared" si="473"/>
        <v>0</v>
      </c>
      <c r="W288" s="476">
        <f t="shared" si="474"/>
        <v>0</v>
      </c>
      <c r="X288" s="476">
        <f t="shared" si="475"/>
        <v>0</v>
      </c>
      <c r="Y288" s="476">
        <f t="shared" si="476"/>
        <v>0</v>
      </c>
      <c r="Z288" s="476">
        <f t="shared" si="477"/>
        <v>0</v>
      </c>
      <c r="AA288" s="476">
        <f t="shared" si="478"/>
        <v>0</v>
      </c>
      <c r="AB288" s="476">
        <f t="shared" si="479"/>
        <v>0</v>
      </c>
      <c r="AC288" s="476">
        <f t="shared" si="480"/>
        <v>0</v>
      </c>
      <c r="AD288" s="476">
        <f t="shared" si="481"/>
        <v>0</v>
      </c>
      <c r="AE288" s="476">
        <f t="shared" si="482"/>
        <v>0</v>
      </c>
      <c r="AF288" s="476">
        <f t="shared" si="483"/>
        <v>0</v>
      </c>
      <c r="AG288" s="476">
        <f t="shared" si="484"/>
        <v>0</v>
      </c>
      <c r="AH288" s="476">
        <f t="shared" si="485"/>
        <v>0</v>
      </c>
      <c r="AI288" s="476">
        <f t="shared" si="486"/>
        <v>0</v>
      </c>
      <c r="AJ288" s="476">
        <f t="shared" si="487"/>
        <v>0</v>
      </c>
      <c r="AK288" s="476">
        <f t="shared" si="488"/>
        <v>0</v>
      </c>
      <c r="AL288" s="476">
        <f t="shared" si="489"/>
        <v>0</v>
      </c>
      <c r="AM288" s="476">
        <f t="shared" si="490"/>
        <v>0</v>
      </c>
      <c r="AN288" s="476">
        <f t="shared" si="491"/>
        <v>0</v>
      </c>
      <c r="AO288" s="476">
        <f t="shared" si="492"/>
        <v>0</v>
      </c>
      <c r="AP288" s="476">
        <f t="shared" si="493"/>
        <v>0</v>
      </c>
      <c r="AQ288" s="476">
        <f t="shared" si="494"/>
        <v>0</v>
      </c>
      <c r="AR288" s="476">
        <f t="shared" si="495"/>
        <v>0</v>
      </c>
      <c r="AS288" s="476">
        <f t="shared" si="496"/>
        <v>0</v>
      </c>
      <c r="AT288" s="476">
        <f t="shared" si="497"/>
        <v>0</v>
      </c>
      <c r="AU288" s="476">
        <f t="shared" si="498"/>
        <v>0</v>
      </c>
      <c r="AV288" s="476">
        <f t="shared" si="499"/>
        <v>0</v>
      </c>
      <c r="AW288" s="476">
        <f t="shared" si="500"/>
        <v>0</v>
      </c>
      <c r="AX288" s="476">
        <f t="shared" si="501"/>
        <v>0</v>
      </c>
      <c r="AY288" s="476">
        <f t="shared" si="502"/>
        <v>0</v>
      </c>
      <c r="AZ288" s="476">
        <f t="shared" si="503"/>
        <v>0</v>
      </c>
      <c r="BA288" s="476">
        <f t="shared" si="504"/>
        <v>0</v>
      </c>
      <c r="BB288" s="476">
        <f t="shared" si="505"/>
        <v>0</v>
      </c>
      <c r="BC288" s="476">
        <f t="shared" si="506"/>
        <v>0</v>
      </c>
      <c r="BD288" s="476">
        <f t="shared" si="507"/>
        <v>0</v>
      </c>
      <c r="BE288" s="476">
        <f t="shared" si="508"/>
        <v>0</v>
      </c>
      <c r="BF288" s="476">
        <f t="shared" si="509"/>
        <v>0</v>
      </c>
      <c r="BG288" s="476">
        <f t="shared" si="510"/>
        <v>0</v>
      </c>
    </row>
    <row r="289" spans="1:59" ht="16.5" customHeight="1">
      <c r="A289" s="583" t="s">
        <v>1252</v>
      </c>
      <c r="B289" s="584" t="s">
        <v>1267</v>
      </c>
      <c r="C289" s="584" t="s">
        <v>1796</v>
      </c>
      <c r="D289" s="413" t="s">
        <v>1164</v>
      </c>
      <c r="E289" s="412" t="s">
        <v>1181</v>
      </c>
      <c r="F289" s="413" t="s">
        <v>1267</v>
      </c>
      <c r="G289" s="412" t="s">
        <v>1267</v>
      </c>
      <c r="H289" s="412" t="s">
        <v>1055</v>
      </c>
      <c r="I289" s="477">
        <v>0</v>
      </c>
      <c r="J289" s="477">
        <v>0</v>
      </c>
      <c r="K289" s="477">
        <v>0</v>
      </c>
      <c r="L289" s="477">
        <v>0</v>
      </c>
      <c r="M289" s="477">
        <f t="shared" si="465"/>
        <v>0</v>
      </c>
      <c r="N289" s="477">
        <f t="shared" si="466"/>
        <v>0</v>
      </c>
      <c r="O289" s="477"/>
      <c r="P289" s="477"/>
      <c r="Q289" s="477">
        <f t="shared" si="467"/>
        <v>0</v>
      </c>
      <c r="R289" s="477">
        <f t="shared" si="468"/>
        <v>0</v>
      </c>
      <c r="S289" s="477">
        <f t="shared" si="469"/>
        <v>0</v>
      </c>
      <c r="V289" s="476">
        <f t="shared" si="473"/>
        <v>0</v>
      </c>
      <c r="W289" s="476">
        <f t="shared" si="474"/>
        <v>0</v>
      </c>
      <c r="X289" s="476">
        <f t="shared" si="475"/>
        <v>0</v>
      </c>
      <c r="Y289" s="476">
        <f t="shared" si="476"/>
        <v>0</v>
      </c>
      <c r="Z289" s="476">
        <f t="shared" si="477"/>
        <v>0</v>
      </c>
      <c r="AA289" s="476">
        <f t="shared" si="478"/>
        <v>0</v>
      </c>
      <c r="AB289" s="476">
        <f t="shared" si="479"/>
        <v>0</v>
      </c>
      <c r="AC289" s="476">
        <f t="shared" si="480"/>
        <v>0</v>
      </c>
      <c r="AD289" s="476">
        <f t="shared" si="481"/>
        <v>0</v>
      </c>
      <c r="AE289" s="476">
        <f t="shared" si="482"/>
        <v>0</v>
      </c>
      <c r="AF289" s="476">
        <f t="shared" si="483"/>
        <v>0</v>
      </c>
      <c r="AG289" s="476">
        <f t="shared" si="484"/>
        <v>0</v>
      </c>
      <c r="AH289" s="476">
        <f t="shared" si="485"/>
        <v>0</v>
      </c>
      <c r="AI289" s="476">
        <f t="shared" si="486"/>
        <v>0</v>
      </c>
      <c r="AJ289" s="476">
        <f t="shared" si="487"/>
        <v>0</v>
      </c>
      <c r="AK289" s="476">
        <f t="shared" si="488"/>
        <v>0</v>
      </c>
      <c r="AL289" s="476">
        <f t="shared" si="489"/>
        <v>0</v>
      </c>
      <c r="AM289" s="476">
        <f t="shared" si="490"/>
        <v>0</v>
      </c>
      <c r="AN289" s="476">
        <f t="shared" si="491"/>
        <v>0</v>
      </c>
      <c r="AO289" s="476">
        <f t="shared" si="492"/>
        <v>0</v>
      </c>
      <c r="AP289" s="476">
        <f t="shared" si="493"/>
        <v>0</v>
      </c>
      <c r="AQ289" s="476">
        <f t="shared" si="494"/>
        <v>0</v>
      </c>
      <c r="AR289" s="476">
        <f t="shared" si="495"/>
        <v>0</v>
      </c>
      <c r="AS289" s="476">
        <f t="shared" si="496"/>
        <v>0</v>
      </c>
      <c r="AT289" s="476">
        <f t="shared" si="497"/>
        <v>0</v>
      </c>
      <c r="AU289" s="476">
        <f t="shared" si="498"/>
        <v>0</v>
      </c>
      <c r="AV289" s="476">
        <f t="shared" si="499"/>
        <v>0</v>
      </c>
      <c r="AW289" s="476">
        <f t="shared" si="500"/>
        <v>0</v>
      </c>
      <c r="AX289" s="476">
        <f t="shared" si="501"/>
        <v>0</v>
      </c>
      <c r="AY289" s="476">
        <f t="shared" si="502"/>
        <v>0</v>
      </c>
      <c r="AZ289" s="476">
        <f t="shared" si="503"/>
        <v>0</v>
      </c>
      <c r="BA289" s="476">
        <f t="shared" si="504"/>
        <v>0</v>
      </c>
      <c r="BB289" s="476">
        <f t="shared" si="505"/>
        <v>0</v>
      </c>
      <c r="BC289" s="476">
        <f t="shared" si="506"/>
        <v>0</v>
      </c>
      <c r="BD289" s="476">
        <f t="shared" si="507"/>
        <v>0</v>
      </c>
      <c r="BE289" s="476">
        <f t="shared" si="508"/>
        <v>0</v>
      </c>
      <c r="BF289" s="476">
        <f t="shared" si="509"/>
        <v>0</v>
      </c>
      <c r="BG289" s="476">
        <f t="shared" si="510"/>
        <v>0</v>
      </c>
    </row>
    <row r="290" spans="1:59" ht="16.5" customHeight="1">
      <c r="A290" s="583" t="s">
        <v>1253</v>
      </c>
      <c r="B290" s="584" t="s">
        <v>1268</v>
      </c>
      <c r="C290" s="584" t="s">
        <v>1797</v>
      </c>
      <c r="D290" s="413" t="s">
        <v>1164</v>
      </c>
      <c r="E290" s="412" t="s">
        <v>1181</v>
      </c>
      <c r="F290" s="413" t="s">
        <v>1268</v>
      </c>
      <c r="G290" s="412" t="s">
        <v>1268</v>
      </c>
      <c r="H290" s="412" t="s">
        <v>974</v>
      </c>
      <c r="I290" s="477">
        <v>0</v>
      </c>
      <c r="J290" s="477">
        <v>0</v>
      </c>
      <c r="K290" s="477">
        <v>0</v>
      </c>
      <c r="L290" s="477">
        <v>0</v>
      </c>
      <c r="M290" s="477">
        <f t="shared" si="465"/>
        <v>0</v>
      </c>
      <c r="N290" s="477">
        <f t="shared" si="466"/>
        <v>0</v>
      </c>
      <c r="O290" s="477"/>
      <c r="P290" s="477"/>
      <c r="Q290" s="477">
        <f t="shared" si="467"/>
        <v>0</v>
      </c>
      <c r="R290" s="477">
        <f t="shared" si="468"/>
        <v>0</v>
      </c>
      <c r="S290" s="477">
        <f t="shared" si="469"/>
        <v>0</v>
      </c>
      <c r="U290" s="473"/>
      <c r="V290" s="476">
        <f t="shared" si="473"/>
        <v>0</v>
      </c>
      <c r="W290" s="476">
        <f t="shared" si="474"/>
        <v>0</v>
      </c>
      <c r="X290" s="476">
        <f t="shared" si="475"/>
        <v>0</v>
      </c>
      <c r="Y290" s="476">
        <f t="shared" si="476"/>
        <v>0</v>
      </c>
      <c r="Z290" s="476">
        <f t="shared" si="477"/>
        <v>0</v>
      </c>
      <c r="AA290" s="476">
        <f t="shared" si="478"/>
        <v>0</v>
      </c>
      <c r="AB290" s="476">
        <f t="shared" si="479"/>
        <v>0</v>
      </c>
      <c r="AC290" s="476">
        <f t="shared" si="480"/>
        <v>0</v>
      </c>
      <c r="AD290" s="476">
        <f t="shared" si="481"/>
        <v>0</v>
      </c>
      <c r="AE290" s="476">
        <f t="shared" si="482"/>
        <v>0</v>
      </c>
      <c r="AF290" s="476">
        <f t="shared" si="483"/>
        <v>0</v>
      </c>
      <c r="AG290" s="476">
        <f t="shared" si="484"/>
        <v>0</v>
      </c>
      <c r="AH290" s="476">
        <f t="shared" si="485"/>
        <v>0</v>
      </c>
      <c r="AI290" s="476">
        <f t="shared" si="486"/>
        <v>0</v>
      </c>
      <c r="AJ290" s="476">
        <f t="shared" si="487"/>
        <v>0</v>
      </c>
      <c r="AK290" s="476">
        <f t="shared" si="488"/>
        <v>0</v>
      </c>
      <c r="AL290" s="476">
        <f t="shared" si="489"/>
        <v>0</v>
      </c>
      <c r="AM290" s="476">
        <f t="shared" si="490"/>
        <v>0</v>
      </c>
      <c r="AN290" s="476">
        <f t="shared" si="491"/>
        <v>0</v>
      </c>
      <c r="AO290" s="476">
        <f t="shared" si="492"/>
        <v>0</v>
      </c>
      <c r="AP290" s="476">
        <f t="shared" si="493"/>
        <v>0</v>
      </c>
      <c r="AQ290" s="476">
        <f t="shared" si="494"/>
        <v>0</v>
      </c>
      <c r="AR290" s="476">
        <f t="shared" si="495"/>
        <v>0</v>
      </c>
      <c r="AS290" s="476">
        <f t="shared" si="496"/>
        <v>0</v>
      </c>
      <c r="AT290" s="476">
        <f t="shared" si="497"/>
        <v>0</v>
      </c>
      <c r="AU290" s="476">
        <f t="shared" si="498"/>
        <v>0</v>
      </c>
      <c r="AV290" s="476">
        <f t="shared" si="499"/>
        <v>0</v>
      </c>
      <c r="AW290" s="476">
        <f t="shared" si="500"/>
        <v>0</v>
      </c>
      <c r="AX290" s="476">
        <f t="shared" si="501"/>
        <v>0</v>
      </c>
      <c r="AY290" s="476">
        <f t="shared" si="502"/>
        <v>0</v>
      </c>
      <c r="AZ290" s="476">
        <f t="shared" si="503"/>
        <v>0</v>
      </c>
      <c r="BA290" s="476">
        <f t="shared" si="504"/>
        <v>0</v>
      </c>
      <c r="BB290" s="476">
        <f t="shared" si="505"/>
        <v>0</v>
      </c>
      <c r="BC290" s="476">
        <f t="shared" si="506"/>
        <v>0</v>
      </c>
      <c r="BD290" s="476">
        <f t="shared" si="507"/>
        <v>0</v>
      </c>
      <c r="BE290" s="476">
        <f t="shared" si="508"/>
        <v>0</v>
      </c>
      <c r="BF290" s="476">
        <f t="shared" si="509"/>
        <v>0</v>
      </c>
      <c r="BG290" s="476">
        <f t="shared" si="510"/>
        <v>0</v>
      </c>
    </row>
    <row r="291" spans="1:59" ht="16.5" customHeight="1">
      <c r="A291" s="583" t="s">
        <v>1348</v>
      </c>
      <c r="B291" s="584" t="s">
        <v>1349</v>
      </c>
      <c r="C291" s="584" t="s">
        <v>1798</v>
      </c>
      <c r="D291" s="413" t="s">
        <v>1164</v>
      </c>
      <c r="E291" s="412" t="s">
        <v>1181</v>
      </c>
      <c r="F291" s="413" t="s">
        <v>1349</v>
      </c>
      <c r="G291" s="412" t="s">
        <v>1349</v>
      </c>
      <c r="H291" s="412" t="s">
        <v>974</v>
      </c>
      <c r="I291" s="477">
        <v>0</v>
      </c>
      <c r="J291" s="477">
        <v>0</v>
      </c>
      <c r="K291" s="477">
        <v>65000</v>
      </c>
      <c r="L291" s="477">
        <v>0</v>
      </c>
      <c r="M291" s="477">
        <f t="shared" si="465"/>
        <v>65000</v>
      </c>
      <c r="N291" s="477">
        <f t="shared" si="466"/>
        <v>0</v>
      </c>
      <c r="O291" s="477"/>
      <c r="P291" s="477"/>
      <c r="Q291" s="477">
        <f t="shared" si="467"/>
        <v>65000</v>
      </c>
      <c r="R291" s="477">
        <f t="shared" si="468"/>
        <v>0</v>
      </c>
      <c r="S291" s="477">
        <f t="shared" si="469"/>
        <v>65000</v>
      </c>
      <c r="U291" s="473"/>
      <c r="V291" s="476">
        <f t="shared" si="473"/>
        <v>65000</v>
      </c>
      <c r="W291" s="476">
        <f t="shared" si="474"/>
        <v>0</v>
      </c>
      <c r="X291" s="476">
        <f t="shared" si="475"/>
        <v>0</v>
      </c>
      <c r="Y291" s="476">
        <f t="shared" si="476"/>
        <v>0</v>
      </c>
      <c r="Z291" s="476">
        <f t="shared" si="477"/>
        <v>0</v>
      </c>
      <c r="AA291" s="476">
        <f t="shared" si="478"/>
        <v>0</v>
      </c>
      <c r="AB291" s="476">
        <f t="shared" si="479"/>
        <v>0</v>
      </c>
      <c r="AC291" s="476">
        <f t="shared" si="480"/>
        <v>0</v>
      </c>
      <c r="AD291" s="476">
        <f t="shared" si="481"/>
        <v>0</v>
      </c>
      <c r="AE291" s="476">
        <f t="shared" si="482"/>
        <v>0</v>
      </c>
      <c r="AF291" s="476">
        <f t="shared" si="483"/>
        <v>0</v>
      </c>
      <c r="AG291" s="476">
        <f t="shared" si="484"/>
        <v>0</v>
      </c>
      <c r="AH291" s="476">
        <f t="shared" si="485"/>
        <v>0</v>
      </c>
      <c r="AI291" s="476">
        <f t="shared" si="486"/>
        <v>0</v>
      </c>
      <c r="AJ291" s="476">
        <f t="shared" si="487"/>
        <v>0</v>
      </c>
      <c r="AK291" s="476">
        <f t="shared" si="488"/>
        <v>0</v>
      </c>
      <c r="AL291" s="476">
        <f t="shared" si="489"/>
        <v>0</v>
      </c>
      <c r="AM291" s="476">
        <f t="shared" si="490"/>
        <v>0</v>
      </c>
      <c r="AN291" s="476">
        <f t="shared" si="491"/>
        <v>0</v>
      </c>
      <c r="AO291" s="476">
        <f t="shared" si="492"/>
        <v>0</v>
      </c>
      <c r="AP291" s="476">
        <f t="shared" si="493"/>
        <v>0</v>
      </c>
      <c r="AQ291" s="476">
        <f t="shared" si="494"/>
        <v>0</v>
      </c>
      <c r="AR291" s="476">
        <f t="shared" si="495"/>
        <v>0</v>
      </c>
      <c r="AS291" s="476">
        <f t="shared" si="496"/>
        <v>0</v>
      </c>
      <c r="AT291" s="476">
        <f t="shared" si="497"/>
        <v>0</v>
      </c>
      <c r="AU291" s="476">
        <f t="shared" si="498"/>
        <v>0</v>
      </c>
      <c r="AV291" s="476">
        <f t="shared" si="499"/>
        <v>0</v>
      </c>
      <c r="AW291" s="476">
        <f t="shared" si="500"/>
        <v>0</v>
      </c>
      <c r="AX291" s="476">
        <f t="shared" si="501"/>
        <v>0</v>
      </c>
      <c r="AY291" s="476">
        <f t="shared" si="502"/>
        <v>0</v>
      </c>
      <c r="AZ291" s="476">
        <f t="shared" si="503"/>
        <v>0</v>
      </c>
      <c r="BA291" s="476">
        <f t="shared" si="504"/>
        <v>0</v>
      </c>
      <c r="BB291" s="476">
        <f t="shared" si="505"/>
        <v>0</v>
      </c>
      <c r="BC291" s="476">
        <f t="shared" si="506"/>
        <v>0</v>
      </c>
      <c r="BD291" s="476">
        <f t="shared" si="507"/>
        <v>0</v>
      </c>
      <c r="BE291" s="476">
        <f t="shared" si="508"/>
        <v>0</v>
      </c>
      <c r="BF291" s="476">
        <f t="shared" si="509"/>
        <v>0</v>
      </c>
      <c r="BG291" s="476">
        <f t="shared" si="510"/>
        <v>0</v>
      </c>
    </row>
    <row r="292" spans="1:59" ht="16.5" customHeight="1">
      <c r="A292" s="583" t="s">
        <v>1350</v>
      </c>
      <c r="B292" s="584" t="s">
        <v>1351</v>
      </c>
      <c r="C292" s="584" t="s">
        <v>1799</v>
      </c>
      <c r="D292" s="413" t="s">
        <v>1164</v>
      </c>
      <c r="E292" s="412" t="s">
        <v>1181</v>
      </c>
      <c r="F292" s="413" t="s">
        <v>1351</v>
      </c>
      <c r="G292" s="412" t="s">
        <v>1351</v>
      </c>
      <c r="H292" s="412" t="s">
        <v>974</v>
      </c>
      <c r="I292" s="477">
        <v>0</v>
      </c>
      <c r="J292" s="477">
        <v>0</v>
      </c>
      <c r="K292" s="477">
        <v>0</v>
      </c>
      <c r="L292" s="477">
        <v>0</v>
      </c>
      <c r="M292" s="477">
        <f t="shared" si="465"/>
        <v>0</v>
      </c>
      <c r="N292" s="477">
        <f t="shared" si="466"/>
        <v>0</v>
      </c>
      <c r="O292" s="477"/>
      <c r="P292" s="477"/>
      <c r="Q292" s="477">
        <f t="shared" si="467"/>
        <v>0</v>
      </c>
      <c r="R292" s="477">
        <f t="shared" si="468"/>
        <v>0</v>
      </c>
      <c r="S292" s="477">
        <f t="shared" si="469"/>
        <v>0</v>
      </c>
      <c r="U292" s="473"/>
      <c r="V292" s="476">
        <f t="shared" si="473"/>
        <v>0</v>
      </c>
      <c r="W292" s="476">
        <f t="shared" si="474"/>
        <v>0</v>
      </c>
      <c r="X292" s="476">
        <f t="shared" si="475"/>
        <v>0</v>
      </c>
      <c r="Y292" s="476">
        <f t="shared" si="476"/>
        <v>0</v>
      </c>
      <c r="Z292" s="476">
        <f t="shared" si="477"/>
        <v>0</v>
      </c>
      <c r="AA292" s="476">
        <f t="shared" si="478"/>
        <v>0</v>
      </c>
      <c r="AB292" s="476">
        <f t="shared" si="479"/>
        <v>0</v>
      </c>
      <c r="AC292" s="476">
        <f t="shared" si="480"/>
        <v>0</v>
      </c>
      <c r="AD292" s="476">
        <f t="shared" si="481"/>
        <v>0</v>
      </c>
      <c r="AE292" s="476">
        <f t="shared" si="482"/>
        <v>0</v>
      </c>
      <c r="AF292" s="476">
        <f t="shared" si="483"/>
        <v>0</v>
      </c>
      <c r="AG292" s="476">
        <f t="shared" si="484"/>
        <v>0</v>
      </c>
      <c r="AH292" s="476">
        <f t="shared" si="485"/>
        <v>0</v>
      </c>
      <c r="AI292" s="476">
        <f t="shared" si="486"/>
        <v>0</v>
      </c>
      <c r="AJ292" s="476">
        <f t="shared" si="487"/>
        <v>0</v>
      </c>
      <c r="AK292" s="476">
        <f t="shared" si="488"/>
        <v>0</v>
      </c>
      <c r="AL292" s="476">
        <f t="shared" si="489"/>
        <v>0</v>
      </c>
      <c r="AM292" s="476">
        <f t="shared" si="490"/>
        <v>0</v>
      </c>
      <c r="AN292" s="476">
        <f t="shared" si="491"/>
        <v>0</v>
      </c>
      <c r="AO292" s="476">
        <f t="shared" si="492"/>
        <v>0</v>
      </c>
      <c r="AP292" s="476">
        <f t="shared" si="493"/>
        <v>0</v>
      </c>
      <c r="AQ292" s="476">
        <f t="shared" si="494"/>
        <v>0</v>
      </c>
      <c r="AR292" s="476">
        <f t="shared" si="495"/>
        <v>0</v>
      </c>
      <c r="AS292" s="476">
        <f t="shared" si="496"/>
        <v>0</v>
      </c>
      <c r="AT292" s="476">
        <f t="shared" si="497"/>
        <v>0</v>
      </c>
      <c r="AU292" s="476">
        <f t="shared" si="498"/>
        <v>0</v>
      </c>
      <c r="AV292" s="476">
        <f t="shared" si="499"/>
        <v>0</v>
      </c>
      <c r="AW292" s="476">
        <f t="shared" si="500"/>
        <v>0</v>
      </c>
      <c r="AX292" s="476">
        <f t="shared" si="501"/>
        <v>0</v>
      </c>
      <c r="AY292" s="476">
        <f t="shared" si="502"/>
        <v>0</v>
      </c>
      <c r="AZ292" s="476">
        <f t="shared" si="503"/>
        <v>0</v>
      </c>
      <c r="BA292" s="476">
        <f t="shared" si="504"/>
        <v>0</v>
      </c>
      <c r="BB292" s="476">
        <f t="shared" si="505"/>
        <v>0</v>
      </c>
      <c r="BC292" s="476">
        <f t="shared" si="506"/>
        <v>0</v>
      </c>
      <c r="BD292" s="476">
        <f t="shared" si="507"/>
        <v>0</v>
      </c>
      <c r="BE292" s="476">
        <f t="shared" si="508"/>
        <v>0</v>
      </c>
      <c r="BF292" s="476">
        <f t="shared" si="509"/>
        <v>0</v>
      </c>
      <c r="BG292" s="476">
        <f t="shared" si="510"/>
        <v>0</v>
      </c>
    </row>
    <row r="293" spans="1:59" ht="16.5" customHeight="1">
      <c r="A293" s="583" t="s">
        <v>1352</v>
      </c>
      <c r="B293" s="584" t="s">
        <v>1353</v>
      </c>
      <c r="C293" s="584" t="s">
        <v>1800</v>
      </c>
      <c r="D293" s="413" t="s">
        <v>1164</v>
      </c>
      <c r="E293" s="412" t="s">
        <v>1181</v>
      </c>
      <c r="F293" s="413" t="s">
        <v>1353</v>
      </c>
      <c r="G293" s="412" t="s">
        <v>1353</v>
      </c>
      <c r="H293" s="412" t="s">
        <v>974</v>
      </c>
      <c r="I293" s="477">
        <v>0</v>
      </c>
      <c r="J293" s="477">
        <v>0</v>
      </c>
      <c r="K293" s="477">
        <v>0</v>
      </c>
      <c r="L293" s="477">
        <v>0</v>
      </c>
      <c r="M293" s="477">
        <f t="shared" si="465"/>
        <v>0</v>
      </c>
      <c r="N293" s="477">
        <f t="shared" si="466"/>
        <v>0</v>
      </c>
      <c r="O293" s="477"/>
      <c r="P293" s="477"/>
      <c r="Q293" s="477">
        <f t="shared" si="467"/>
        <v>0</v>
      </c>
      <c r="R293" s="477">
        <f t="shared" si="468"/>
        <v>0</v>
      </c>
      <c r="S293" s="477">
        <f t="shared" si="469"/>
        <v>0</v>
      </c>
      <c r="U293" s="473"/>
      <c r="V293" s="476">
        <f t="shared" si="473"/>
        <v>0</v>
      </c>
      <c r="W293" s="476">
        <f t="shared" si="474"/>
        <v>0</v>
      </c>
      <c r="X293" s="476">
        <f t="shared" si="475"/>
        <v>0</v>
      </c>
      <c r="Y293" s="476">
        <f t="shared" si="476"/>
        <v>0</v>
      </c>
      <c r="Z293" s="476">
        <f t="shared" si="477"/>
        <v>0</v>
      </c>
      <c r="AA293" s="476">
        <f t="shared" si="478"/>
        <v>0</v>
      </c>
      <c r="AB293" s="476">
        <f t="shared" si="479"/>
        <v>0</v>
      </c>
      <c r="AC293" s="476">
        <f t="shared" si="480"/>
        <v>0</v>
      </c>
      <c r="AD293" s="476">
        <f t="shared" si="481"/>
        <v>0</v>
      </c>
      <c r="AE293" s="476">
        <f t="shared" si="482"/>
        <v>0</v>
      </c>
      <c r="AF293" s="476">
        <f t="shared" si="483"/>
        <v>0</v>
      </c>
      <c r="AG293" s="476">
        <f t="shared" si="484"/>
        <v>0</v>
      </c>
      <c r="AH293" s="476">
        <f t="shared" si="485"/>
        <v>0</v>
      </c>
      <c r="AI293" s="476">
        <f t="shared" si="486"/>
        <v>0</v>
      </c>
      <c r="AJ293" s="476">
        <f t="shared" si="487"/>
        <v>0</v>
      </c>
      <c r="AK293" s="476">
        <f t="shared" si="488"/>
        <v>0</v>
      </c>
      <c r="AL293" s="476">
        <f t="shared" si="489"/>
        <v>0</v>
      </c>
      <c r="AM293" s="476">
        <f t="shared" si="490"/>
        <v>0</v>
      </c>
      <c r="AN293" s="476">
        <f t="shared" si="491"/>
        <v>0</v>
      </c>
      <c r="AO293" s="476">
        <f t="shared" si="492"/>
        <v>0</v>
      </c>
      <c r="AP293" s="476">
        <f t="shared" si="493"/>
        <v>0</v>
      </c>
      <c r="AQ293" s="476">
        <f t="shared" si="494"/>
        <v>0</v>
      </c>
      <c r="AR293" s="476">
        <f t="shared" si="495"/>
        <v>0</v>
      </c>
      <c r="AS293" s="476">
        <f t="shared" si="496"/>
        <v>0</v>
      </c>
      <c r="AT293" s="476">
        <f t="shared" si="497"/>
        <v>0</v>
      </c>
      <c r="AU293" s="476">
        <f t="shared" si="498"/>
        <v>0</v>
      </c>
      <c r="AV293" s="476">
        <f t="shared" si="499"/>
        <v>0</v>
      </c>
      <c r="AW293" s="476">
        <f t="shared" si="500"/>
        <v>0</v>
      </c>
      <c r="AX293" s="476">
        <f t="shared" si="501"/>
        <v>0</v>
      </c>
      <c r="AY293" s="476">
        <f t="shared" si="502"/>
        <v>0</v>
      </c>
      <c r="AZ293" s="476">
        <f t="shared" si="503"/>
        <v>0</v>
      </c>
      <c r="BA293" s="476">
        <f t="shared" si="504"/>
        <v>0</v>
      </c>
      <c r="BB293" s="476">
        <f t="shared" si="505"/>
        <v>0</v>
      </c>
      <c r="BC293" s="476">
        <f t="shared" si="506"/>
        <v>0</v>
      </c>
      <c r="BD293" s="476">
        <f t="shared" si="507"/>
        <v>0</v>
      </c>
      <c r="BE293" s="476">
        <f t="shared" si="508"/>
        <v>0</v>
      </c>
      <c r="BF293" s="476">
        <f t="shared" si="509"/>
        <v>0</v>
      </c>
      <c r="BG293" s="476">
        <f t="shared" si="510"/>
        <v>0</v>
      </c>
    </row>
    <row r="294" spans="1:59" ht="16.5" customHeight="1">
      <c r="A294" s="583" t="s">
        <v>1354</v>
      </c>
      <c r="B294" s="584" t="s">
        <v>1355</v>
      </c>
      <c r="C294" s="584" t="s">
        <v>1801</v>
      </c>
      <c r="D294" s="413" t="s">
        <v>1164</v>
      </c>
      <c r="E294" s="412" t="s">
        <v>1181</v>
      </c>
      <c r="F294" s="413" t="s">
        <v>1355</v>
      </c>
      <c r="G294" s="412" t="s">
        <v>1355</v>
      </c>
      <c r="H294" s="412" t="s">
        <v>974</v>
      </c>
      <c r="I294" s="477">
        <v>0</v>
      </c>
      <c r="J294" s="477">
        <v>0</v>
      </c>
      <c r="K294" s="477">
        <v>1320000</v>
      </c>
      <c r="L294" s="477">
        <v>0</v>
      </c>
      <c r="M294" s="477">
        <f t="shared" si="465"/>
        <v>1320000</v>
      </c>
      <c r="N294" s="477">
        <f t="shared" si="466"/>
        <v>0</v>
      </c>
      <c r="O294" s="477"/>
      <c r="P294" s="477"/>
      <c r="Q294" s="477">
        <f t="shared" si="467"/>
        <v>1320000</v>
      </c>
      <c r="R294" s="477">
        <f t="shared" si="468"/>
        <v>0</v>
      </c>
      <c r="S294" s="477">
        <f t="shared" si="469"/>
        <v>1320000</v>
      </c>
      <c r="U294" s="473"/>
      <c r="V294" s="476">
        <f t="shared" si="473"/>
        <v>1320000</v>
      </c>
      <c r="W294" s="476">
        <f t="shared" si="474"/>
        <v>0</v>
      </c>
      <c r="X294" s="476">
        <f t="shared" si="475"/>
        <v>0</v>
      </c>
      <c r="Y294" s="476">
        <f t="shared" si="476"/>
        <v>0</v>
      </c>
      <c r="Z294" s="476">
        <f t="shared" si="477"/>
        <v>0</v>
      </c>
      <c r="AA294" s="476">
        <f t="shared" si="478"/>
        <v>0</v>
      </c>
      <c r="AB294" s="476">
        <f t="shared" si="479"/>
        <v>0</v>
      </c>
      <c r="AC294" s="476">
        <f t="shared" si="480"/>
        <v>0</v>
      </c>
      <c r="AD294" s="476">
        <f t="shared" si="481"/>
        <v>0</v>
      </c>
      <c r="AE294" s="476">
        <f t="shared" si="482"/>
        <v>0</v>
      </c>
      <c r="AF294" s="476">
        <f t="shared" si="483"/>
        <v>0</v>
      </c>
      <c r="AG294" s="476">
        <f t="shared" si="484"/>
        <v>0</v>
      </c>
      <c r="AH294" s="476">
        <f t="shared" si="485"/>
        <v>0</v>
      </c>
      <c r="AI294" s="476">
        <f t="shared" si="486"/>
        <v>0</v>
      </c>
      <c r="AJ294" s="476">
        <f t="shared" si="487"/>
        <v>0</v>
      </c>
      <c r="AK294" s="476">
        <f t="shared" si="488"/>
        <v>0</v>
      </c>
      <c r="AL294" s="476">
        <f t="shared" si="489"/>
        <v>0</v>
      </c>
      <c r="AM294" s="476">
        <f t="shared" si="490"/>
        <v>0</v>
      </c>
      <c r="AN294" s="476">
        <f t="shared" si="491"/>
        <v>0</v>
      </c>
      <c r="AO294" s="476">
        <f t="shared" si="492"/>
        <v>0</v>
      </c>
      <c r="AP294" s="476">
        <f t="shared" si="493"/>
        <v>0</v>
      </c>
      <c r="AQ294" s="476">
        <f t="shared" si="494"/>
        <v>0</v>
      </c>
      <c r="AR294" s="476">
        <f t="shared" si="495"/>
        <v>0</v>
      </c>
      <c r="AS294" s="476">
        <f t="shared" si="496"/>
        <v>0</v>
      </c>
      <c r="AT294" s="476">
        <f t="shared" si="497"/>
        <v>0</v>
      </c>
      <c r="AU294" s="476">
        <f t="shared" si="498"/>
        <v>0</v>
      </c>
      <c r="AV294" s="476">
        <f t="shared" si="499"/>
        <v>0</v>
      </c>
      <c r="AW294" s="476">
        <f t="shared" si="500"/>
        <v>0</v>
      </c>
      <c r="AX294" s="476">
        <f t="shared" si="501"/>
        <v>0</v>
      </c>
      <c r="AY294" s="476">
        <f t="shared" si="502"/>
        <v>0</v>
      </c>
      <c r="AZ294" s="476">
        <f t="shared" si="503"/>
        <v>0</v>
      </c>
      <c r="BA294" s="476">
        <f t="shared" si="504"/>
        <v>0</v>
      </c>
      <c r="BB294" s="476">
        <f t="shared" si="505"/>
        <v>0</v>
      </c>
      <c r="BC294" s="476">
        <f t="shared" si="506"/>
        <v>0</v>
      </c>
      <c r="BD294" s="476">
        <f t="shared" si="507"/>
        <v>0</v>
      </c>
      <c r="BE294" s="476">
        <f t="shared" si="508"/>
        <v>0</v>
      </c>
      <c r="BF294" s="476">
        <f t="shared" si="509"/>
        <v>0</v>
      </c>
      <c r="BG294" s="476">
        <f t="shared" si="510"/>
        <v>0</v>
      </c>
    </row>
    <row r="295" spans="1:59" ht="16.5" customHeight="1">
      <c r="A295" s="583" t="s">
        <v>1356</v>
      </c>
      <c r="B295" s="584" t="s">
        <v>1357</v>
      </c>
      <c r="C295" s="584" t="s">
        <v>1802</v>
      </c>
      <c r="D295" s="413" t="s">
        <v>1164</v>
      </c>
      <c r="E295" s="412" t="s">
        <v>1181</v>
      </c>
      <c r="F295" s="413" t="s">
        <v>1357</v>
      </c>
      <c r="G295" s="412" t="s">
        <v>1357</v>
      </c>
      <c r="H295" s="412" t="s">
        <v>974</v>
      </c>
      <c r="I295" s="477">
        <v>0</v>
      </c>
      <c r="J295" s="477">
        <v>0</v>
      </c>
      <c r="K295" s="477">
        <v>349175</v>
      </c>
      <c r="L295" s="477">
        <v>0</v>
      </c>
      <c r="M295" s="477">
        <f t="shared" si="465"/>
        <v>349175</v>
      </c>
      <c r="N295" s="477">
        <f t="shared" si="466"/>
        <v>0</v>
      </c>
      <c r="O295" s="477"/>
      <c r="P295" s="477"/>
      <c r="Q295" s="477">
        <f t="shared" si="467"/>
        <v>349175</v>
      </c>
      <c r="R295" s="477">
        <f t="shared" si="468"/>
        <v>0</v>
      </c>
      <c r="S295" s="477">
        <f t="shared" si="469"/>
        <v>349175</v>
      </c>
      <c r="U295" s="473"/>
      <c r="V295" s="476">
        <f t="shared" si="473"/>
        <v>349175</v>
      </c>
      <c r="W295" s="476">
        <f t="shared" si="474"/>
        <v>0</v>
      </c>
      <c r="X295" s="476">
        <f t="shared" si="475"/>
        <v>0</v>
      </c>
      <c r="Y295" s="476">
        <f t="shared" si="476"/>
        <v>0</v>
      </c>
      <c r="Z295" s="476">
        <f t="shared" si="477"/>
        <v>0</v>
      </c>
      <c r="AA295" s="476">
        <f t="shared" si="478"/>
        <v>0</v>
      </c>
      <c r="AB295" s="476">
        <f t="shared" si="479"/>
        <v>0</v>
      </c>
      <c r="AC295" s="476">
        <f t="shared" si="480"/>
        <v>0</v>
      </c>
      <c r="AD295" s="476">
        <f t="shared" si="481"/>
        <v>0</v>
      </c>
      <c r="AE295" s="476">
        <f t="shared" si="482"/>
        <v>0</v>
      </c>
      <c r="AF295" s="476">
        <f t="shared" si="483"/>
        <v>0</v>
      </c>
      <c r="AG295" s="476">
        <f t="shared" si="484"/>
        <v>0</v>
      </c>
      <c r="AH295" s="476">
        <f t="shared" si="485"/>
        <v>0</v>
      </c>
      <c r="AI295" s="476">
        <f t="shared" si="486"/>
        <v>0</v>
      </c>
      <c r="AJ295" s="476">
        <f t="shared" si="487"/>
        <v>0</v>
      </c>
      <c r="AK295" s="476">
        <f t="shared" si="488"/>
        <v>0</v>
      </c>
      <c r="AL295" s="476">
        <f t="shared" si="489"/>
        <v>0</v>
      </c>
      <c r="AM295" s="476">
        <f t="shared" si="490"/>
        <v>0</v>
      </c>
      <c r="AN295" s="476">
        <f t="shared" si="491"/>
        <v>0</v>
      </c>
      <c r="AO295" s="476">
        <f t="shared" si="492"/>
        <v>0</v>
      </c>
      <c r="AP295" s="476">
        <f t="shared" si="493"/>
        <v>0</v>
      </c>
      <c r="AQ295" s="476">
        <f t="shared" si="494"/>
        <v>0</v>
      </c>
      <c r="AR295" s="476">
        <f t="shared" si="495"/>
        <v>0</v>
      </c>
      <c r="AS295" s="476">
        <f t="shared" si="496"/>
        <v>0</v>
      </c>
      <c r="AT295" s="476">
        <f t="shared" si="497"/>
        <v>0</v>
      </c>
      <c r="AU295" s="476">
        <f t="shared" si="498"/>
        <v>0</v>
      </c>
      <c r="AV295" s="476">
        <f t="shared" si="499"/>
        <v>0</v>
      </c>
      <c r="AW295" s="476">
        <f t="shared" si="500"/>
        <v>0</v>
      </c>
      <c r="AX295" s="476">
        <f t="shared" si="501"/>
        <v>0</v>
      </c>
      <c r="AY295" s="476">
        <f t="shared" si="502"/>
        <v>0</v>
      </c>
      <c r="AZ295" s="476">
        <f t="shared" si="503"/>
        <v>0</v>
      </c>
      <c r="BA295" s="476">
        <f t="shared" si="504"/>
        <v>0</v>
      </c>
      <c r="BB295" s="476">
        <f t="shared" si="505"/>
        <v>0</v>
      </c>
      <c r="BC295" s="476">
        <f t="shared" si="506"/>
        <v>0</v>
      </c>
      <c r="BD295" s="476">
        <f t="shared" si="507"/>
        <v>0</v>
      </c>
      <c r="BE295" s="476">
        <f t="shared" si="508"/>
        <v>0</v>
      </c>
      <c r="BF295" s="476">
        <f t="shared" si="509"/>
        <v>0</v>
      </c>
      <c r="BG295" s="476">
        <f t="shared" si="510"/>
        <v>0</v>
      </c>
    </row>
    <row r="296" spans="1:59" ht="16.5" customHeight="1">
      <c r="A296" s="583" t="s">
        <v>1358</v>
      </c>
      <c r="B296" s="584" t="s">
        <v>1359</v>
      </c>
      <c r="C296" s="584" t="s">
        <v>1803</v>
      </c>
      <c r="D296" s="413" t="s">
        <v>1164</v>
      </c>
      <c r="E296" s="412" t="s">
        <v>1181</v>
      </c>
      <c r="F296" s="413" t="s">
        <v>1266</v>
      </c>
      <c r="G296" s="412" t="s">
        <v>1266</v>
      </c>
      <c r="H296" s="412" t="s">
        <v>974</v>
      </c>
      <c r="I296" s="477">
        <v>0</v>
      </c>
      <c r="J296" s="477">
        <v>0</v>
      </c>
      <c r="K296" s="477">
        <v>0</v>
      </c>
      <c r="L296" s="477">
        <v>0</v>
      </c>
      <c r="M296" s="477">
        <f t="shared" si="465"/>
        <v>0</v>
      </c>
      <c r="N296" s="477">
        <f t="shared" si="466"/>
        <v>0</v>
      </c>
      <c r="O296" s="477"/>
      <c r="P296" s="477"/>
      <c r="Q296" s="477">
        <f t="shared" si="467"/>
        <v>0</v>
      </c>
      <c r="R296" s="477">
        <f t="shared" si="468"/>
        <v>0</v>
      </c>
      <c r="S296" s="477">
        <f t="shared" si="469"/>
        <v>0</v>
      </c>
      <c r="U296" s="473"/>
      <c r="V296" s="476">
        <f t="shared" si="473"/>
        <v>0</v>
      </c>
      <c r="W296" s="476">
        <f t="shared" si="474"/>
        <v>0</v>
      </c>
      <c r="X296" s="476">
        <f t="shared" si="475"/>
        <v>0</v>
      </c>
      <c r="Y296" s="476">
        <f t="shared" si="476"/>
        <v>0</v>
      </c>
      <c r="Z296" s="476">
        <f t="shared" si="477"/>
        <v>0</v>
      </c>
      <c r="AA296" s="476">
        <f t="shared" si="478"/>
        <v>0</v>
      </c>
      <c r="AB296" s="476">
        <f t="shared" si="479"/>
        <v>0</v>
      </c>
      <c r="AC296" s="476">
        <f t="shared" si="480"/>
        <v>0</v>
      </c>
      <c r="AD296" s="476">
        <f t="shared" si="481"/>
        <v>0</v>
      </c>
      <c r="AE296" s="476">
        <f t="shared" si="482"/>
        <v>0</v>
      </c>
      <c r="AF296" s="476">
        <f t="shared" si="483"/>
        <v>0</v>
      </c>
      <c r="AG296" s="476">
        <f t="shared" si="484"/>
        <v>0</v>
      </c>
      <c r="AH296" s="476">
        <f t="shared" si="485"/>
        <v>0</v>
      </c>
      <c r="AI296" s="476">
        <f t="shared" si="486"/>
        <v>0</v>
      </c>
      <c r="AJ296" s="476">
        <f t="shared" si="487"/>
        <v>0</v>
      </c>
      <c r="AK296" s="476">
        <f t="shared" si="488"/>
        <v>0</v>
      </c>
      <c r="AL296" s="476">
        <f t="shared" si="489"/>
        <v>0</v>
      </c>
      <c r="AM296" s="476">
        <f t="shared" si="490"/>
        <v>0</v>
      </c>
      <c r="AN296" s="476">
        <f t="shared" si="491"/>
        <v>0</v>
      </c>
      <c r="AO296" s="476">
        <f t="shared" si="492"/>
        <v>0</v>
      </c>
      <c r="AP296" s="476">
        <f t="shared" si="493"/>
        <v>0</v>
      </c>
      <c r="AQ296" s="476">
        <f t="shared" si="494"/>
        <v>0</v>
      </c>
      <c r="AR296" s="476">
        <f t="shared" si="495"/>
        <v>0</v>
      </c>
      <c r="AS296" s="476">
        <f t="shared" si="496"/>
        <v>0</v>
      </c>
      <c r="AT296" s="476">
        <f t="shared" si="497"/>
        <v>0</v>
      </c>
      <c r="AU296" s="476">
        <f t="shared" si="498"/>
        <v>0</v>
      </c>
      <c r="AV296" s="476">
        <f t="shared" si="499"/>
        <v>0</v>
      </c>
      <c r="AW296" s="476">
        <f t="shared" si="500"/>
        <v>0</v>
      </c>
      <c r="AX296" s="476">
        <f t="shared" si="501"/>
        <v>0</v>
      </c>
      <c r="AY296" s="476">
        <f t="shared" si="502"/>
        <v>0</v>
      </c>
      <c r="AZ296" s="476">
        <f t="shared" si="503"/>
        <v>0</v>
      </c>
      <c r="BA296" s="476">
        <f t="shared" si="504"/>
        <v>0</v>
      </c>
      <c r="BB296" s="476">
        <f t="shared" si="505"/>
        <v>0</v>
      </c>
      <c r="BC296" s="476">
        <f t="shared" si="506"/>
        <v>0</v>
      </c>
      <c r="BD296" s="476">
        <f t="shared" si="507"/>
        <v>0</v>
      </c>
      <c r="BE296" s="476">
        <f t="shared" si="508"/>
        <v>0</v>
      </c>
      <c r="BF296" s="476">
        <f t="shared" si="509"/>
        <v>0</v>
      </c>
      <c r="BG296" s="476">
        <f t="shared" si="510"/>
        <v>0</v>
      </c>
    </row>
    <row r="297" spans="1:59" ht="16.5" customHeight="1">
      <c r="A297" s="583" t="s">
        <v>1458</v>
      </c>
      <c r="B297" s="584" t="s">
        <v>1459</v>
      </c>
      <c r="C297" s="584" t="s">
        <v>1460</v>
      </c>
      <c r="D297" s="413" t="s">
        <v>1164</v>
      </c>
      <c r="E297" s="412" t="s">
        <v>1181</v>
      </c>
      <c r="F297" s="413" t="s">
        <v>1459</v>
      </c>
      <c r="G297" s="412" t="s">
        <v>1459</v>
      </c>
      <c r="H297" s="412" t="s">
        <v>974</v>
      </c>
      <c r="I297" s="477">
        <v>0</v>
      </c>
      <c r="J297" s="477">
        <v>0</v>
      </c>
      <c r="K297" s="477">
        <v>50000</v>
      </c>
      <c r="L297" s="477">
        <v>0</v>
      </c>
      <c r="M297" s="477">
        <f t="shared" si="465"/>
        <v>50000</v>
      </c>
      <c r="N297" s="477">
        <f t="shared" si="466"/>
        <v>0</v>
      </c>
      <c r="O297" s="477"/>
      <c r="P297" s="477"/>
      <c r="Q297" s="477">
        <f t="shared" si="467"/>
        <v>50000</v>
      </c>
      <c r="R297" s="477">
        <f t="shared" si="468"/>
        <v>0</v>
      </c>
      <c r="S297" s="477">
        <f t="shared" si="469"/>
        <v>50000</v>
      </c>
      <c r="U297" s="473"/>
      <c r="V297" s="476">
        <f t="shared" si="473"/>
        <v>50000</v>
      </c>
      <c r="W297" s="476">
        <f t="shared" si="474"/>
        <v>0</v>
      </c>
      <c r="X297" s="476">
        <f t="shared" si="475"/>
        <v>0</v>
      </c>
      <c r="Y297" s="476">
        <f t="shared" si="476"/>
        <v>0</v>
      </c>
      <c r="Z297" s="476">
        <f t="shared" si="477"/>
        <v>0</v>
      </c>
      <c r="AA297" s="476">
        <f t="shared" si="478"/>
        <v>0</v>
      </c>
      <c r="AB297" s="476">
        <f t="shared" si="479"/>
        <v>0</v>
      </c>
      <c r="AC297" s="476">
        <f t="shared" si="480"/>
        <v>0</v>
      </c>
      <c r="AD297" s="476">
        <f t="shared" si="481"/>
        <v>0</v>
      </c>
      <c r="AE297" s="476">
        <f t="shared" si="482"/>
        <v>0</v>
      </c>
      <c r="AF297" s="476">
        <f t="shared" si="483"/>
        <v>0</v>
      </c>
      <c r="AG297" s="476">
        <f t="shared" si="484"/>
        <v>0</v>
      </c>
      <c r="AH297" s="476">
        <f t="shared" si="485"/>
        <v>0</v>
      </c>
      <c r="AI297" s="476">
        <f t="shared" si="486"/>
        <v>0</v>
      </c>
      <c r="AJ297" s="476">
        <f t="shared" si="487"/>
        <v>0</v>
      </c>
      <c r="AK297" s="476">
        <f t="shared" si="488"/>
        <v>0</v>
      </c>
      <c r="AL297" s="476">
        <f t="shared" si="489"/>
        <v>0</v>
      </c>
      <c r="AM297" s="476">
        <f t="shared" si="490"/>
        <v>0</v>
      </c>
      <c r="AN297" s="476">
        <f t="shared" si="491"/>
        <v>0</v>
      </c>
      <c r="AO297" s="476">
        <f t="shared" si="492"/>
        <v>0</v>
      </c>
      <c r="AP297" s="476">
        <f t="shared" si="493"/>
        <v>0</v>
      </c>
      <c r="AQ297" s="476">
        <f t="shared" si="494"/>
        <v>0</v>
      </c>
      <c r="AR297" s="476">
        <f t="shared" si="495"/>
        <v>0</v>
      </c>
      <c r="AS297" s="476">
        <f t="shared" si="496"/>
        <v>0</v>
      </c>
      <c r="AT297" s="476">
        <f t="shared" si="497"/>
        <v>0</v>
      </c>
      <c r="AU297" s="476">
        <f t="shared" si="498"/>
        <v>0</v>
      </c>
      <c r="AV297" s="476">
        <f t="shared" si="499"/>
        <v>0</v>
      </c>
      <c r="AW297" s="476">
        <f t="shared" si="500"/>
        <v>0</v>
      </c>
      <c r="AX297" s="476">
        <f t="shared" si="501"/>
        <v>0</v>
      </c>
      <c r="AY297" s="476">
        <f t="shared" si="502"/>
        <v>0</v>
      </c>
      <c r="AZ297" s="476">
        <f t="shared" si="503"/>
        <v>0</v>
      </c>
      <c r="BA297" s="476">
        <f t="shared" si="504"/>
        <v>0</v>
      </c>
      <c r="BB297" s="476">
        <f t="shared" si="505"/>
        <v>0</v>
      </c>
      <c r="BC297" s="476">
        <f t="shared" si="506"/>
        <v>0</v>
      </c>
      <c r="BD297" s="476">
        <f t="shared" si="507"/>
        <v>0</v>
      </c>
      <c r="BE297" s="476">
        <f t="shared" si="508"/>
        <v>0</v>
      </c>
      <c r="BF297" s="476">
        <f t="shared" si="509"/>
        <v>0</v>
      </c>
      <c r="BG297" s="476">
        <f t="shared" si="510"/>
        <v>0</v>
      </c>
    </row>
    <row r="298" spans="1:59" ht="16.5" customHeight="1">
      <c r="A298" s="583" t="s">
        <v>1461</v>
      </c>
      <c r="B298" s="584" t="s">
        <v>1462</v>
      </c>
      <c r="C298" s="584" t="s">
        <v>1463</v>
      </c>
      <c r="D298" s="413" t="s">
        <v>1164</v>
      </c>
      <c r="E298" s="412" t="s">
        <v>1181</v>
      </c>
      <c r="F298" s="413" t="s">
        <v>1462</v>
      </c>
      <c r="G298" s="412" t="s">
        <v>1462</v>
      </c>
      <c r="H298" s="412" t="s">
        <v>974</v>
      </c>
      <c r="I298" s="477">
        <v>0</v>
      </c>
      <c r="J298" s="477">
        <v>0</v>
      </c>
      <c r="K298" s="477">
        <v>54230</v>
      </c>
      <c r="L298" s="477">
        <v>0</v>
      </c>
      <c r="M298" s="477">
        <f t="shared" si="465"/>
        <v>54230</v>
      </c>
      <c r="N298" s="477">
        <f t="shared" si="466"/>
        <v>0</v>
      </c>
      <c r="O298" s="477"/>
      <c r="P298" s="477"/>
      <c r="Q298" s="477">
        <f t="shared" si="467"/>
        <v>54230</v>
      </c>
      <c r="R298" s="477">
        <f t="shared" si="468"/>
        <v>0</v>
      </c>
      <c r="S298" s="477">
        <f t="shared" si="469"/>
        <v>54230</v>
      </c>
      <c r="V298" s="476">
        <f t="shared" si="473"/>
        <v>54230</v>
      </c>
      <c r="W298" s="476">
        <f t="shared" si="474"/>
        <v>0</v>
      </c>
      <c r="X298" s="476">
        <f t="shared" si="475"/>
        <v>0</v>
      </c>
      <c r="Y298" s="476">
        <f t="shared" si="476"/>
        <v>0</v>
      </c>
      <c r="Z298" s="476">
        <f t="shared" si="477"/>
        <v>0</v>
      </c>
      <c r="AA298" s="476">
        <f t="shared" si="478"/>
        <v>0</v>
      </c>
      <c r="AB298" s="476">
        <f t="shared" si="479"/>
        <v>0</v>
      </c>
      <c r="AC298" s="476">
        <f t="shared" si="480"/>
        <v>0</v>
      </c>
      <c r="AD298" s="476">
        <f t="shared" si="481"/>
        <v>0</v>
      </c>
      <c r="AE298" s="476">
        <f t="shared" si="482"/>
        <v>0</v>
      </c>
      <c r="AF298" s="476">
        <f t="shared" si="483"/>
        <v>0</v>
      </c>
      <c r="AG298" s="476">
        <f t="shared" si="484"/>
        <v>0</v>
      </c>
      <c r="AH298" s="476">
        <f t="shared" si="485"/>
        <v>0</v>
      </c>
      <c r="AI298" s="476">
        <f t="shared" si="486"/>
        <v>0</v>
      </c>
      <c r="AJ298" s="476">
        <f t="shared" si="487"/>
        <v>0</v>
      </c>
      <c r="AK298" s="476">
        <f t="shared" si="488"/>
        <v>0</v>
      </c>
      <c r="AL298" s="476">
        <f t="shared" si="489"/>
        <v>0</v>
      </c>
      <c r="AM298" s="476">
        <f t="shared" si="490"/>
        <v>0</v>
      </c>
      <c r="AN298" s="476">
        <f t="shared" si="491"/>
        <v>0</v>
      </c>
      <c r="AO298" s="476">
        <f t="shared" si="492"/>
        <v>0</v>
      </c>
      <c r="AP298" s="476">
        <f t="shared" si="493"/>
        <v>0</v>
      </c>
      <c r="AQ298" s="476">
        <f t="shared" si="494"/>
        <v>0</v>
      </c>
      <c r="AR298" s="476">
        <f t="shared" si="495"/>
        <v>0</v>
      </c>
      <c r="AS298" s="476">
        <f t="shared" si="496"/>
        <v>0</v>
      </c>
      <c r="AT298" s="476">
        <f t="shared" si="497"/>
        <v>0</v>
      </c>
      <c r="AU298" s="476">
        <f t="shared" si="498"/>
        <v>0</v>
      </c>
      <c r="AV298" s="476">
        <f t="shared" si="499"/>
        <v>0</v>
      </c>
      <c r="AW298" s="476">
        <f t="shared" si="500"/>
        <v>0</v>
      </c>
      <c r="AX298" s="476">
        <f t="shared" si="501"/>
        <v>0</v>
      </c>
      <c r="AY298" s="476">
        <f t="shared" si="502"/>
        <v>0</v>
      </c>
      <c r="AZ298" s="476">
        <f t="shared" si="503"/>
        <v>0</v>
      </c>
      <c r="BA298" s="476">
        <f t="shared" si="504"/>
        <v>0</v>
      </c>
      <c r="BB298" s="476">
        <f t="shared" si="505"/>
        <v>0</v>
      </c>
      <c r="BC298" s="476">
        <f t="shared" si="506"/>
        <v>0</v>
      </c>
      <c r="BD298" s="476">
        <f t="shared" si="507"/>
        <v>0</v>
      </c>
      <c r="BE298" s="476">
        <f t="shared" si="508"/>
        <v>0</v>
      </c>
      <c r="BF298" s="476">
        <f t="shared" si="509"/>
        <v>0</v>
      </c>
      <c r="BG298" s="476">
        <f t="shared" si="510"/>
        <v>0</v>
      </c>
    </row>
    <row r="299" spans="1:59" ht="16.5" customHeight="1">
      <c r="A299" s="583" t="s">
        <v>1464</v>
      </c>
      <c r="B299" s="584" t="s">
        <v>1465</v>
      </c>
      <c r="C299" s="584" t="s">
        <v>1466</v>
      </c>
      <c r="D299" s="413" t="s">
        <v>1164</v>
      </c>
      <c r="E299" s="412" t="s">
        <v>1181</v>
      </c>
      <c r="F299" s="413" t="s">
        <v>1465</v>
      </c>
      <c r="G299" s="412" t="s">
        <v>1465</v>
      </c>
      <c r="H299" s="412" t="s">
        <v>974</v>
      </c>
      <c r="I299" s="477">
        <v>0</v>
      </c>
      <c r="J299" s="477">
        <v>0</v>
      </c>
      <c r="K299" s="477">
        <v>8500</v>
      </c>
      <c r="L299" s="477">
        <v>0</v>
      </c>
      <c r="M299" s="477">
        <f t="shared" si="465"/>
        <v>8500</v>
      </c>
      <c r="N299" s="477">
        <f t="shared" si="466"/>
        <v>0</v>
      </c>
      <c r="O299" s="477"/>
      <c r="P299" s="477"/>
      <c r="Q299" s="477">
        <f t="shared" si="467"/>
        <v>8500</v>
      </c>
      <c r="R299" s="477">
        <f t="shared" si="468"/>
        <v>0</v>
      </c>
      <c r="S299" s="477">
        <f t="shared" si="469"/>
        <v>8500</v>
      </c>
      <c r="V299" s="476">
        <f t="shared" si="473"/>
        <v>8500</v>
      </c>
      <c r="W299" s="476">
        <f t="shared" si="474"/>
        <v>0</v>
      </c>
      <c r="X299" s="476">
        <f t="shared" si="475"/>
        <v>0</v>
      </c>
      <c r="Y299" s="476">
        <f t="shared" si="476"/>
        <v>0</v>
      </c>
      <c r="Z299" s="476">
        <f t="shared" si="477"/>
        <v>0</v>
      </c>
      <c r="AA299" s="476">
        <f t="shared" si="478"/>
        <v>0</v>
      </c>
      <c r="AB299" s="476">
        <f t="shared" si="479"/>
        <v>0</v>
      </c>
      <c r="AC299" s="476">
        <f t="shared" si="480"/>
        <v>0</v>
      </c>
      <c r="AD299" s="476">
        <f t="shared" si="481"/>
        <v>0</v>
      </c>
      <c r="AE299" s="476">
        <f t="shared" si="482"/>
        <v>0</v>
      </c>
      <c r="AF299" s="476">
        <f t="shared" si="483"/>
        <v>0</v>
      </c>
      <c r="AG299" s="476">
        <f t="shared" si="484"/>
        <v>0</v>
      </c>
      <c r="AH299" s="476">
        <f t="shared" si="485"/>
        <v>0</v>
      </c>
      <c r="AI299" s="476">
        <f t="shared" si="486"/>
        <v>0</v>
      </c>
      <c r="AJ299" s="476">
        <f t="shared" si="487"/>
        <v>0</v>
      </c>
      <c r="AK299" s="476">
        <f t="shared" si="488"/>
        <v>0</v>
      </c>
      <c r="AL299" s="476">
        <f t="shared" si="489"/>
        <v>0</v>
      </c>
      <c r="AM299" s="476">
        <f t="shared" si="490"/>
        <v>0</v>
      </c>
      <c r="AN299" s="476">
        <f t="shared" si="491"/>
        <v>0</v>
      </c>
      <c r="AO299" s="476">
        <f t="shared" si="492"/>
        <v>0</v>
      </c>
      <c r="AP299" s="476">
        <f t="shared" si="493"/>
        <v>0</v>
      </c>
      <c r="AQ299" s="476">
        <f t="shared" si="494"/>
        <v>0</v>
      </c>
      <c r="AR299" s="476">
        <f t="shared" si="495"/>
        <v>0</v>
      </c>
      <c r="AS299" s="476">
        <f t="shared" si="496"/>
        <v>0</v>
      </c>
      <c r="AT299" s="476">
        <f t="shared" si="497"/>
        <v>0</v>
      </c>
      <c r="AU299" s="476">
        <f t="shared" si="498"/>
        <v>0</v>
      </c>
      <c r="AV299" s="476">
        <f t="shared" si="499"/>
        <v>0</v>
      </c>
      <c r="AW299" s="476">
        <f t="shared" si="500"/>
        <v>0</v>
      </c>
      <c r="AX299" s="476">
        <f t="shared" si="501"/>
        <v>0</v>
      </c>
      <c r="AY299" s="476">
        <f t="shared" si="502"/>
        <v>0</v>
      </c>
      <c r="AZ299" s="476">
        <f t="shared" si="503"/>
        <v>0</v>
      </c>
      <c r="BA299" s="476">
        <f t="shared" si="504"/>
        <v>0</v>
      </c>
      <c r="BB299" s="476">
        <f t="shared" si="505"/>
        <v>0</v>
      </c>
      <c r="BC299" s="476">
        <f t="shared" si="506"/>
        <v>0</v>
      </c>
      <c r="BD299" s="476">
        <f t="shared" si="507"/>
        <v>0</v>
      </c>
      <c r="BE299" s="476">
        <f t="shared" si="508"/>
        <v>0</v>
      </c>
      <c r="BF299" s="476">
        <f t="shared" si="509"/>
        <v>0</v>
      </c>
      <c r="BG299" s="476">
        <f t="shared" si="510"/>
        <v>0</v>
      </c>
    </row>
    <row r="300" spans="1:59" ht="16.5" customHeight="1">
      <c r="A300" s="583" t="s">
        <v>1467</v>
      </c>
      <c r="B300" s="584" t="s">
        <v>1468</v>
      </c>
      <c r="C300" s="584" t="s">
        <v>1469</v>
      </c>
      <c r="D300" s="413" t="s">
        <v>1164</v>
      </c>
      <c r="E300" s="412" t="s">
        <v>1181</v>
      </c>
      <c r="F300" s="413" t="s">
        <v>1468</v>
      </c>
      <c r="G300" s="412" t="s">
        <v>1468</v>
      </c>
      <c r="H300" s="412" t="s">
        <v>974</v>
      </c>
      <c r="I300" s="477">
        <v>0</v>
      </c>
      <c r="J300" s="477">
        <v>0</v>
      </c>
      <c r="K300" s="477">
        <v>660000</v>
      </c>
      <c r="L300" s="477">
        <v>0</v>
      </c>
      <c r="M300" s="477">
        <f t="shared" si="465"/>
        <v>660000</v>
      </c>
      <c r="N300" s="477">
        <f t="shared" si="466"/>
        <v>0</v>
      </c>
      <c r="O300" s="477"/>
      <c r="P300" s="477"/>
      <c r="Q300" s="477">
        <f t="shared" si="467"/>
        <v>660000</v>
      </c>
      <c r="R300" s="477">
        <f t="shared" si="468"/>
        <v>0</v>
      </c>
      <c r="S300" s="477">
        <f t="shared" si="469"/>
        <v>660000</v>
      </c>
      <c r="V300" s="476">
        <f t="shared" si="473"/>
        <v>660000</v>
      </c>
      <c r="W300" s="476">
        <f t="shared" si="474"/>
        <v>0</v>
      </c>
      <c r="X300" s="476">
        <f t="shared" si="475"/>
        <v>0</v>
      </c>
      <c r="Y300" s="476">
        <f t="shared" si="476"/>
        <v>0</v>
      </c>
      <c r="Z300" s="476">
        <f t="shared" si="477"/>
        <v>0</v>
      </c>
      <c r="AA300" s="476">
        <f t="shared" si="478"/>
        <v>0</v>
      </c>
      <c r="AB300" s="476">
        <f t="shared" si="479"/>
        <v>0</v>
      </c>
      <c r="AC300" s="476">
        <f t="shared" si="480"/>
        <v>0</v>
      </c>
      <c r="AD300" s="476">
        <f t="shared" si="481"/>
        <v>0</v>
      </c>
      <c r="AE300" s="476">
        <f t="shared" si="482"/>
        <v>0</v>
      </c>
      <c r="AF300" s="476">
        <f t="shared" si="483"/>
        <v>0</v>
      </c>
      <c r="AG300" s="476">
        <f t="shared" si="484"/>
        <v>0</v>
      </c>
      <c r="AH300" s="476">
        <f t="shared" si="485"/>
        <v>0</v>
      </c>
      <c r="AI300" s="476">
        <f t="shared" si="486"/>
        <v>0</v>
      </c>
      <c r="AJ300" s="476">
        <f t="shared" si="487"/>
        <v>0</v>
      </c>
      <c r="AK300" s="476">
        <f t="shared" si="488"/>
        <v>0</v>
      </c>
      <c r="AL300" s="476">
        <f t="shared" si="489"/>
        <v>0</v>
      </c>
      <c r="AM300" s="476">
        <f t="shared" si="490"/>
        <v>0</v>
      </c>
      <c r="AN300" s="476">
        <f t="shared" si="491"/>
        <v>0</v>
      </c>
      <c r="AO300" s="476">
        <f t="shared" si="492"/>
        <v>0</v>
      </c>
      <c r="AP300" s="476">
        <f t="shared" si="493"/>
        <v>0</v>
      </c>
      <c r="AQ300" s="476">
        <f t="shared" si="494"/>
        <v>0</v>
      </c>
      <c r="AR300" s="476">
        <f t="shared" si="495"/>
        <v>0</v>
      </c>
      <c r="AS300" s="476">
        <f t="shared" si="496"/>
        <v>0</v>
      </c>
      <c r="AT300" s="476">
        <f t="shared" si="497"/>
        <v>0</v>
      </c>
      <c r="AU300" s="476">
        <f t="shared" si="498"/>
        <v>0</v>
      </c>
      <c r="AV300" s="476">
        <f t="shared" si="499"/>
        <v>0</v>
      </c>
      <c r="AW300" s="476">
        <f t="shared" si="500"/>
        <v>0</v>
      </c>
      <c r="AX300" s="476">
        <f t="shared" si="501"/>
        <v>0</v>
      </c>
      <c r="AY300" s="476">
        <f t="shared" si="502"/>
        <v>0</v>
      </c>
      <c r="AZ300" s="476">
        <f t="shared" si="503"/>
        <v>0</v>
      </c>
      <c r="BA300" s="476">
        <f t="shared" si="504"/>
        <v>0</v>
      </c>
      <c r="BB300" s="476">
        <f t="shared" si="505"/>
        <v>0</v>
      </c>
      <c r="BC300" s="476">
        <f t="shared" si="506"/>
        <v>0</v>
      </c>
      <c r="BD300" s="476">
        <f t="shared" si="507"/>
        <v>0</v>
      </c>
      <c r="BE300" s="476">
        <f t="shared" si="508"/>
        <v>0</v>
      </c>
      <c r="BF300" s="476">
        <f t="shared" si="509"/>
        <v>0</v>
      </c>
      <c r="BG300" s="476">
        <f t="shared" si="510"/>
        <v>0</v>
      </c>
    </row>
    <row r="301" spans="1:59" ht="16.5" customHeight="1">
      <c r="A301" s="583" t="s">
        <v>1470</v>
      </c>
      <c r="B301" s="584" t="s">
        <v>1471</v>
      </c>
      <c r="C301" s="584" t="s">
        <v>1472</v>
      </c>
      <c r="D301" s="413" t="s">
        <v>1164</v>
      </c>
      <c r="E301" s="412" t="s">
        <v>1181</v>
      </c>
      <c r="F301" s="413" t="s">
        <v>1471</v>
      </c>
      <c r="G301" s="412" t="s">
        <v>1471</v>
      </c>
      <c r="H301" s="412" t="s">
        <v>974</v>
      </c>
      <c r="I301" s="477">
        <v>0</v>
      </c>
      <c r="J301" s="477">
        <v>0</v>
      </c>
      <c r="K301" s="477">
        <v>330000</v>
      </c>
      <c r="L301" s="477">
        <v>0</v>
      </c>
      <c r="M301" s="477">
        <f t="shared" si="465"/>
        <v>330000</v>
      </c>
      <c r="N301" s="477">
        <f t="shared" si="466"/>
        <v>0</v>
      </c>
      <c r="O301" s="477"/>
      <c r="P301" s="477"/>
      <c r="Q301" s="477">
        <f t="shared" si="467"/>
        <v>330000</v>
      </c>
      <c r="R301" s="477">
        <f t="shared" si="468"/>
        <v>0</v>
      </c>
      <c r="S301" s="477">
        <f t="shared" si="469"/>
        <v>330000</v>
      </c>
      <c r="V301" s="476">
        <f t="shared" si="473"/>
        <v>330000</v>
      </c>
      <c r="W301" s="476">
        <f t="shared" si="474"/>
        <v>0</v>
      </c>
      <c r="X301" s="476">
        <f t="shared" si="475"/>
        <v>0</v>
      </c>
      <c r="Y301" s="476">
        <f t="shared" si="476"/>
        <v>0</v>
      </c>
      <c r="Z301" s="476">
        <f t="shared" si="477"/>
        <v>0</v>
      </c>
      <c r="AA301" s="476">
        <f t="shared" si="478"/>
        <v>0</v>
      </c>
      <c r="AB301" s="476">
        <f t="shared" si="479"/>
        <v>0</v>
      </c>
      <c r="AC301" s="476">
        <f t="shared" si="480"/>
        <v>0</v>
      </c>
      <c r="AD301" s="476">
        <f t="shared" si="481"/>
        <v>0</v>
      </c>
      <c r="AE301" s="476">
        <f t="shared" si="482"/>
        <v>0</v>
      </c>
      <c r="AF301" s="476">
        <f t="shared" si="483"/>
        <v>0</v>
      </c>
      <c r="AG301" s="476">
        <f t="shared" si="484"/>
        <v>0</v>
      </c>
      <c r="AH301" s="476">
        <f t="shared" si="485"/>
        <v>0</v>
      </c>
      <c r="AI301" s="476">
        <f t="shared" si="486"/>
        <v>0</v>
      </c>
      <c r="AJ301" s="476">
        <f t="shared" si="487"/>
        <v>0</v>
      </c>
      <c r="AK301" s="476">
        <f t="shared" si="488"/>
        <v>0</v>
      </c>
      <c r="AL301" s="476">
        <f t="shared" si="489"/>
        <v>0</v>
      </c>
      <c r="AM301" s="476">
        <f t="shared" si="490"/>
        <v>0</v>
      </c>
      <c r="AN301" s="476">
        <f t="shared" si="491"/>
        <v>0</v>
      </c>
      <c r="AO301" s="476">
        <f t="shared" si="492"/>
        <v>0</v>
      </c>
      <c r="AP301" s="476">
        <f t="shared" si="493"/>
        <v>0</v>
      </c>
      <c r="AQ301" s="476">
        <f t="shared" si="494"/>
        <v>0</v>
      </c>
      <c r="AR301" s="476">
        <f t="shared" si="495"/>
        <v>0</v>
      </c>
      <c r="AS301" s="476">
        <f t="shared" si="496"/>
        <v>0</v>
      </c>
      <c r="AT301" s="476">
        <f t="shared" si="497"/>
        <v>0</v>
      </c>
      <c r="AU301" s="476">
        <f t="shared" si="498"/>
        <v>0</v>
      </c>
      <c r="AV301" s="476">
        <f t="shared" si="499"/>
        <v>0</v>
      </c>
      <c r="AW301" s="476">
        <f t="shared" si="500"/>
        <v>0</v>
      </c>
      <c r="AX301" s="476">
        <f t="shared" si="501"/>
        <v>0</v>
      </c>
      <c r="AY301" s="476">
        <f t="shared" si="502"/>
        <v>0</v>
      </c>
      <c r="AZ301" s="476">
        <f t="shared" si="503"/>
        <v>0</v>
      </c>
      <c r="BA301" s="476">
        <f t="shared" si="504"/>
        <v>0</v>
      </c>
      <c r="BB301" s="476">
        <f t="shared" si="505"/>
        <v>0</v>
      </c>
      <c r="BC301" s="476">
        <f t="shared" si="506"/>
        <v>0</v>
      </c>
      <c r="BD301" s="476">
        <f t="shared" si="507"/>
        <v>0</v>
      </c>
      <c r="BE301" s="476">
        <f t="shared" si="508"/>
        <v>0</v>
      </c>
      <c r="BF301" s="476">
        <f t="shared" si="509"/>
        <v>0</v>
      </c>
      <c r="BG301" s="476">
        <f t="shared" si="510"/>
        <v>0</v>
      </c>
    </row>
    <row r="302" spans="1:59" ht="16.5" customHeight="1">
      <c r="A302" s="583" t="s">
        <v>1473</v>
      </c>
      <c r="B302" s="584" t="s">
        <v>1474</v>
      </c>
      <c r="C302" s="584" t="s">
        <v>1475</v>
      </c>
      <c r="D302" s="413" t="s">
        <v>1164</v>
      </c>
      <c r="E302" s="412" t="s">
        <v>1181</v>
      </c>
      <c r="F302" s="413" t="s">
        <v>1474</v>
      </c>
      <c r="G302" s="412" t="s">
        <v>1474</v>
      </c>
      <c r="H302" s="412" t="s">
        <v>974</v>
      </c>
      <c r="I302" s="477">
        <v>0</v>
      </c>
      <c r="J302" s="477">
        <v>0</v>
      </c>
      <c r="K302" s="477">
        <v>5500</v>
      </c>
      <c r="L302" s="477">
        <v>0</v>
      </c>
      <c r="M302" s="477">
        <f t="shared" si="465"/>
        <v>5500</v>
      </c>
      <c r="N302" s="477">
        <f t="shared" si="466"/>
        <v>0</v>
      </c>
      <c r="O302" s="477"/>
      <c r="P302" s="477"/>
      <c r="Q302" s="477">
        <f t="shared" si="467"/>
        <v>5500</v>
      </c>
      <c r="R302" s="477">
        <f t="shared" si="468"/>
        <v>0</v>
      </c>
      <c r="S302" s="477">
        <f t="shared" si="469"/>
        <v>5500</v>
      </c>
      <c r="V302" s="476">
        <f t="shared" si="473"/>
        <v>5500</v>
      </c>
      <c r="W302" s="476">
        <f t="shared" si="474"/>
        <v>0</v>
      </c>
      <c r="X302" s="476">
        <f t="shared" si="475"/>
        <v>0</v>
      </c>
      <c r="Y302" s="476">
        <f t="shared" si="476"/>
        <v>0</v>
      </c>
      <c r="Z302" s="476">
        <f t="shared" si="477"/>
        <v>0</v>
      </c>
      <c r="AA302" s="476">
        <f t="shared" si="478"/>
        <v>0</v>
      </c>
      <c r="AB302" s="476">
        <f t="shared" si="479"/>
        <v>0</v>
      </c>
      <c r="AC302" s="476">
        <f t="shared" si="480"/>
        <v>0</v>
      </c>
      <c r="AD302" s="476">
        <f t="shared" si="481"/>
        <v>0</v>
      </c>
      <c r="AE302" s="476">
        <f t="shared" si="482"/>
        <v>0</v>
      </c>
      <c r="AF302" s="476">
        <f t="shared" si="483"/>
        <v>0</v>
      </c>
      <c r="AG302" s="476">
        <f t="shared" si="484"/>
        <v>0</v>
      </c>
      <c r="AH302" s="476">
        <f t="shared" si="485"/>
        <v>0</v>
      </c>
      <c r="AI302" s="476">
        <f t="shared" si="486"/>
        <v>0</v>
      </c>
      <c r="AJ302" s="476">
        <f t="shared" si="487"/>
        <v>0</v>
      </c>
      <c r="AK302" s="476">
        <f t="shared" si="488"/>
        <v>0</v>
      </c>
      <c r="AL302" s="476">
        <f t="shared" si="489"/>
        <v>0</v>
      </c>
      <c r="AM302" s="476">
        <f t="shared" si="490"/>
        <v>0</v>
      </c>
      <c r="AN302" s="476">
        <f t="shared" si="491"/>
        <v>0</v>
      </c>
      <c r="AO302" s="476">
        <f t="shared" si="492"/>
        <v>0</v>
      </c>
      <c r="AP302" s="476">
        <f t="shared" si="493"/>
        <v>0</v>
      </c>
      <c r="AQ302" s="476">
        <f t="shared" si="494"/>
        <v>0</v>
      </c>
      <c r="AR302" s="476">
        <f t="shared" si="495"/>
        <v>0</v>
      </c>
      <c r="AS302" s="476">
        <f t="shared" si="496"/>
        <v>0</v>
      </c>
      <c r="AT302" s="476">
        <f t="shared" si="497"/>
        <v>0</v>
      </c>
      <c r="AU302" s="476">
        <f t="shared" si="498"/>
        <v>0</v>
      </c>
      <c r="AV302" s="476">
        <f t="shared" si="499"/>
        <v>0</v>
      </c>
      <c r="AW302" s="476">
        <f t="shared" si="500"/>
        <v>0</v>
      </c>
      <c r="AX302" s="476">
        <f t="shared" si="501"/>
        <v>0</v>
      </c>
      <c r="AY302" s="476">
        <f t="shared" si="502"/>
        <v>0</v>
      </c>
      <c r="AZ302" s="476">
        <f t="shared" si="503"/>
        <v>0</v>
      </c>
      <c r="BA302" s="476">
        <f t="shared" si="504"/>
        <v>0</v>
      </c>
      <c r="BB302" s="476">
        <f t="shared" si="505"/>
        <v>0</v>
      </c>
      <c r="BC302" s="476">
        <f t="shared" si="506"/>
        <v>0</v>
      </c>
      <c r="BD302" s="476">
        <f t="shared" si="507"/>
        <v>0</v>
      </c>
      <c r="BE302" s="476">
        <f t="shared" si="508"/>
        <v>0</v>
      </c>
      <c r="BF302" s="476">
        <f t="shared" si="509"/>
        <v>0</v>
      </c>
      <c r="BG302" s="476">
        <f t="shared" si="510"/>
        <v>0</v>
      </c>
    </row>
    <row r="303" spans="1:59" ht="16.5" customHeight="1">
      <c r="A303" s="583" t="s">
        <v>1254</v>
      </c>
      <c r="B303" s="584" t="s">
        <v>1269</v>
      </c>
      <c r="C303" s="584" t="s">
        <v>1804</v>
      </c>
      <c r="D303" s="413" t="s">
        <v>1164</v>
      </c>
      <c r="E303" s="412" t="s">
        <v>1181</v>
      </c>
      <c r="F303" s="413" t="s">
        <v>1201</v>
      </c>
      <c r="G303" s="412" t="s">
        <v>1202</v>
      </c>
      <c r="H303" s="412" t="s">
        <v>1275</v>
      </c>
      <c r="I303" s="477">
        <v>0</v>
      </c>
      <c r="J303" s="477">
        <v>0</v>
      </c>
      <c r="K303" s="477">
        <v>506658</v>
      </c>
      <c r="L303" s="477">
        <v>0</v>
      </c>
      <c r="M303" s="477">
        <f t="shared" si="465"/>
        <v>506658</v>
      </c>
      <c r="N303" s="477">
        <f t="shared" si="466"/>
        <v>0</v>
      </c>
      <c r="O303" s="477"/>
      <c r="P303" s="477"/>
      <c r="Q303" s="477">
        <f t="shared" ref="Q303" si="511">+M303+O303</f>
        <v>506658</v>
      </c>
      <c r="R303" s="477">
        <f t="shared" ref="R303" si="512">+N303+P303</f>
        <v>0</v>
      </c>
      <c r="S303" s="477">
        <f t="shared" ref="S303" si="513">+Q303-R303</f>
        <v>506658</v>
      </c>
      <c r="V303" s="476"/>
      <c r="W303" s="476"/>
      <c r="X303" s="476"/>
      <c r="Y303" s="476"/>
      <c r="Z303" s="476"/>
      <c r="AA303" s="476"/>
      <c r="AB303" s="476"/>
      <c r="AC303" s="476"/>
      <c r="AD303" s="476"/>
      <c r="AE303" s="476"/>
      <c r="AF303" s="476"/>
      <c r="AG303" s="476"/>
      <c r="AH303" s="476"/>
      <c r="AI303" s="476"/>
      <c r="AJ303" s="476"/>
      <c r="AK303" s="476"/>
      <c r="AL303" s="476"/>
      <c r="AM303" s="476"/>
      <c r="AN303" s="476"/>
      <c r="AO303" s="476"/>
      <c r="AP303" s="476"/>
      <c r="AQ303" s="476"/>
      <c r="AR303" s="476"/>
      <c r="AS303" s="476"/>
      <c r="AT303" s="476"/>
      <c r="AU303" s="476"/>
      <c r="AV303" s="476"/>
      <c r="AW303" s="476"/>
      <c r="AX303" s="476"/>
      <c r="AY303" s="476"/>
      <c r="AZ303" s="476"/>
      <c r="BA303" s="476"/>
      <c r="BB303" s="476"/>
      <c r="BC303" s="476"/>
      <c r="BD303" s="476"/>
      <c r="BE303" s="476"/>
      <c r="BF303" s="476"/>
      <c r="BG303" s="476"/>
    </row>
    <row r="304" spans="1:59" ht="16.5" customHeight="1">
      <c r="A304" s="583" t="s">
        <v>1255</v>
      </c>
      <c r="B304" s="584" t="s">
        <v>1270</v>
      </c>
      <c r="C304" s="584" t="s">
        <v>1805</v>
      </c>
      <c r="D304" s="413" t="s">
        <v>1164</v>
      </c>
      <c r="E304" s="412" t="s">
        <v>1181</v>
      </c>
      <c r="F304" s="413" t="s">
        <v>1201</v>
      </c>
      <c r="G304" s="412" t="s">
        <v>1202</v>
      </c>
      <c r="H304" s="412" t="s">
        <v>1275</v>
      </c>
      <c r="I304" s="477">
        <v>0</v>
      </c>
      <c r="J304" s="477">
        <v>0</v>
      </c>
      <c r="K304" s="477">
        <v>343770</v>
      </c>
      <c r="L304" s="477">
        <v>0</v>
      </c>
      <c r="M304" s="477">
        <f t="shared" si="465"/>
        <v>343770</v>
      </c>
      <c r="N304" s="477">
        <f t="shared" si="466"/>
        <v>0</v>
      </c>
      <c r="O304" s="477"/>
      <c r="P304" s="477"/>
      <c r="Q304" s="477">
        <f t="shared" si="467"/>
        <v>343770</v>
      </c>
      <c r="R304" s="477">
        <f t="shared" si="468"/>
        <v>0</v>
      </c>
      <c r="S304" s="477">
        <f t="shared" si="469"/>
        <v>343770</v>
      </c>
      <c r="U304" s="473"/>
      <c r="V304" s="476">
        <f>IF($V$8=$H304,$Q304,0)</f>
        <v>0</v>
      </c>
      <c r="W304" s="476">
        <f>IF($V$8=$H304,$R304,0)</f>
        <v>0</v>
      </c>
      <c r="X304" s="476">
        <f>IF($X$8=$H304,$Q304,0)</f>
        <v>0</v>
      </c>
      <c r="Y304" s="476">
        <f>IF($X$8=$H304,$R304,0)</f>
        <v>0</v>
      </c>
      <c r="Z304" s="476">
        <f>IF($Z$8=$H304,$Q304,0)</f>
        <v>0</v>
      </c>
      <c r="AA304" s="476">
        <f>IF($Z$8=$H304,$R304,0)</f>
        <v>0</v>
      </c>
      <c r="AB304" s="476">
        <f>IF($AB$8=$H304,$Q304,0)</f>
        <v>0</v>
      </c>
      <c r="AC304" s="476">
        <f>IF($AB$8=$H304,$R304,0)</f>
        <v>0</v>
      </c>
      <c r="AD304" s="476">
        <f>IF($AD$8=$H304,$Q304,0)</f>
        <v>0</v>
      </c>
      <c r="AE304" s="476">
        <f>IF($AD$8=$H304,$R304,0)</f>
        <v>0</v>
      </c>
      <c r="AF304" s="476">
        <f>IF($AF$8=$H304,$Q304,0)</f>
        <v>0</v>
      </c>
      <c r="AG304" s="476">
        <f>IF($AF$8=$H304,$R304,0)</f>
        <v>0</v>
      </c>
      <c r="AH304" s="476">
        <f>IF($AH$8=$H304,$Q304,0)</f>
        <v>0</v>
      </c>
      <c r="AI304" s="476">
        <f>IF($AH$8=$H304,$R304,0)</f>
        <v>0</v>
      </c>
      <c r="AJ304" s="476">
        <f>IF($AJ$8=$H304,$Q304,0)</f>
        <v>0</v>
      </c>
      <c r="AK304" s="476">
        <f>IF($AJ$8=$H304,$R304,0)</f>
        <v>0</v>
      </c>
      <c r="AL304" s="476">
        <f>IF($AL$8=$H304,$Q304,0)</f>
        <v>0</v>
      </c>
      <c r="AM304" s="476">
        <f>IF($AL$8=$H304,$R304,0)</f>
        <v>0</v>
      </c>
      <c r="AN304" s="476">
        <f>IF($AN$8=$H304,$Q304,0)</f>
        <v>0</v>
      </c>
      <c r="AO304" s="476">
        <f>IF($AN$8=$H304,$R304,0)</f>
        <v>0</v>
      </c>
      <c r="AP304" s="476">
        <f>IF($AP$8=$H304,$Q304,0)</f>
        <v>0</v>
      </c>
      <c r="AQ304" s="476">
        <f>IF($AP$8=$H304,$R304,0)</f>
        <v>0</v>
      </c>
      <c r="AR304" s="476">
        <f>IF($AR$8=$H304,$Q304,0)</f>
        <v>0</v>
      </c>
      <c r="AS304" s="476">
        <f>IF($AR$8=$H304,$R304,0)</f>
        <v>0</v>
      </c>
      <c r="AT304" s="476">
        <f>IF($AT$8=$H304,$Q304,0)</f>
        <v>0</v>
      </c>
      <c r="AU304" s="476">
        <f>IF($AT$8=$H304,$R304,0)</f>
        <v>0</v>
      </c>
      <c r="AV304" s="476">
        <f>IF($AV$8=$H304,$Q304,0)</f>
        <v>0</v>
      </c>
      <c r="AW304" s="476">
        <f>IF($AV$8=$H304,$R304,0)</f>
        <v>0</v>
      </c>
      <c r="AX304" s="476">
        <f>IF($AX$8=$H304,$Q304,0)</f>
        <v>0</v>
      </c>
      <c r="AY304" s="476">
        <f>IF($AX$8=$H304,$R304,0)</f>
        <v>0</v>
      </c>
      <c r="AZ304" s="476">
        <f>IF($AZ$8=$H304,$Q304,0)</f>
        <v>0</v>
      </c>
      <c r="BA304" s="476">
        <f>IF($AZ$8=$H304,$R304,0)</f>
        <v>0</v>
      </c>
      <c r="BB304" s="476">
        <f>IF($BB$8=$H304,$Q304,0)</f>
        <v>0</v>
      </c>
      <c r="BC304" s="476">
        <f>IF($BB$8=$H304,$R304,0)</f>
        <v>0</v>
      </c>
      <c r="BD304" s="476">
        <f>IF($BD$8=$H304,$Q304,0)</f>
        <v>0</v>
      </c>
      <c r="BE304" s="476">
        <f>IF($BD$8=$H304,$R304,0)</f>
        <v>0</v>
      </c>
      <c r="BF304" s="476">
        <f>IF($BF$8=$H304,$Q304,0)</f>
        <v>0</v>
      </c>
      <c r="BG304" s="476">
        <f>IF($BF$8=$H304,$R304,0)</f>
        <v>0</v>
      </c>
    </row>
    <row r="305" spans="1:59" ht="16.5" customHeight="1">
      <c r="A305" s="583" t="s">
        <v>1256</v>
      </c>
      <c r="B305" s="584" t="s">
        <v>1271</v>
      </c>
      <c r="C305" s="584" t="s">
        <v>1806</v>
      </c>
      <c r="D305" s="413" t="s">
        <v>1164</v>
      </c>
      <c r="E305" s="412" t="s">
        <v>1181</v>
      </c>
      <c r="F305" s="413" t="s">
        <v>1201</v>
      </c>
      <c r="G305" s="412" t="s">
        <v>1202</v>
      </c>
      <c r="H305" s="412" t="s">
        <v>1275</v>
      </c>
      <c r="I305" s="477">
        <v>0</v>
      </c>
      <c r="J305" s="477">
        <v>0</v>
      </c>
      <c r="K305" s="477">
        <v>258887</v>
      </c>
      <c r="L305" s="477">
        <v>0</v>
      </c>
      <c r="M305" s="477">
        <f t="shared" si="465"/>
        <v>258887</v>
      </c>
      <c r="N305" s="477">
        <f t="shared" si="466"/>
        <v>0</v>
      </c>
      <c r="O305" s="477"/>
      <c r="P305" s="477"/>
      <c r="Q305" s="477">
        <f t="shared" si="467"/>
        <v>258887</v>
      </c>
      <c r="R305" s="477">
        <f t="shared" si="468"/>
        <v>0</v>
      </c>
      <c r="S305" s="477">
        <f t="shared" si="469"/>
        <v>258887</v>
      </c>
      <c r="U305" s="473"/>
      <c r="V305" s="476">
        <f>IF($V$8=$H305,$Q305,0)</f>
        <v>0</v>
      </c>
      <c r="W305" s="476">
        <f>IF($V$8=$H305,$R305,0)</f>
        <v>0</v>
      </c>
      <c r="X305" s="476">
        <f>IF($X$8=$H305,$Q305,0)</f>
        <v>0</v>
      </c>
      <c r="Y305" s="476">
        <f>IF($X$8=$H305,$R305,0)</f>
        <v>0</v>
      </c>
      <c r="Z305" s="476">
        <f>IF($Z$8=$H305,$Q305,0)</f>
        <v>0</v>
      </c>
      <c r="AA305" s="476">
        <f>IF($Z$8=$H305,$R305,0)</f>
        <v>0</v>
      </c>
      <c r="AB305" s="476">
        <f>IF($AB$8=$H305,$Q305,0)</f>
        <v>0</v>
      </c>
      <c r="AC305" s="476">
        <f>IF($AB$8=$H305,$R305,0)</f>
        <v>0</v>
      </c>
      <c r="AD305" s="476">
        <f>IF($AD$8=$H305,$Q305,0)</f>
        <v>0</v>
      </c>
      <c r="AE305" s="476">
        <f>IF($AD$8=$H305,$R305,0)</f>
        <v>0</v>
      </c>
      <c r="AF305" s="476">
        <f>IF($AF$8=$H305,$Q305,0)</f>
        <v>0</v>
      </c>
      <c r="AG305" s="476">
        <f>IF($AF$8=$H305,$R305,0)</f>
        <v>0</v>
      </c>
      <c r="AH305" s="476">
        <f>IF($AH$8=$H305,$Q305,0)</f>
        <v>0</v>
      </c>
      <c r="AI305" s="476">
        <f>IF($AH$8=$H305,$R305,0)</f>
        <v>0</v>
      </c>
      <c r="AJ305" s="476">
        <f>IF($AJ$8=$H305,$Q305,0)</f>
        <v>0</v>
      </c>
      <c r="AK305" s="476">
        <f>IF($AJ$8=$H305,$R305,0)</f>
        <v>0</v>
      </c>
      <c r="AL305" s="476">
        <f>IF($AL$8=$H305,$Q305,0)</f>
        <v>0</v>
      </c>
      <c r="AM305" s="476">
        <f>IF($AL$8=$H305,$R305,0)</f>
        <v>0</v>
      </c>
      <c r="AN305" s="476">
        <f>IF($AN$8=$H305,$Q305,0)</f>
        <v>0</v>
      </c>
      <c r="AO305" s="476">
        <f>IF($AN$8=$H305,$R305,0)</f>
        <v>0</v>
      </c>
      <c r="AP305" s="476">
        <f>IF($AP$8=$H305,$Q305,0)</f>
        <v>0</v>
      </c>
      <c r="AQ305" s="476">
        <f>IF($AP$8=$H305,$R305,0)</f>
        <v>0</v>
      </c>
      <c r="AR305" s="476">
        <f>IF($AR$8=$H305,$Q305,0)</f>
        <v>0</v>
      </c>
      <c r="AS305" s="476">
        <f>IF($AR$8=$H305,$R305,0)</f>
        <v>0</v>
      </c>
      <c r="AT305" s="476">
        <f>IF($AT$8=$H305,$Q305,0)</f>
        <v>0</v>
      </c>
      <c r="AU305" s="476">
        <f>IF($AT$8=$H305,$R305,0)</f>
        <v>0</v>
      </c>
      <c r="AV305" s="476">
        <f>IF($AV$8=$H305,$Q305,0)</f>
        <v>0</v>
      </c>
      <c r="AW305" s="476">
        <f>IF($AV$8=$H305,$R305,0)</f>
        <v>0</v>
      </c>
      <c r="AX305" s="476">
        <f>IF($AX$8=$H305,$Q305,0)</f>
        <v>0</v>
      </c>
      <c r="AY305" s="476">
        <f>IF($AX$8=$H305,$R305,0)</f>
        <v>0</v>
      </c>
      <c r="AZ305" s="476">
        <f>IF($AZ$8=$H305,$Q305,0)</f>
        <v>0</v>
      </c>
      <c r="BA305" s="476">
        <f>IF($AZ$8=$H305,$R305,0)</f>
        <v>0</v>
      </c>
      <c r="BB305" s="476">
        <f>IF($BB$8=$H305,$Q305,0)</f>
        <v>0</v>
      </c>
      <c r="BC305" s="476">
        <f>IF($BB$8=$H305,$R305,0)</f>
        <v>0</v>
      </c>
      <c r="BD305" s="476">
        <f>IF($BD$8=$H305,$Q305,0)</f>
        <v>0</v>
      </c>
      <c r="BE305" s="476">
        <f>IF($BD$8=$H305,$R305,0)</f>
        <v>0</v>
      </c>
      <c r="BF305" s="476">
        <f>IF($BF$8=$H305,$Q305,0)</f>
        <v>0</v>
      </c>
      <c r="BG305" s="476">
        <f>IF($BF$8=$H305,$R305,0)</f>
        <v>0</v>
      </c>
    </row>
    <row r="306" spans="1:59" ht="16.5" customHeight="1">
      <c r="A306" s="583" t="s">
        <v>1257</v>
      </c>
      <c r="B306" s="584" t="s">
        <v>1272</v>
      </c>
      <c r="C306" s="584" t="s">
        <v>1807</v>
      </c>
      <c r="D306" s="413" t="s">
        <v>1164</v>
      </c>
      <c r="E306" s="412" t="s">
        <v>1181</v>
      </c>
      <c r="F306" s="413" t="s">
        <v>1272</v>
      </c>
      <c r="G306" s="412" t="s">
        <v>1272</v>
      </c>
      <c r="H306" s="412" t="s">
        <v>1275</v>
      </c>
      <c r="I306" s="477">
        <v>0</v>
      </c>
      <c r="J306" s="477">
        <v>0</v>
      </c>
      <c r="K306" s="477">
        <v>210205</v>
      </c>
      <c r="L306" s="477">
        <v>0</v>
      </c>
      <c r="M306" s="477">
        <f t="shared" si="465"/>
        <v>210205</v>
      </c>
      <c r="N306" s="477">
        <f t="shared" si="466"/>
        <v>0</v>
      </c>
      <c r="O306" s="477"/>
      <c r="P306" s="477"/>
      <c r="Q306" s="477">
        <f t="shared" si="467"/>
        <v>210205</v>
      </c>
      <c r="R306" s="477">
        <f t="shared" si="468"/>
        <v>0</v>
      </c>
      <c r="S306" s="477">
        <f t="shared" si="469"/>
        <v>210205</v>
      </c>
      <c r="U306" s="473"/>
      <c r="V306" s="476">
        <f>IF($V$8=$H306,$Q306,0)</f>
        <v>0</v>
      </c>
      <c r="W306" s="476">
        <f>IF($V$8=$H306,$R306,0)</f>
        <v>0</v>
      </c>
      <c r="X306" s="476">
        <f>IF($X$8=$H306,$Q306,0)</f>
        <v>0</v>
      </c>
      <c r="Y306" s="476">
        <f>IF($X$8=$H306,$R306,0)</f>
        <v>0</v>
      </c>
      <c r="Z306" s="476">
        <f>IF($Z$8=$H306,$Q306,0)</f>
        <v>0</v>
      </c>
      <c r="AA306" s="476">
        <f>IF($Z$8=$H306,$R306,0)</f>
        <v>0</v>
      </c>
      <c r="AB306" s="476">
        <f>IF($AB$8=$H306,$Q306,0)</f>
        <v>0</v>
      </c>
      <c r="AC306" s="476">
        <f>IF($AB$8=$H306,$R306,0)</f>
        <v>0</v>
      </c>
      <c r="AD306" s="476">
        <f>IF($AD$8=$H306,$Q306,0)</f>
        <v>0</v>
      </c>
      <c r="AE306" s="476">
        <f>IF($AD$8=$H306,$R306,0)</f>
        <v>0</v>
      </c>
      <c r="AF306" s="476">
        <f>IF($AF$8=$H306,$Q306,0)</f>
        <v>0</v>
      </c>
      <c r="AG306" s="476">
        <f>IF($AF$8=$H306,$R306,0)</f>
        <v>0</v>
      </c>
      <c r="AH306" s="476">
        <f>IF($AH$8=$H306,$Q306,0)</f>
        <v>0</v>
      </c>
      <c r="AI306" s="476">
        <f>IF($AH$8=$H306,$R306,0)</f>
        <v>0</v>
      </c>
      <c r="AJ306" s="476">
        <f>IF($AJ$8=$H306,$Q306,0)</f>
        <v>0</v>
      </c>
      <c r="AK306" s="476">
        <f>IF($AJ$8=$H306,$R306,0)</f>
        <v>0</v>
      </c>
      <c r="AL306" s="476">
        <f>IF($AL$8=$H306,$Q306,0)</f>
        <v>0</v>
      </c>
      <c r="AM306" s="476">
        <f>IF($AL$8=$H306,$R306,0)</f>
        <v>0</v>
      </c>
      <c r="AN306" s="476">
        <f>IF($AN$8=$H306,$Q306,0)</f>
        <v>0</v>
      </c>
      <c r="AO306" s="476">
        <f>IF($AN$8=$H306,$R306,0)</f>
        <v>0</v>
      </c>
      <c r="AP306" s="476">
        <f>IF($AP$8=$H306,$Q306,0)</f>
        <v>0</v>
      </c>
      <c r="AQ306" s="476">
        <f>IF($AP$8=$H306,$R306,0)</f>
        <v>0</v>
      </c>
      <c r="AR306" s="476">
        <f>IF($AR$8=$H306,$Q306,0)</f>
        <v>0</v>
      </c>
      <c r="AS306" s="476">
        <f>IF($AR$8=$H306,$R306,0)</f>
        <v>0</v>
      </c>
      <c r="AT306" s="476">
        <f>IF($AT$8=$H306,$Q306,0)</f>
        <v>0</v>
      </c>
      <c r="AU306" s="476">
        <f>IF($AT$8=$H306,$R306,0)</f>
        <v>0</v>
      </c>
      <c r="AV306" s="476">
        <f>IF($AV$8=$H306,$Q306,0)</f>
        <v>0</v>
      </c>
      <c r="AW306" s="476">
        <f>IF($AV$8=$H306,$R306,0)</f>
        <v>0</v>
      </c>
      <c r="AX306" s="476">
        <f>IF($AX$8=$H306,$Q306,0)</f>
        <v>0</v>
      </c>
      <c r="AY306" s="476">
        <f>IF($AX$8=$H306,$R306,0)</f>
        <v>0</v>
      </c>
      <c r="AZ306" s="476">
        <f>IF($AZ$8=$H306,$Q306,0)</f>
        <v>0</v>
      </c>
      <c r="BA306" s="476">
        <f>IF($AZ$8=$H306,$R306,0)</f>
        <v>0</v>
      </c>
      <c r="BB306" s="476">
        <f>IF($BB$8=$H306,$Q306,0)</f>
        <v>0</v>
      </c>
      <c r="BC306" s="476">
        <f>IF($BB$8=$H306,$R306,0)</f>
        <v>0</v>
      </c>
      <c r="BD306" s="476">
        <f>IF($BD$8=$H306,$Q306,0)</f>
        <v>0</v>
      </c>
      <c r="BE306" s="476">
        <f>IF($BD$8=$H306,$R306,0)</f>
        <v>0</v>
      </c>
      <c r="BF306" s="476">
        <f>IF($BF$8=$H306,$Q306,0)</f>
        <v>0</v>
      </c>
      <c r="BG306" s="476">
        <f>IF($BF$8=$H306,$R306,0)</f>
        <v>0</v>
      </c>
    </row>
    <row r="307" spans="1:59" ht="16.5" customHeight="1">
      <c r="A307" s="583" t="s">
        <v>1257</v>
      </c>
      <c r="B307" s="584" t="s">
        <v>1272</v>
      </c>
      <c r="C307" s="584" t="s">
        <v>1808</v>
      </c>
      <c r="D307" s="413" t="s">
        <v>1164</v>
      </c>
      <c r="E307" s="412" t="s">
        <v>1181</v>
      </c>
      <c r="F307" s="413" t="s">
        <v>1272</v>
      </c>
      <c r="G307" s="412" t="s">
        <v>1272</v>
      </c>
      <c r="H307" s="412" t="s">
        <v>1723</v>
      </c>
      <c r="I307" s="477">
        <v>0</v>
      </c>
      <c r="J307" s="477">
        <v>0</v>
      </c>
      <c r="K307" s="477">
        <v>908300</v>
      </c>
      <c r="L307" s="477">
        <v>809000</v>
      </c>
      <c r="M307" s="477">
        <f t="shared" si="465"/>
        <v>908300</v>
      </c>
      <c r="N307" s="477">
        <f t="shared" si="466"/>
        <v>809000</v>
      </c>
      <c r="O307" s="477"/>
      <c r="P307" s="477"/>
      <c r="Q307" s="477">
        <f t="shared" si="467"/>
        <v>908300</v>
      </c>
      <c r="R307" s="477">
        <f t="shared" si="468"/>
        <v>809000</v>
      </c>
      <c r="S307" s="477">
        <f t="shared" si="469"/>
        <v>99300</v>
      </c>
      <c r="U307" s="473"/>
      <c r="V307" s="476">
        <f>IF($V$8=$H307,$Q307,0)</f>
        <v>0</v>
      </c>
      <c r="W307" s="476">
        <f>IF($V$8=$H307,$R307,0)</f>
        <v>0</v>
      </c>
      <c r="X307" s="476">
        <f>IF($X$8=$H307,$Q307,0)</f>
        <v>0</v>
      </c>
      <c r="Y307" s="476">
        <f>IF($X$8=$H307,$R307,0)</f>
        <v>0</v>
      </c>
      <c r="Z307" s="476">
        <f>IF($Z$8=$H307,$Q307,0)</f>
        <v>0</v>
      </c>
      <c r="AA307" s="476">
        <f>IF($Z$8=$H307,$R307,0)</f>
        <v>0</v>
      </c>
      <c r="AB307" s="476">
        <f>IF($AB$8=$H307,$Q307,0)</f>
        <v>0</v>
      </c>
      <c r="AC307" s="476">
        <f>IF($AB$8=$H307,$R307,0)</f>
        <v>0</v>
      </c>
      <c r="AD307" s="476">
        <f>IF($AD$8=$H307,$Q307,0)</f>
        <v>0</v>
      </c>
      <c r="AE307" s="476">
        <f>IF($AD$8=$H307,$R307,0)</f>
        <v>0</v>
      </c>
      <c r="AF307" s="476">
        <f>IF($AF$8=$H307,$Q307,0)</f>
        <v>0</v>
      </c>
      <c r="AG307" s="476">
        <f>IF($AF$8=$H307,$R307,0)</f>
        <v>0</v>
      </c>
      <c r="AH307" s="476">
        <f>IF($AH$8=$H307,$Q307,0)</f>
        <v>0</v>
      </c>
      <c r="AI307" s="476">
        <f>IF($AH$8=$H307,$R307,0)</f>
        <v>0</v>
      </c>
      <c r="AJ307" s="476">
        <f>IF($AJ$8=$H307,$Q307,0)</f>
        <v>0</v>
      </c>
      <c r="AK307" s="476">
        <f>IF($AJ$8=$H307,$R307,0)</f>
        <v>0</v>
      </c>
      <c r="AL307" s="476">
        <f>IF($AL$8=$H307,$Q307,0)</f>
        <v>0</v>
      </c>
      <c r="AM307" s="476">
        <f>IF($AL$8=$H307,$R307,0)</f>
        <v>0</v>
      </c>
      <c r="AN307" s="476">
        <f>IF($AN$8=$H307,$Q307,0)</f>
        <v>0</v>
      </c>
      <c r="AO307" s="476">
        <f>IF($AN$8=$H307,$R307,0)</f>
        <v>0</v>
      </c>
      <c r="AP307" s="476">
        <f>IF($AP$8=$H307,$Q307,0)</f>
        <v>0</v>
      </c>
      <c r="AQ307" s="476">
        <f>IF($AP$8=$H307,$R307,0)</f>
        <v>0</v>
      </c>
      <c r="AR307" s="476">
        <f>IF($AR$8=$H307,$Q307,0)</f>
        <v>0</v>
      </c>
      <c r="AS307" s="476">
        <f>IF($AR$8=$H307,$R307,0)</f>
        <v>0</v>
      </c>
      <c r="AT307" s="476">
        <f>IF($AT$8=$H307,$Q307,0)</f>
        <v>0</v>
      </c>
      <c r="AU307" s="476">
        <f>IF($AT$8=$H307,$R307,0)</f>
        <v>0</v>
      </c>
      <c r="AV307" s="476">
        <f>IF($AV$8=$H307,$Q307,0)</f>
        <v>0</v>
      </c>
      <c r="AW307" s="476">
        <f>IF($AV$8=$H307,$R307,0)</f>
        <v>0</v>
      </c>
      <c r="AX307" s="476">
        <f>IF($AX$8=$H307,$Q307,0)</f>
        <v>0</v>
      </c>
      <c r="AY307" s="476">
        <f>IF($AX$8=$H307,$R307,0)</f>
        <v>0</v>
      </c>
      <c r="AZ307" s="476">
        <f>IF($AZ$8=$H307,$Q307,0)</f>
        <v>0</v>
      </c>
      <c r="BA307" s="476">
        <f>IF($AZ$8=$H307,$R307,0)</f>
        <v>0</v>
      </c>
      <c r="BB307" s="476">
        <f>IF($BB$8=$H307,$Q307,0)</f>
        <v>0</v>
      </c>
      <c r="BC307" s="476">
        <f>IF($BB$8=$H307,$R307,0)</f>
        <v>0</v>
      </c>
      <c r="BD307" s="476">
        <f>IF($BD$8=$H307,$Q307,0)</f>
        <v>0</v>
      </c>
      <c r="BE307" s="476">
        <f>IF($BD$8=$H307,$R307,0)</f>
        <v>0</v>
      </c>
      <c r="BF307" s="476">
        <f>IF($BF$8=$H307,$Q307,0)</f>
        <v>0</v>
      </c>
      <c r="BG307" s="476">
        <f>IF($BF$8=$H307,$R307,0)</f>
        <v>0</v>
      </c>
    </row>
    <row r="308" spans="1:59" ht="16.5" customHeight="1">
      <c r="A308" s="583" t="s">
        <v>1258</v>
      </c>
      <c r="B308" s="584" t="s">
        <v>1273</v>
      </c>
      <c r="C308" s="584" t="s">
        <v>1809</v>
      </c>
      <c r="D308" s="413" t="s">
        <v>1164</v>
      </c>
      <c r="E308" s="412" t="s">
        <v>1181</v>
      </c>
      <c r="F308" s="413" t="s">
        <v>1273</v>
      </c>
      <c r="G308" s="412" t="s">
        <v>1273</v>
      </c>
      <c r="H308" s="412" t="s">
        <v>1275</v>
      </c>
      <c r="I308" s="477">
        <v>0</v>
      </c>
      <c r="J308" s="477">
        <v>0</v>
      </c>
      <c r="K308" s="477">
        <v>0</v>
      </c>
      <c r="L308" s="477">
        <v>0</v>
      </c>
      <c r="M308" s="477">
        <f t="shared" si="465"/>
        <v>0</v>
      </c>
      <c r="N308" s="477">
        <f t="shared" si="466"/>
        <v>0</v>
      </c>
      <c r="O308" s="477"/>
      <c r="P308" s="477"/>
      <c r="Q308" s="477">
        <f t="shared" si="467"/>
        <v>0</v>
      </c>
      <c r="R308" s="477">
        <f t="shared" si="468"/>
        <v>0</v>
      </c>
      <c r="S308" s="477">
        <f t="shared" si="469"/>
        <v>0</v>
      </c>
      <c r="U308" s="473"/>
      <c r="V308" s="476">
        <f>IF($V$8=$H308,$Q308,0)</f>
        <v>0</v>
      </c>
      <c r="W308" s="476">
        <f>IF($V$8=$H308,$R308,0)</f>
        <v>0</v>
      </c>
      <c r="X308" s="476">
        <f>IF($X$8=$H308,$Q308,0)</f>
        <v>0</v>
      </c>
      <c r="Y308" s="476">
        <f>IF($X$8=$H308,$R308,0)</f>
        <v>0</v>
      </c>
      <c r="Z308" s="476">
        <f>IF($Z$8=$H308,$Q308,0)</f>
        <v>0</v>
      </c>
      <c r="AA308" s="476">
        <f>IF($Z$8=$H308,$R308,0)</f>
        <v>0</v>
      </c>
      <c r="AB308" s="476">
        <f>IF($AB$8=$H308,$Q308,0)</f>
        <v>0</v>
      </c>
      <c r="AC308" s="476">
        <f>IF($AB$8=$H308,$R308,0)</f>
        <v>0</v>
      </c>
      <c r="AD308" s="476">
        <f>IF($AD$8=$H308,$Q308,0)</f>
        <v>0</v>
      </c>
      <c r="AE308" s="476">
        <f>IF($AD$8=$H308,$R308,0)</f>
        <v>0</v>
      </c>
      <c r="AF308" s="476">
        <f>IF($AF$8=$H308,$Q308,0)</f>
        <v>0</v>
      </c>
      <c r="AG308" s="476">
        <f>IF($AF$8=$H308,$R308,0)</f>
        <v>0</v>
      </c>
      <c r="AH308" s="476">
        <f>IF($AH$8=$H308,$Q308,0)</f>
        <v>0</v>
      </c>
      <c r="AI308" s="476">
        <f>IF($AH$8=$H308,$R308,0)</f>
        <v>0</v>
      </c>
      <c r="AJ308" s="476">
        <f>IF($AJ$8=$H308,$Q308,0)</f>
        <v>0</v>
      </c>
      <c r="AK308" s="476">
        <f>IF($AJ$8=$H308,$R308,0)</f>
        <v>0</v>
      </c>
      <c r="AL308" s="476">
        <f>IF($AL$8=$H308,$Q308,0)</f>
        <v>0</v>
      </c>
      <c r="AM308" s="476">
        <f>IF($AL$8=$H308,$R308,0)</f>
        <v>0</v>
      </c>
      <c r="AN308" s="476">
        <f>IF($AN$8=$H308,$Q308,0)</f>
        <v>0</v>
      </c>
      <c r="AO308" s="476">
        <f>IF($AN$8=$H308,$R308,0)</f>
        <v>0</v>
      </c>
      <c r="AP308" s="476">
        <f>IF($AP$8=$H308,$Q308,0)</f>
        <v>0</v>
      </c>
      <c r="AQ308" s="476">
        <f>IF($AP$8=$H308,$R308,0)</f>
        <v>0</v>
      </c>
      <c r="AR308" s="476">
        <f>IF($AR$8=$H308,$Q308,0)</f>
        <v>0</v>
      </c>
      <c r="AS308" s="476">
        <f>IF($AR$8=$H308,$R308,0)</f>
        <v>0</v>
      </c>
      <c r="AT308" s="476">
        <f>IF($AT$8=$H308,$Q308,0)</f>
        <v>0</v>
      </c>
      <c r="AU308" s="476">
        <f>IF($AT$8=$H308,$R308,0)</f>
        <v>0</v>
      </c>
      <c r="AV308" s="476">
        <f>IF($AV$8=$H308,$Q308,0)</f>
        <v>0</v>
      </c>
      <c r="AW308" s="476">
        <f>IF($AV$8=$H308,$R308,0)</f>
        <v>0</v>
      </c>
      <c r="AX308" s="476">
        <f>IF($AX$8=$H308,$Q308,0)</f>
        <v>0</v>
      </c>
      <c r="AY308" s="476">
        <f>IF($AX$8=$H308,$R308,0)</f>
        <v>0</v>
      </c>
      <c r="AZ308" s="476">
        <f>IF($AZ$8=$H308,$Q308,0)</f>
        <v>0</v>
      </c>
      <c r="BA308" s="476">
        <f>IF($AZ$8=$H308,$R308,0)</f>
        <v>0</v>
      </c>
      <c r="BB308" s="476">
        <f>IF($BB$8=$H308,$Q308,0)</f>
        <v>0</v>
      </c>
      <c r="BC308" s="476">
        <f>IF($BB$8=$H308,$R308,0)</f>
        <v>0</v>
      </c>
      <c r="BD308" s="476">
        <f>IF($BD$8=$H308,$Q308,0)</f>
        <v>0</v>
      </c>
      <c r="BE308" s="476">
        <f>IF($BD$8=$H308,$R308,0)</f>
        <v>0</v>
      </c>
      <c r="BF308" s="476">
        <f>IF($BF$8=$H308,$Q308,0)</f>
        <v>0</v>
      </c>
      <c r="BG308" s="476">
        <f>IF($BF$8=$H308,$R308,0)</f>
        <v>0</v>
      </c>
    </row>
    <row r="309" spans="1:59" ht="16.5" customHeight="1">
      <c r="A309" s="583" t="s">
        <v>1360</v>
      </c>
      <c r="B309" s="584" t="s">
        <v>1361</v>
      </c>
      <c r="C309" s="584" t="s">
        <v>1810</v>
      </c>
      <c r="D309" s="413" t="s">
        <v>1164</v>
      </c>
      <c r="E309" s="412" t="s">
        <v>1181</v>
      </c>
      <c r="F309" s="413" t="s">
        <v>1361</v>
      </c>
      <c r="G309" s="412" t="s">
        <v>1361</v>
      </c>
      <c r="H309" s="412" t="s">
        <v>1275</v>
      </c>
      <c r="I309" s="477">
        <v>0</v>
      </c>
      <c r="J309" s="477">
        <v>0</v>
      </c>
      <c r="K309" s="477">
        <v>0</v>
      </c>
      <c r="L309" s="477">
        <v>0</v>
      </c>
      <c r="M309" s="477">
        <f t="shared" si="465"/>
        <v>0</v>
      </c>
      <c r="N309" s="477">
        <f t="shared" si="466"/>
        <v>0</v>
      </c>
      <c r="O309" s="477"/>
      <c r="P309" s="477"/>
      <c r="Q309" s="477">
        <f t="shared" ref="Q309" si="514">+M309+O309</f>
        <v>0</v>
      </c>
      <c r="R309" s="477">
        <f t="shared" ref="R309" si="515">+N309+P309</f>
        <v>0</v>
      </c>
      <c r="S309" s="477">
        <f t="shared" ref="S309" si="516">+Q309-R309</f>
        <v>0</v>
      </c>
      <c r="U309" s="473"/>
      <c r="V309" s="476"/>
      <c r="W309" s="476"/>
      <c r="X309" s="476"/>
      <c r="Y309" s="476"/>
      <c r="Z309" s="476"/>
      <c r="AA309" s="476"/>
      <c r="AB309" s="476"/>
      <c r="AC309" s="476"/>
      <c r="AD309" s="476"/>
      <c r="AE309" s="476"/>
      <c r="AF309" s="476"/>
      <c r="AG309" s="476"/>
      <c r="AH309" s="476"/>
      <c r="AI309" s="476"/>
      <c r="AJ309" s="476"/>
      <c r="AK309" s="476"/>
      <c r="AL309" s="476"/>
      <c r="AM309" s="476"/>
      <c r="AN309" s="476"/>
      <c r="AO309" s="476"/>
      <c r="AP309" s="476"/>
      <c r="AQ309" s="476"/>
      <c r="AR309" s="476"/>
      <c r="AS309" s="476"/>
      <c r="AT309" s="476"/>
      <c r="AU309" s="476"/>
      <c r="AV309" s="476"/>
      <c r="AW309" s="476"/>
      <c r="AX309" s="476"/>
      <c r="AY309" s="476"/>
      <c r="AZ309" s="476"/>
      <c r="BA309" s="476"/>
      <c r="BB309" s="476"/>
      <c r="BC309" s="476"/>
      <c r="BD309" s="476"/>
      <c r="BE309" s="476"/>
      <c r="BF309" s="476"/>
      <c r="BG309" s="476"/>
    </row>
    <row r="310" spans="1:59" ht="16.5" customHeight="1">
      <c r="A310" s="583" t="s">
        <v>1362</v>
      </c>
      <c r="B310" s="584" t="s">
        <v>1363</v>
      </c>
      <c r="C310" s="584" t="s">
        <v>1811</v>
      </c>
      <c r="D310" s="413" t="s">
        <v>1164</v>
      </c>
      <c r="E310" s="412" t="s">
        <v>1181</v>
      </c>
      <c r="F310" s="413" t="s">
        <v>1363</v>
      </c>
      <c r="G310" s="412" t="s">
        <v>1363</v>
      </c>
      <c r="H310" s="412" t="s">
        <v>1275</v>
      </c>
      <c r="I310" s="477">
        <v>0</v>
      </c>
      <c r="J310" s="477">
        <v>0</v>
      </c>
      <c r="K310" s="477">
        <v>330784</v>
      </c>
      <c r="L310" s="477">
        <v>0</v>
      </c>
      <c r="M310" s="477">
        <f t="shared" si="465"/>
        <v>330784</v>
      </c>
      <c r="N310" s="477">
        <f t="shared" si="466"/>
        <v>0</v>
      </c>
      <c r="O310" s="477"/>
      <c r="P310" s="477"/>
      <c r="Q310" s="477">
        <f t="shared" si="467"/>
        <v>330784</v>
      </c>
      <c r="R310" s="477">
        <f t="shared" si="468"/>
        <v>0</v>
      </c>
      <c r="S310" s="477">
        <f t="shared" si="469"/>
        <v>330784</v>
      </c>
      <c r="U310" s="473"/>
      <c r="V310" s="476">
        <f t="shared" ref="V310:V318" si="517">IF($V$8=$H310,$Q310,0)</f>
        <v>0</v>
      </c>
      <c r="W310" s="476">
        <f t="shared" ref="W310:W318" si="518">IF($V$8=$H310,$R310,0)</f>
        <v>0</v>
      </c>
      <c r="X310" s="476">
        <f t="shared" ref="X310:X318" si="519">IF($X$8=$H310,$Q310,0)</f>
        <v>0</v>
      </c>
      <c r="Y310" s="476">
        <f t="shared" ref="Y310:Y318" si="520">IF($X$8=$H310,$R310,0)</f>
        <v>0</v>
      </c>
      <c r="Z310" s="476">
        <f t="shared" ref="Z310:Z318" si="521">IF($Z$8=$H310,$Q310,0)</f>
        <v>0</v>
      </c>
      <c r="AA310" s="476">
        <f t="shared" ref="AA310:AA318" si="522">IF($Z$8=$H310,$R310,0)</f>
        <v>0</v>
      </c>
      <c r="AB310" s="476">
        <f t="shared" ref="AB310:AB318" si="523">IF($AB$8=$H310,$Q310,0)</f>
        <v>0</v>
      </c>
      <c r="AC310" s="476">
        <f t="shared" ref="AC310:AC318" si="524">IF($AB$8=$H310,$R310,0)</f>
        <v>0</v>
      </c>
      <c r="AD310" s="476">
        <f t="shared" ref="AD310:AD318" si="525">IF($AD$8=$H310,$Q310,0)</f>
        <v>0</v>
      </c>
      <c r="AE310" s="476">
        <f t="shared" ref="AE310:AE318" si="526">IF($AD$8=$H310,$R310,0)</f>
        <v>0</v>
      </c>
      <c r="AF310" s="476">
        <f t="shared" ref="AF310:AF318" si="527">IF($AF$8=$H310,$Q310,0)</f>
        <v>0</v>
      </c>
      <c r="AG310" s="476">
        <f t="shared" ref="AG310:AG318" si="528">IF($AF$8=$H310,$R310,0)</f>
        <v>0</v>
      </c>
      <c r="AH310" s="476">
        <f t="shared" ref="AH310:AH318" si="529">IF($AH$8=$H310,$Q310,0)</f>
        <v>0</v>
      </c>
      <c r="AI310" s="476">
        <f t="shared" ref="AI310:AI318" si="530">IF($AH$8=$H310,$R310,0)</f>
        <v>0</v>
      </c>
      <c r="AJ310" s="476">
        <f t="shared" ref="AJ310:AJ318" si="531">IF($AJ$8=$H310,$Q310,0)</f>
        <v>0</v>
      </c>
      <c r="AK310" s="476">
        <f t="shared" ref="AK310:AK318" si="532">IF($AJ$8=$H310,$R310,0)</f>
        <v>0</v>
      </c>
      <c r="AL310" s="476">
        <f t="shared" ref="AL310:AL318" si="533">IF($AL$8=$H310,$Q310,0)</f>
        <v>0</v>
      </c>
      <c r="AM310" s="476">
        <f t="shared" ref="AM310:AM318" si="534">IF($AL$8=$H310,$R310,0)</f>
        <v>0</v>
      </c>
      <c r="AN310" s="476">
        <f t="shared" ref="AN310:AN318" si="535">IF($AN$8=$H310,$Q310,0)</f>
        <v>0</v>
      </c>
      <c r="AO310" s="476">
        <f t="shared" ref="AO310:AO318" si="536">IF($AN$8=$H310,$R310,0)</f>
        <v>0</v>
      </c>
      <c r="AP310" s="476">
        <f t="shared" ref="AP310:AP318" si="537">IF($AP$8=$H310,$Q310,0)</f>
        <v>0</v>
      </c>
      <c r="AQ310" s="476">
        <f t="shared" ref="AQ310:AQ318" si="538">IF($AP$8=$H310,$R310,0)</f>
        <v>0</v>
      </c>
      <c r="AR310" s="476">
        <f t="shared" ref="AR310:AR318" si="539">IF($AR$8=$H310,$Q310,0)</f>
        <v>0</v>
      </c>
      <c r="AS310" s="476">
        <f t="shared" ref="AS310:AS318" si="540">IF($AR$8=$H310,$R310,0)</f>
        <v>0</v>
      </c>
      <c r="AT310" s="476">
        <f t="shared" ref="AT310:AT318" si="541">IF($AT$8=$H310,$Q310,0)</f>
        <v>0</v>
      </c>
      <c r="AU310" s="476">
        <f t="shared" ref="AU310:AU318" si="542">IF($AT$8=$H310,$R310,0)</f>
        <v>0</v>
      </c>
      <c r="AV310" s="476">
        <f t="shared" ref="AV310:AV318" si="543">IF($AV$8=$H310,$Q310,0)</f>
        <v>0</v>
      </c>
      <c r="AW310" s="476">
        <f t="shared" ref="AW310:AW318" si="544">IF($AV$8=$H310,$R310,0)</f>
        <v>0</v>
      </c>
      <c r="AX310" s="476">
        <f t="shared" ref="AX310:AX318" si="545">IF($AX$8=$H310,$Q310,0)</f>
        <v>0</v>
      </c>
      <c r="AY310" s="476">
        <f t="shared" ref="AY310:AY318" si="546">IF($AX$8=$H310,$R310,0)</f>
        <v>0</v>
      </c>
      <c r="AZ310" s="476">
        <f t="shared" ref="AZ310:AZ318" si="547">IF($AZ$8=$H310,$Q310,0)</f>
        <v>0</v>
      </c>
      <c r="BA310" s="476">
        <f t="shared" ref="BA310:BA318" si="548">IF($AZ$8=$H310,$R310,0)</f>
        <v>0</v>
      </c>
      <c r="BB310" s="476">
        <f t="shared" ref="BB310:BB318" si="549">IF($BB$8=$H310,$Q310,0)</f>
        <v>0</v>
      </c>
      <c r="BC310" s="476">
        <f t="shared" ref="BC310:BC318" si="550">IF($BB$8=$H310,$R310,0)</f>
        <v>0</v>
      </c>
      <c r="BD310" s="476">
        <f t="shared" ref="BD310:BD318" si="551">IF($BD$8=$H310,$Q310,0)</f>
        <v>0</v>
      </c>
      <c r="BE310" s="476">
        <f t="shared" ref="BE310:BE318" si="552">IF($BD$8=$H310,$R310,0)</f>
        <v>0</v>
      </c>
      <c r="BF310" s="476">
        <f t="shared" ref="BF310:BF318" si="553">IF($BF$8=$H310,$Q310,0)</f>
        <v>0</v>
      </c>
      <c r="BG310" s="476">
        <f t="shared" ref="BG310:BG318" si="554">IF($BF$8=$H310,$R310,0)</f>
        <v>0</v>
      </c>
    </row>
    <row r="311" spans="1:59" ht="16.5" customHeight="1">
      <c r="A311" s="583" t="s">
        <v>1476</v>
      </c>
      <c r="B311" s="584" t="s">
        <v>1477</v>
      </c>
      <c r="C311" s="584" t="s">
        <v>1478</v>
      </c>
      <c r="D311" s="413" t="s">
        <v>1164</v>
      </c>
      <c r="E311" s="412" t="s">
        <v>1181</v>
      </c>
      <c r="F311" s="413" t="s">
        <v>1477</v>
      </c>
      <c r="G311" s="412" t="s">
        <v>1477</v>
      </c>
      <c r="H311" s="412" t="s">
        <v>974</v>
      </c>
      <c r="I311" s="477">
        <v>0</v>
      </c>
      <c r="J311" s="477">
        <v>0</v>
      </c>
      <c r="K311" s="477">
        <v>960</v>
      </c>
      <c r="L311" s="477">
        <v>0</v>
      </c>
      <c r="M311" s="477">
        <f t="shared" si="465"/>
        <v>960</v>
      </c>
      <c r="N311" s="477">
        <f t="shared" si="466"/>
        <v>0</v>
      </c>
      <c r="O311" s="477"/>
      <c r="P311" s="477"/>
      <c r="Q311" s="477">
        <f t="shared" si="467"/>
        <v>960</v>
      </c>
      <c r="R311" s="477">
        <f t="shared" si="468"/>
        <v>0</v>
      </c>
      <c r="S311" s="477">
        <f t="shared" si="469"/>
        <v>960</v>
      </c>
      <c r="U311" s="473"/>
      <c r="V311" s="476">
        <f t="shared" si="517"/>
        <v>960</v>
      </c>
      <c r="W311" s="476">
        <f t="shared" si="518"/>
        <v>0</v>
      </c>
      <c r="X311" s="476">
        <f t="shared" si="519"/>
        <v>0</v>
      </c>
      <c r="Y311" s="476">
        <f t="shared" si="520"/>
        <v>0</v>
      </c>
      <c r="Z311" s="476">
        <f t="shared" si="521"/>
        <v>0</v>
      </c>
      <c r="AA311" s="476">
        <f t="shared" si="522"/>
        <v>0</v>
      </c>
      <c r="AB311" s="476">
        <f t="shared" si="523"/>
        <v>0</v>
      </c>
      <c r="AC311" s="476">
        <f t="shared" si="524"/>
        <v>0</v>
      </c>
      <c r="AD311" s="476">
        <f t="shared" si="525"/>
        <v>0</v>
      </c>
      <c r="AE311" s="476">
        <f t="shared" si="526"/>
        <v>0</v>
      </c>
      <c r="AF311" s="476">
        <f t="shared" si="527"/>
        <v>0</v>
      </c>
      <c r="AG311" s="476">
        <f t="shared" si="528"/>
        <v>0</v>
      </c>
      <c r="AH311" s="476">
        <f t="shared" si="529"/>
        <v>0</v>
      </c>
      <c r="AI311" s="476">
        <f t="shared" si="530"/>
        <v>0</v>
      </c>
      <c r="AJ311" s="476">
        <f t="shared" si="531"/>
        <v>0</v>
      </c>
      <c r="AK311" s="476">
        <f t="shared" si="532"/>
        <v>0</v>
      </c>
      <c r="AL311" s="476">
        <f t="shared" si="533"/>
        <v>0</v>
      </c>
      <c r="AM311" s="476">
        <f t="shared" si="534"/>
        <v>0</v>
      </c>
      <c r="AN311" s="476">
        <f t="shared" si="535"/>
        <v>0</v>
      </c>
      <c r="AO311" s="476">
        <f t="shared" si="536"/>
        <v>0</v>
      </c>
      <c r="AP311" s="476">
        <f t="shared" si="537"/>
        <v>0</v>
      </c>
      <c r="AQ311" s="476">
        <f t="shared" si="538"/>
        <v>0</v>
      </c>
      <c r="AR311" s="476">
        <f t="shared" si="539"/>
        <v>0</v>
      </c>
      <c r="AS311" s="476">
        <f t="shared" si="540"/>
        <v>0</v>
      </c>
      <c r="AT311" s="476">
        <f t="shared" si="541"/>
        <v>0</v>
      </c>
      <c r="AU311" s="476">
        <f t="shared" si="542"/>
        <v>0</v>
      </c>
      <c r="AV311" s="476">
        <f t="shared" si="543"/>
        <v>0</v>
      </c>
      <c r="AW311" s="476">
        <f t="shared" si="544"/>
        <v>0</v>
      </c>
      <c r="AX311" s="476">
        <f t="shared" si="545"/>
        <v>0</v>
      </c>
      <c r="AY311" s="476">
        <f t="shared" si="546"/>
        <v>0</v>
      </c>
      <c r="AZ311" s="476">
        <f t="shared" si="547"/>
        <v>0</v>
      </c>
      <c r="BA311" s="476">
        <f t="shared" si="548"/>
        <v>0</v>
      </c>
      <c r="BB311" s="476">
        <f t="shared" si="549"/>
        <v>0</v>
      </c>
      <c r="BC311" s="476">
        <f t="shared" si="550"/>
        <v>0</v>
      </c>
      <c r="BD311" s="476">
        <f t="shared" si="551"/>
        <v>0</v>
      </c>
      <c r="BE311" s="476">
        <f t="shared" si="552"/>
        <v>0</v>
      </c>
      <c r="BF311" s="476">
        <f t="shared" si="553"/>
        <v>0</v>
      </c>
      <c r="BG311" s="476">
        <f t="shared" si="554"/>
        <v>0</v>
      </c>
    </row>
    <row r="312" spans="1:59" ht="16.5" customHeight="1">
      <c r="A312" s="583" t="s">
        <v>1476</v>
      </c>
      <c r="B312" s="584" t="s">
        <v>1477</v>
      </c>
      <c r="C312" s="584" t="s">
        <v>1479</v>
      </c>
      <c r="D312" s="413" t="s">
        <v>1164</v>
      </c>
      <c r="E312" s="412" t="s">
        <v>1181</v>
      </c>
      <c r="F312" s="413" t="s">
        <v>1477</v>
      </c>
      <c r="G312" s="412" t="s">
        <v>1477</v>
      </c>
      <c r="H312" s="412" t="s">
        <v>1275</v>
      </c>
      <c r="I312" s="477">
        <v>0</v>
      </c>
      <c r="J312" s="477">
        <v>0</v>
      </c>
      <c r="K312" s="477">
        <v>2254888</v>
      </c>
      <c r="L312" s="477">
        <v>0</v>
      </c>
      <c r="M312" s="477">
        <f t="shared" si="465"/>
        <v>2254888</v>
      </c>
      <c r="N312" s="477">
        <f t="shared" si="466"/>
        <v>0</v>
      </c>
      <c r="O312" s="477"/>
      <c r="P312" s="477"/>
      <c r="Q312" s="477">
        <f t="shared" si="467"/>
        <v>2254888</v>
      </c>
      <c r="R312" s="477">
        <f t="shared" si="468"/>
        <v>0</v>
      </c>
      <c r="S312" s="477">
        <f t="shared" si="469"/>
        <v>2254888</v>
      </c>
      <c r="U312" s="473"/>
      <c r="V312" s="476">
        <f t="shared" si="517"/>
        <v>0</v>
      </c>
      <c r="W312" s="476">
        <f t="shared" si="518"/>
        <v>0</v>
      </c>
      <c r="X312" s="476">
        <f t="shared" si="519"/>
        <v>0</v>
      </c>
      <c r="Y312" s="476">
        <f t="shared" si="520"/>
        <v>0</v>
      </c>
      <c r="Z312" s="476">
        <f t="shared" si="521"/>
        <v>0</v>
      </c>
      <c r="AA312" s="476">
        <f t="shared" si="522"/>
        <v>0</v>
      </c>
      <c r="AB312" s="476">
        <f t="shared" si="523"/>
        <v>0</v>
      </c>
      <c r="AC312" s="476">
        <f t="shared" si="524"/>
        <v>0</v>
      </c>
      <c r="AD312" s="476">
        <f t="shared" si="525"/>
        <v>0</v>
      </c>
      <c r="AE312" s="476">
        <f t="shared" si="526"/>
        <v>0</v>
      </c>
      <c r="AF312" s="476">
        <f t="shared" si="527"/>
        <v>0</v>
      </c>
      <c r="AG312" s="476">
        <f t="shared" si="528"/>
        <v>0</v>
      </c>
      <c r="AH312" s="476">
        <f t="shared" si="529"/>
        <v>0</v>
      </c>
      <c r="AI312" s="476">
        <f t="shared" si="530"/>
        <v>0</v>
      </c>
      <c r="AJ312" s="476">
        <f t="shared" si="531"/>
        <v>0</v>
      </c>
      <c r="AK312" s="476">
        <f t="shared" si="532"/>
        <v>0</v>
      </c>
      <c r="AL312" s="476">
        <f t="shared" si="533"/>
        <v>0</v>
      </c>
      <c r="AM312" s="476">
        <f t="shared" si="534"/>
        <v>0</v>
      </c>
      <c r="AN312" s="476">
        <f t="shared" si="535"/>
        <v>0</v>
      </c>
      <c r="AO312" s="476">
        <f t="shared" si="536"/>
        <v>0</v>
      </c>
      <c r="AP312" s="476">
        <f t="shared" si="537"/>
        <v>0</v>
      </c>
      <c r="AQ312" s="476">
        <f t="shared" si="538"/>
        <v>0</v>
      </c>
      <c r="AR312" s="476">
        <f t="shared" si="539"/>
        <v>0</v>
      </c>
      <c r="AS312" s="476">
        <f t="shared" si="540"/>
        <v>0</v>
      </c>
      <c r="AT312" s="476">
        <f t="shared" si="541"/>
        <v>0</v>
      </c>
      <c r="AU312" s="476">
        <f t="shared" si="542"/>
        <v>0</v>
      </c>
      <c r="AV312" s="476">
        <f t="shared" si="543"/>
        <v>0</v>
      </c>
      <c r="AW312" s="476">
        <f t="shared" si="544"/>
        <v>0</v>
      </c>
      <c r="AX312" s="476">
        <f t="shared" si="545"/>
        <v>0</v>
      </c>
      <c r="AY312" s="476">
        <f t="shared" si="546"/>
        <v>0</v>
      </c>
      <c r="AZ312" s="476">
        <f t="shared" si="547"/>
        <v>0</v>
      </c>
      <c r="BA312" s="476">
        <f t="shared" si="548"/>
        <v>0</v>
      </c>
      <c r="BB312" s="476">
        <f t="shared" si="549"/>
        <v>0</v>
      </c>
      <c r="BC312" s="476">
        <f t="shared" si="550"/>
        <v>0</v>
      </c>
      <c r="BD312" s="476">
        <f t="shared" si="551"/>
        <v>0</v>
      </c>
      <c r="BE312" s="476">
        <f t="shared" si="552"/>
        <v>0</v>
      </c>
      <c r="BF312" s="476">
        <f t="shared" si="553"/>
        <v>0</v>
      </c>
      <c r="BG312" s="476">
        <f t="shared" si="554"/>
        <v>0</v>
      </c>
    </row>
    <row r="313" spans="1:59" ht="16.5" customHeight="1">
      <c r="A313" s="583" t="s">
        <v>1364</v>
      </c>
      <c r="B313" s="584" t="s">
        <v>1365</v>
      </c>
      <c r="C313" s="584" t="s">
        <v>1812</v>
      </c>
      <c r="D313" s="413" t="s">
        <v>1164</v>
      </c>
      <c r="E313" s="412" t="s">
        <v>1181</v>
      </c>
      <c r="F313" s="413" t="s">
        <v>1366</v>
      </c>
      <c r="G313" s="412" t="s">
        <v>1366</v>
      </c>
      <c r="H313" s="412" t="s">
        <v>1275</v>
      </c>
      <c r="I313" s="477">
        <v>0</v>
      </c>
      <c r="J313" s="477">
        <v>0</v>
      </c>
      <c r="K313" s="477">
        <v>1161050</v>
      </c>
      <c r="L313" s="477">
        <v>0</v>
      </c>
      <c r="M313" s="477">
        <f t="shared" si="465"/>
        <v>1161050</v>
      </c>
      <c r="N313" s="477">
        <f t="shared" si="466"/>
        <v>0</v>
      </c>
      <c r="O313" s="477"/>
      <c r="P313" s="477"/>
      <c r="Q313" s="477">
        <f t="shared" si="467"/>
        <v>1161050</v>
      </c>
      <c r="R313" s="477">
        <f t="shared" si="468"/>
        <v>0</v>
      </c>
      <c r="S313" s="477">
        <f t="shared" si="469"/>
        <v>1161050</v>
      </c>
      <c r="U313" s="473"/>
      <c r="V313" s="476">
        <f t="shared" si="517"/>
        <v>0</v>
      </c>
      <c r="W313" s="476">
        <f t="shared" si="518"/>
        <v>0</v>
      </c>
      <c r="X313" s="476">
        <f t="shared" si="519"/>
        <v>0</v>
      </c>
      <c r="Y313" s="476">
        <f t="shared" si="520"/>
        <v>0</v>
      </c>
      <c r="Z313" s="476">
        <f t="shared" si="521"/>
        <v>0</v>
      </c>
      <c r="AA313" s="476">
        <f t="shared" si="522"/>
        <v>0</v>
      </c>
      <c r="AB313" s="476">
        <f t="shared" si="523"/>
        <v>0</v>
      </c>
      <c r="AC313" s="476">
        <f t="shared" si="524"/>
        <v>0</v>
      </c>
      <c r="AD313" s="476">
        <f t="shared" si="525"/>
        <v>0</v>
      </c>
      <c r="AE313" s="476">
        <f t="shared" si="526"/>
        <v>0</v>
      </c>
      <c r="AF313" s="476">
        <f t="shared" si="527"/>
        <v>0</v>
      </c>
      <c r="AG313" s="476">
        <f t="shared" si="528"/>
        <v>0</v>
      </c>
      <c r="AH313" s="476">
        <f t="shared" si="529"/>
        <v>0</v>
      </c>
      <c r="AI313" s="476">
        <f t="shared" si="530"/>
        <v>0</v>
      </c>
      <c r="AJ313" s="476">
        <f t="shared" si="531"/>
        <v>0</v>
      </c>
      <c r="AK313" s="476">
        <f t="shared" si="532"/>
        <v>0</v>
      </c>
      <c r="AL313" s="476">
        <f t="shared" si="533"/>
        <v>0</v>
      </c>
      <c r="AM313" s="476">
        <f t="shared" si="534"/>
        <v>0</v>
      </c>
      <c r="AN313" s="476">
        <f t="shared" si="535"/>
        <v>0</v>
      </c>
      <c r="AO313" s="476">
        <f t="shared" si="536"/>
        <v>0</v>
      </c>
      <c r="AP313" s="476">
        <f t="shared" si="537"/>
        <v>0</v>
      </c>
      <c r="AQ313" s="476">
        <f t="shared" si="538"/>
        <v>0</v>
      </c>
      <c r="AR313" s="476">
        <f t="shared" si="539"/>
        <v>0</v>
      </c>
      <c r="AS313" s="476">
        <f t="shared" si="540"/>
        <v>0</v>
      </c>
      <c r="AT313" s="476">
        <f t="shared" si="541"/>
        <v>0</v>
      </c>
      <c r="AU313" s="476">
        <f t="shared" si="542"/>
        <v>0</v>
      </c>
      <c r="AV313" s="476">
        <f t="shared" si="543"/>
        <v>0</v>
      </c>
      <c r="AW313" s="476">
        <f t="shared" si="544"/>
        <v>0</v>
      </c>
      <c r="AX313" s="476">
        <f t="shared" si="545"/>
        <v>0</v>
      </c>
      <c r="AY313" s="476">
        <f t="shared" si="546"/>
        <v>0</v>
      </c>
      <c r="AZ313" s="476">
        <f t="shared" si="547"/>
        <v>0</v>
      </c>
      <c r="BA313" s="476">
        <f t="shared" si="548"/>
        <v>0</v>
      </c>
      <c r="BB313" s="476">
        <f t="shared" si="549"/>
        <v>0</v>
      </c>
      <c r="BC313" s="476">
        <f t="shared" si="550"/>
        <v>0</v>
      </c>
      <c r="BD313" s="476">
        <f t="shared" si="551"/>
        <v>0</v>
      </c>
      <c r="BE313" s="476">
        <f t="shared" si="552"/>
        <v>0</v>
      </c>
      <c r="BF313" s="476">
        <f t="shared" si="553"/>
        <v>0</v>
      </c>
      <c r="BG313" s="476">
        <f t="shared" si="554"/>
        <v>0</v>
      </c>
    </row>
    <row r="314" spans="1:59" ht="16.5" customHeight="1">
      <c r="A314" s="583" t="s">
        <v>1480</v>
      </c>
      <c r="B314" s="584" t="s">
        <v>1481</v>
      </c>
      <c r="C314" s="584" t="s">
        <v>1482</v>
      </c>
      <c r="D314" s="413" t="s">
        <v>1164</v>
      </c>
      <c r="E314" s="412" t="s">
        <v>1181</v>
      </c>
      <c r="F314" s="413" t="s">
        <v>1481</v>
      </c>
      <c r="G314" s="412" t="s">
        <v>1481</v>
      </c>
      <c r="H314" s="412" t="s">
        <v>1275</v>
      </c>
      <c r="I314" s="477">
        <v>0</v>
      </c>
      <c r="J314" s="477">
        <v>0</v>
      </c>
      <c r="K314" s="477">
        <v>535668</v>
      </c>
      <c r="L314" s="477">
        <v>0</v>
      </c>
      <c r="M314" s="477">
        <f t="shared" si="465"/>
        <v>535668</v>
      </c>
      <c r="N314" s="477">
        <f t="shared" si="466"/>
        <v>0</v>
      </c>
      <c r="O314" s="477"/>
      <c r="P314" s="477"/>
      <c r="Q314" s="477">
        <f t="shared" si="467"/>
        <v>535668</v>
      </c>
      <c r="R314" s="477">
        <f t="shared" si="468"/>
        <v>0</v>
      </c>
      <c r="S314" s="477">
        <f t="shared" si="469"/>
        <v>535668</v>
      </c>
      <c r="U314" s="473"/>
      <c r="V314" s="476">
        <f t="shared" si="517"/>
        <v>0</v>
      </c>
      <c r="W314" s="476">
        <f t="shared" si="518"/>
        <v>0</v>
      </c>
      <c r="X314" s="476">
        <f t="shared" si="519"/>
        <v>0</v>
      </c>
      <c r="Y314" s="476">
        <f t="shared" si="520"/>
        <v>0</v>
      </c>
      <c r="Z314" s="476">
        <f t="shared" si="521"/>
        <v>0</v>
      </c>
      <c r="AA314" s="476">
        <f t="shared" si="522"/>
        <v>0</v>
      </c>
      <c r="AB314" s="476">
        <f t="shared" si="523"/>
        <v>0</v>
      </c>
      <c r="AC314" s="476">
        <f t="shared" si="524"/>
        <v>0</v>
      </c>
      <c r="AD314" s="476">
        <f t="shared" si="525"/>
        <v>0</v>
      </c>
      <c r="AE314" s="476">
        <f t="shared" si="526"/>
        <v>0</v>
      </c>
      <c r="AF314" s="476">
        <f t="shared" si="527"/>
        <v>0</v>
      </c>
      <c r="AG314" s="476">
        <f t="shared" si="528"/>
        <v>0</v>
      </c>
      <c r="AH314" s="476">
        <f t="shared" si="529"/>
        <v>0</v>
      </c>
      <c r="AI314" s="476">
        <f t="shared" si="530"/>
        <v>0</v>
      </c>
      <c r="AJ314" s="476">
        <f t="shared" si="531"/>
        <v>0</v>
      </c>
      <c r="AK314" s="476">
        <f t="shared" si="532"/>
        <v>0</v>
      </c>
      <c r="AL314" s="476">
        <f t="shared" si="533"/>
        <v>0</v>
      </c>
      <c r="AM314" s="476">
        <f t="shared" si="534"/>
        <v>0</v>
      </c>
      <c r="AN314" s="476">
        <f t="shared" si="535"/>
        <v>0</v>
      </c>
      <c r="AO314" s="476">
        <f t="shared" si="536"/>
        <v>0</v>
      </c>
      <c r="AP314" s="476">
        <f t="shared" si="537"/>
        <v>0</v>
      </c>
      <c r="AQ314" s="476">
        <f t="shared" si="538"/>
        <v>0</v>
      </c>
      <c r="AR314" s="476">
        <f t="shared" si="539"/>
        <v>0</v>
      </c>
      <c r="AS314" s="476">
        <f t="shared" si="540"/>
        <v>0</v>
      </c>
      <c r="AT314" s="476">
        <f t="shared" si="541"/>
        <v>0</v>
      </c>
      <c r="AU314" s="476">
        <f t="shared" si="542"/>
        <v>0</v>
      </c>
      <c r="AV314" s="476">
        <f t="shared" si="543"/>
        <v>0</v>
      </c>
      <c r="AW314" s="476">
        <f t="shared" si="544"/>
        <v>0</v>
      </c>
      <c r="AX314" s="476">
        <f t="shared" si="545"/>
        <v>0</v>
      </c>
      <c r="AY314" s="476">
        <f t="shared" si="546"/>
        <v>0</v>
      </c>
      <c r="AZ314" s="476">
        <f t="shared" si="547"/>
        <v>0</v>
      </c>
      <c r="BA314" s="476">
        <f t="shared" si="548"/>
        <v>0</v>
      </c>
      <c r="BB314" s="476">
        <f t="shared" si="549"/>
        <v>0</v>
      </c>
      <c r="BC314" s="476">
        <f t="shared" si="550"/>
        <v>0</v>
      </c>
      <c r="BD314" s="476">
        <f t="shared" si="551"/>
        <v>0</v>
      </c>
      <c r="BE314" s="476">
        <f t="shared" si="552"/>
        <v>0</v>
      </c>
      <c r="BF314" s="476">
        <f t="shared" si="553"/>
        <v>0</v>
      </c>
      <c r="BG314" s="476">
        <f t="shared" si="554"/>
        <v>0</v>
      </c>
    </row>
    <row r="315" spans="1:59" ht="16.5" customHeight="1">
      <c r="A315" s="583" t="s">
        <v>1483</v>
      </c>
      <c r="B315" s="584" t="s">
        <v>1484</v>
      </c>
      <c r="C315" s="584" t="s">
        <v>1485</v>
      </c>
      <c r="D315" s="413" t="s">
        <v>1164</v>
      </c>
      <c r="E315" s="412" t="s">
        <v>1181</v>
      </c>
      <c r="F315" s="413" t="s">
        <v>1484</v>
      </c>
      <c r="G315" s="412" t="s">
        <v>1484</v>
      </c>
      <c r="H315" s="412" t="s">
        <v>1275</v>
      </c>
      <c r="I315" s="477">
        <v>0</v>
      </c>
      <c r="J315" s="477">
        <v>0</v>
      </c>
      <c r="K315" s="477">
        <v>191564</v>
      </c>
      <c r="L315" s="477">
        <v>0</v>
      </c>
      <c r="M315" s="477">
        <f t="shared" si="465"/>
        <v>191564</v>
      </c>
      <c r="N315" s="477">
        <f t="shared" si="466"/>
        <v>0</v>
      </c>
      <c r="O315" s="477"/>
      <c r="P315" s="477"/>
      <c r="Q315" s="477">
        <f t="shared" si="467"/>
        <v>191564</v>
      </c>
      <c r="R315" s="477">
        <f t="shared" si="468"/>
        <v>0</v>
      </c>
      <c r="S315" s="477">
        <f t="shared" si="469"/>
        <v>191564</v>
      </c>
      <c r="U315" s="473"/>
      <c r="V315" s="476">
        <f t="shared" si="517"/>
        <v>0</v>
      </c>
      <c r="W315" s="476">
        <f t="shared" si="518"/>
        <v>0</v>
      </c>
      <c r="X315" s="476">
        <f t="shared" si="519"/>
        <v>0</v>
      </c>
      <c r="Y315" s="476">
        <f t="shared" si="520"/>
        <v>0</v>
      </c>
      <c r="Z315" s="476">
        <f t="shared" si="521"/>
        <v>0</v>
      </c>
      <c r="AA315" s="476">
        <f t="shared" si="522"/>
        <v>0</v>
      </c>
      <c r="AB315" s="476">
        <f t="shared" si="523"/>
        <v>0</v>
      </c>
      <c r="AC315" s="476">
        <f t="shared" si="524"/>
        <v>0</v>
      </c>
      <c r="AD315" s="476">
        <f t="shared" si="525"/>
        <v>0</v>
      </c>
      <c r="AE315" s="476">
        <f t="shared" si="526"/>
        <v>0</v>
      </c>
      <c r="AF315" s="476">
        <f t="shared" si="527"/>
        <v>0</v>
      </c>
      <c r="AG315" s="476">
        <f t="shared" si="528"/>
        <v>0</v>
      </c>
      <c r="AH315" s="476">
        <f t="shared" si="529"/>
        <v>0</v>
      </c>
      <c r="AI315" s="476">
        <f t="shared" si="530"/>
        <v>0</v>
      </c>
      <c r="AJ315" s="476">
        <f t="shared" si="531"/>
        <v>0</v>
      </c>
      <c r="AK315" s="476">
        <f t="shared" si="532"/>
        <v>0</v>
      </c>
      <c r="AL315" s="476">
        <f t="shared" si="533"/>
        <v>0</v>
      </c>
      <c r="AM315" s="476">
        <f t="shared" si="534"/>
        <v>0</v>
      </c>
      <c r="AN315" s="476">
        <f t="shared" si="535"/>
        <v>0</v>
      </c>
      <c r="AO315" s="476">
        <f t="shared" si="536"/>
        <v>0</v>
      </c>
      <c r="AP315" s="476">
        <f t="shared" si="537"/>
        <v>0</v>
      </c>
      <c r="AQ315" s="476">
        <f t="shared" si="538"/>
        <v>0</v>
      </c>
      <c r="AR315" s="476">
        <f t="shared" si="539"/>
        <v>0</v>
      </c>
      <c r="AS315" s="476">
        <f t="shared" si="540"/>
        <v>0</v>
      </c>
      <c r="AT315" s="476">
        <f t="shared" si="541"/>
        <v>0</v>
      </c>
      <c r="AU315" s="476">
        <f t="shared" si="542"/>
        <v>0</v>
      </c>
      <c r="AV315" s="476">
        <f t="shared" si="543"/>
        <v>0</v>
      </c>
      <c r="AW315" s="476">
        <f t="shared" si="544"/>
        <v>0</v>
      </c>
      <c r="AX315" s="476">
        <f t="shared" si="545"/>
        <v>0</v>
      </c>
      <c r="AY315" s="476">
        <f t="shared" si="546"/>
        <v>0</v>
      </c>
      <c r="AZ315" s="476">
        <f t="shared" si="547"/>
        <v>0</v>
      </c>
      <c r="BA315" s="476">
        <f t="shared" si="548"/>
        <v>0</v>
      </c>
      <c r="BB315" s="476">
        <f t="shared" si="549"/>
        <v>0</v>
      </c>
      <c r="BC315" s="476">
        <f t="shared" si="550"/>
        <v>0</v>
      </c>
      <c r="BD315" s="476">
        <f t="shared" si="551"/>
        <v>0</v>
      </c>
      <c r="BE315" s="476">
        <f t="shared" si="552"/>
        <v>0</v>
      </c>
      <c r="BF315" s="476">
        <f t="shared" si="553"/>
        <v>0</v>
      </c>
      <c r="BG315" s="476">
        <f t="shared" si="554"/>
        <v>0</v>
      </c>
    </row>
    <row r="316" spans="1:59" ht="16.5" customHeight="1">
      <c r="A316" s="583" t="s">
        <v>1367</v>
      </c>
      <c r="B316" s="584" t="s">
        <v>1368</v>
      </c>
      <c r="C316" s="584" t="s">
        <v>1813</v>
      </c>
      <c r="D316" s="413" t="s">
        <v>1164</v>
      </c>
      <c r="E316" s="412" t="s">
        <v>1181</v>
      </c>
      <c r="F316" s="413" t="s">
        <v>1368</v>
      </c>
      <c r="G316" s="412" t="s">
        <v>1368</v>
      </c>
      <c r="H316" s="412" t="s">
        <v>1275</v>
      </c>
      <c r="I316" s="477">
        <v>0</v>
      </c>
      <c r="J316" s="477">
        <v>0</v>
      </c>
      <c r="K316" s="477">
        <v>322440</v>
      </c>
      <c r="L316" s="477">
        <v>0</v>
      </c>
      <c r="M316" s="477">
        <f t="shared" si="465"/>
        <v>322440</v>
      </c>
      <c r="N316" s="477">
        <f t="shared" si="466"/>
        <v>0</v>
      </c>
      <c r="O316" s="477"/>
      <c r="P316" s="477"/>
      <c r="Q316" s="477">
        <f t="shared" si="467"/>
        <v>322440</v>
      </c>
      <c r="R316" s="477">
        <f t="shared" si="468"/>
        <v>0</v>
      </c>
      <c r="S316" s="477">
        <f t="shared" si="469"/>
        <v>322440</v>
      </c>
      <c r="U316" s="473"/>
      <c r="V316" s="476">
        <f t="shared" si="517"/>
        <v>0</v>
      </c>
      <c r="W316" s="476">
        <f t="shared" si="518"/>
        <v>0</v>
      </c>
      <c r="X316" s="476">
        <f t="shared" si="519"/>
        <v>0</v>
      </c>
      <c r="Y316" s="476">
        <f t="shared" si="520"/>
        <v>0</v>
      </c>
      <c r="Z316" s="476">
        <f t="shared" si="521"/>
        <v>0</v>
      </c>
      <c r="AA316" s="476">
        <f t="shared" si="522"/>
        <v>0</v>
      </c>
      <c r="AB316" s="476">
        <f t="shared" si="523"/>
        <v>0</v>
      </c>
      <c r="AC316" s="476">
        <f t="shared" si="524"/>
        <v>0</v>
      </c>
      <c r="AD316" s="476">
        <f t="shared" si="525"/>
        <v>0</v>
      </c>
      <c r="AE316" s="476">
        <f t="shared" si="526"/>
        <v>0</v>
      </c>
      <c r="AF316" s="476">
        <f t="shared" si="527"/>
        <v>0</v>
      </c>
      <c r="AG316" s="476">
        <f t="shared" si="528"/>
        <v>0</v>
      </c>
      <c r="AH316" s="476">
        <f t="shared" si="529"/>
        <v>0</v>
      </c>
      <c r="AI316" s="476">
        <f t="shared" si="530"/>
        <v>0</v>
      </c>
      <c r="AJ316" s="476">
        <f t="shared" si="531"/>
        <v>0</v>
      </c>
      <c r="AK316" s="476">
        <f t="shared" si="532"/>
        <v>0</v>
      </c>
      <c r="AL316" s="476">
        <f t="shared" si="533"/>
        <v>0</v>
      </c>
      <c r="AM316" s="476">
        <f t="shared" si="534"/>
        <v>0</v>
      </c>
      <c r="AN316" s="476">
        <f t="shared" si="535"/>
        <v>0</v>
      </c>
      <c r="AO316" s="476">
        <f t="shared" si="536"/>
        <v>0</v>
      </c>
      <c r="AP316" s="476">
        <f t="shared" si="537"/>
        <v>0</v>
      </c>
      <c r="AQ316" s="476">
        <f t="shared" si="538"/>
        <v>0</v>
      </c>
      <c r="AR316" s="476">
        <f t="shared" si="539"/>
        <v>0</v>
      </c>
      <c r="AS316" s="476">
        <f t="shared" si="540"/>
        <v>0</v>
      </c>
      <c r="AT316" s="476">
        <f t="shared" si="541"/>
        <v>0</v>
      </c>
      <c r="AU316" s="476">
        <f t="shared" si="542"/>
        <v>0</v>
      </c>
      <c r="AV316" s="476">
        <f t="shared" si="543"/>
        <v>0</v>
      </c>
      <c r="AW316" s="476">
        <f t="shared" si="544"/>
        <v>0</v>
      </c>
      <c r="AX316" s="476">
        <f t="shared" si="545"/>
        <v>0</v>
      </c>
      <c r="AY316" s="476">
        <f t="shared" si="546"/>
        <v>0</v>
      </c>
      <c r="AZ316" s="476">
        <f t="shared" si="547"/>
        <v>0</v>
      </c>
      <c r="BA316" s="476">
        <f t="shared" si="548"/>
        <v>0</v>
      </c>
      <c r="BB316" s="476">
        <f t="shared" si="549"/>
        <v>0</v>
      </c>
      <c r="BC316" s="476">
        <f t="shared" si="550"/>
        <v>0</v>
      </c>
      <c r="BD316" s="476">
        <f t="shared" si="551"/>
        <v>0</v>
      </c>
      <c r="BE316" s="476">
        <f t="shared" si="552"/>
        <v>0</v>
      </c>
      <c r="BF316" s="476">
        <f t="shared" si="553"/>
        <v>0</v>
      </c>
      <c r="BG316" s="476">
        <f t="shared" si="554"/>
        <v>0</v>
      </c>
    </row>
    <row r="317" spans="1:59" ht="16.5" customHeight="1">
      <c r="A317" s="583" t="s">
        <v>1369</v>
      </c>
      <c r="B317" s="584" t="s">
        <v>1721</v>
      </c>
      <c r="C317" s="584" t="s">
        <v>1814</v>
      </c>
      <c r="D317" s="413" t="s">
        <v>1164</v>
      </c>
      <c r="E317" s="412" t="s">
        <v>1181</v>
      </c>
      <c r="F317" s="413" t="s">
        <v>1370</v>
      </c>
      <c r="G317" s="412" t="s">
        <v>1370</v>
      </c>
      <c r="H317" s="412" t="s">
        <v>1275</v>
      </c>
      <c r="I317" s="477">
        <v>0</v>
      </c>
      <c r="J317" s="477">
        <v>0</v>
      </c>
      <c r="K317" s="477">
        <v>411572</v>
      </c>
      <c r="L317" s="477">
        <v>0</v>
      </c>
      <c r="M317" s="477">
        <f t="shared" si="465"/>
        <v>411572</v>
      </c>
      <c r="N317" s="477">
        <f t="shared" si="466"/>
        <v>0</v>
      </c>
      <c r="O317" s="477"/>
      <c r="P317" s="477"/>
      <c r="Q317" s="477">
        <f t="shared" si="467"/>
        <v>411572</v>
      </c>
      <c r="R317" s="477">
        <f t="shared" si="468"/>
        <v>0</v>
      </c>
      <c r="S317" s="477">
        <f t="shared" si="469"/>
        <v>411572</v>
      </c>
      <c r="U317" s="473"/>
      <c r="V317" s="476">
        <f t="shared" si="517"/>
        <v>0</v>
      </c>
      <c r="W317" s="476">
        <f t="shared" si="518"/>
        <v>0</v>
      </c>
      <c r="X317" s="476">
        <f t="shared" si="519"/>
        <v>0</v>
      </c>
      <c r="Y317" s="476">
        <f t="shared" si="520"/>
        <v>0</v>
      </c>
      <c r="Z317" s="476">
        <f t="shared" si="521"/>
        <v>0</v>
      </c>
      <c r="AA317" s="476">
        <f t="shared" si="522"/>
        <v>0</v>
      </c>
      <c r="AB317" s="476">
        <f t="shared" si="523"/>
        <v>0</v>
      </c>
      <c r="AC317" s="476">
        <f t="shared" si="524"/>
        <v>0</v>
      </c>
      <c r="AD317" s="476">
        <f t="shared" si="525"/>
        <v>0</v>
      </c>
      <c r="AE317" s="476">
        <f t="shared" si="526"/>
        <v>0</v>
      </c>
      <c r="AF317" s="476">
        <f t="shared" si="527"/>
        <v>0</v>
      </c>
      <c r="AG317" s="476">
        <f t="shared" si="528"/>
        <v>0</v>
      </c>
      <c r="AH317" s="476">
        <f t="shared" si="529"/>
        <v>0</v>
      </c>
      <c r="AI317" s="476">
        <f t="shared" si="530"/>
        <v>0</v>
      </c>
      <c r="AJ317" s="476">
        <f t="shared" si="531"/>
        <v>0</v>
      </c>
      <c r="AK317" s="476">
        <f t="shared" si="532"/>
        <v>0</v>
      </c>
      <c r="AL317" s="476">
        <f t="shared" si="533"/>
        <v>0</v>
      </c>
      <c r="AM317" s="476">
        <f t="shared" si="534"/>
        <v>0</v>
      </c>
      <c r="AN317" s="476">
        <f t="shared" si="535"/>
        <v>0</v>
      </c>
      <c r="AO317" s="476">
        <f t="shared" si="536"/>
        <v>0</v>
      </c>
      <c r="AP317" s="476">
        <f t="shared" si="537"/>
        <v>0</v>
      </c>
      <c r="AQ317" s="476">
        <f t="shared" si="538"/>
        <v>0</v>
      </c>
      <c r="AR317" s="476">
        <f t="shared" si="539"/>
        <v>0</v>
      </c>
      <c r="AS317" s="476">
        <f t="shared" si="540"/>
        <v>0</v>
      </c>
      <c r="AT317" s="476">
        <f t="shared" si="541"/>
        <v>0</v>
      </c>
      <c r="AU317" s="476">
        <f t="shared" si="542"/>
        <v>0</v>
      </c>
      <c r="AV317" s="476">
        <f t="shared" si="543"/>
        <v>0</v>
      </c>
      <c r="AW317" s="476">
        <f t="shared" si="544"/>
        <v>0</v>
      </c>
      <c r="AX317" s="476">
        <f t="shared" si="545"/>
        <v>0</v>
      </c>
      <c r="AY317" s="476">
        <f t="shared" si="546"/>
        <v>0</v>
      </c>
      <c r="AZ317" s="476">
        <f t="shared" si="547"/>
        <v>0</v>
      </c>
      <c r="BA317" s="476">
        <f t="shared" si="548"/>
        <v>0</v>
      </c>
      <c r="BB317" s="476">
        <f t="shared" si="549"/>
        <v>0</v>
      </c>
      <c r="BC317" s="476">
        <f t="shared" si="550"/>
        <v>0</v>
      </c>
      <c r="BD317" s="476">
        <f t="shared" si="551"/>
        <v>0</v>
      </c>
      <c r="BE317" s="476">
        <f t="shared" si="552"/>
        <v>0</v>
      </c>
      <c r="BF317" s="476">
        <f t="shared" si="553"/>
        <v>0</v>
      </c>
      <c r="BG317" s="476">
        <f t="shared" si="554"/>
        <v>0</v>
      </c>
    </row>
    <row r="318" spans="1:59" ht="16.5" customHeight="1">
      <c r="A318" s="583" t="s">
        <v>1259</v>
      </c>
      <c r="B318" s="584" t="s">
        <v>1274</v>
      </c>
      <c r="C318" s="584" t="s">
        <v>1815</v>
      </c>
      <c r="D318" s="413" t="s">
        <v>1164</v>
      </c>
      <c r="E318" s="412" t="s">
        <v>1181</v>
      </c>
      <c r="F318" s="413" t="s">
        <v>1201</v>
      </c>
      <c r="G318" s="412" t="s">
        <v>1202</v>
      </c>
      <c r="H318" s="412" t="s">
        <v>1275</v>
      </c>
      <c r="I318" s="477">
        <v>0</v>
      </c>
      <c r="J318" s="477">
        <v>0</v>
      </c>
      <c r="K318" s="477">
        <v>0</v>
      </c>
      <c r="L318" s="477">
        <v>0</v>
      </c>
      <c r="M318" s="477">
        <f t="shared" si="465"/>
        <v>0</v>
      </c>
      <c r="N318" s="477">
        <f t="shared" si="466"/>
        <v>0</v>
      </c>
      <c r="O318" s="477"/>
      <c r="P318" s="477"/>
      <c r="Q318" s="477">
        <f t="shared" si="467"/>
        <v>0</v>
      </c>
      <c r="R318" s="477">
        <f t="shared" si="468"/>
        <v>0</v>
      </c>
      <c r="S318" s="477">
        <f t="shared" si="469"/>
        <v>0</v>
      </c>
      <c r="U318" s="473"/>
      <c r="V318" s="476">
        <f t="shared" si="517"/>
        <v>0</v>
      </c>
      <c r="W318" s="476">
        <f t="shared" si="518"/>
        <v>0</v>
      </c>
      <c r="X318" s="476">
        <f t="shared" si="519"/>
        <v>0</v>
      </c>
      <c r="Y318" s="476">
        <f t="shared" si="520"/>
        <v>0</v>
      </c>
      <c r="Z318" s="476">
        <f t="shared" si="521"/>
        <v>0</v>
      </c>
      <c r="AA318" s="476">
        <f t="shared" si="522"/>
        <v>0</v>
      </c>
      <c r="AB318" s="476">
        <f t="shared" si="523"/>
        <v>0</v>
      </c>
      <c r="AC318" s="476">
        <f t="shared" si="524"/>
        <v>0</v>
      </c>
      <c r="AD318" s="476">
        <f t="shared" si="525"/>
        <v>0</v>
      </c>
      <c r="AE318" s="476">
        <f t="shared" si="526"/>
        <v>0</v>
      </c>
      <c r="AF318" s="476">
        <f t="shared" si="527"/>
        <v>0</v>
      </c>
      <c r="AG318" s="476">
        <f t="shared" si="528"/>
        <v>0</v>
      </c>
      <c r="AH318" s="476">
        <f t="shared" si="529"/>
        <v>0</v>
      </c>
      <c r="AI318" s="476">
        <f t="shared" si="530"/>
        <v>0</v>
      </c>
      <c r="AJ318" s="476">
        <f t="shared" si="531"/>
        <v>0</v>
      </c>
      <c r="AK318" s="476">
        <f t="shared" si="532"/>
        <v>0</v>
      </c>
      <c r="AL318" s="476">
        <f t="shared" si="533"/>
        <v>0</v>
      </c>
      <c r="AM318" s="476">
        <f t="shared" si="534"/>
        <v>0</v>
      </c>
      <c r="AN318" s="476">
        <f t="shared" si="535"/>
        <v>0</v>
      </c>
      <c r="AO318" s="476">
        <f t="shared" si="536"/>
        <v>0</v>
      </c>
      <c r="AP318" s="476">
        <f t="shared" si="537"/>
        <v>0</v>
      </c>
      <c r="AQ318" s="476">
        <f t="shared" si="538"/>
        <v>0</v>
      </c>
      <c r="AR318" s="476">
        <f t="shared" si="539"/>
        <v>0</v>
      </c>
      <c r="AS318" s="476">
        <f t="shared" si="540"/>
        <v>0</v>
      </c>
      <c r="AT318" s="476">
        <f t="shared" si="541"/>
        <v>0</v>
      </c>
      <c r="AU318" s="476">
        <f t="shared" si="542"/>
        <v>0</v>
      </c>
      <c r="AV318" s="476">
        <f t="shared" si="543"/>
        <v>0</v>
      </c>
      <c r="AW318" s="476">
        <f t="shared" si="544"/>
        <v>0</v>
      </c>
      <c r="AX318" s="476">
        <f t="shared" si="545"/>
        <v>0</v>
      </c>
      <c r="AY318" s="476">
        <f t="shared" si="546"/>
        <v>0</v>
      </c>
      <c r="AZ318" s="476">
        <f t="shared" si="547"/>
        <v>0</v>
      </c>
      <c r="BA318" s="476">
        <f t="shared" si="548"/>
        <v>0</v>
      </c>
      <c r="BB318" s="476">
        <f t="shared" si="549"/>
        <v>0</v>
      </c>
      <c r="BC318" s="476">
        <f t="shared" si="550"/>
        <v>0</v>
      </c>
      <c r="BD318" s="476">
        <f t="shared" si="551"/>
        <v>0</v>
      </c>
      <c r="BE318" s="476">
        <f t="shared" si="552"/>
        <v>0</v>
      </c>
      <c r="BF318" s="476">
        <f t="shared" si="553"/>
        <v>0</v>
      </c>
      <c r="BG318" s="476">
        <f t="shared" si="554"/>
        <v>0</v>
      </c>
    </row>
    <row r="319" spans="1:59" ht="16.5" customHeight="1">
      <c r="A319" s="583" t="s">
        <v>1259</v>
      </c>
      <c r="B319" s="584" t="s">
        <v>1274</v>
      </c>
      <c r="C319" s="584" t="s">
        <v>1816</v>
      </c>
      <c r="D319" s="413" t="s">
        <v>1164</v>
      </c>
      <c r="E319" s="412" t="s">
        <v>1181</v>
      </c>
      <c r="F319" s="413" t="s">
        <v>1201</v>
      </c>
      <c r="G319" s="412" t="s">
        <v>1202</v>
      </c>
      <c r="H319" s="412" t="s">
        <v>1723</v>
      </c>
      <c r="I319" s="477">
        <v>0</v>
      </c>
      <c r="J319" s="477">
        <v>0</v>
      </c>
      <c r="K319" s="477">
        <v>7778603</v>
      </c>
      <c r="L319" s="477">
        <v>8403525</v>
      </c>
      <c r="M319" s="477">
        <f t="shared" si="465"/>
        <v>7778603</v>
      </c>
      <c r="N319" s="477">
        <f t="shared" si="466"/>
        <v>8403525</v>
      </c>
      <c r="O319" s="477"/>
      <c r="P319" s="477"/>
      <c r="Q319" s="477">
        <f t="shared" ref="Q319" si="555">+M319+O319</f>
        <v>7778603</v>
      </c>
      <c r="R319" s="477">
        <f t="shared" ref="R319" si="556">+N319+P319</f>
        <v>8403525</v>
      </c>
      <c r="S319" s="477">
        <f t="shared" ref="S319" si="557">+Q319-R319</f>
        <v>-624922</v>
      </c>
      <c r="U319" s="473"/>
      <c r="V319" s="476"/>
      <c r="W319" s="476"/>
      <c r="X319" s="476"/>
      <c r="Y319" s="476"/>
      <c r="Z319" s="476"/>
      <c r="AA319" s="476"/>
      <c r="AB319" s="476"/>
      <c r="AC319" s="476"/>
      <c r="AD319" s="476"/>
      <c r="AE319" s="476"/>
      <c r="AF319" s="476"/>
      <c r="AG319" s="476"/>
      <c r="AH319" s="476"/>
      <c r="AI319" s="476"/>
      <c r="AJ319" s="476"/>
      <c r="AK319" s="476"/>
      <c r="AL319" s="476"/>
      <c r="AM319" s="476"/>
      <c r="AN319" s="476"/>
      <c r="AO319" s="476"/>
      <c r="AP319" s="476"/>
      <c r="AQ319" s="476"/>
      <c r="AR319" s="476"/>
      <c r="AS319" s="476"/>
      <c r="AT319" s="476"/>
      <c r="AU319" s="476"/>
      <c r="AV319" s="476"/>
      <c r="AW319" s="476"/>
      <c r="AX319" s="476"/>
      <c r="AY319" s="476"/>
      <c r="AZ319" s="476"/>
      <c r="BA319" s="476"/>
      <c r="BB319" s="476"/>
      <c r="BC319" s="476"/>
      <c r="BD319" s="476"/>
      <c r="BE319" s="476"/>
      <c r="BF319" s="476"/>
      <c r="BG319" s="476"/>
    </row>
    <row r="320" spans="1:59" ht="16.5" customHeight="1">
      <c r="A320" s="583" t="s">
        <v>1486</v>
      </c>
      <c r="B320" s="584" t="s">
        <v>1487</v>
      </c>
      <c r="C320" s="584" t="s">
        <v>1488</v>
      </c>
      <c r="D320" s="413" t="s">
        <v>1164</v>
      </c>
      <c r="E320" s="412" t="s">
        <v>1181</v>
      </c>
      <c r="F320" s="413" t="s">
        <v>1172</v>
      </c>
      <c r="G320" s="412" t="s">
        <v>1202</v>
      </c>
      <c r="H320" s="412" t="s">
        <v>1275</v>
      </c>
      <c r="I320" s="477">
        <v>0</v>
      </c>
      <c r="J320" s="477">
        <v>0</v>
      </c>
      <c r="K320" s="477">
        <v>1503318</v>
      </c>
      <c r="L320" s="477">
        <v>0</v>
      </c>
      <c r="M320" s="477">
        <f t="shared" si="465"/>
        <v>1503318</v>
      </c>
      <c r="N320" s="477">
        <f t="shared" si="466"/>
        <v>0</v>
      </c>
      <c r="O320" s="477">
        <f>+'Adjustments 2025'!E41</f>
        <v>2619012</v>
      </c>
      <c r="P320" s="477"/>
      <c r="Q320" s="477">
        <f t="shared" si="467"/>
        <v>4122330</v>
      </c>
      <c r="R320" s="477">
        <f t="shared" si="468"/>
        <v>0</v>
      </c>
      <c r="S320" s="477">
        <f t="shared" si="469"/>
        <v>4122330</v>
      </c>
      <c r="U320" s="473"/>
      <c r="V320" s="476">
        <f>IF($V$8=$H320,$Q320,0)</f>
        <v>0</v>
      </c>
      <c r="W320" s="476">
        <f>IF($V$8=$H320,$R320,0)</f>
        <v>0</v>
      </c>
      <c r="X320" s="476">
        <f>IF($X$8=$H320,$Q320,0)</f>
        <v>0</v>
      </c>
      <c r="Y320" s="476">
        <f>IF($X$8=$H320,$R320,0)</f>
        <v>0</v>
      </c>
      <c r="Z320" s="476">
        <f>IF($Z$8=$H320,$Q320,0)</f>
        <v>0</v>
      </c>
      <c r="AA320" s="476">
        <f>IF($Z$8=$H320,$R320,0)</f>
        <v>0</v>
      </c>
      <c r="AB320" s="476">
        <f>IF($AB$8=$H320,$Q320,0)</f>
        <v>0</v>
      </c>
      <c r="AC320" s="476">
        <f>IF($AB$8=$H320,$R320,0)</f>
        <v>0</v>
      </c>
      <c r="AD320" s="476">
        <f>IF($AD$8=$H320,$Q320,0)</f>
        <v>0</v>
      </c>
      <c r="AE320" s="476">
        <f>IF($AD$8=$H320,$R320,0)</f>
        <v>0</v>
      </c>
      <c r="AF320" s="476">
        <f>IF($AF$8=$H320,$Q320,0)</f>
        <v>0</v>
      </c>
      <c r="AG320" s="476">
        <f>IF($AF$8=$H320,$R320,0)</f>
        <v>0</v>
      </c>
      <c r="AH320" s="476">
        <f>IF($AH$8=$H320,$Q320,0)</f>
        <v>0</v>
      </c>
      <c r="AI320" s="476">
        <f>IF($AH$8=$H320,$R320,0)</f>
        <v>0</v>
      </c>
      <c r="AJ320" s="476">
        <f>IF($AJ$8=$H320,$Q320,0)</f>
        <v>0</v>
      </c>
      <c r="AK320" s="476">
        <f>IF($AJ$8=$H320,$R320,0)</f>
        <v>0</v>
      </c>
      <c r="AL320" s="476">
        <f>IF($AL$8=$H320,$Q320,0)</f>
        <v>0</v>
      </c>
      <c r="AM320" s="476">
        <f>IF($AL$8=$H320,$R320,0)</f>
        <v>0</v>
      </c>
      <c r="AN320" s="476">
        <f>IF($AN$8=$H320,$Q320,0)</f>
        <v>0</v>
      </c>
      <c r="AO320" s="476">
        <f>IF($AN$8=$H320,$R320,0)</f>
        <v>0</v>
      </c>
      <c r="AP320" s="476">
        <f>IF($AP$8=$H320,$Q320,0)</f>
        <v>0</v>
      </c>
      <c r="AQ320" s="476">
        <f>IF($AP$8=$H320,$R320,0)</f>
        <v>0</v>
      </c>
      <c r="AR320" s="476">
        <f>IF($AR$8=$H320,$Q320,0)</f>
        <v>0</v>
      </c>
      <c r="AS320" s="476">
        <f>IF($AR$8=$H320,$R320,0)</f>
        <v>0</v>
      </c>
      <c r="AT320" s="476">
        <f>IF($AT$8=$H320,$Q320,0)</f>
        <v>0</v>
      </c>
      <c r="AU320" s="476">
        <f>IF($AT$8=$H320,$R320,0)</f>
        <v>0</v>
      </c>
      <c r="AV320" s="476">
        <f>IF($AV$8=$H320,$Q320,0)</f>
        <v>0</v>
      </c>
      <c r="AW320" s="476">
        <f>IF($AV$8=$H320,$R320,0)</f>
        <v>0</v>
      </c>
      <c r="AX320" s="476">
        <f>IF($AX$8=$H320,$Q320,0)</f>
        <v>0</v>
      </c>
      <c r="AY320" s="476">
        <f>IF($AX$8=$H320,$R320,0)</f>
        <v>0</v>
      </c>
      <c r="AZ320" s="476">
        <f>IF($AZ$8=$H320,$Q320,0)</f>
        <v>0</v>
      </c>
      <c r="BA320" s="476">
        <f>IF($AZ$8=$H320,$R320,0)</f>
        <v>0</v>
      </c>
      <c r="BB320" s="476">
        <f>IF($BB$8=$H320,$Q320,0)</f>
        <v>0</v>
      </c>
      <c r="BC320" s="476">
        <f>IF($BB$8=$H320,$R320,0)</f>
        <v>0</v>
      </c>
      <c r="BD320" s="476">
        <f>IF($BD$8=$H320,$Q320,0)</f>
        <v>0</v>
      </c>
      <c r="BE320" s="476">
        <f>IF($BD$8=$H320,$R320,0)</f>
        <v>0</v>
      </c>
      <c r="BF320" s="476">
        <f>IF($BF$8=$H320,$Q320,0)</f>
        <v>0</v>
      </c>
      <c r="BG320" s="476">
        <f>IF($BF$8=$H320,$R320,0)</f>
        <v>0</v>
      </c>
    </row>
    <row r="321" spans="1:59" ht="16.5" customHeight="1">
      <c r="A321" s="583" t="s">
        <v>1489</v>
      </c>
      <c r="B321" s="584" t="s">
        <v>1490</v>
      </c>
      <c r="C321" s="584" t="s">
        <v>1491</v>
      </c>
      <c r="D321" s="413" t="s">
        <v>1164</v>
      </c>
      <c r="E321" s="412" t="s">
        <v>1181</v>
      </c>
      <c r="F321" s="413" t="s">
        <v>1172</v>
      </c>
      <c r="G321" s="412" t="s">
        <v>1202</v>
      </c>
      <c r="H321" s="412" t="s">
        <v>1275</v>
      </c>
      <c r="I321" s="477">
        <v>0</v>
      </c>
      <c r="J321" s="477">
        <v>0</v>
      </c>
      <c r="K321" s="477">
        <v>1013916</v>
      </c>
      <c r="L321" s="477">
        <v>0</v>
      </c>
      <c r="M321" s="477">
        <f t="shared" si="465"/>
        <v>1013916</v>
      </c>
      <c r="N321" s="477">
        <f t="shared" si="466"/>
        <v>0</v>
      </c>
      <c r="O321" s="477"/>
      <c r="P321" s="477"/>
      <c r="Q321" s="477">
        <f t="shared" ref="Q321:Q322" si="558">+M321+O321</f>
        <v>1013916</v>
      </c>
      <c r="R321" s="477">
        <f t="shared" ref="R321:R322" si="559">+N321+P321</f>
        <v>0</v>
      </c>
      <c r="S321" s="477">
        <f t="shared" ref="S321:S322" si="560">+Q321-R321</f>
        <v>1013916</v>
      </c>
      <c r="U321" s="473"/>
      <c r="V321" s="476"/>
      <c r="W321" s="476"/>
      <c r="X321" s="476"/>
      <c r="Y321" s="476"/>
      <c r="Z321" s="476"/>
      <c r="AA321" s="476"/>
      <c r="AB321" s="476"/>
      <c r="AC321" s="476"/>
      <c r="AD321" s="476"/>
      <c r="AE321" s="476"/>
      <c r="AF321" s="476"/>
      <c r="AG321" s="476"/>
      <c r="AH321" s="476"/>
      <c r="AI321" s="476"/>
      <c r="AJ321" s="476"/>
      <c r="AK321" s="476"/>
      <c r="AL321" s="476"/>
      <c r="AM321" s="476"/>
      <c r="AN321" s="476"/>
      <c r="AO321" s="476"/>
      <c r="AP321" s="476"/>
      <c r="AQ321" s="476"/>
      <c r="AR321" s="476"/>
      <c r="AS321" s="476"/>
      <c r="AT321" s="476"/>
      <c r="AU321" s="476"/>
      <c r="AV321" s="476"/>
      <c r="AW321" s="476"/>
      <c r="AX321" s="476"/>
      <c r="AY321" s="476"/>
      <c r="AZ321" s="476"/>
      <c r="BA321" s="476"/>
      <c r="BB321" s="476"/>
      <c r="BC321" s="476"/>
      <c r="BD321" s="476"/>
      <c r="BE321" s="476"/>
      <c r="BF321" s="476"/>
      <c r="BG321" s="476"/>
    </row>
    <row r="322" spans="1:59" ht="16.5" customHeight="1">
      <c r="A322" s="583" t="s">
        <v>1492</v>
      </c>
      <c r="B322" s="584" t="s">
        <v>1493</v>
      </c>
      <c r="C322" s="584" t="s">
        <v>1494</v>
      </c>
      <c r="D322" s="413" t="s">
        <v>1164</v>
      </c>
      <c r="E322" s="412" t="s">
        <v>1181</v>
      </c>
      <c r="F322" s="413" t="s">
        <v>1172</v>
      </c>
      <c r="G322" s="412" t="s">
        <v>1202</v>
      </c>
      <c r="H322" s="412" t="s">
        <v>1275</v>
      </c>
      <c r="I322" s="477">
        <v>0</v>
      </c>
      <c r="J322" s="477">
        <v>0</v>
      </c>
      <c r="K322" s="477">
        <v>761532</v>
      </c>
      <c r="L322" s="477">
        <v>0</v>
      </c>
      <c r="M322" s="477">
        <f t="shared" si="465"/>
        <v>761532</v>
      </c>
      <c r="N322" s="477">
        <f t="shared" si="466"/>
        <v>0</v>
      </c>
      <c r="O322" s="477"/>
      <c r="P322" s="477"/>
      <c r="Q322" s="477">
        <f t="shared" si="558"/>
        <v>761532</v>
      </c>
      <c r="R322" s="477">
        <f t="shared" si="559"/>
        <v>0</v>
      </c>
      <c r="S322" s="477">
        <f t="shared" si="560"/>
        <v>761532</v>
      </c>
      <c r="U322" s="473"/>
      <c r="V322" s="476"/>
      <c r="W322" s="476"/>
      <c r="X322" s="476"/>
      <c r="Y322" s="476"/>
      <c r="Z322" s="476"/>
      <c r="AA322" s="476"/>
      <c r="AB322" s="476"/>
      <c r="AC322" s="476"/>
      <c r="AD322" s="476"/>
      <c r="AE322" s="476"/>
      <c r="AF322" s="476"/>
      <c r="AG322" s="476"/>
      <c r="AH322" s="476"/>
      <c r="AI322" s="476"/>
      <c r="AJ322" s="476"/>
      <c r="AK322" s="476"/>
      <c r="AL322" s="476"/>
      <c r="AM322" s="476"/>
      <c r="AN322" s="476"/>
      <c r="AO322" s="476"/>
      <c r="AP322" s="476"/>
      <c r="AQ322" s="476"/>
      <c r="AR322" s="476"/>
      <c r="AS322" s="476"/>
      <c r="AT322" s="476"/>
      <c r="AU322" s="476"/>
      <c r="AV322" s="476"/>
      <c r="AW322" s="476"/>
      <c r="AX322" s="476"/>
      <c r="AY322" s="476"/>
      <c r="AZ322" s="476"/>
      <c r="BA322" s="476"/>
      <c r="BB322" s="476"/>
      <c r="BC322" s="476"/>
      <c r="BD322" s="476"/>
      <c r="BE322" s="476"/>
      <c r="BF322" s="476"/>
      <c r="BG322" s="476"/>
    </row>
    <row r="323" spans="1:59" ht="16.5" customHeight="1">
      <c r="A323" s="583" t="s">
        <v>1495</v>
      </c>
      <c r="B323" s="584" t="s">
        <v>1496</v>
      </c>
      <c r="C323" s="584" t="s">
        <v>1497</v>
      </c>
      <c r="D323" s="413" t="s">
        <v>1164</v>
      </c>
      <c r="E323" s="412" t="s">
        <v>1181</v>
      </c>
      <c r="F323" s="413" t="s">
        <v>1172</v>
      </c>
      <c r="G323" s="412" t="s">
        <v>1202</v>
      </c>
      <c r="H323" s="412" t="s">
        <v>1275</v>
      </c>
      <c r="I323" s="477">
        <v>0</v>
      </c>
      <c r="J323" s="477">
        <v>0</v>
      </c>
      <c r="K323" s="477">
        <v>671706</v>
      </c>
      <c r="L323" s="477">
        <v>0</v>
      </c>
      <c r="M323" s="477">
        <f t="shared" si="465"/>
        <v>671706</v>
      </c>
      <c r="N323" s="477">
        <f t="shared" si="466"/>
        <v>0</v>
      </c>
      <c r="O323" s="477"/>
      <c r="P323" s="477"/>
      <c r="Q323" s="477">
        <f t="shared" si="467"/>
        <v>671706</v>
      </c>
      <c r="R323" s="477">
        <f t="shared" si="468"/>
        <v>0</v>
      </c>
      <c r="S323" s="477">
        <f t="shared" si="469"/>
        <v>671706</v>
      </c>
      <c r="U323" s="473"/>
      <c r="V323" s="476">
        <f>IF($V$8=$H323,$Q323,0)</f>
        <v>0</v>
      </c>
      <c r="W323" s="476">
        <f>IF($V$8=$H323,$R323,0)</f>
        <v>0</v>
      </c>
      <c r="X323" s="476">
        <f>IF($X$8=$H323,$Q323,0)</f>
        <v>0</v>
      </c>
      <c r="Y323" s="476">
        <f>IF($X$8=$H323,$R323,0)</f>
        <v>0</v>
      </c>
      <c r="Z323" s="476">
        <f>IF($Z$8=$H323,$Q323,0)</f>
        <v>0</v>
      </c>
      <c r="AA323" s="476">
        <f>IF($Z$8=$H323,$R323,0)</f>
        <v>0</v>
      </c>
      <c r="AB323" s="476">
        <f>IF($AB$8=$H323,$Q323,0)</f>
        <v>0</v>
      </c>
      <c r="AC323" s="476">
        <f>IF($AB$8=$H323,$R323,0)</f>
        <v>0</v>
      </c>
      <c r="AD323" s="476">
        <f>IF($AD$8=$H323,$Q323,0)</f>
        <v>0</v>
      </c>
      <c r="AE323" s="476">
        <f>IF($AD$8=$H323,$R323,0)</f>
        <v>0</v>
      </c>
      <c r="AF323" s="476">
        <f>IF($AF$8=$H323,$Q323,0)</f>
        <v>0</v>
      </c>
      <c r="AG323" s="476">
        <f>IF($AF$8=$H323,$R323,0)</f>
        <v>0</v>
      </c>
      <c r="AH323" s="476">
        <f>IF($AH$8=$H323,$Q323,0)</f>
        <v>0</v>
      </c>
      <c r="AI323" s="476">
        <f>IF($AH$8=$H323,$R323,0)</f>
        <v>0</v>
      </c>
      <c r="AJ323" s="476">
        <f>IF($AJ$8=$H323,$Q323,0)</f>
        <v>0</v>
      </c>
      <c r="AK323" s="476">
        <f>IF($AJ$8=$H323,$R323,0)</f>
        <v>0</v>
      </c>
      <c r="AL323" s="476">
        <f>IF($AL$8=$H323,$Q323,0)</f>
        <v>0</v>
      </c>
      <c r="AM323" s="476">
        <f>IF($AL$8=$H323,$R323,0)</f>
        <v>0</v>
      </c>
      <c r="AN323" s="476">
        <f>IF($AN$8=$H323,$Q323,0)</f>
        <v>0</v>
      </c>
      <c r="AO323" s="476">
        <f>IF($AN$8=$H323,$R323,0)</f>
        <v>0</v>
      </c>
      <c r="AP323" s="476">
        <f>IF($AP$8=$H323,$Q323,0)</f>
        <v>0</v>
      </c>
      <c r="AQ323" s="476">
        <f>IF($AP$8=$H323,$R323,0)</f>
        <v>0</v>
      </c>
      <c r="AR323" s="476">
        <f>IF($AR$8=$H323,$Q323,0)</f>
        <v>0</v>
      </c>
      <c r="AS323" s="476">
        <f>IF($AR$8=$H323,$R323,0)</f>
        <v>0</v>
      </c>
      <c r="AT323" s="476">
        <f>IF($AT$8=$H323,$Q323,0)</f>
        <v>0</v>
      </c>
      <c r="AU323" s="476">
        <f>IF($AT$8=$H323,$R323,0)</f>
        <v>0</v>
      </c>
      <c r="AV323" s="476">
        <f>IF($AV$8=$H323,$Q323,0)</f>
        <v>0</v>
      </c>
      <c r="AW323" s="476">
        <f>IF($AV$8=$H323,$R323,0)</f>
        <v>0</v>
      </c>
      <c r="AX323" s="476">
        <f>IF($AX$8=$H323,$Q323,0)</f>
        <v>0</v>
      </c>
      <c r="AY323" s="476">
        <f>IF($AX$8=$H323,$R323,0)</f>
        <v>0</v>
      </c>
      <c r="AZ323" s="476">
        <f>IF($AZ$8=$H323,$Q323,0)</f>
        <v>0</v>
      </c>
      <c r="BA323" s="476">
        <f>IF($AZ$8=$H323,$R323,0)</f>
        <v>0</v>
      </c>
      <c r="BB323" s="476">
        <f>IF($BB$8=$H323,$Q323,0)</f>
        <v>0</v>
      </c>
      <c r="BC323" s="476">
        <f>IF($BB$8=$H323,$R323,0)</f>
        <v>0</v>
      </c>
      <c r="BD323" s="476">
        <f>IF($BD$8=$H323,$Q323,0)</f>
        <v>0</v>
      </c>
      <c r="BE323" s="476">
        <f>IF($BD$8=$H323,$R323,0)</f>
        <v>0</v>
      </c>
      <c r="BF323" s="476">
        <f>IF($BF$8=$H323,$Q323,0)</f>
        <v>0</v>
      </c>
      <c r="BG323" s="476">
        <f>IF($BF$8=$H323,$R323,0)</f>
        <v>0</v>
      </c>
    </row>
    <row r="324" spans="1:59" ht="16.5" customHeight="1">
      <c r="A324" s="583"/>
      <c r="B324" s="584" t="s">
        <v>1496</v>
      </c>
      <c r="C324" s="584" t="s">
        <v>1497</v>
      </c>
      <c r="D324" s="413" t="s">
        <v>1164</v>
      </c>
      <c r="E324" s="412" t="s">
        <v>1181</v>
      </c>
      <c r="F324" s="413" t="s">
        <v>1997</v>
      </c>
      <c r="G324" s="412" t="s">
        <v>1997</v>
      </c>
      <c r="H324" s="412" t="s">
        <v>1275</v>
      </c>
      <c r="I324" s="477">
        <v>0</v>
      </c>
      <c r="J324" s="477">
        <v>0</v>
      </c>
      <c r="K324" s="477">
        <v>0</v>
      </c>
      <c r="L324" s="477">
        <v>0</v>
      </c>
      <c r="M324" s="477">
        <f t="shared" si="465"/>
        <v>0</v>
      </c>
      <c r="N324" s="477">
        <f t="shared" si="466"/>
        <v>0</v>
      </c>
      <c r="O324" s="477">
        <f>'Adjustments 2025'!E37</f>
        <v>337290</v>
      </c>
      <c r="P324" s="477">
        <v>0</v>
      </c>
      <c r="Q324" s="477">
        <f t="shared" si="467"/>
        <v>337290</v>
      </c>
      <c r="R324" s="477">
        <f t="shared" si="468"/>
        <v>0</v>
      </c>
      <c r="S324" s="477">
        <f t="shared" si="469"/>
        <v>337290</v>
      </c>
      <c r="U324" s="473"/>
      <c r="V324" s="476"/>
      <c r="W324" s="476"/>
      <c r="X324" s="476"/>
      <c r="Y324" s="476"/>
      <c r="Z324" s="476"/>
      <c r="AA324" s="476"/>
      <c r="AB324" s="476"/>
      <c r="AC324" s="476"/>
      <c r="AD324" s="476"/>
      <c r="AE324" s="476"/>
      <c r="AF324" s="476"/>
      <c r="AG324" s="476"/>
      <c r="AH324" s="476"/>
      <c r="AI324" s="476"/>
      <c r="AJ324" s="476"/>
      <c r="AK324" s="476"/>
      <c r="AL324" s="476"/>
      <c r="AM324" s="476"/>
      <c r="AN324" s="476"/>
      <c r="AO324" s="476"/>
      <c r="AP324" s="476"/>
      <c r="AQ324" s="476"/>
      <c r="AR324" s="476"/>
      <c r="AS324" s="476"/>
      <c r="AT324" s="476"/>
      <c r="AU324" s="476"/>
      <c r="AV324" s="476"/>
      <c r="AW324" s="476"/>
      <c r="AX324" s="476"/>
      <c r="AY324" s="476"/>
      <c r="AZ324" s="476"/>
      <c r="BA324" s="476"/>
      <c r="BB324" s="476"/>
      <c r="BC324" s="476"/>
      <c r="BD324" s="476"/>
      <c r="BE324" s="476"/>
      <c r="BF324" s="476"/>
      <c r="BG324" s="476"/>
    </row>
    <row r="325" spans="1:59" ht="16.5" customHeight="1">
      <c r="A325" s="583" t="s">
        <v>1498</v>
      </c>
      <c r="B325" s="584" t="s">
        <v>1499</v>
      </c>
      <c r="C325" s="584" t="s">
        <v>1500</v>
      </c>
      <c r="D325" s="413" t="s">
        <v>1164</v>
      </c>
      <c r="E325" s="412" t="s">
        <v>1181</v>
      </c>
      <c r="F325" s="413" t="s">
        <v>1499</v>
      </c>
      <c r="G325" s="412" t="s">
        <v>1499</v>
      </c>
      <c r="H325" s="412" t="s">
        <v>1275</v>
      </c>
      <c r="I325" s="477">
        <v>0</v>
      </c>
      <c r="J325" s="477">
        <v>0</v>
      </c>
      <c r="K325" s="477">
        <v>27004</v>
      </c>
      <c r="L325" s="477">
        <v>0</v>
      </c>
      <c r="M325" s="477">
        <f t="shared" si="465"/>
        <v>27004</v>
      </c>
      <c r="N325" s="477">
        <f t="shared" si="466"/>
        <v>0</v>
      </c>
      <c r="O325" s="477"/>
      <c r="P325" s="477"/>
      <c r="Q325" s="477">
        <f t="shared" si="467"/>
        <v>27004</v>
      </c>
      <c r="R325" s="477">
        <f t="shared" si="468"/>
        <v>0</v>
      </c>
      <c r="S325" s="477">
        <f t="shared" si="469"/>
        <v>27004</v>
      </c>
      <c r="U325" s="473"/>
      <c r="V325" s="476">
        <f>IF($V$8=$H325,$Q325,0)</f>
        <v>0</v>
      </c>
      <c r="W325" s="476">
        <f>IF($V$8=$H325,$R325,0)</f>
        <v>0</v>
      </c>
      <c r="X325" s="476">
        <f>IF($X$8=$H325,$Q325,0)</f>
        <v>0</v>
      </c>
      <c r="Y325" s="476">
        <f>IF($X$8=$H325,$R325,0)</f>
        <v>0</v>
      </c>
      <c r="Z325" s="476">
        <f>IF($Z$8=$H325,$Q325,0)</f>
        <v>0</v>
      </c>
      <c r="AA325" s="476">
        <f>IF($Z$8=$H325,$R325,0)</f>
        <v>0</v>
      </c>
      <c r="AB325" s="476">
        <f>IF($AB$8=$H325,$Q325,0)</f>
        <v>0</v>
      </c>
      <c r="AC325" s="476">
        <f>IF($AB$8=$H325,$R325,0)</f>
        <v>0</v>
      </c>
      <c r="AD325" s="476">
        <f>IF($AD$8=$H325,$Q325,0)</f>
        <v>0</v>
      </c>
      <c r="AE325" s="476">
        <f>IF($AD$8=$H325,$R325,0)</f>
        <v>0</v>
      </c>
      <c r="AF325" s="476">
        <f>IF($AF$8=$H325,$Q325,0)</f>
        <v>0</v>
      </c>
      <c r="AG325" s="476">
        <f>IF($AF$8=$H325,$R325,0)</f>
        <v>0</v>
      </c>
      <c r="AH325" s="476">
        <f>IF($AH$8=$H325,$Q325,0)</f>
        <v>0</v>
      </c>
      <c r="AI325" s="476">
        <f>IF($AH$8=$H325,$R325,0)</f>
        <v>0</v>
      </c>
      <c r="AJ325" s="476">
        <f>IF($AJ$8=$H325,$Q325,0)</f>
        <v>0</v>
      </c>
      <c r="AK325" s="476">
        <f>IF($AJ$8=$H325,$R325,0)</f>
        <v>0</v>
      </c>
      <c r="AL325" s="476">
        <f>IF($AL$8=$H325,$Q325,0)</f>
        <v>0</v>
      </c>
      <c r="AM325" s="476">
        <f>IF($AL$8=$H325,$R325,0)</f>
        <v>0</v>
      </c>
      <c r="AN325" s="476">
        <f>IF($AN$8=$H325,$Q325,0)</f>
        <v>0</v>
      </c>
      <c r="AO325" s="476">
        <f>IF($AN$8=$H325,$R325,0)</f>
        <v>0</v>
      </c>
      <c r="AP325" s="476">
        <f>IF($AP$8=$H325,$Q325,0)</f>
        <v>0</v>
      </c>
      <c r="AQ325" s="476">
        <f>IF($AP$8=$H325,$R325,0)</f>
        <v>0</v>
      </c>
      <c r="AR325" s="476">
        <f>IF($AR$8=$H325,$Q325,0)</f>
        <v>0</v>
      </c>
      <c r="AS325" s="476">
        <f>IF($AR$8=$H325,$R325,0)</f>
        <v>0</v>
      </c>
      <c r="AT325" s="476">
        <f>IF($AT$8=$H325,$Q325,0)</f>
        <v>0</v>
      </c>
      <c r="AU325" s="476">
        <f>IF($AT$8=$H325,$R325,0)</f>
        <v>0</v>
      </c>
      <c r="AV325" s="476">
        <f>IF($AV$8=$H325,$Q325,0)</f>
        <v>0</v>
      </c>
      <c r="AW325" s="476">
        <f>IF($AV$8=$H325,$R325,0)</f>
        <v>0</v>
      </c>
      <c r="AX325" s="476">
        <f>IF($AX$8=$H325,$Q325,0)</f>
        <v>0</v>
      </c>
      <c r="AY325" s="476">
        <f>IF($AX$8=$H325,$R325,0)</f>
        <v>0</v>
      </c>
      <c r="AZ325" s="476">
        <f>IF($AZ$8=$H325,$Q325,0)</f>
        <v>0</v>
      </c>
      <c r="BA325" s="476">
        <f>IF($AZ$8=$H325,$R325,0)</f>
        <v>0</v>
      </c>
      <c r="BB325" s="476">
        <f>IF($BB$8=$H325,$Q325,0)</f>
        <v>0</v>
      </c>
      <c r="BC325" s="476">
        <f>IF($BB$8=$H325,$R325,0)</f>
        <v>0</v>
      </c>
      <c r="BD325" s="476">
        <f>IF($BD$8=$H325,$Q325,0)</f>
        <v>0</v>
      </c>
      <c r="BE325" s="476">
        <f>IF($BD$8=$H325,$R325,0)</f>
        <v>0</v>
      </c>
      <c r="BF325" s="476">
        <f>IF($BF$8=$H325,$Q325,0)</f>
        <v>0</v>
      </c>
      <c r="BG325" s="476">
        <f>IF($BF$8=$H325,$R325,0)</f>
        <v>0</v>
      </c>
    </row>
    <row r="326" spans="1:59" ht="16.5" customHeight="1">
      <c r="A326" s="583" t="s">
        <v>1501</v>
      </c>
      <c r="B326" s="584" t="s">
        <v>1502</v>
      </c>
      <c r="C326" s="584" t="s">
        <v>1503</v>
      </c>
      <c r="D326" s="413" t="s">
        <v>1164</v>
      </c>
      <c r="E326" s="412" t="s">
        <v>1181</v>
      </c>
      <c r="F326" s="413" t="s">
        <v>1502</v>
      </c>
      <c r="G326" s="412" t="s">
        <v>1502</v>
      </c>
      <c r="H326" s="412" t="s">
        <v>1275</v>
      </c>
      <c r="I326" s="477">
        <v>0</v>
      </c>
      <c r="J326" s="477">
        <v>0</v>
      </c>
      <c r="K326" s="477">
        <v>31158</v>
      </c>
      <c r="L326" s="477">
        <v>0</v>
      </c>
      <c r="M326" s="477">
        <f t="shared" si="465"/>
        <v>31158</v>
      </c>
      <c r="N326" s="477">
        <f t="shared" si="466"/>
        <v>0</v>
      </c>
      <c r="O326" s="477"/>
      <c r="P326" s="477"/>
      <c r="Q326" s="477">
        <f t="shared" si="467"/>
        <v>31158</v>
      </c>
      <c r="R326" s="477">
        <f t="shared" si="468"/>
        <v>0</v>
      </c>
      <c r="S326" s="477">
        <f t="shared" si="469"/>
        <v>31158</v>
      </c>
      <c r="U326" s="473"/>
      <c r="V326" s="476">
        <f>IF($V$8=$H326,$Q326,0)</f>
        <v>0</v>
      </c>
      <c r="W326" s="476">
        <f>IF($V$8=$H326,$R326,0)</f>
        <v>0</v>
      </c>
      <c r="X326" s="476">
        <f>IF($X$8=$H326,$Q326,0)</f>
        <v>0</v>
      </c>
      <c r="Y326" s="476">
        <f>IF($X$8=$H326,$R326,0)</f>
        <v>0</v>
      </c>
      <c r="Z326" s="476">
        <f>IF($Z$8=$H326,$Q326,0)</f>
        <v>0</v>
      </c>
      <c r="AA326" s="476">
        <f>IF($Z$8=$H326,$R326,0)</f>
        <v>0</v>
      </c>
      <c r="AB326" s="476">
        <f>IF($AB$8=$H326,$Q326,0)</f>
        <v>0</v>
      </c>
      <c r="AC326" s="476">
        <f>IF($AB$8=$H326,$R326,0)</f>
        <v>0</v>
      </c>
      <c r="AD326" s="476">
        <f>IF($AD$8=$H326,$Q326,0)</f>
        <v>0</v>
      </c>
      <c r="AE326" s="476">
        <f>IF($AD$8=$H326,$R326,0)</f>
        <v>0</v>
      </c>
      <c r="AF326" s="476">
        <f>IF($AF$8=$H326,$Q326,0)</f>
        <v>0</v>
      </c>
      <c r="AG326" s="476">
        <f>IF($AF$8=$H326,$R326,0)</f>
        <v>0</v>
      </c>
      <c r="AH326" s="476">
        <f>IF($AH$8=$H326,$Q326,0)</f>
        <v>0</v>
      </c>
      <c r="AI326" s="476">
        <f>IF($AH$8=$H326,$R326,0)</f>
        <v>0</v>
      </c>
      <c r="AJ326" s="476">
        <f>IF($AJ$8=$H326,$Q326,0)</f>
        <v>0</v>
      </c>
      <c r="AK326" s="476">
        <f>IF($AJ$8=$H326,$R326,0)</f>
        <v>0</v>
      </c>
      <c r="AL326" s="476">
        <f>IF($AL$8=$H326,$Q326,0)</f>
        <v>0</v>
      </c>
      <c r="AM326" s="476">
        <f>IF($AL$8=$H326,$R326,0)</f>
        <v>0</v>
      </c>
      <c r="AN326" s="476">
        <f>IF($AN$8=$H326,$Q326,0)</f>
        <v>0</v>
      </c>
      <c r="AO326" s="476">
        <f>IF($AN$8=$H326,$R326,0)</f>
        <v>0</v>
      </c>
      <c r="AP326" s="476">
        <f>IF($AP$8=$H326,$Q326,0)</f>
        <v>0</v>
      </c>
      <c r="AQ326" s="476">
        <f>IF($AP$8=$H326,$R326,0)</f>
        <v>0</v>
      </c>
      <c r="AR326" s="476">
        <f>IF($AR$8=$H326,$Q326,0)</f>
        <v>0</v>
      </c>
      <c r="AS326" s="476">
        <f>IF($AR$8=$H326,$R326,0)</f>
        <v>0</v>
      </c>
      <c r="AT326" s="476">
        <f>IF($AT$8=$H326,$Q326,0)</f>
        <v>0</v>
      </c>
      <c r="AU326" s="476">
        <f>IF($AT$8=$H326,$R326,0)</f>
        <v>0</v>
      </c>
      <c r="AV326" s="476">
        <f>IF($AV$8=$H326,$Q326,0)</f>
        <v>0</v>
      </c>
      <c r="AW326" s="476">
        <f>IF($AV$8=$H326,$R326,0)</f>
        <v>0</v>
      </c>
      <c r="AX326" s="476">
        <f>IF($AX$8=$H326,$Q326,0)</f>
        <v>0</v>
      </c>
      <c r="AY326" s="476">
        <f>IF($AX$8=$H326,$R326,0)</f>
        <v>0</v>
      </c>
      <c r="AZ326" s="476">
        <f>IF($AZ$8=$H326,$Q326,0)</f>
        <v>0</v>
      </c>
      <c r="BA326" s="476">
        <f>IF($AZ$8=$H326,$R326,0)</f>
        <v>0</v>
      </c>
      <c r="BB326" s="476">
        <f>IF($BB$8=$H326,$Q326,0)</f>
        <v>0</v>
      </c>
      <c r="BC326" s="476">
        <f>IF($BB$8=$H326,$R326,0)</f>
        <v>0</v>
      </c>
      <c r="BD326" s="476">
        <f>IF($BD$8=$H326,$Q326,0)</f>
        <v>0</v>
      </c>
      <c r="BE326" s="476">
        <f>IF($BD$8=$H326,$R326,0)</f>
        <v>0</v>
      </c>
      <c r="BF326" s="476">
        <f>IF($BF$8=$H326,$Q326,0)</f>
        <v>0</v>
      </c>
      <c r="BG326" s="476">
        <f>IF($BF$8=$H326,$R326,0)</f>
        <v>0</v>
      </c>
    </row>
    <row r="327" spans="1:59" ht="16.5" customHeight="1">
      <c r="A327" s="583" t="s">
        <v>1504</v>
      </c>
      <c r="B327" s="584" t="s">
        <v>1505</v>
      </c>
      <c r="C327" s="584" t="s">
        <v>1506</v>
      </c>
      <c r="D327" s="413" t="s">
        <v>1164</v>
      </c>
      <c r="E327" s="412" t="s">
        <v>1181</v>
      </c>
      <c r="F327" s="413" t="s">
        <v>1505</v>
      </c>
      <c r="G327" s="412" t="s">
        <v>1505</v>
      </c>
      <c r="H327" s="412" t="s">
        <v>1275</v>
      </c>
      <c r="I327" s="477">
        <v>0</v>
      </c>
      <c r="J327" s="477">
        <v>0</v>
      </c>
      <c r="K327" s="477">
        <v>23000</v>
      </c>
      <c r="L327" s="477">
        <v>0</v>
      </c>
      <c r="M327" s="477">
        <f t="shared" si="465"/>
        <v>23000</v>
      </c>
      <c r="N327" s="477">
        <f t="shared" si="466"/>
        <v>0</v>
      </c>
      <c r="O327" s="477"/>
      <c r="P327" s="477"/>
      <c r="Q327" s="477">
        <f t="shared" ref="Q327" si="561">+M327+O327</f>
        <v>23000</v>
      </c>
      <c r="R327" s="477">
        <f t="shared" ref="R327" si="562">+N327+P327</f>
        <v>0</v>
      </c>
      <c r="S327" s="477">
        <f t="shared" ref="S327" si="563">+Q327-R327</f>
        <v>23000</v>
      </c>
      <c r="U327" s="473"/>
      <c r="V327" s="476"/>
      <c r="W327" s="476"/>
      <c r="X327" s="476"/>
      <c r="Y327" s="476"/>
      <c r="Z327" s="476"/>
      <c r="AA327" s="476"/>
      <c r="AB327" s="476"/>
      <c r="AC327" s="476"/>
      <c r="AD327" s="476"/>
      <c r="AE327" s="476"/>
      <c r="AF327" s="476"/>
      <c r="AG327" s="476"/>
      <c r="AH327" s="476"/>
      <c r="AI327" s="476"/>
      <c r="AJ327" s="476"/>
      <c r="AK327" s="476"/>
      <c r="AL327" s="476"/>
      <c r="AM327" s="476"/>
      <c r="AN327" s="476"/>
      <c r="AO327" s="476"/>
      <c r="AP327" s="476"/>
      <c r="AQ327" s="476"/>
      <c r="AR327" s="476"/>
      <c r="AS327" s="476"/>
      <c r="AT327" s="476"/>
      <c r="AU327" s="476"/>
      <c r="AV327" s="476"/>
      <c r="AW327" s="476"/>
      <c r="AX327" s="476"/>
      <c r="AY327" s="476"/>
      <c r="AZ327" s="476"/>
      <c r="BA327" s="476"/>
      <c r="BB327" s="476"/>
      <c r="BC327" s="476"/>
      <c r="BD327" s="476"/>
      <c r="BE327" s="476"/>
      <c r="BF327" s="476"/>
      <c r="BG327" s="476"/>
    </row>
    <row r="328" spans="1:59" ht="16.5" customHeight="1">
      <c r="A328" s="583" t="s">
        <v>1507</v>
      </c>
      <c r="B328" s="584" t="s">
        <v>1508</v>
      </c>
      <c r="C328" s="584" t="s">
        <v>1509</v>
      </c>
      <c r="D328" s="413" t="s">
        <v>1164</v>
      </c>
      <c r="E328" s="412" t="s">
        <v>1181</v>
      </c>
      <c r="F328" s="413" t="s">
        <v>1508</v>
      </c>
      <c r="G328" s="412" t="s">
        <v>1508</v>
      </c>
      <c r="H328" s="412" t="s">
        <v>1275</v>
      </c>
      <c r="I328" s="477">
        <v>0</v>
      </c>
      <c r="J328" s="477">
        <v>0</v>
      </c>
      <c r="K328" s="477">
        <v>599579</v>
      </c>
      <c r="L328" s="477">
        <v>0</v>
      </c>
      <c r="M328" s="477">
        <f t="shared" si="465"/>
        <v>599579</v>
      </c>
      <c r="N328" s="477">
        <f t="shared" si="466"/>
        <v>0</v>
      </c>
      <c r="O328" s="477"/>
      <c r="P328" s="477"/>
      <c r="Q328" s="477">
        <f t="shared" si="467"/>
        <v>599579</v>
      </c>
      <c r="R328" s="477">
        <f t="shared" si="468"/>
        <v>0</v>
      </c>
      <c r="S328" s="477">
        <f t="shared" si="469"/>
        <v>599579</v>
      </c>
      <c r="U328" s="473"/>
      <c r="V328" s="476">
        <f t="shared" ref="V328:V353" si="564">IF($V$8=$H328,$Q328,0)</f>
        <v>0</v>
      </c>
      <c r="W328" s="476">
        <f t="shared" ref="W328:W353" si="565">IF($V$8=$H328,$R328,0)</f>
        <v>0</v>
      </c>
      <c r="X328" s="476">
        <f t="shared" ref="X328:X353" si="566">IF($X$8=$H328,$Q328,0)</f>
        <v>0</v>
      </c>
      <c r="Y328" s="476">
        <f t="shared" ref="Y328:Y353" si="567">IF($X$8=$H328,$R328,0)</f>
        <v>0</v>
      </c>
      <c r="Z328" s="476">
        <f t="shared" ref="Z328:Z353" si="568">IF($Z$8=$H328,$Q328,0)</f>
        <v>0</v>
      </c>
      <c r="AA328" s="476">
        <f t="shared" ref="AA328:AA353" si="569">IF($Z$8=$H328,$R328,0)</f>
        <v>0</v>
      </c>
      <c r="AB328" s="476">
        <f t="shared" ref="AB328:AB353" si="570">IF($AB$8=$H328,$Q328,0)</f>
        <v>0</v>
      </c>
      <c r="AC328" s="476">
        <f t="shared" ref="AC328:AC353" si="571">IF($AB$8=$H328,$R328,0)</f>
        <v>0</v>
      </c>
      <c r="AD328" s="476">
        <f t="shared" ref="AD328:AD353" si="572">IF($AD$8=$H328,$Q328,0)</f>
        <v>0</v>
      </c>
      <c r="AE328" s="476">
        <f t="shared" ref="AE328:AE353" si="573">IF($AD$8=$H328,$R328,0)</f>
        <v>0</v>
      </c>
      <c r="AF328" s="476">
        <f t="shared" ref="AF328:AF353" si="574">IF($AF$8=$H328,$Q328,0)</f>
        <v>0</v>
      </c>
      <c r="AG328" s="476">
        <f t="shared" ref="AG328:AG353" si="575">IF($AF$8=$H328,$R328,0)</f>
        <v>0</v>
      </c>
      <c r="AH328" s="476">
        <f t="shared" ref="AH328:AH353" si="576">IF($AH$8=$H328,$Q328,0)</f>
        <v>0</v>
      </c>
      <c r="AI328" s="476">
        <f t="shared" ref="AI328:AI353" si="577">IF($AH$8=$H328,$R328,0)</f>
        <v>0</v>
      </c>
      <c r="AJ328" s="476">
        <f t="shared" ref="AJ328:AJ353" si="578">IF($AJ$8=$H328,$Q328,0)</f>
        <v>0</v>
      </c>
      <c r="AK328" s="476">
        <f t="shared" ref="AK328:AK353" si="579">IF($AJ$8=$H328,$R328,0)</f>
        <v>0</v>
      </c>
      <c r="AL328" s="476">
        <f t="shared" ref="AL328:AL353" si="580">IF($AL$8=$H328,$Q328,0)</f>
        <v>0</v>
      </c>
      <c r="AM328" s="476">
        <f t="shared" ref="AM328:AM353" si="581">IF($AL$8=$H328,$R328,0)</f>
        <v>0</v>
      </c>
      <c r="AN328" s="476">
        <f t="shared" ref="AN328:AN353" si="582">IF($AN$8=$H328,$Q328,0)</f>
        <v>0</v>
      </c>
      <c r="AO328" s="476">
        <f t="shared" ref="AO328:AO353" si="583">IF($AN$8=$H328,$R328,0)</f>
        <v>0</v>
      </c>
      <c r="AP328" s="476">
        <f t="shared" ref="AP328:AP353" si="584">IF($AP$8=$H328,$Q328,0)</f>
        <v>0</v>
      </c>
      <c r="AQ328" s="476">
        <f t="shared" ref="AQ328:AQ353" si="585">IF($AP$8=$H328,$R328,0)</f>
        <v>0</v>
      </c>
      <c r="AR328" s="476">
        <f t="shared" ref="AR328:AR353" si="586">IF($AR$8=$H328,$Q328,0)</f>
        <v>0</v>
      </c>
      <c r="AS328" s="476">
        <f t="shared" ref="AS328:AS353" si="587">IF($AR$8=$H328,$R328,0)</f>
        <v>0</v>
      </c>
      <c r="AT328" s="476">
        <f t="shared" ref="AT328:AT353" si="588">IF($AT$8=$H328,$Q328,0)</f>
        <v>0</v>
      </c>
      <c r="AU328" s="476">
        <f t="shared" ref="AU328:AU353" si="589">IF($AT$8=$H328,$R328,0)</f>
        <v>0</v>
      </c>
      <c r="AV328" s="476">
        <f t="shared" ref="AV328:AV353" si="590">IF($AV$8=$H328,$Q328,0)</f>
        <v>0</v>
      </c>
      <c r="AW328" s="476">
        <f t="shared" ref="AW328:AW353" si="591">IF($AV$8=$H328,$R328,0)</f>
        <v>0</v>
      </c>
      <c r="AX328" s="476">
        <f t="shared" ref="AX328:AX353" si="592">IF($AX$8=$H328,$Q328,0)</f>
        <v>0</v>
      </c>
      <c r="AY328" s="476">
        <f t="shared" ref="AY328:AY353" si="593">IF($AX$8=$H328,$R328,0)</f>
        <v>0</v>
      </c>
      <c r="AZ328" s="476">
        <f t="shared" ref="AZ328:AZ353" si="594">IF($AZ$8=$H328,$Q328,0)</f>
        <v>0</v>
      </c>
      <c r="BA328" s="476">
        <f t="shared" ref="BA328:BA353" si="595">IF($AZ$8=$H328,$R328,0)</f>
        <v>0</v>
      </c>
      <c r="BB328" s="476">
        <f t="shared" ref="BB328:BB353" si="596">IF($BB$8=$H328,$Q328,0)</f>
        <v>0</v>
      </c>
      <c r="BC328" s="476">
        <f t="shared" ref="BC328:BC353" si="597">IF($BB$8=$H328,$R328,0)</f>
        <v>0</v>
      </c>
      <c r="BD328" s="476">
        <f t="shared" ref="BD328:BD353" si="598">IF($BD$8=$H328,$Q328,0)</f>
        <v>0</v>
      </c>
      <c r="BE328" s="476">
        <f t="shared" ref="BE328:BE353" si="599">IF($BD$8=$H328,$R328,0)</f>
        <v>0</v>
      </c>
      <c r="BF328" s="476">
        <f t="shared" ref="BF328:BF353" si="600">IF($BF$8=$H328,$Q328,0)</f>
        <v>0</v>
      </c>
      <c r="BG328" s="476">
        <f t="shared" ref="BG328:BG353" si="601">IF($BF$8=$H328,$R328,0)</f>
        <v>0</v>
      </c>
    </row>
    <row r="329" spans="1:59" ht="16.5" customHeight="1">
      <c r="A329" s="583" t="s">
        <v>1510</v>
      </c>
      <c r="B329" s="584" t="s">
        <v>1511</v>
      </c>
      <c r="C329" s="584" t="s">
        <v>1512</v>
      </c>
      <c r="D329" s="413" t="s">
        <v>1164</v>
      </c>
      <c r="E329" s="412" t="s">
        <v>1181</v>
      </c>
      <c r="F329" s="413" t="s">
        <v>1511</v>
      </c>
      <c r="G329" s="412" t="s">
        <v>1511</v>
      </c>
      <c r="H329" s="412" t="s">
        <v>1275</v>
      </c>
      <c r="I329" s="477">
        <v>0</v>
      </c>
      <c r="J329" s="477">
        <v>0</v>
      </c>
      <c r="K329" s="477">
        <v>416650</v>
      </c>
      <c r="L329" s="477">
        <v>0</v>
      </c>
      <c r="M329" s="477">
        <f t="shared" si="465"/>
        <v>416650</v>
      </c>
      <c r="N329" s="477">
        <f t="shared" si="466"/>
        <v>0</v>
      </c>
      <c r="O329" s="477"/>
      <c r="P329" s="477"/>
      <c r="Q329" s="477">
        <f t="shared" si="467"/>
        <v>416650</v>
      </c>
      <c r="R329" s="477">
        <f t="shared" si="468"/>
        <v>0</v>
      </c>
      <c r="S329" s="477">
        <f t="shared" si="469"/>
        <v>416650</v>
      </c>
      <c r="U329" s="473"/>
      <c r="V329" s="476">
        <f t="shared" si="564"/>
        <v>0</v>
      </c>
      <c r="W329" s="476">
        <f t="shared" si="565"/>
        <v>0</v>
      </c>
      <c r="X329" s="476">
        <f t="shared" si="566"/>
        <v>0</v>
      </c>
      <c r="Y329" s="476">
        <f t="shared" si="567"/>
        <v>0</v>
      </c>
      <c r="Z329" s="476">
        <f t="shared" si="568"/>
        <v>0</v>
      </c>
      <c r="AA329" s="476">
        <f t="shared" si="569"/>
        <v>0</v>
      </c>
      <c r="AB329" s="476">
        <f t="shared" si="570"/>
        <v>0</v>
      </c>
      <c r="AC329" s="476">
        <f t="shared" si="571"/>
        <v>0</v>
      </c>
      <c r="AD329" s="476">
        <f t="shared" si="572"/>
        <v>0</v>
      </c>
      <c r="AE329" s="476">
        <f t="shared" si="573"/>
        <v>0</v>
      </c>
      <c r="AF329" s="476">
        <f t="shared" si="574"/>
        <v>0</v>
      </c>
      <c r="AG329" s="476">
        <f t="shared" si="575"/>
        <v>0</v>
      </c>
      <c r="AH329" s="476">
        <f t="shared" si="576"/>
        <v>0</v>
      </c>
      <c r="AI329" s="476">
        <f t="shared" si="577"/>
        <v>0</v>
      </c>
      <c r="AJ329" s="476">
        <f t="shared" si="578"/>
        <v>0</v>
      </c>
      <c r="AK329" s="476">
        <f t="shared" si="579"/>
        <v>0</v>
      </c>
      <c r="AL329" s="476">
        <f t="shared" si="580"/>
        <v>0</v>
      </c>
      <c r="AM329" s="476">
        <f t="shared" si="581"/>
        <v>0</v>
      </c>
      <c r="AN329" s="476">
        <f t="shared" si="582"/>
        <v>0</v>
      </c>
      <c r="AO329" s="476">
        <f t="shared" si="583"/>
        <v>0</v>
      </c>
      <c r="AP329" s="476">
        <f t="shared" si="584"/>
        <v>0</v>
      </c>
      <c r="AQ329" s="476">
        <f t="shared" si="585"/>
        <v>0</v>
      </c>
      <c r="AR329" s="476">
        <f t="shared" si="586"/>
        <v>0</v>
      </c>
      <c r="AS329" s="476">
        <f t="shared" si="587"/>
        <v>0</v>
      </c>
      <c r="AT329" s="476">
        <f t="shared" si="588"/>
        <v>0</v>
      </c>
      <c r="AU329" s="476">
        <f t="shared" si="589"/>
        <v>0</v>
      </c>
      <c r="AV329" s="476">
        <f t="shared" si="590"/>
        <v>0</v>
      </c>
      <c r="AW329" s="476">
        <f t="shared" si="591"/>
        <v>0</v>
      </c>
      <c r="AX329" s="476">
        <f t="shared" si="592"/>
        <v>0</v>
      </c>
      <c r="AY329" s="476">
        <f t="shared" si="593"/>
        <v>0</v>
      </c>
      <c r="AZ329" s="476">
        <f t="shared" si="594"/>
        <v>0</v>
      </c>
      <c r="BA329" s="476">
        <f t="shared" si="595"/>
        <v>0</v>
      </c>
      <c r="BB329" s="476">
        <f t="shared" si="596"/>
        <v>0</v>
      </c>
      <c r="BC329" s="476">
        <f t="shared" si="597"/>
        <v>0</v>
      </c>
      <c r="BD329" s="476">
        <f t="shared" si="598"/>
        <v>0</v>
      </c>
      <c r="BE329" s="476">
        <f t="shared" si="599"/>
        <v>0</v>
      </c>
      <c r="BF329" s="476">
        <f t="shared" si="600"/>
        <v>0</v>
      </c>
      <c r="BG329" s="476">
        <f t="shared" si="601"/>
        <v>0</v>
      </c>
    </row>
    <row r="330" spans="1:59" ht="16.5" customHeight="1">
      <c r="A330" s="583" t="s">
        <v>1513</v>
      </c>
      <c r="B330" s="584" t="s">
        <v>1514</v>
      </c>
      <c r="C330" s="584" t="s">
        <v>1515</v>
      </c>
      <c r="D330" s="413" t="s">
        <v>1164</v>
      </c>
      <c r="E330" s="412" t="s">
        <v>1181</v>
      </c>
      <c r="F330" s="413" t="s">
        <v>1514</v>
      </c>
      <c r="G330" s="412" t="s">
        <v>1514</v>
      </c>
      <c r="H330" s="412" t="s">
        <v>1275</v>
      </c>
      <c r="I330" s="477">
        <v>0</v>
      </c>
      <c r="J330" s="477">
        <v>0</v>
      </c>
      <c r="K330" s="477">
        <v>780000</v>
      </c>
      <c r="L330" s="477">
        <v>0</v>
      </c>
      <c r="M330" s="477">
        <f t="shared" ref="M330:M393" si="602">+I330+K330</f>
        <v>780000</v>
      </c>
      <c r="N330" s="477">
        <f t="shared" ref="N330:N393" si="603">+J330+L330</f>
        <v>0</v>
      </c>
      <c r="O330" s="477"/>
      <c r="P330" s="477"/>
      <c r="Q330" s="477">
        <f t="shared" si="467"/>
        <v>780000</v>
      </c>
      <c r="R330" s="477">
        <f t="shared" si="468"/>
        <v>0</v>
      </c>
      <c r="S330" s="477">
        <f t="shared" si="469"/>
        <v>780000</v>
      </c>
      <c r="U330" s="473"/>
      <c r="V330" s="476">
        <f t="shared" si="564"/>
        <v>0</v>
      </c>
      <c r="W330" s="476">
        <f t="shared" si="565"/>
        <v>0</v>
      </c>
      <c r="X330" s="476">
        <f t="shared" si="566"/>
        <v>0</v>
      </c>
      <c r="Y330" s="476">
        <f t="shared" si="567"/>
        <v>0</v>
      </c>
      <c r="Z330" s="476">
        <f t="shared" si="568"/>
        <v>0</v>
      </c>
      <c r="AA330" s="476">
        <f t="shared" si="569"/>
        <v>0</v>
      </c>
      <c r="AB330" s="476">
        <f t="shared" si="570"/>
        <v>0</v>
      </c>
      <c r="AC330" s="476">
        <f t="shared" si="571"/>
        <v>0</v>
      </c>
      <c r="AD330" s="476">
        <f t="shared" si="572"/>
        <v>0</v>
      </c>
      <c r="AE330" s="476">
        <f t="shared" si="573"/>
        <v>0</v>
      </c>
      <c r="AF330" s="476">
        <f t="shared" si="574"/>
        <v>0</v>
      </c>
      <c r="AG330" s="476">
        <f t="shared" si="575"/>
        <v>0</v>
      </c>
      <c r="AH330" s="476">
        <f t="shared" si="576"/>
        <v>0</v>
      </c>
      <c r="AI330" s="476">
        <f t="shared" si="577"/>
        <v>0</v>
      </c>
      <c r="AJ330" s="476">
        <f t="shared" si="578"/>
        <v>0</v>
      </c>
      <c r="AK330" s="476">
        <f t="shared" si="579"/>
        <v>0</v>
      </c>
      <c r="AL330" s="476">
        <f t="shared" si="580"/>
        <v>0</v>
      </c>
      <c r="AM330" s="476">
        <f t="shared" si="581"/>
        <v>0</v>
      </c>
      <c r="AN330" s="476">
        <f t="shared" si="582"/>
        <v>0</v>
      </c>
      <c r="AO330" s="476">
        <f t="shared" si="583"/>
        <v>0</v>
      </c>
      <c r="AP330" s="476">
        <f t="shared" si="584"/>
        <v>0</v>
      </c>
      <c r="AQ330" s="476">
        <f t="shared" si="585"/>
        <v>0</v>
      </c>
      <c r="AR330" s="476">
        <f t="shared" si="586"/>
        <v>0</v>
      </c>
      <c r="AS330" s="476">
        <f t="shared" si="587"/>
        <v>0</v>
      </c>
      <c r="AT330" s="476">
        <f t="shared" si="588"/>
        <v>0</v>
      </c>
      <c r="AU330" s="476">
        <f t="shared" si="589"/>
        <v>0</v>
      </c>
      <c r="AV330" s="476">
        <f t="shared" si="590"/>
        <v>0</v>
      </c>
      <c r="AW330" s="476">
        <f t="shared" si="591"/>
        <v>0</v>
      </c>
      <c r="AX330" s="476">
        <f t="shared" si="592"/>
        <v>0</v>
      </c>
      <c r="AY330" s="476">
        <f t="shared" si="593"/>
        <v>0</v>
      </c>
      <c r="AZ330" s="476">
        <f t="shared" si="594"/>
        <v>0</v>
      </c>
      <c r="BA330" s="476">
        <f t="shared" si="595"/>
        <v>0</v>
      </c>
      <c r="BB330" s="476">
        <f t="shared" si="596"/>
        <v>0</v>
      </c>
      <c r="BC330" s="476">
        <f t="shared" si="597"/>
        <v>0</v>
      </c>
      <c r="BD330" s="476">
        <f t="shared" si="598"/>
        <v>0</v>
      </c>
      <c r="BE330" s="476">
        <f t="shared" si="599"/>
        <v>0</v>
      </c>
      <c r="BF330" s="476">
        <f t="shared" si="600"/>
        <v>0</v>
      </c>
      <c r="BG330" s="476">
        <f t="shared" si="601"/>
        <v>0</v>
      </c>
    </row>
    <row r="331" spans="1:59" ht="16.5" customHeight="1">
      <c r="A331" s="583" t="s">
        <v>1516</v>
      </c>
      <c r="B331" s="584" t="s">
        <v>1517</v>
      </c>
      <c r="C331" s="584" t="s">
        <v>1518</v>
      </c>
      <c r="D331" s="413" t="s">
        <v>1164</v>
      </c>
      <c r="E331" s="412" t="s">
        <v>1181</v>
      </c>
      <c r="F331" s="413" t="s">
        <v>1517</v>
      </c>
      <c r="G331" s="412" t="s">
        <v>1517</v>
      </c>
      <c r="H331" s="412" t="s">
        <v>1275</v>
      </c>
      <c r="I331" s="477">
        <v>0</v>
      </c>
      <c r="J331" s="477">
        <v>0</v>
      </c>
      <c r="K331" s="477">
        <v>870000</v>
      </c>
      <c r="L331" s="477">
        <v>0</v>
      </c>
      <c r="M331" s="477">
        <f t="shared" si="602"/>
        <v>870000</v>
      </c>
      <c r="N331" s="477">
        <f t="shared" si="603"/>
        <v>0</v>
      </c>
      <c r="O331" s="477"/>
      <c r="P331" s="477"/>
      <c r="Q331" s="477">
        <f t="shared" si="467"/>
        <v>870000</v>
      </c>
      <c r="R331" s="477">
        <f t="shared" si="468"/>
        <v>0</v>
      </c>
      <c r="S331" s="477">
        <f t="shared" si="469"/>
        <v>870000</v>
      </c>
      <c r="U331" s="473"/>
      <c r="V331" s="476">
        <f t="shared" si="564"/>
        <v>0</v>
      </c>
      <c r="W331" s="476">
        <f t="shared" si="565"/>
        <v>0</v>
      </c>
      <c r="X331" s="476">
        <f t="shared" si="566"/>
        <v>0</v>
      </c>
      <c r="Y331" s="476">
        <f t="shared" si="567"/>
        <v>0</v>
      </c>
      <c r="Z331" s="476">
        <f t="shared" si="568"/>
        <v>0</v>
      </c>
      <c r="AA331" s="476">
        <f t="shared" si="569"/>
        <v>0</v>
      </c>
      <c r="AB331" s="476">
        <f t="shared" si="570"/>
        <v>0</v>
      </c>
      <c r="AC331" s="476">
        <f t="shared" si="571"/>
        <v>0</v>
      </c>
      <c r="AD331" s="476">
        <f t="shared" si="572"/>
        <v>0</v>
      </c>
      <c r="AE331" s="476">
        <f t="shared" si="573"/>
        <v>0</v>
      </c>
      <c r="AF331" s="476">
        <f t="shared" si="574"/>
        <v>0</v>
      </c>
      <c r="AG331" s="476">
        <f t="shared" si="575"/>
        <v>0</v>
      </c>
      <c r="AH331" s="476">
        <f t="shared" si="576"/>
        <v>0</v>
      </c>
      <c r="AI331" s="476">
        <f t="shared" si="577"/>
        <v>0</v>
      </c>
      <c r="AJ331" s="476">
        <f t="shared" si="578"/>
        <v>0</v>
      </c>
      <c r="AK331" s="476">
        <f t="shared" si="579"/>
        <v>0</v>
      </c>
      <c r="AL331" s="476">
        <f t="shared" si="580"/>
        <v>0</v>
      </c>
      <c r="AM331" s="476">
        <f t="shared" si="581"/>
        <v>0</v>
      </c>
      <c r="AN331" s="476">
        <f t="shared" si="582"/>
        <v>0</v>
      </c>
      <c r="AO331" s="476">
        <f t="shared" si="583"/>
        <v>0</v>
      </c>
      <c r="AP331" s="476">
        <f t="shared" si="584"/>
        <v>0</v>
      </c>
      <c r="AQ331" s="476">
        <f t="shared" si="585"/>
        <v>0</v>
      </c>
      <c r="AR331" s="476">
        <f t="shared" si="586"/>
        <v>0</v>
      </c>
      <c r="AS331" s="476">
        <f t="shared" si="587"/>
        <v>0</v>
      </c>
      <c r="AT331" s="476">
        <f t="shared" si="588"/>
        <v>0</v>
      </c>
      <c r="AU331" s="476">
        <f t="shared" si="589"/>
        <v>0</v>
      </c>
      <c r="AV331" s="476">
        <f t="shared" si="590"/>
        <v>0</v>
      </c>
      <c r="AW331" s="476">
        <f t="shared" si="591"/>
        <v>0</v>
      </c>
      <c r="AX331" s="476">
        <f t="shared" si="592"/>
        <v>0</v>
      </c>
      <c r="AY331" s="476">
        <f t="shared" si="593"/>
        <v>0</v>
      </c>
      <c r="AZ331" s="476">
        <f t="shared" si="594"/>
        <v>0</v>
      </c>
      <c r="BA331" s="476">
        <f t="shared" si="595"/>
        <v>0</v>
      </c>
      <c r="BB331" s="476">
        <f t="shared" si="596"/>
        <v>0</v>
      </c>
      <c r="BC331" s="476">
        <f t="shared" si="597"/>
        <v>0</v>
      </c>
      <c r="BD331" s="476">
        <f t="shared" si="598"/>
        <v>0</v>
      </c>
      <c r="BE331" s="476">
        <f t="shared" si="599"/>
        <v>0</v>
      </c>
      <c r="BF331" s="476">
        <f t="shared" si="600"/>
        <v>0</v>
      </c>
      <c r="BG331" s="476">
        <f t="shared" si="601"/>
        <v>0</v>
      </c>
    </row>
    <row r="332" spans="1:59" ht="16.5" customHeight="1">
      <c r="A332" s="583" t="s">
        <v>1519</v>
      </c>
      <c r="B332" s="584" t="s">
        <v>1520</v>
      </c>
      <c r="C332" s="584" t="s">
        <v>1521</v>
      </c>
      <c r="D332" s="413" t="s">
        <v>1164</v>
      </c>
      <c r="E332" s="412" t="s">
        <v>1181</v>
      </c>
      <c r="F332" s="413" t="s">
        <v>1520</v>
      </c>
      <c r="G332" s="412" t="s">
        <v>1520</v>
      </c>
      <c r="H332" s="412" t="s">
        <v>1275</v>
      </c>
      <c r="I332" s="477">
        <v>0</v>
      </c>
      <c r="J332" s="477">
        <v>0</v>
      </c>
      <c r="K332" s="477">
        <v>405558</v>
      </c>
      <c r="L332" s="477">
        <v>0</v>
      </c>
      <c r="M332" s="477">
        <f t="shared" si="602"/>
        <v>405558</v>
      </c>
      <c r="N332" s="477">
        <f t="shared" si="603"/>
        <v>0</v>
      </c>
      <c r="O332" s="477"/>
      <c r="P332" s="477"/>
      <c r="Q332" s="477">
        <f t="shared" si="467"/>
        <v>405558</v>
      </c>
      <c r="R332" s="477">
        <f t="shared" si="468"/>
        <v>0</v>
      </c>
      <c r="S332" s="477">
        <f>+Q332-R332</f>
        <v>405558</v>
      </c>
      <c r="V332" s="476">
        <f t="shared" si="564"/>
        <v>0</v>
      </c>
      <c r="W332" s="476">
        <f t="shared" si="565"/>
        <v>0</v>
      </c>
      <c r="X332" s="476">
        <f t="shared" si="566"/>
        <v>0</v>
      </c>
      <c r="Y332" s="476">
        <f t="shared" si="567"/>
        <v>0</v>
      </c>
      <c r="Z332" s="476">
        <f t="shared" si="568"/>
        <v>0</v>
      </c>
      <c r="AA332" s="476">
        <f t="shared" si="569"/>
        <v>0</v>
      </c>
      <c r="AB332" s="476">
        <f t="shared" si="570"/>
        <v>0</v>
      </c>
      <c r="AC332" s="476">
        <f t="shared" si="571"/>
        <v>0</v>
      </c>
      <c r="AD332" s="476">
        <f t="shared" si="572"/>
        <v>0</v>
      </c>
      <c r="AE332" s="476">
        <f t="shared" si="573"/>
        <v>0</v>
      </c>
      <c r="AF332" s="476">
        <f t="shared" si="574"/>
        <v>0</v>
      </c>
      <c r="AG332" s="476">
        <f t="shared" si="575"/>
        <v>0</v>
      </c>
      <c r="AH332" s="476">
        <f t="shared" si="576"/>
        <v>0</v>
      </c>
      <c r="AI332" s="476">
        <f t="shared" si="577"/>
        <v>0</v>
      </c>
      <c r="AJ332" s="476">
        <f t="shared" si="578"/>
        <v>0</v>
      </c>
      <c r="AK332" s="476">
        <f t="shared" si="579"/>
        <v>0</v>
      </c>
      <c r="AL332" s="476">
        <f t="shared" si="580"/>
        <v>0</v>
      </c>
      <c r="AM332" s="476">
        <f t="shared" si="581"/>
        <v>0</v>
      </c>
      <c r="AN332" s="476">
        <f t="shared" si="582"/>
        <v>0</v>
      </c>
      <c r="AO332" s="476">
        <f t="shared" si="583"/>
        <v>0</v>
      </c>
      <c r="AP332" s="476">
        <f t="shared" si="584"/>
        <v>0</v>
      </c>
      <c r="AQ332" s="476">
        <f t="shared" si="585"/>
        <v>0</v>
      </c>
      <c r="AR332" s="476">
        <f t="shared" si="586"/>
        <v>0</v>
      </c>
      <c r="AS332" s="476">
        <f t="shared" si="587"/>
        <v>0</v>
      </c>
      <c r="AT332" s="476">
        <f t="shared" si="588"/>
        <v>0</v>
      </c>
      <c r="AU332" s="476">
        <f t="shared" si="589"/>
        <v>0</v>
      </c>
      <c r="AV332" s="476">
        <f t="shared" si="590"/>
        <v>0</v>
      </c>
      <c r="AW332" s="476">
        <f t="shared" si="591"/>
        <v>0</v>
      </c>
      <c r="AX332" s="476">
        <f t="shared" si="592"/>
        <v>0</v>
      </c>
      <c r="AY332" s="476">
        <f t="shared" si="593"/>
        <v>0</v>
      </c>
      <c r="AZ332" s="476">
        <f t="shared" si="594"/>
        <v>0</v>
      </c>
      <c r="BA332" s="476">
        <f t="shared" si="595"/>
        <v>0</v>
      </c>
      <c r="BB332" s="476">
        <f t="shared" si="596"/>
        <v>0</v>
      </c>
      <c r="BC332" s="476">
        <f t="shared" si="597"/>
        <v>0</v>
      </c>
      <c r="BD332" s="476">
        <f t="shared" si="598"/>
        <v>0</v>
      </c>
      <c r="BE332" s="476">
        <f t="shared" si="599"/>
        <v>0</v>
      </c>
      <c r="BF332" s="476">
        <f t="shared" si="600"/>
        <v>0</v>
      </c>
      <c r="BG332" s="476">
        <f t="shared" si="601"/>
        <v>0</v>
      </c>
    </row>
    <row r="333" spans="1:59" ht="16.5" customHeight="1">
      <c r="A333" s="583" t="s">
        <v>1522</v>
      </c>
      <c r="B333" s="584" t="s">
        <v>1523</v>
      </c>
      <c r="C333" s="584" t="s">
        <v>1524</v>
      </c>
      <c r="D333" s="413" t="s">
        <v>1164</v>
      </c>
      <c r="E333" s="412" t="s">
        <v>1181</v>
      </c>
      <c r="F333" s="413" t="s">
        <v>1523</v>
      </c>
      <c r="G333" s="412" t="s">
        <v>1523</v>
      </c>
      <c r="H333" s="412" t="s">
        <v>974</v>
      </c>
      <c r="I333" s="477">
        <v>0</v>
      </c>
      <c r="J333" s="477">
        <v>0</v>
      </c>
      <c r="K333" s="477">
        <v>152838</v>
      </c>
      <c r="L333" s="477">
        <v>0</v>
      </c>
      <c r="M333" s="477">
        <f t="shared" si="602"/>
        <v>152838</v>
      </c>
      <c r="N333" s="477">
        <f t="shared" si="603"/>
        <v>0</v>
      </c>
      <c r="O333" s="477"/>
      <c r="P333" s="477"/>
      <c r="Q333" s="477">
        <f t="shared" si="467"/>
        <v>152838</v>
      </c>
      <c r="R333" s="477">
        <f t="shared" si="468"/>
        <v>0</v>
      </c>
      <c r="S333" s="477">
        <f t="shared" si="469"/>
        <v>152838</v>
      </c>
      <c r="V333" s="476">
        <f t="shared" si="564"/>
        <v>152838</v>
      </c>
      <c r="W333" s="476">
        <f t="shared" si="565"/>
        <v>0</v>
      </c>
      <c r="X333" s="476">
        <f t="shared" si="566"/>
        <v>0</v>
      </c>
      <c r="Y333" s="476">
        <f t="shared" si="567"/>
        <v>0</v>
      </c>
      <c r="Z333" s="476">
        <f t="shared" si="568"/>
        <v>0</v>
      </c>
      <c r="AA333" s="476">
        <f t="shared" si="569"/>
        <v>0</v>
      </c>
      <c r="AB333" s="476">
        <f t="shared" si="570"/>
        <v>0</v>
      </c>
      <c r="AC333" s="476">
        <f t="shared" si="571"/>
        <v>0</v>
      </c>
      <c r="AD333" s="476">
        <f t="shared" si="572"/>
        <v>0</v>
      </c>
      <c r="AE333" s="476">
        <f t="shared" si="573"/>
        <v>0</v>
      </c>
      <c r="AF333" s="476">
        <f t="shared" si="574"/>
        <v>0</v>
      </c>
      <c r="AG333" s="476">
        <f t="shared" si="575"/>
        <v>0</v>
      </c>
      <c r="AH333" s="476">
        <f t="shared" si="576"/>
        <v>0</v>
      </c>
      <c r="AI333" s="476">
        <f t="shared" si="577"/>
        <v>0</v>
      </c>
      <c r="AJ333" s="476">
        <f t="shared" si="578"/>
        <v>0</v>
      </c>
      <c r="AK333" s="476">
        <f t="shared" si="579"/>
        <v>0</v>
      </c>
      <c r="AL333" s="476">
        <f t="shared" si="580"/>
        <v>0</v>
      </c>
      <c r="AM333" s="476">
        <f t="shared" si="581"/>
        <v>0</v>
      </c>
      <c r="AN333" s="476">
        <f t="shared" si="582"/>
        <v>0</v>
      </c>
      <c r="AO333" s="476">
        <f t="shared" si="583"/>
        <v>0</v>
      </c>
      <c r="AP333" s="476">
        <f t="shared" si="584"/>
        <v>0</v>
      </c>
      <c r="AQ333" s="476">
        <f t="shared" si="585"/>
        <v>0</v>
      </c>
      <c r="AR333" s="476">
        <f t="shared" si="586"/>
        <v>0</v>
      </c>
      <c r="AS333" s="476">
        <f t="shared" si="587"/>
        <v>0</v>
      </c>
      <c r="AT333" s="476">
        <f t="shared" si="588"/>
        <v>0</v>
      </c>
      <c r="AU333" s="476">
        <f t="shared" si="589"/>
        <v>0</v>
      </c>
      <c r="AV333" s="476">
        <f t="shared" si="590"/>
        <v>0</v>
      </c>
      <c r="AW333" s="476">
        <f t="shared" si="591"/>
        <v>0</v>
      </c>
      <c r="AX333" s="476">
        <f t="shared" si="592"/>
        <v>0</v>
      </c>
      <c r="AY333" s="476">
        <f t="shared" si="593"/>
        <v>0</v>
      </c>
      <c r="AZ333" s="476">
        <f t="shared" si="594"/>
        <v>0</v>
      </c>
      <c r="BA333" s="476">
        <f t="shared" si="595"/>
        <v>0</v>
      </c>
      <c r="BB333" s="476">
        <f t="shared" si="596"/>
        <v>0</v>
      </c>
      <c r="BC333" s="476">
        <f t="shared" si="597"/>
        <v>0</v>
      </c>
      <c r="BD333" s="476">
        <f t="shared" si="598"/>
        <v>0</v>
      </c>
      <c r="BE333" s="476">
        <f t="shared" si="599"/>
        <v>0</v>
      </c>
      <c r="BF333" s="476">
        <f t="shared" si="600"/>
        <v>0</v>
      </c>
      <c r="BG333" s="476">
        <f t="shared" si="601"/>
        <v>0</v>
      </c>
    </row>
    <row r="334" spans="1:59" ht="16.5" customHeight="1">
      <c r="A334" s="583" t="s">
        <v>1522</v>
      </c>
      <c r="B334" s="584" t="s">
        <v>1523</v>
      </c>
      <c r="C334" s="584" t="s">
        <v>1525</v>
      </c>
      <c r="D334" s="413" t="s">
        <v>1164</v>
      </c>
      <c r="E334" s="412" t="s">
        <v>1181</v>
      </c>
      <c r="F334" s="413" t="s">
        <v>1523</v>
      </c>
      <c r="G334" s="412" t="s">
        <v>1523</v>
      </c>
      <c r="H334" s="412" t="s">
        <v>1275</v>
      </c>
      <c r="I334" s="477">
        <v>0</v>
      </c>
      <c r="J334" s="477">
        <v>0</v>
      </c>
      <c r="K334" s="477">
        <v>491513</v>
      </c>
      <c r="L334" s="477">
        <v>0</v>
      </c>
      <c r="M334" s="477">
        <f t="shared" si="602"/>
        <v>491513</v>
      </c>
      <c r="N334" s="477">
        <f t="shared" si="603"/>
        <v>0</v>
      </c>
      <c r="O334" s="477"/>
      <c r="P334" s="477"/>
      <c r="Q334" s="477">
        <f t="shared" si="467"/>
        <v>491513</v>
      </c>
      <c r="R334" s="477">
        <f t="shared" si="468"/>
        <v>0</v>
      </c>
      <c r="S334" s="477">
        <f t="shared" si="469"/>
        <v>491513</v>
      </c>
      <c r="V334" s="476">
        <f t="shared" si="564"/>
        <v>0</v>
      </c>
      <c r="W334" s="476">
        <f t="shared" si="565"/>
        <v>0</v>
      </c>
      <c r="X334" s="476">
        <f t="shared" si="566"/>
        <v>0</v>
      </c>
      <c r="Y334" s="476">
        <f t="shared" si="567"/>
        <v>0</v>
      </c>
      <c r="Z334" s="476">
        <f t="shared" si="568"/>
        <v>0</v>
      </c>
      <c r="AA334" s="476">
        <f t="shared" si="569"/>
        <v>0</v>
      </c>
      <c r="AB334" s="476">
        <f t="shared" si="570"/>
        <v>0</v>
      </c>
      <c r="AC334" s="476">
        <f t="shared" si="571"/>
        <v>0</v>
      </c>
      <c r="AD334" s="476">
        <f t="shared" si="572"/>
        <v>0</v>
      </c>
      <c r="AE334" s="476">
        <f t="shared" si="573"/>
        <v>0</v>
      </c>
      <c r="AF334" s="476">
        <f t="shared" si="574"/>
        <v>0</v>
      </c>
      <c r="AG334" s="476">
        <f t="shared" si="575"/>
        <v>0</v>
      </c>
      <c r="AH334" s="476">
        <f t="shared" si="576"/>
        <v>0</v>
      </c>
      <c r="AI334" s="476">
        <f t="shared" si="577"/>
        <v>0</v>
      </c>
      <c r="AJ334" s="476">
        <f t="shared" si="578"/>
        <v>0</v>
      </c>
      <c r="AK334" s="476">
        <f t="shared" si="579"/>
        <v>0</v>
      </c>
      <c r="AL334" s="476">
        <f t="shared" si="580"/>
        <v>0</v>
      </c>
      <c r="AM334" s="476">
        <f t="shared" si="581"/>
        <v>0</v>
      </c>
      <c r="AN334" s="476">
        <f t="shared" si="582"/>
        <v>0</v>
      </c>
      <c r="AO334" s="476">
        <f t="shared" si="583"/>
        <v>0</v>
      </c>
      <c r="AP334" s="476">
        <f t="shared" si="584"/>
        <v>0</v>
      </c>
      <c r="AQ334" s="476">
        <f t="shared" si="585"/>
        <v>0</v>
      </c>
      <c r="AR334" s="476">
        <f t="shared" si="586"/>
        <v>0</v>
      </c>
      <c r="AS334" s="476">
        <f t="shared" si="587"/>
        <v>0</v>
      </c>
      <c r="AT334" s="476">
        <f t="shared" si="588"/>
        <v>0</v>
      </c>
      <c r="AU334" s="476">
        <f t="shared" si="589"/>
        <v>0</v>
      </c>
      <c r="AV334" s="476">
        <f t="shared" si="590"/>
        <v>0</v>
      </c>
      <c r="AW334" s="476">
        <f t="shared" si="591"/>
        <v>0</v>
      </c>
      <c r="AX334" s="476">
        <f t="shared" si="592"/>
        <v>0</v>
      </c>
      <c r="AY334" s="476">
        <f t="shared" si="593"/>
        <v>0</v>
      </c>
      <c r="AZ334" s="476">
        <f t="shared" si="594"/>
        <v>0</v>
      </c>
      <c r="BA334" s="476">
        <f t="shared" si="595"/>
        <v>0</v>
      </c>
      <c r="BB334" s="476">
        <f t="shared" si="596"/>
        <v>0</v>
      </c>
      <c r="BC334" s="476">
        <f t="shared" si="597"/>
        <v>0</v>
      </c>
      <c r="BD334" s="476">
        <f t="shared" si="598"/>
        <v>0</v>
      </c>
      <c r="BE334" s="476">
        <f t="shared" si="599"/>
        <v>0</v>
      </c>
      <c r="BF334" s="476">
        <f t="shared" si="600"/>
        <v>0</v>
      </c>
      <c r="BG334" s="476">
        <f t="shared" si="601"/>
        <v>0</v>
      </c>
    </row>
    <row r="335" spans="1:59" ht="16.5" customHeight="1">
      <c r="A335" s="583" t="s">
        <v>1526</v>
      </c>
      <c r="B335" s="584" t="s">
        <v>1527</v>
      </c>
      <c r="C335" s="584" t="s">
        <v>1528</v>
      </c>
      <c r="D335" s="413" t="s">
        <v>1164</v>
      </c>
      <c r="E335" s="412" t="s">
        <v>1181</v>
      </c>
      <c r="F335" s="413" t="s">
        <v>1527</v>
      </c>
      <c r="G335" s="412" t="s">
        <v>1527</v>
      </c>
      <c r="H335" s="412" t="s">
        <v>974</v>
      </c>
      <c r="I335" s="477">
        <v>0</v>
      </c>
      <c r="J335" s="477">
        <v>0</v>
      </c>
      <c r="K335" s="477">
        <v>162172</v>
      </c>
      <c r="L335" s="477">
        <v>0</v>
      </c>
      <c r="M335" s="477">
        <f t="shared" si="602"/>
        <v>162172</v>
      </c>
      <c r="N335" s="477">
        <f t="shared" si="603"/>
        <v>0</v>
      </c>
      <c r="O335" s="477"/>
      <c r="P335" s="477"/>
      <c r="Q335" s="477">
        <f t="shared" si="467"/>
        <v>162172</v>
      </c>
      <c r="R335" s="477">
        <f t="shared" si="468"/>
        <v>0</v>
      </c>
      <c r="S335" s="477">
        <f t="shared" si="469"/>
        <v>162172</v>
      </c>
      <c r="V335" s="476">
        <f t="shared" si="564"/>
        <v>162172</v>
      </c>
      <c r="W335" s="476">
        <f t="shared" si="565"/>
        <v>0</v>
      </c>
      <c r="X335" s="476">
        <f t="shared" si="566"/>
        <v>0</v>
      </c>
      <c r="Y335" s="476">
        <f t="shared" si="567"/>
        <v>0</v>
      </c>
      <c r="Z335" s="476">
        <f t="shared" si="568"/>
        <v>0</v>
      </c>
      <c r="AA335" s="476">
        <f t="shared" si="569"/>
        <v>0</v>
      </c>
      <c r="AB335" s="476">
        <f t="shared" si="570"/>
        <v>0</v>
      </c>
      <c r="AC335" s="476">
        <f t="shared" si="571"/>
        <v>0</v>
      </c>
      <c r="AD335" s="476">
        <f t="shared" si="572"/>
        <v>0</v>
      </c>
      <c r="AE335" s="476">
        <f t="shared" si="573"/>
        <v>0</v>
      </c>
      <c r="AF335" s="476">
        <f t="shared" si="574"/>
        <v>0</v>
      </c>
      <c r="AG335" s="476">
        <f t="shared" si="575"/>
        <v>0</v>
      </c>
      <c r="AH335" s="476">
        <f t="shared" si="576"/>
        <v>0</v>
      </c>
      <c r="AI335" s="476">
        <f t="shared" si="577"/>
        <v>0</v>
      </c>
      <c r="AJ335" s="476">
        <f t="shared" si="578"/>
        <v>0</v>
      </c>
      <c r="AK335" s="476">
        <f t="shared" si="579"/>
        <v>0</v>
      </c>
      <c r="AL335" s="476">
        <f t="shared" si="580"/>
        <v>0</v>
      </c>
      <c r="AM335" s="476">
        <f t="shared" si="581"/>
        <v>0</v>
      </c>
      <c r="AN335" s="476">
        <f t="shared" si="582"/>
        <v>0</v>
      </c>
      <c r="AO335" s="476">
        <f t="shared" si="583"/>
        <v>0</v>
      </c>
      <c r="AP335" s="476">
        <f t="shared" si="584"/>
        <v>0</v>
      </c>
      <c r="AQ335" s="476">
        <f t="shared" si="585"/>
        <v>0</v>
      </c>
      <c r="AR335" s="476">
        <f t="shared" si="586"/>
        <v>0</v>
      </c>
      <c r="AS335" s="476">
        <f t="shared" si="587"/>
        <v>0</v>
      </c>
      <c r="AT335" s="476">
        <f t="shared" si="588"/>
        <v>0</v>
      </c>
      <c r="AU335" s="476">
        <f t="shared" si="589"/>
        <v>0</v>
      </c>
      <c r="AV335" s="476">
        <f t="shared" si="590"/>
        <v>0</v>
      </c>
      <c r="AW335" s="476">
        <f t="shared" si="591"/>
        <v>0</v>
      </c>
      <c r="AX335" s="476">
        <f t="shared" si="592"/>
        <v>0</v>
      </c>
      <c r="AY335" s="476">
        <f t="shared" si="593"/>
        <v>0</v>
      </c>
      <c r="AZ335" s="476">
        <f t="shared" si="594"/>
        <v>0</v>
      </c>
      <c r="BA335" s="476">
        <f t="shared" si="595"/>
        <v>0</v>
      </c>
      <c r="BB335" s="476">
        <f t="shared" si="596"/>
        <v>0</v>
      </c>
      <c r="BC335" s="476">
        <f t="shared" si="597"/>
        <v>0</v>
      </c>
      <c r="BD335" s="476">
        <f t="shared" si="598"/>
        <v>0</v>
      </c>
      <c r="BE335" s="476">
        <f t="shared" si="599"/>
        <v>0</v>
      </c>
      <c r="BF335" s="476">
        <f t="shared" si="600"/>
        <v>0</v>
      </c>
      <c r="BG335" s="476">
        <f t="shared" si="601"/>
        <v>0</v>
      </c>
    </row>
    <row r="336" spans="1:59" ht="16.5" customHeight="1">
      <c r="A336" s="583" t="s">
        <v>1529</v>
      </c>
      <c r="B336" s="584" t="s">
        <v>1530</v>
      </c>
      <c r="C336" s="584" t="s">
        <v>1531</v>
      </c>
      <c r="D336" s="413" t="s">
        <v>1164</v>
      </c>
      <c r="E336" s="412" t="s">
        <v>1181</v>
      </c>
      <c r="F336" s="413" t="s">
        <v>1172</v>
      </c>
      <c r="G336" s="412" t="s">
        <v>1202</v>
      </c>
      <c r="H336" s="412" t="s">
        <v>974</v>
      </c>
      <c r="I336" s="477">
        <v>0</v>
      </c>
      <c r="J336" s="477">
        <v>0</v>
      </c>
      <c r="K336" s="477">
        <v>541710</v>
      </c>
      <c r="L336" s="477">
        <v>0</v>
      </c>
      <c r="M336" s="477">
        <f t="shared" si="602"/>
        <v>541710</v>
      </c>
      <c r="N336" s="477">
        <f t="shared" si="603"/>
        <v>0</v>
      </c>
      <c r="O336" s="477"/>
      <c r="P336" s="477"/>
      <c r="Q336" s="477">
        <f t="shared" si="467"/>
        <v>541710</v>
      </c>
      <c r="R336" s="477">
        <f t="shared" si="468"/>
        <v>0</v>
      </c>
      <c r="S336" s="477">
        <f t="shared" si="469"/>
        <v>541710</v>
      </c>
      <c r="V336" s="476">
        <f t="shared" si="564"/>
        <v>541710</v>
      </c>
      <c r="W336" s="476">
        <f t="shared" si="565"/>
        <v>0</v>
      </c>
      <c r="X336" s="476">
        <f t="shared" si="566"/>
        <v>0</v>
      </c>
      <c r="Y336" s="476">
        <f t="shared" si="567"/>
        <v>0</v>
      </c>
      <c r="Z336" s="476">
        <f t="shared" si="568"/>
        <v>0</v>
      </c>
      <c r="AA336" s="476">
        <f t="shared" si="569"/>
        <v>0</v>
      </c>
      <c r="AB336" s="476">
        <f t="shared" si="570"/>
        <v>0</v>
      </c>
      <c r="AC336" s="476">
        <f t="shared" si="571"/>
        <v>0</v>
      </c>
      <c r="AD336" s="476">
        <f t="shared" si="572"/>
        <v>0</v>
      </c>
      <c r="AE336" s="476">
        <f t="shared" si="573"/>
        <v>0</v>
      </c>
      <c r="AF336" s="476">
        <f t="shared" si="574"/>
        <v>0</v>
      </c>
      <c r="AG336" s="476">
        <f t="shared" si="575"/>
        <v>0</v>
      </c>
      <c r="AH336" s="476">
        <f t="shared" si="576"/>
        <v>0</v>
      </c>
      <c r="AI336" s="476">
        <f t="shared" si="577"/>
        <v>0</v>
      </c>
      <c r="AJ336" s="476">
        <f t="shared" si="578"/>
        <v>0</v>
      </c>
      <c r="AK336" s="476">
        <f t="shared" si="579"/>
        <v>0</v>
      </c>
      <c r="AL336" s="476">
        <f t="shared" si="580"/>
        <v>0</v>
      </c>
      <c r="AM336" s="476">
        <f t="shared" si="581"/>
        <v>0</v>
      </c>
      <c r="AN336" s="476">
        <f t="shared" si="582"/>
        <v>0</v>
      </c>
      <c r="AO336" s="476">
        <f t="shared" si="583"/>
        <v>0</v>
      </c>
      <c r="AP336" s="476">
        <f t="shared" si="584"/>
        <v>0</v>
      </c>
      <c r="AQ336" s="476">
        <f t="shared" si="585"/>
        <v>0</v>
      </c>
      <c r="AR336" s="476">
        <f t="shared" si="586"/>
        <v>0</v>
      </c>
      <c r="AS336" s="476">
        <f t="shared" si="587"/>
        <v>0</v>
      </c>
      <c r="AT336" s="476">
        <f t="shared" si="588"/>
        <v>0</v>
      </c>
      <c r="AU336" s="476">
        <f t="shared" si="589"/>
        <v>0</v>
      </c>
      <c r="AV336" s="476">
        <f t="shared" si="590"/>
        <v>0</v>
      </c>
      <c r="AW336" s="476">
        <f t="shared" si="591"/>
        <v>0</v>
      </c>
      <c r="AX336" s="476">
        <f t="shared" si="592"/>
        <v>0</v>
      </c>
      <c r="AY336" s="476">
        <f t="shared" si="593"/>
        <v>0</v>
      </c>
      <c r="AZ336" s="476">
        <f t="shared" si="594"/>
        <v>0</v>
      </c>
      <c r="BA336" s="476">
        <f t="shared" si="595"/>
        <v>0</v>
      </c>
      <c r="BB336" s="476">
        <f t="shared" si="596"/>
        <v>0</v>
      </c>
      <c r="BC336" s="476">
        <f t="shared" si="597"/>
        <v>0</v>
      </c>
      <c r="BD336" s="476">
        <f t="shared" si="598"/>
        <v>0</v>
      </c>
      <c r="BE336" s="476">
        <f t="shared" si="599"/>
        <v>0</v>
      </c>
      <c r="BF336" s="476">
        <f t="shared" si="600"/>
        <v>0</v>
      </c>
      <c r="BG336" s="476">
        <f t="shared" si="601"/>
        <v>0</v>
      </c>
    </row>
    <row r="337" spans="1:59" ht="16.5" customHeight="1">
      <c r="A337" s="583" t="s">
        <v>1532</v>
      </c>
      <c r="B337" s="584" t="s">
        <v>1533</v>
      </c>
      <c r="C337" s="584" t="s">
        <v>1534</v>
      </c>
      <c r="D337" s="413" t="s">
        <v>1164</v>
      </c>
      <c r="E337" s="412" t="s">
        <v>1181</v>
      </c>
      <c r="F337" s="413" t="s">
        <v>1172</v>
      </c>
      <c r="G337" s="412" t="s">
        <v>1202</v>
      </c>
      <c r="H337" s="412" t="s">
        <v>974</v>
      </c>
      <c r="I337" s="477">
        <v>0</v>
      </c>
      <c r="J337" s="477">
        <v>0</v>
      </c>
      <c r="K337" s="477">
        <v>70000</v>
      </c>
      <c r="L337" s="477">
        <v>0</v>
      </c>
      <c r="M337" s="477">
        <f t="shared" si="602"/>
        <v>70000</v>
      </c>
      <c r="N337" s="477">
        <f t="shared" si="603"/>
        <v>0</v>
      </c>
      <c r="O337" s="477"/>
      <c r="P337" s="477"/>
      <c r="Q337" s="477">
        <f t="shared" si="467"/>
        <v>70000</v>
      </c>
      <c r="R337" s="477">
        <f t="shared" si="468"/>
        <v>0</v>
      </c>
      <c r="S337" s="477">
        <f t="shared" si="469"/>
        <v>70000</v>
      </c>
      <c r="V337" s="476">
        <f t="shared" si="564"/>
        <v>70000</v>
      </c>
      <c r="W337" s="476">
        <f t="shared" si="565"/>
        <v>0</v>
      </c>
      <c r="X337" s="476">
        <f t="shared" si="566"/>
        <v>0</v>
      </c>
      <c r="Y337" s="476">
        <f t="shared" si="567"/>
        <v>0</v>
      </c>
      <c r="Z337" s="476">
        <f t="shared" si="568"/>
        <v>0</v>
      </c>
      <c r="AA337" s="476">
        <f t="shared" si="569"/>
        <v>0</v>
      </c>
      <c r="AB337" s="476">
        <f t="shared" si="570"/>
        <v>0</v>
      </c>
      <c r="AC337" s="476">
        <f t="shared" si="571"/>
        <v>0</v>
      </c>
      <c r="AD337" s="476">
        <f t="shared" si="572"/>
        <v>0</v>
      </c>
      <c r="AE337" s="476">
        <f t="shared" si="573"/>
        <v>0</v>
      </c>
      <c r="AF337" s="476">
        <f t="shared" si="574"/>
        <v>0</v>
      </c>
      <c r="AG337" s="476">
        <f t="shared" si="575"/>
        <v>0</v>
      </c>
      <c r="AH337" s="476">
        <f t="shared" si="576"/>
        <v>0</v>
      </c>
      <c r="AI337" s="476">
        <f t="shared" si="577"/>
        <v>0</v>
      </c>
      <c r="AJ337" s="476">
        <f t="shared" si="578"/>
        <v>0</v>
      </c>
      <c r="AK337" s="476">
        <f t="shared" si="579"/>
        <v>0</v>
      </c>
      <c r="AL337" s="476">
        <f t="shared" si="580"/>
        <v>0</v>
      </c>
      <c r="AM337" s="476">
        <f t="shared" si="581"/>
        <v>0</v>
      </c>
      <c r="AN337" s="476">
        <f t="shared" si="582"/>
        <v>0</v>
      </c>
      <c r="AO337" s="476">
        <f t="shared" si="583"/>
        <v>0</v>
      </c>
      <c r="AP337" s="476">
        <f t="shared" si="584"/>
        <v>0</v>
      </c>
      <c r="AQ337" s="476">
        <f t="shared" si="585"/>
        <v>0</v>
      </c>
      <c r="AR337" s="476">
        <f t="shared" si="586"/>
        <v>0</v>
      </c>
      <c r="AS337" s="476">
        <f t="shared" si="587"/>
        <v>0</v>
      </c>
      <c r="AT337" s="476">
        <f t="shared" si="588"/>
        <v>0</v>
      </c>
      <c r="AU337" s="476">
        <f t="shared" si="589"/>
        <v>0</v>
      </c>
      <c r="AV337" s="476">
        <f t="shared" si="590"/>
        <v>0</v>
      </c>
      <c r="AW337" s="476">
        <f t="shared" si="591"/>
        <v>0</v>
      </c>
      <c r="AX337" s="476">
        <f t="shared" si="592"/>
        <v>0</v>
      </c>
      <c r="AY337" s="476">
        <f t="shared" si="593"/>
        <v>0</v>
      </c>
      <c r="AZ337" s="476">
        <f t="shared" si="594"/>
        <v>0</v>
      </c>
      <c r="BA337" s="476">
        <f t="shared" si="595"/>
        <v>0</v>
      </c>
      <c r="BB337" s="476">
        <f t="shared" si="596"/>
        <v>0</v>
      </c>
      <c r="BC337" s="476">
        <f t="shared" si="597"/>
        <v>0</v>
      </c>
      <c r="BD337" s="476">
        <f t="shared" si="598"/>
        <v>0</v>
      </c>
      <c r="BE337" s="476">
        <f t="shared" si="599"/>
        <v>0</v>
      </c>
      <c r="BF337" s="476">
        <f t="shared" si="600"/>
        <v>0</v>
      </c>
      <c r="BG337" s="476">
        <f t="shared" si="601"/>
        <v>0</v>
      </c>
    </row>
    <row r="338" spans="1:59" ht="16.5" customHeight="1">
      <c r="A338" s="583" t="s">
        <v>1535</v>
      </c>
      <c r="B338" s="584" t="s">
        <v>1536</v>
      </c>
      <c r="C338" s="584" t="s">
        <v>1537</v>
      </c>
      <c r="D338" s="413" t="s">
        <v>1164</v>
      </c>
      <c r="E338" s="412" t="s">
        <v>1181</v>
      </c>
      <c r="F338" s="413" t="s">
        <v>1172</v>
      </c>
      <c r="G338" s="412" t="s">
        <v>1202</v>
      </c>
      <c r="H338" s="412" t="s">
        <v>974</v>
      </c>
      <c r="I338" s="477">
        <v>0</v>
      </c>
      <c r="J338" s="477">
        <v>0</v>
      </c>
      <c r="K338" s="477">
        <v>290000</v>
      </c>
      <c r="L338" s="477">
        <v>0</v>
      </c>
      <c r="M338" s="477">
        <f t="shared" si="602"/>
        <v>290000</v>
      </c>
      <c r="N338" s="477">
        <f t="shared" si="603"/>
        <v>0</v>
      </c>
      <c r="O338" s="477"/>
      <c r="P338" s="477"/>
      <c r="Q338" s="477">
        <f t="shared" si="467"/>
        <v>290000</v>
      </c>
      <c r="R338" s="477">
        <f t="shared" si="468"/>
        <v>0</v>
      </c>
      <c r="S338" s="477">
        <f t="shared" si="469"/>
        <v>290000</v>
      </c>
      <c r="V338" s="476">
        <f t="shared" si="564"/>
        <v>290000</v>
      </c>
      <c r="W338" s="476">
        <f t="shared" si="565"/>
        <v>0</v>
      </c>
      <c r="X338" s="476">
        <f t="shared" si="566"/>
        <v>0</v>
      </c>
      <c r="Y338" s="476">
        <f t="shared" si="567"/>
        <v>0</v>
      </c>
      <c r="Z338" s="476">
        <f t="shared" si="568"/>
        <v>0</v>
      </c>
      <c r="AA338" s="476">
        <f t="shared" si="569"/>
        <v>0</v>
      </c>
      <c r="AB338" s="476">
        <f t="shared" si="570"/>
        <v>0</v>
      </c>
      <c r="AC338" s="476">
        <f t="shared" si="571"/>
        <v>0</v>
      </c>
      <c r="AD338" s="476">
        <f t="shared" si="572"/>
        <v>0</v>
      </c>
      <c r="AE338" s="476">
        <f t="shared" si="573"/>
        <v>0</v>
      </c>
      <c r="AF338" s="476">
        <f t="shared" si="574"/>
        <v>0</v>
      </c>
      <c r="AG338" s="476">
        <f t="shared" si="575"/>
        <v>0</v>
      </c>
      <c r="AH338" s="476">
        <f t="shared" si="576"/>
        <v>0</v>
      </c>
      <c r="AI338" s="476">
        <f t="shared" si="577"/>
        <v>0</v>
      </c>
      <c r="AJ338" s="476">
        <f t="shared" si="578"/>
        <v>0</v>
      </c>
      <c r="AK338" s="476">
        <f t="shared" si="579"/>
        <v>0</v>
      </c>
      <c r="AL338" s="476">
        <f t="shared" si="580"/>
        <v>0</v>
      </c>
      <c r="AM338" s="476">
        <f t="shared" si="581"/>
        <v>0</v>
      </c>
      <c r="AN338" s="476">
        <f t="shared" si="582"/>
        <v>0</v>
      </c>
      <c r="AO338" s="476">
        <f t="shared" si="583"/>
        <v>0</v>
      </c>
      <c r="AP338" s="476">
        <f t="shared" si="584"/>
        <v>0</v>
      </c>
      <c r="AQ338" s="476">
        <f t="shared" si="585"/>
        <v>0</v>
      </c>
      <c r="AR338" s="476">
        <f t="shared" si="586"/>
        <v>0</v>
      </c>
      <c r="AS338" s="476">
        <f t="shared" si="587"/>
        <v>0</v>
      </c>
      <c r="AT338" s="476">
        <f t="shared" si="588"/>
        <v>0</v>
      </c>
      <c r="AU338" s="476">
        <f t="shared" si="589"/>
        <v>0</v>
      </c>
      <c r="AV338" s="476">
        <f t="shared" si="590"/>
        <v>0</v>
      </c>
      <c r="AW338" s="476">
        <f t="shared" si="591"/>
        <v>0</v>
      </c>
      <c r="AX338" s="476">
        <f t="shared" si="592"/>
        <v>0</v>
      </c>
      <c r="AY338" s="476">
        <f t="shared" si="593"/>
        <v>0</v>
      </c>
      <c r="AZ338" s="476">
        <f t="shared" si="594"/>
        <v>0</v>
      </c>
      <c r="BA338" s="476">
        <f t="shared" si="595"/>
        <v>0</v>
      </c>
      <c r="BB338" s="476">
        <f t="shared" si="596"/>
        <v>0</v>
      </c>
      <c r="BC338" s="476">
        <f t="shared" si="597"/>
        <v>0</v>
      </c>
      <c r="BD338" s="476">
        <f t="shared" si="598"/>
        <v>0</v>
      </c>
      <c r="BE338" s="476">
        <f t="shared" si="599"/>
        <v>0</v>
      </c>
      <c r="BF338" s="476">
        <f t="shared" si="600"/>
        <v>0</v>
      </c>
      <c r="BG338" s="476">
        <f t="shared" si="601"/>
        <v>0</v>
      </c>
    </row>
    <row r="339" spans="1:59" ht="16.5" customHeight="1">
      <c r="A339" s="583" t="s">
        <v>1538</v>
      </c>
      <c r="B339" s="584" t="s">
        <v>1539</v>
      </c>
      <c r="C339" s="584" t="s">
        <v>1540</v>
      </c>
      <c r="D339" s="413" t="s">
        <v>1164</v>
      </c>
      <c r="E339" s="412" t="s">
        <v>1181</v>
      </c>
      <c r="F339" s="413" t="s">
        <v>1172</v>
      </c>
      <c r="G339" s="412" t="s">
        <v>1202</v>
      </c>
      <c r="H339" s="412" t="s">
        <v>974</v>
      </c>
      <c r="I339" s="477">
        <v>0</v>
      </c>
      <c r="J339" s="477">
        <v>0</v>
      </c>
      <c r="K339" s="477">
        <v>100000</v>
      </c>
      <c r="L339" s="477">
        <v>0</v>
      </c>
      <c r="M339" s="477">
        <f t="shared" si="602"/>
        <v>100000</v>
      </c>
      <c r="N339" s="477">
        <f t="shared" si="603"/>
        <v>0</v>
      </c>
      <c r="O339" s="477"/>
      <c r="P339" s="477"/>
      <c r="Q339" s="477">
        <f t="shared" si="467"/>
        <v>100000</v>
      </c>
      <c r="R339" s="477">
        <f t="shared" si="468"/>
        <v>0</v>
      </c>
      <c r="S339" s="477">
        <f t="shared" si="469"/>
        <v>100000</v>
      </c>
      <c r="V339" s="476">
        <f t="shared" si="564"/>
        <v>100000</v>
      </c>
      <c r="W339" s="476">
        <f t="shared" si="565"/>
        <v>0</v>
      </c>
      <c r="X339" s="476">
        <f t="shared" si="566"/>
        <v>0</v>
      </c>
      <c r="Y339" s="476">
        <f t="shared" si="567"/>
        <v>0</v>
      </c>
      <c r="Z339" s="476">
        <f t="shared" si="568"/>
        <v>0</v>
      </c>
      <c r="AA339" s="476">
        <f t="shared" si="569"/>
        <v>0</v>
      </c>
      <c r="AB339" s="476">
        <f t="shared" si="570"/>
        <v>0</v>
      </c>
      <c r="AC339" s="476">
        <f t="shared" si="571"/>
        <v>0</v>
      </c>
      <c r="AD339" s="476">
        <f t="shared" si="572"/>
        <v>0</v>
      </c>
      <c r="AE339" s="476">
        <f t="shared" si="573"/>
        <v>0</v>
      </c>
      <c r="AF339" s="476">
        <f t="shared" si="574"/>
        <v>0</v>
      </c>
      <c r="AG339" s="476">
        <f t="shared" si="575"/>
        <v>0</v>
      </c>
      <c r="AH339" s="476">
        <f t="shared" si="576"/>
        <v>0</v>
      </c>
      <c r="AI339" s="476">
        <f t="shared" si="577"/>
        <v>0</v>
      </c>
      <c r="AJ339" s="476">
        <f t="shared" si="578"/>
        <v>0</v>
      </c>
      <c r="AK339" s="476">
        <f t="shared" si="579"/>
        <v>0</v>
      </c>
      <c r="AL339" s="476">
        <f t="shared" si="580"/>
        <v>0</v>
      </c>
      <c r="AM339" s="476">
        <f t="shared" si="581"/>
        <v>0</v>
      </c>
      <c r="AN339" s="476">
        <f t="shared" si="582"/>
        <v>0</v>
      </c>
      <c r="AO339" s="476">
        <f t="shared" si="583"/>
        <v>0</v>
      </c>
      <c r="AP339" s="476">
        <f t="shared" si="584"/>
        <v>0</v>
      </c>
      <c r="AQ339" s="476">
        <f t="shared" si="585"/>
        <v>0</v>
      </c>
      <c r="AR339" s="476">
        <f t="shared" si="586"/>
        <v>0</v>
      </c>
      <c r="AS339" s="476">
        <f t="shared" si="587"/>
        <v>0</v>
      </c>
      <c r="AT339" s="476">
        <f t="shared" si="588"/>
        <v>0</v>
      </c>
      <c r="AU339" s="476">
        <f t="shared" si="589"/>
        <v>0</v>
      </c>
      <c r="AV339" s="476">
        <f t="shared" si="590"/>
        <v>0</v>
      </c>
      <c r="AW339" s="476">
        <f t="shared" si="591"/>
        <v>0</v>
      </c>
      <c r="AX339" s="476">
        <f t="shared" si="592"/>
        <v>0</v>
      </c>
      <c r="AY339" s="476">
        <f t="shared" si="593"/>
        <v>0</v>
      </c>
      <c r="AZ339" s="476">
        <f t="shared" si="594"/>
        <v>0</v>
      </c>
      <c r="BA339" s="476">
        <f t="shared" si="595"/>
        <v>0</v>
      </c>
      <c r="BB339" s="476">
        <f t="shared" si="596"/>
        <v>0</v>
      </c>
      <c r="BC339" s="476">
        <f t="shared" si="597"/>
        <v>0</v>
      </c>
      <c r="BD339" s="476">
        <f t="shared" si="598"/>
        <v>0</v>
      </c>
      <c r="BE339" s="476">
        <f t="shared" si="599"/>
        <v>0</v>
      </c>
      <c r="BF339" s="476">
        <f t="shared" si="600"/>
        <v>0</v>
      </c>
      <c r="BG339" s="476">
        <f t="shared" si="601"/>
        <v>0</v>
      </c>
    </row>
    <row r="340" spans="1:59" ht="16.5" customHeight="1">
      <c r="A340" s="583" t="s">
        <v>1541</v>
      </c>
      <c r="B340" s="584" t="s">
        <v>1542</v>
      </c>
      <c r="C340" s="584" t="s">
        <v>1543</v>
      </c>
      <c r="D340" s="413" t="s">
        <v>1164</v>
      </c>
      <c r="E340" s="412" t="s">
        <v>1181</v>
      </c>
      <c r="F340" s="413" t="s">
        <v>1172</v>
      </c>
      <c r="G340" s="412" t="s">
        <v>1202</v>
      </c>
      <c r="H340" s="412" t="s">
        <v>974</v>
      </c>
      <c r="I340" s="477">
        <v>0</v>
      </c>
      <c r="J340" s="477">
        <v>0</v>
      </c>
      <c r="K340" s="477">
        <v>80000</v>
      </c>
      <c r="L340" s="477">
        <v>0</v>
      </c>
      <c r="M340" s="477">
        <f t="shared" si="602"/>
        <v>80000</v>
      </c>
      <c r="N340" s="477">
        <f t="shared" si="603"/>
        <v>0</v>
      </c>
      <c r="O340" s="477"/>
      <c r="P340" s="477"/>
      <c r="Q340" s="477">
        <f t="shared" si="467"/>
        <v>80000</v>
      </c>
      <c r="R340" s="477">
        <f t="shared" si="468"/>
        <v>0</v>
      </c>
      <c r="S340" s="477">
        <f t="shared" si="469"/>
        <v>80000</v>
      </c>
      <c r="V340" s="476">
        <f t="shared" si="564"/>
        <v>80000</v>
      </c>
      <c r="W340" s="476">
        <f t="shared" si="565"/>
        <v>0</v>
      </c>
      <c r="X340" s="476">
        <f t="shared" si="566"/>
        <v>0</v>
      </c>
      <c r="Y340" s="476">
        <f t="shared" si="567"/>
        <v>0</v>
      </c>
      <c r="Z340" s="476">
        <f t="shared" si="568"/>
        <v>0</v>
      </c>
      <c r="AA340" s="476">
        <f t="shared" si="569"/>
        <v>0</v>
      </c>
      <c r="AB340" s="476">
        <f t="shared" si="570"/>
        <v>0</v>
      </c>
      <c r="AC340" s="476">
        <f t="shared" si="571"/>
        <v>0</v>
      </c>
      <c r="AD340" s="476">
        <f t="shared" si="572"/>
        <v>0</v>
      </c>
      <c r="AE340" s="476">
        <f t="shared" si="573"/>
        <v>0</v>
      </c>
      <c r="AF340" s="476">
        <f t="shared" si="574"/>
        <v>0</v>
      </c>
      <c r="AG340" s="476">
        <f t="shared" si="575"/>
        <v>0</v>
      </c>
      <c r="AH340" s="476">
        <f t="shared" si="576"/>
        <v>0</v>
      </c>
      <c r="AI340" s="476">
        <f t="shared" si="577"/>
        <v>0</v>
      </c>
      <c r="AJ340" s="476">
        <f t="shared" si="578"/>
        <v>0</v>
      </c>
      <c r="AK340" s="476">
        <f t="shared" si="579"/>
        <v>0</v>
      </c>
      <c r="AL340" s="476">
        <f t="shared" si="580"/>
        <v>0</v>
      </c>
      <c r="AM340" s="476">
        <f t="shared" si="581"/>
        <v>0</v>
      </c>
      <c r="AN340" s="476">
        <f t="shared" si="582"/>
        <v>0</v>
      </c>
      <c r="AO340" s="476">
        <f t="shared" si="583"/>
        <v>0</v>
      </c>
      <c r="AP340" s="476">
        <f t="shared" si="584"/>
        <v>0</v>
      </c>
      <c r="AQ340" s="476">
        <f t="shared" si="585"/>
        <v>0</v>
      </c>
      <c r="AR340" s="476">
        <f t="shared" si="586"/>
        <v>0</v>
      </c>
      <c r="AS340" s="476">
        <f t="shared" si="587"/>
        <v>0</v>
      </c>
      <c r="AT340" s="476">
        <f t="shared" si="588"/>
        <v>0</v>
      </c>
      <c r="AU340" s="476">
        <f t="shared" si="589"/>
        <v>0</v>
      </c>
      <c r="AV340" s="476">
        <f t="shared" si="590"/>
        <v>0</v>
      </c>
      <c r="AW340" s="476">
        <f t="shared" si="591"/>
        <v>0</v>
      </c>
      <c r="AX340" s="476">
        <f t="shared" si="592"/>
        <v>0</v>
      </c>
      <c r="AY340" s="476">
        <f t="shared" si="593"/>
        <v>0</v>
      </c>
      <c r="AZ340" s="476">
        <f t="shared" si="594"/>
        <v>0</v>
      </c>
      <c r="BA340" s="476">
        <f t="shared" si="595"/>
        <v>0</v>
      </c>
      <c r="BB340" s="476">
        <f t="shared" si="596"/>
        <v>0</v>
      </c>
      <c r="BC340" s="476">
        <f t="shared" si="597"/>
        <v>0</v>
      </c>
      <c r="BD340" s="476">
        <f t="shared" si="598"/>
        <v>0</v>
      </c>
      <c r="BE340" s="476">
        <f t="shared" si="599"/>
        <v>0</v>
      </c>
      <c r="BF340" s="476">
        <f t="shared" si="600"/>
        <v>0</v>
      </c>
      <c r="BG340" s="476">
        <f t="shared" si="601"/>
        <v>0</v>
      </c>
    </row>
    <row r="341" spans="1:59" ht="16.5" customHeight="1">
      <c r="A341" s="583" t="s">
        <v>1544</v>
      </c>
      <c r="B341" s="584" t="s">
        <v>1545</v>
      </c>
      <c r="C341" s="584" t="s">
        <v>1546</v>
      </c>
      <c r="D341" s="413" t="s">
        <v>1164</v>
      </c>
      <c r="E341" s="412" t="s">
        <v>1181</v>
      </c>
      <c r="F341" s="413" t="s">
        <v>1172</v>
      </c>
      <c r="G341" s="412" t="s">
        <v>1202</v>
      </c>
      <c r="H341" s="412" t="s">
        <v>974</v>
      </c>
      <c r="I341" s="477">
        <v>0</v>
      </c>
      <c r="J341" s="477">
        <v>0</v>
      </c>
      <c r="K341" s="477">
        <v>70000</v>
      </c>
      <c r="L341" s="477">
        <v>0</v>
      </c>
      <c r="M341" s="477">
        <f t="shared" si="602"/>
        <v>70000</v>
      </c>
      <c r="N341" s="477">
        <f t="shared" si="603"/>
        <v>0</v>
      </c>
      <c r="O341" s="477"/>
      <c r="P341" s="477"/>
      <c r="Q341" s="477">
        <f t="shared" si="467"/>
        <v>70000</v>
      </c>
      <c r="R341" s="477">
        <f t="shared" si="468"/>
        <v>0</v>
      </c>
      <c r="S341" s="477">
        <f t="shared" si="469"/>
        <v>70000</v>
      </c>
      <c r="V341" s="476">
        <f t="shared" si="564"/>
        <v>70000</v>
      </c>
      <c r="W341" s="476">
        <f t="shared" si="565"/>
        <v>0</v>
      </c>
      <c r="X341" s="476">
        <f t="shared" si="566"/>
        <v>0</v>
      </c>
      <c r="Y341" s="476">
        <f t="shared" si="567"/>
        <v>0</v>
      </c>
      <c r="Z341" s="476">
        <f t="shared" si="568"/>
        <v>0</v>
      </c>
      <c r="AA341" s="476">
        <f t="shared" si="569"/>
        <v>0</v>
      </c>
      <c r="AB341" s="476">
        <f t="shared" si="570"/>
        <v>0</v>
      </c>
      <c r="AC341" s="476">
        <f t="shared" si="571"/>
        <v>0</v>
      </c>
      <c r="AD341" s="476">
        <f t="shared" si="572"/>
        <v>0</v>
      </c>
      <c r="AE341" s="476">
        <f t="shared" si="573"/>
        <v>0</v>
      </c>
      <c r="AF341" s="476">
        <f t="shared" si="574"/>
        <v>0</v>
      </c>
      <c r="AG341" s="476">
        <f t="shared" si="575"/>
        <v>0</v>
      </c>
      <c r="AH341" s="476">
        <f t="shared" si="576"/>
        <v>0</v>
      </c>
      <c r="AI341" s="476">
        <f t="shared" si="577"/>
        <v>0</v>
      </c>
      <c r="AJ341" s="476">
        <f t="shared" si="578"/>
        <v>0</v>
      </c>
      <c r="AK341" s="476">
        <f t="shared" si="579"/>
        <v>0</v>
      </c>
      <c r="AL341" s="476">
        <f t="shared" si="580"/>
        <v>0</v>
      </c>
      <c r="AM341" s="476">
        <f t="shared" si="581"/>
        <v>0</v>
      </c>
      <c r="AN341" s="476">
        <f t="shared" si="582"/>
        <v>0</v>
      </c>
      <c r="AO341" s="476">
        <f t="shared" si="583"/>
        <v>0</v>
      </c>
      <c r="AP341" s="476">
        <f t="shared" si="584"/>
        <v>0</v>
      </c>
      <c r="AQ341" s="476">
        <f t="shared" si="585"/>
        <v>0</v>
      </c>
      <c r="AR341" s="476">
        <f t="shared" si="586"/>
        <v>0</v>
      </c>
      <c r="AS341" s="476">
        <f t="shared" si="587"/>
        <v>0</v>
      </c>
      <c r="AT341" s="476">
        <f t="shared" si="588"/>
        <v>0</v>
      </c>
      <c r="AU341" s="476">
        <f t="shared" si="589"/>
        <v>0</v>
      </c>
      <c r="AV341" s="476">
        <f t="shared" si="590"/>
        <v>0</v>
      </c>
      <c r="AW341" s="476">
        <f t="shared" si="591"/>
        <v>0</v>
      </c>
      <c r="AX341" s="476">
        <f t="shared" si="592"/>
        <v>0</v>
      </c>
      <c r="AY341" s="476">
        <f t="shared" si="593"/>
        <v>0</v>
      </c>
      <c r="AZ341" s="476">
        <f t="shared" si="594"/>
        <v>0</v>
      </c>
      <c r="BA341" s="476">
        <f t="shared" si="595"/>
        <v>0</v>
      </c>
      <c r="BB341" s="476">
        <f t="shared" si="596"/>
        <v>0</v>
      </c>
      <c r="BC341" s="476">
        <f t="shared" si="597"/>
        <v>0</v>
      </c>
      <c r="BD341" s="476">
        <f t="shared" si="598"/>
        <v>0</v>
      </c>
      <c r="BE341" s="476">
        <f t="shared" si="599"/>
        <v>0</v>
      </c>
      <c r="BF341" s="476">
        <f t="shared" si="600"/>
        <v>0</v>
      </c>
      <c r="BG341" s="476">
        <f t="shared" si="601"/>
        <v>0</v>
      </c>
    </row>
    <row r="342" spans="1:59" ht="16.5" customHeight="1">
      <c r="A342" s="583" t="s">
        <v>1547</v>
      </c>
      <c r="B342" s="584" t="s">
        <v>1548</v>
      </c>
      <c r="C342" s="584" t="s">
        <v>1549</v>
      </c>
      <c r="D342" s="413" t="s">
        <v>1164</v>
      </c>
      <c r="E342" s="412" t="s">
        <v>1181</v>
      </c>
      <c r="F342" s="413" t="s">
        <v>1172</v>
      </c>
      <c r="G342" s="412" t="s">
        <v>1202</v>
      </c>
      <c r="H342" s="412" t="s">
        <v>974</v>
      </c>
      <c r="I342" s="477">
        <v>0</v>
      </c>
      <c r="J342" s="477">
        <v>0</v>
      </c>
      <c r="K342" s="477">
        <v>70000</v>
      </c>
      <c r="L342" s="477">
        <v>0</v>
      </c>
      <c r="M342" s="477">
        <f t="shared" si="602"/>
        <v>70000</v>
      </c>
      <c r="N342" s="477">
        <f t="shared" si="603"/>
        <v>0</v>
      </c>
      <c r="O342" s="477"/>
      <c r="P342" s="477"/>
      <c r="Q342" s="477">
        <f t="shared" si="467"/>
        <v>70000</v>
      </c>
      <c r="R342" s="477">
        <f t="shared" si="468"/>
        <v>0</v>
      </c>
      <c r="S342" s="477">
        <f t="shared" si="469"/>
        <v>70000</v>
      </c>
      <c r="V342" s="476">
        <f t="shared" si="564"/>
        <v>70000</v>
      </c>
      <c r="W342" s="476">
        <f t="shared" si="565"/>
        <v>0</v>
      </c>
      <c r="X342" s="476">
        <f t="shared" si="566"/>
        <v>0</v>
      </c>
      <c r="Y342" s="476">
        <f t="shared" si="567"/>
        <v>0</v>
      </c>
      <c r="Z342" s="476">
        <f t="shared" si="568"/>
        <v>0</v>
      </c>
      <c r="AA342" s="476">
        <f t="shared" si="569"/>
        <v>0</v>
      </c>
      <c r="AB342" s="476">
        <f t="shared" si="570"/>
        <v>0</v>
      </c>
      <c r="AC342" s="476">
        <f t="shared" si="571"/>
        <v>0</v>
      </c>
      <c r="AD342" s="476">
        <f t="shared" si="572"/>
        <v>0</v>
      </c>
      <c r="AE342" s="476">
        <f t="shared" si="573"/>
        <v>0</v>
      </c>
      <c r="AF342" s="476">
        <f t="shared" si="574"/>
        <v>0</v>
      </c>
      <c r="AG342" s="476">
        <f t="shared" si="575"/>
        <v>0</v>
      </c>
      <c r="AH342" s="476">
        <f t="shared" si="576"/>
        <v>0</v>
      </c>
      <c r="AI342" s="476">
        <f t="shared" si="577"/>
        <v>0</v>
      </c>
      <c r="AJ342" s="476">
        <f t="shared" si="578"/>
        <v>0</v>
      </c>
      <c r="AK342" s="476">
        <f t="shared" si="579"/>
        <v>0</v>
      </c>
      <c r="AL342" s="476">
        <f t="shared" si="580"/>
        <v>0</v>
      </c>
      <c r="AM342" s="476">
        <f t="shared" si="581"/>
        <v>0</v>
      </c>
      <c r="AN342" s="476">
        <f t="shared" si="582"/>
        <v>0</v>
      </c>
      <c r="AO342" s="476">
        <f t="shared" si="583"/>
        <v>0</v>
      </c>
      <c r="AP342" s="476">
        <f t="shared" si="584"/>
        <v>0</v>
      </c>
      <c r="AQ342" s="476">
        <f t="shared" si="585"/>
        <v>0</v>
      </c>
      <c r="AR342" s="476">
        <f t="shared" si="586"/>
        <v>0</v>
      </c>
      <c r="AS342" s="476">
        <f t="shared" si="587"/>
        <v>0</v>
      </c>
      <c r="AT342" s="476">
        <f t="shared" si="588"/>
        <v>0</v>
      </c>
      <c r="AU342" s="476">
        <f t="shared" si="589"/>
        <v>0</v>
      </c>
      <c r="AV342" s="476">
        <f t="shared" si="590"/>
        <v>0</v>
      </c>
      <c r="AW342" s="476">
        <f t="shared" si="591"/>
        <v>0</v>
      </c>
      <c r="AX342" s="476">
        <f t="shared" si="592"/>
        <v>0</v>
      </c>
      <c r="AY342" s="476">
        <f t="shared" si="593"/>
        <v>0</v>
      </c>
      <c r="AZ342" s="476">
        <f t="shared" si="594"/>
        <v>0</v>
      </c>
      <c r="BA342" s="476">
        <f t="shared" si="595"/>
        <v>0</v>
      </c>
      <c r="BB342" s="476">
        <f t="shared" si="596"/>
        <v>0</v>
      </c>
      <c r="BC342" s="476">
        <f t="shared" si="597"/>
        <v>0</v>
      </c>
      <c r="BD342" s="476">
        <f t="shared" si="598"/>
        <v>0</v>
      </c>
      <c r="BE342" s="476">
        <f t="shared" si="599"/>
        <v>0</v>
      </c>
      <c r="BF342" s="476">
        <f t="shared" si="600"/>
        <v>0</v>
      </c>
      <c r="BG342" s="476">
        <f t="shared" si="601"/>
        <v>0</v>
      </c>
    </row>
    <row r="343" spans="1:59" ht="16.5" customHeight="1">
      <c r="A343" s="583" t="s">
        <v>1550</v>
      </c>
      <c r="B343" s="584" t="s">
        <v>1551</v>
      </c>
      <c r="C343" s="584" t="s">
        <v>1552</v>
      </c>
      <c r="D343" s="413" t="s">
        <v>1164</v>
      </c>
      <c r="E343" s="412" t="s">
        <v>1181</v>
      </c>
      <c r="F343" s="413" t="s">
        <v>1551</v>
      </c>
      <c r="G343" s="412" t="s">
        <v>1551</v>
      </c>
      <c r="H343" s="412" t="s">
        <v>974</v>
      </c>
      <c r="I343" s="477">
        <v>0</v>
      </c>
      <c r="J343" s="477">
        <v>0</v>
      </c>
      <c r="K343" s="477">
        <v>93278</v>
      </c>
      <c r="L343" s="477">
        <v>0</v>
      </c>
      <c r="M343" s="477">
        <f t="shared" si="602"/>
        <v>93278</v>
      </c>
      <c r="N343" s="477">
        <f t="shared" si="603"/>
        <v>0</v>
      </c>
      <c r="O343" s="477"/>
      <c r="P343" s="477"/>
      <c r="Q343" s="477">
        <f t="shared" si="467"/>
        <v>93278</v>
      </c>
      <c r="R343" s="477">
        <f t="shared" si="468"/>
        <v>0</v>
      </c>
      <c r="S343" s="477">
        <f t="shared" si="469"/>
        <v>93278</v>
      </c>
      <c r="V343" s="476">
        <f t="shared" si="564"/>
        <v>93278</v>
      </c>
      <c r="W343" s="476">
        <f t="shared" si="565"/>
        <v>0</v>
      </c>
      <c r="X343" s="476">
        <f t="shared" si="566"/>
        <v>0</v>
      </c>
      <c r="Y343" s="476">
        <f t="shared" si="567"/>
        <v>0</v>
      </c>
      <c r="Z343" s="476">
        <f t="shared" si="568"/>
        <v>0</v>
      </c>
      <c r="AA343" s="476">
        <f t="shared" si="569"/>
        <v>0</v>
      </c>
      <c r="AB343" s="476">
        <f t="shared" si="570"/>
        <v>0</v>
      </c>
      <c r="AC343" s="476">
        <f t="shared" si="571"/>
        <v>0</v>
      </c>
      <c r="AD343" s="476">
        <f t="shared" si="572"/>
        <v>0</v>
      </c>
      <c r="AE343" s="476">
        <f t="shared" si="573"/>
        <v>0</v>
      </c>
      <c r="AF343" s="476">
        <f t="shared" si="574"/>
        <v>0</v>
      </c>
      <c r="AG343" s="476">
        <f t="shared" si="575"/>
        <v>0</v>
      </c>
      <c r="AH343" s="476">
        <f t="shared" si="576"/>
        <v>0</v>
      </c>
      <c r="AI343" s="476">
        <f t="shared" si="577"/>
        <v>0</v>
      </c>
      <c r="AJ343" s="476">
        <f t="shared" si="578"/>
        <v>0</v>
      </c>
      <c r="AK343" s="476">
        <f t="shared" si="579"/>
        <v>0</v>
      </c>
      <c r="AL343" s="476">
        <f t="shared" si="580"/>
        <v>0</v>
      </c>
      <c r="AM343" s="476">
        <f t="shared" si="581"/>
        <v>0</v>
      </c>
      <c r="AN343" s="476">
        <f t="shared" si="582"/>
        <v>0</v>
      </c>
      <c r="AO343" s="476">
        <f t="shared" si="583"/>
        <v>0</v>
      </c>
      <c r="AP343" s="476">
        <f t="shared" si="584"/>
        <v>0</v>
      </c>
      <c r="AQ343" s="476">
        <f t="shared" si="585"/>
        <v>0</v>
      </c>
      <c r="AR343" s="476">
        <f t="shared" si="586"/>
        <v>0</v>
      </c>
      <c r="AS343" s="476">
        <f t="shared" si="587"/>
        <v>0</v>
      </c>
      <c r="AT343" s="476">
        <f t="shared" si="588"/>
        <v>0</v>
      </c>
      <c r="AU343" s="476">
        <f t="shared" si="589"/>
        <v>0</v>
      </c>
      <c r="AV343" s="476">
        <f t="shared" si="590"/>
        <v>0</v>
      </c>
      <c r="AW343" s="476">
        <f t="shared" si="591"/>
        <v>0</v>
      </c>
      <c r="AX343" s="476">
        <f t="shared" si="592"/>
        <v>0</v>
      </c>
      <c r="AY343" s="476">
        <f t="shared" si="593"/>
        <v>0</v>
      </c>
      <c r="AZ343" s="476">
        <f t="shared" si="594"/>
        <v>0</v>
      </c>
      <c r="BA343" s="476">
        <f t="shared" si="595"/>
        <v>0</v>
      </c>
      <c r="BB343" s="476">
        <f t="shared" si="596"/>
        <v>0</v>
      </c>
      <c r="BC343" s="476">
        <f t="shared" si="597"/>
        <v>0</v>
      </c>
      <c r="BD343" s="476">
        <f t="shared" si="598"/>
        <v>0</v>
      </c>
      <c r="BE343" s="476">
        <f t="shared" si="599"/>
        <v>0</v>
      </c>
      <c r="BF343" s="476">
        <f t="shared" si="600"/>
        <v>0</v>
      </c>
      <c r="BG343" s="476">
        <f t="shared" si="601"/>
        <v>0</v>
      </c>
    </row>
    <row r="344" spans="1:59" ht="16.5" customHeight="1">
      <c r="A344" s="583" t="s">
        <v>1553</v>
      </c>
      <c r="B344" s="584" t="s">
        <v>1554</v>
      </c>
      <c r="C344" s="584" t="s">
        <v>1555</v>
      </c>
      <c r="D344" s="413" t="s">
        <v>1164</v>
      </c>
      <c r="E344" s="412" t="s">
        <v>1181</v>
      </c>
      <c r="F344" s="413" t="s">
        <v>1554</v>
      </c>
      <c r="G344" s="412" t="s">
        <v>1554</v>
      </c>
      <c r="H344" s="412" t="s">
        <v>974</v>
      </c>
      <c r="I344" s="477">
        <v>0</v>
      </c>
      <c r="J344" s="477">
        <v>0</v>
      </c>
      <c r="K344" s="477">
        <v>150500</v>
      </c>
      <c r="L344" s="477">
        <v>0</v>
      </c>
      <c r="M344" s="477">
        <f t="shared" si="602"/>
        <v>150500</v>
      </c>
      <c r="N344" s="477">
        <f t="shared" si="603"/>
        <v>0</v>
      </c>
      <c r="O344" s="477"/>
      <c r="P344" s="477">
        <f>'Adjustments 2025'!F29</f>
        <v>0</v>
      </c>
      <c r="Q344" s="477">
        <f t="shared" si="467"/>
        <v>150500</v>
      </c>
      <c r="R344" s="477">
        <f t="shared" si="468"/>
        <v>0</v>
      </c>
      <c r="S344" s="477">
        <f t="shared" si="469"/>
        <v>150500</v>
      </c>
      <c r="V344" s="476">
        <f t="shared" si="564"/>
        <v>150500</v>
      </c>
      <c r="W344" s="476">
        <f t="shared" si="565"/>
        <v>0</v>
      </c>
      <c r="X344" s="476">
        <f t="shared" si="566"/>
        <v>0</v>
      </c>
      <c r="Y344" s="476">
        <f t="shared" si="567"/>
        <v>0</v>
      </c>
      <c r="Z344" s="476">
        <f t="shared" si="568"/>
        <v>0</v>
      </c>
      <c r="AA344" s="476">
        <f t="shared" si="569"/>
        <v>0</v>
      </c>
      <c r="AB344" s="476">
        <f t="shared" si="570"/>
        <v>0</v>
      </c>
      <c r="AC344" s="476">
        <f t="shared" si="571"/>
        <v>0</v>
      </c>
      <c r="AD344" s="476">
        <f t="shared" si="572"/>
        <v>0</v>
      </c>
      <c r="AE344" s="476">
        <f t="shared" si="573"/>
        <v>0</v>
      </c>
      <c r="AF344" s="476">
        <f t="shared" si="574"/>
        <v>0</v>
      </c>
      <c r="AG344" s="476">
        <f t="shared" si="575"/>
        <v>0</v>
      </c>
      <c r="AH344" s="476">
        <f t="shared" si="576"/>
        <v>0</v>
      </c>
      <c r="AI344" s="476">
        <f t="shared" si="577"/>
        <v>0</v>
      </c>
      <c r="AJ344" s="476">
        <f t="shared" si="578"/>
        <v>0</v>
      </c>
      <c r="AK344" s="476">
        <f t="shared" si="579"/>
        <v>0</v>
      </c>
      <c r="AL344" s="476">
        <f t="shared" si="580"/>
        <v>0</v>
      </c>
      <c r="AM344" s="476">
        <f t="shared" si="581"/>
        <v>0</v>
      </c>
      <c r="AN344" s="476">
        <f t="shared" si="582"/>
        <v>0</v>
      </c>
      <c r="AO344" s="476">
        <f t="shared" si="583"/>
        <v>0</v>
      </c>
      <c r="AP344" s="476">
        <f t="shared" si="584"/>
        <v>0</v>
      </c>
      <c r="AQ344" s="476">
        <f t="shared" si="585"/>
        <v>0</v>
      </c>
      <c r="AR344" s="476">
        <f t="shared" si="586"/>
        <v>0</v>
      </c>
      <c r="AS344" s="476">
        <f t="shared" si="587"/>
        <v>0</v>
      </c>
      <c r="AT344" s="476">
        <f t="shared" si="588"/>
        <v>0</v>
      </c>
      <c r="AU344" s="476">
        <f t="shared" si="589"/>
        <v>0</v>
      </c>
      <c r="AV344" s="476">
        <f t="shared" si="590"/>
        <v>0</v>
      </c>
      <c r="AW344" s="476">
        <f t="shared" si="591"/>
        <v>0</v>
      </c>
      <c r="AX344" s="476">
        <f t="shared" si="592"/>
        <v>0</v>
      </c>
      <c r="AY344" s="476">
        <f t="shared" si="593"/>
        <v>0</v>
      </c>
      <c r="AZ344" s="476">
        <f t="shared" si="594"/>
        <v>0</v>
      </c>
      <c r="BA344" s="476">
        <f t="shared" si="595"/>
        <v>0</v>
      </c>
      <c r="BB344" s="476">
        <f t="shared" si="596"/>
        <v>0</v>
      </c>
      <c r="BC344" s="476">
        <f t="shared" si="597"/>
        <v>0</v>
      </c>
      <c r="BD344" s="476">
        <f t="shared" si="598"/>
        <v>0</v>
      </c>
      <c r="BE344" s="476">
        <f t="shared" si="599"/>
        <v>0</v>
      </c>
      <c r="BF344" s="476">
        <f t="shared" si="600"/>
        <v>0</v>
      </c>
      <c r="BG344" s="476">
        <f t="shared" si="601"/>
        <v>0</v>
      </c>
    </row>
    <row r="345" spans="1:59" ht="16.5" customHeight="1">
      <c r="A345" s="583" t="s">
        <v>1556</v>
      </c>
      <c r="B345" s="584" t="s">
        <v>1557</v>
      </c>
      <c r="C345" s="584" t="s">
        <v>1558</v>
      </c>
      <c r="D345" s="413" t="s">
        <v>1164</v>
      </c>
      <c r="E345" s="412" t="s">
        <v>1181</v>
      </c>
      <c r="F345" s="413" t="s">
        <v>1557</v>
      </c>
      <c r="G345" s="412" t="s">
        <v>1557</v>
      </c>
      <c r="H345" s="412" t="s">
        <v>974</v>
      </c>
      <c r="I345" s="477">
        <v>0</v>
      </c>
      <c r="J345" s="477">
        <v>0</v>
      </c>
      <c r="K345" s="477">
        <v>23295</v>
      </c>
      <c r="L345" s="477">
        <v>0</v>
      </c>
      <c r="M345" s="477">
        <f t="shared" si="602"/>
        <v>23295</v>
      </c>
      <c r="N345" s="477">
        <f t="shared" si="603"/>
        <v>0</v>
      </c>
      <c r="O345" s="477"/>
      <c r="P345" s="477"/>
      <c r="Q345" s="477">
        <f t="shared" si="467"/>
        <v>23295</v>
      </c>
      <c r="R345" s="477">
        <f t="shared" si="468"/>
        <v>0</v>
      </c>
      <c r="S345" s="477">
        <f t="shared" si="469"/>
        <v>23295</v>
      </c>
      <c r="V345" s="476">
        <f t="shared" si="564"/>
        <v>23295</v>
      </c>
      <c r="W345" s="476">
        <f t="shared" si="565"/>
        <v>0</v>
      </c>
      <c r="X345" s="476">
        <f t="shared" si="566"/>
        <v>0</v>
      </c>
      <c r="Y345" s="476">
        <f t="shared" si="567"/>
        <v>0</v>
      </c>
      <c r="Z345" s="476">
        <f t="shared" si="568"/>
        <v>0</v>
      </c>
      <c r="AA345" s="476">
        <f t="shared" si="569"/>
        <v>0</v>
      </c>
      <c r="AB345" s="476">
        <f t="shared" si="570"/>
        <v>0</v>
      </c>
      <c r="AC345" s="476">
        <f t="shared" si="571"/>
        <v>0</v>
      </c>
      <c r="AD345" s="476">
        <f t="shared" si="572"/>
        <v>0</v>
      </c>
      <c r="AE345" s="476">
        <f t="shared" si="573"/>
        <v>0</v>
      </c>
      <c r="AF345" s="476">
        <f t="shared" si="574"/>
        <v>0</v>
      </c>
      <c r="AG345" s="476">
        <f t="shared" si="575"/>
        <v>0</v>
      </c>
      <c r="AH345" s="476">
        <f t="shared" si="576"/>
        <v>0</v>
      </c>
      <c r="AI345" s="476">
        <f t="shared" si="577"/>
        <v>0</v>
      </c>
      <c r="AJ345" s="476">
        <f t="shared" si="578"/>
        <v>0</v>
      </c>
      <c r="AK345" s="476">
        <f t="shared" si="579"/>
        <v>0</v>
      </c>
      <c r="AL345" s="476">
        <f t="shared" si="580"/>
        <v>0</v>
      </c>
      <c r="AM345" s="476">
        <f t="shared" si="581"/>
        <v>0</v>
      </c>
      <c r="AN345" s="476">
        <f t="shared" si="582"/>
        <v>0</v>
      </c>
      <c r="AO345" s="476">
        <f t="shared" si="583"/>
        <v>0</v>
      </c>
      <c r="AP345" s="476">
        <f t="shared" si="584"/>
        <v>0</v>
      </c>
      <c r="AQ345" s="476">
        <f t="shared" si="585"/>
        <v>0</v>
      </c>
      <c r="AR345" s="476">
        <f t="shared" si="586"/>
        <v>0</v>
      </c>
      <c r="AS345" s="476">
        <f t="shared" si="587"/>
        <v>0</v>
      </c>
      <c r="AT345" s="476">
        <f t="shared" si="588"/>
        <v>0</v>
      </c>
      <c r="AU345" s="476">
        <f t="shared" si="589"/>
        <v>0</v>
      </c>
      <c r="AV345" s="476">
        <f t="shared" si="590"/>
        <v>0</v>
      </c>
      <c r="AW345" s="476">
        <f t="shared" si="591"/>
        <v>0</v>
      </c>
      <c r="AX345" s="476">
        <f t="shared" si="592"/>
        <v>0</v>
      </c>
      <c r="AY345" s="476">
        <f t="shared" si="593"/>
        <v>0</v>
      </c>
      <c r="AZ345" s="476">
        <f t="shared" si="594"/>
        <v>0</v>
      </c>
      <c r="BA345" s="476">
        <f t="shared" si="595"/>
        <v>0</v>
      </c>
      <c r="BB345" s="476">
        <f t="shared" si="596"/>
        <v>0</v>
      </c>
      <c r="BC345" s="476">
        <f t="shared" si="597"/>
        <v>0</v>
      </c>
      <c r="BD345" s="476">
        <f t="shared" si="598"/>
        <v>0</v>
      </c>
      <c r="BE345" s="476">
        <f t="shared" si="599"/>
        <v>0</v>
      </c>
      <c r="BF345" s="476">
        <f t="shared" si="600"/>
        <v>0</v>
      </c>
      <c r="BG345" s="476">
        <f t="shared" si="601"/>
        <v>0</v>
      </c>
    </row>
    <row r="346" spans="1:59" ht="16.5" customHeight="1">
      <c r="A346" s="583" t="s">
        <v>1559</v>
      </c>
      <c r="B346" s="584" t="s">
        <v>1560</v>
      </c>
      <c r="C346" s="584" t="s">
        <v>1561</v>
      </c>
      <c r="D346" s="413" t="s">
        <v>1164</v>
      </c>
      <c r="E346" s="412" t="s">
        <v>1181</v>
      </c>
      <c r="F346" s="413" t="s">
        <v>1560</v>
      </c>
      <c r="G346" s="412" t="s">
        <v>1560</v>
      </c>
      <c r="H346" s="412" t="s">
        <v>974</v>
      </c>
      <c r="I346" s="477">
        <v>0</v>
      </c>
      <c r="J346" s="477">
        <v>0</v>
      </c>
      <c r="K346" s="477">
        <v>20247</v>
      </c>
      <c r="L346" s="477">
        <v>0</v>
      </c>
      <c r="M346" s="477">
        <f t="shared" si="602"/>
        <v>20247</v>
      </c>
      <c r="N346" s="477">
        <f t="shared" si="603"/>
        <v>0</v>
      </c>
      <c r="O346" s="477">
        <f>'Adjustments 2025'!E22</f>
        <v>10247</v>
      </c>
      <c r="P346" s="477"/>
      <c r="Q346" s="477">
        <f t="shared" si="467"/>
        <v>30494</v>
      </c>
      <c r="R346" s="477">
        <f t="shared" si="468"/>
        <v>0</v>
      </c>
      <c r="S346" s="477">
        <f t="shared" si="469"/>
        <v>30494</v>
      </c>
      <c r="V346" s="476">
        <f t="shared" si="564"/>
        <v>30494</v>
      </c>
      <c r="W346" s="476">
        <f t="shared" si="565"/>
        <v>0</v>
      </c>
      <c r="X346" s="476">
        <f t="shared" si="566"/>
        <v>0</v>
      </c>
      <c r="Y346" s="476">
        <f t="shared" si="567"/>
        <v>0</v>
      </c>
      <c r="Z346" s="476">
        <f t="shared" si="568"/>
        <v>0</v>
      </c>
      <c r="AA346" s="476">
        <f t="shared" si="569"/>
        <v>0</v>
      </c>
      <c r="AB346" s="476">
        <f t="shared" si="570"/>
        <v>0</v>
      </c>
      <c r="AC346" s="476">
        <f t="shared" si="571"/>
        <v>0</v>
      </c>
      <c r="AD346" s="476">
        <f t="shared" si="572"/>
        <v>0</v>
      </c>
      <c r="AE346" s="476">
        <f t="shared" si="573"/>
        <v>0</v>
      </c>
      <c r="AF346" s="476">
        <f t="shared" si="574"/>
        <v>0</v>
      </c>
      <c r="AG346" s="476">
        <f t="shared" si="575"/>
        <v>0</v>
      </c>
      <c r="AH346" s="476">
        <f t="shared" si="576"/>
        <v>0</v>
      </c>
      <c r="AI346" s="476">
        <f t="shared" si="577"/>
        <v>0</v>
      </c>
      <c r="AJ346" s="476">
        <f t="shared" si="578"/>
        <v>0</v>
      </c>
      <c r="AK346" s="476">
        <f t="shared" si="579"/>
        <v>0</v>
      </c>
      <c r="AL346" s="476">
        <f t="shared" si="580"/>
        <v>0</v>
      </c>
      <c r="AM346" s="476">
        <f t="shared" si="581"/>
        <v>0</v>
      </c>
      <c r="AN346" s="476">
        <f t="shared" si="582"/>
        <v>0</v>
      </c>
      <c r="AO346" s="476">
        <f t="shared" si="583"/>
        <v>0</v>
      </c>
      <c r="AP346" s="476">
        <f t="shared" si="584"/>
        <v>0</v>
      </c>
      <c r="AQ346" s="476">
        <f t="shared" si="585"/>
        <v>0</v>
      </c>
      <c r="AR346" s="476">
        <f t="shared" si="586"/>
        <v>0</v>
      </c>
      <c r="AS346" s="476">
        <f t="shared" si="587"/>
        <v>0</v>
      </c>
      <c r="AT346" s="476">
        <f t="shared" si="588"/>
        <v>0</v>
      </c>
      <c r="AU346" s="476">
        <f t="shared" si="589"/>
        <v>0</v>
      </c>
      <c r="AV346" s="476">
        <f t="shared" si="590"/>
        <v>0</v>
      </c>
      <c r="AW346" s="476">
        <f t="shared" si="591"/>
        <v>0</v>
      </c>
      <c r="AX346" s="476">
        <f t="shared" si="592"/>
        <v>0</v>
      </c>
      <c r="AY346" s="476">
        <f t="shared" si="593"/>
        <v>0</v>
      </c>
      <c r="AZ346" s="476">
        <f t="shared" si="594"/>
        <v>0</v>
      </c>
      <c r="BA346" s="476">
        <f t="shared" si="595"/>
        <v>0</v>
      </c>
      <c r="BB346" s="476">
        <f t="shared" si="596"/>
        <v>0</v>
      </c>
      <c r="BC346" s="476">
        <f t="shared" si="597"/>
        <v>0</v>
      </c>
      <c r="BD346" s="476">
        <f t="shared" si="598"/>
        <v>0</v>
      </c>
      <c r="BE346" s="476">
        <f t="shared" si="599"/>
        <v>0</v>
      </c>
      <c r="BF346" s="476">
        <f t="shared" si="600"/>
        <v>0</v>
      </c>
      <c r="BG346" s="476">
        <f t="shared" si="601"/>
        <v>0</v>
      </c>
    </row>
    <row r="347" spans="1:59" ht="16.5" customHeight="1">
      <c r="A347" s="583" t="s">
        <v>1562</v>
      </c>
      <c r="B347" s="584" t="s">
        <v>1563</v>
      </c>
      <c r="C347" s="584" t="s">
        <v>1564</v>
      </c>
      <c r="D347" s="413" t="s">
        <v>1164</v>
      </c>
      <c r="E347" s="412" t="s">
        <v>1181</v>
      </c>
      <c r="F347" s="413" t="s">
        <v>1563</v>
      </c>
      <c r="G347" s="412" t="s">
        <v>1563</v>
      </c>
      <c r="H347" s="412" t="s">
        <v>974</v>
      </c>
      <c r="I347" s="477">
        <v>0</v>
      </c>
      <c r="J347" s="477">
        <v>0</v>
      </c>
      <c r="K347" s="477">
        <v>36925</v>
      </c>
      <c r="L347" s="477">
        <v>0</v>
      </c>
      <c r="M347" s="477">
        <f t="shared" si="602"/>
        <v>36925</v>
      </c>
      <c r="N347" s="477">
        <f t="shared" si="603"/>
        <v>0</v>
      </c>
      <c r="O347" s="477"/>
      <c r="P347" s="477"/>
      <c r="Q347" s="477">
        <f t="shared" ref="Q347:Q413" si="604">+M347+O347</f>
        <v>36925</v>
      </c>
      <c r="R347" s="477">
        <f t="shared" ref="R347:R413" si="605">+N347+P347</f>
        <v>0</v>
      </c>
      <c r="S347" s="477">
        <f t="shared" ref="S347:S413" si="606">+Q347-R347</f>
        <v>36925</v>
      </c>
      <c r="V347" s="476">
        <f t="shared" si="564"/>
        <v>36925</v>
      </c>
      <c r="W347" s="476">
        <f t="shared" si="565"/>
        <v>0</v>
      </c>
      <c r="X347" s="476">
        <f t="shared" si="566"/>
        <v>0</v>
      </c>
      <c r="Y347" s="476">
        <f t="shared" si="567"/>
        <v>0</v>
      </c>
      <c r="Z347" s="476">
        <f t="shared" si="568"/>
        <v>0</v>
      </c>
      <c r="AA347" s="476">
        <f t="shared" si="569"/>
        <v>0</v>
      </c>
      <c r="AB347" s="476">
        <f t="shared" si="570"/>
        <v>0</v>
      </c>
      <c r="AC347" s="476">
        <f t="shared" si="571"/>
        <v>0</v>
      </c>
      <c r="AD347" s="476">
        <f t="shared" si="572"/>
        <v>0</v>
      </c>
      <c r="AE347" s="476">
        <f t="shared" si="573"/>
        <v>0</v>
      </c>
      <c r="AF347" s="476">
        <f t="shared" si="574"/>
        <v>0</v>
      </c>
      <c r="AG347" s="476">
        <f t="shared" si="575"/>
        <v>0</v>
      </c>
      <c r="AH347" s="476">
        <f t="shared" si="576"/>
        <v>0</v>
      </c>
      <c r="AI347" s="476">
        <f t="shared" si="577"/>
        <v>0</v>
      </c>
      <c r="AJ347" s="476">
        <f t="shared" si="578"/>
        <v>0</v>
      </c>
      <c r="AK347" s="476">
        <f t="shared" si="579"/>
        <v>0</v>
      </c>
      <c r="AL347" s="476">
        <f t="shared" si="580"/>
        <v>0</v>
      </c>
      <c r="AM347" s="476">
        <f t="shared" si="581"/>
        <v>0</v>
      </c>
      <c r="AN347" s="476">
        <f t="shared" si="582"/>
        <v>0</v>
      </c>
      <c r="AO347" s="476">
        <f t="shared" si="583"/>
        <v>0</v>
      </c>
      <c r="AP347" s="476">
        <f t="shared" si="584"/>
        <v>0</v>
      </c>
      <c r="AQ347" s="476">
        <f t="shared" si="585"/>
        <v>0</v>
      </c>
      <c r="AR347" s="476">
        <f t="shared" si="586"/>
        <v>0</v>
      </c>
      <c r="AS347" s="476">
        <f t="shared" si="587"/>
        <v>0</v>
      </c>
      <c r="AT347" s="476">
        <f t="shared" si="588"/>
        <v>0</v>
      </c>
      <c r="AU347" s="476">
        <f t="shared" si="589"/>
        <v>0</v>
      </c>
      <c r="AV347" s="476">
        <f t="shared" si="590"/>
        <v>0</v>
      </c>
      <c r="AW347" s="476">
        <f t="shared" si="591"/>
        <v>0</v>
      </c>
      <c r="AX347" s="476">
        <f t="shared" si="592"/>
        <v>0</v>
      </c>
      <c r="AY347" s="476">
        <f t="shared" si="593"/>
        <v>0</v>
      </c>
      <c r="AZ347" s="476">
        <f t="shared" si="594"/>
        <v>0</v>
      </c>
      <c r="BA347" s="476">
        <f t="shared" si="595"/>
        <v>0</v>
      </c>
      <c r="BB347" s="476">
        <f t="shared" si="596"/>
        <v>0</v>
      </c>
      <c r="BC347" s="476">
        <f t="shared" si="597"/>
        <v>0</v>
      </c>
      <c r="BD347" s="476">
        <f t="shared" si="598"/>
        <v>0</v>
      </c>
      <c r="BE347" s="476">
        <f t="shared" si="599"/>
        <v>0</v>
      </c>
      <c r="BF347" s="476">
        <f t="shared" si="600"/>
        <v>0</v>
      </c>
      <c r="BG347" s="476">
        <f t="shared" si="601"/>
        <v>0</v>
      </c>
    </row>
    <row r="348" spans="1:59" ht="16.5" customHeight="1">
      <c r="A348" s="583" t="s">
        <v>1565</v>
      </c>
      <c r="B348" s="584" t="s">
        <v>1566</v>
      </c>
      <c r="C348" s="584" t="s">
        <v>1567</v>
      </c>
      <c r="D348" s="413" t="s">
        <v>1164</v>
      </c>
      <c r="E348" s="412" t="s">
        <v>1181</v>
      </c>
      <c r="F348" s="413" t="s">
        <v>1566</v>
      </c>
      <c r="G348" s="412" t="s">
        <v>1566</v>
      </c>
      <c r="H348" s="412" t="s">
        <v>974</v>
      </c>
      <c r="I348" s="477">
        <v>0</v>
      </c>
      <c r="J348" s="477">
        <v>0</v>
      </c>
      <c r="K348" s="477">
        <v>6980</v>
      </c>
      <c r="L348" s="477">
        <v>0</v>
      </c>
      <c r="M348" s="477">
        <f t="shared" si="602"/>
        <v>6980</v>
      </c>
      <c r="N348" s="477">
        <f t="shared" si="603"/>
        <v>0</v>
      </c>
      <c r="O348" s="477"/>
      <c r="P348" s="477"/>
      <c r="Q348" s="477">
        <f t="shared" si="604"/>
        <v>6980</v>
      </c>
      <c r="R348" s="477">
        <f t="shared" si="605"/>
        <v>0</v>
      </c>
      <c r="S348" s="477">
        <f t="shared" si="606"/>
        <v>6980</v>
      </c>
      <c r="V348" s="476">
        <f t="shared" si="564"/>
        <v>6980</v>
      </c>
      <c r="W348" s="476">
        <f t="shared" si="565"/>
        <v>0</v>
      </c>
      <c r="X348" s="476">
        <f t="shared" si="566"/>
        <v>0</v>
      </c>
      <c r="Y348" s="476">
        <f t="shared" si="567"/>
        <v>0</v>
      </c>
      <c r="Z348" s="476">
        <f t="shared" si="568"/>
        <v>0</v>
      </c>
      <c r="AA348" s="476">
        <f t="shared" si="569"/>
        <v>0</v>
      </c>
      <c r="AB348" s="476">
        <f t="shared" si="570"/>
        <v>0</v>
      </c>
      <c r="AC348" s="476">
        <f t="shared" si="571"/>
        <v>0</v>
      </c>
      <c r="AD348" s="476">
        <f t="shared" si="572"/>
        <v>0</v>
      </c>
      <c r="AE348" s="476">
        <f t="shared" si="573"/>
        <v>0</v>
      </c>
      <c r="AF348" s="476">
        <f t="shared" si="574"/>
        <v>0</v>
      </c>
      <c r="AG348" s="476">
        <f t="shared" si="575"/>
        <v>0</v>
      </c>
      <c r="AH348" s="476">
        <f t="shared" si="576"/>
        <v>0</v>
      </c>
      <c r="AI348" s="476">
        <f t="shared" si="577"/>
        <v>0</v>
      </c>
      <c r="AJ348" s="476">
        <f t="shared" si="578"/>
        <v>0</v>
      </c>
      <c r="AK348" s="476">
        <f t="shared" si="579"/>
        <v>0</v>
      </c>
      <c r="AL348" s="476">
        <f t="shared" si="580"/>
        <v>0</v>
      </c>
      <c r="AM348" s="476">
        <f t="shared" si="581"/>
        <v>0</v>
      </c>
      <c r="AN348" s="476">
        <f t="shared" si="582"/>
        <v>0</v>
      </c>
      <c r="AO348" s="476">
        <f t="shared" si="583"/>
        <v>0</v>
      </c>
      <c r="AP348" s="476">
        <f t="shared" si="584"/>
        <v>0</v>
      </c>
      <c r="AQ348" s="476">
        <f t="shared" si="585"/>
        <v>0</v>
      </c>
      <c r="AR348" s="476">
        <f t="shared" si="586"/>
        <v>0</v>
      </c>
      <c r="AS348" s="476">
        <f t="shared" si="587"/>
        <v>0</v>
      </c>
      <c r="AT348" s="476">
        <f t="shared" si="588"/>
        <v>0</v>
      </c>
      <c r="AU348" s="476">
        <f t="shared" si="589"/>
        <v>0</v>
      </c>
      <c r="AV348" s="476">
        <f t="shared" si="590"/>
        <v>0</v>
      </c>
      <c r="AW348" s="476">
        <f t="shared" si="591"/>
        <v>0</v>
      </c>
      <c r="AX348" s="476">
        <f t="shared" si="592"/>
        <v>0</v>
      </c>
      <c r="AY348" s="476">
        <f t="shared" si="593"/>
        <v>0</v>
      </c>
      <c r="AZ348" s="476">
        <f t="shared" si="594"/>
        <v>0</v>
      </c>
      <c r="BA348" s="476">
        <f t="shared" si="595"/>
        <v>0</v>
      </c>
      <c r="BB348" s="476">
        <f t="shared" si="596"/>
        <v>0</v>
      </c>
      <c r="BC348" s="476">
        <f t="shared" si="597"/>
        <v>0</v>
      </c>
      <c r="BD348" s="476">
        <f t="shared" si="598"/>
        <v>0</v>
      </c>
      <c r="BE348" s="476">
        <f t="shared" si="599"/>
        <v>0</v>
      </c>
      <c r="BF348" s="476">
        <f t="shared" si="600"/>
        <v>0</v>
      </c>
      <c r="BG348" s="476">
        <f t="shared" si="601"/>
        <v>0</v>
      </c>
    </row>
    <row r="349" spans="1:59" ht="16.5" customHeight="1">
      <c r="A349" s="583" t="s">
        <v>1568</v>
      </c>
      <c r="B349" s="584" t="s">
        <v>1569</v>
      </c>
      <c r="C349" s="584" t="s">
        <v>1570</v>
      </c>
      <c r="D349" s="413" t="s">
        <v>1164</v>
      </c>
      <c r="E349" s="412" t="s">
        <v>1181</v>
      </c>
      <c r="F349" s="413" t="s">
        <v>1569</v>
      </c>
      <c r="G349" s="412" t="s">
        <v>1569</v>
      </c>
      <c r="H349" s="412" t="s">
        <v>974</v>
      </c>
      <c r="I349" s="477">
        <v>0</v>
      </c>
      <c r="J349" s="477">
        <v>0</v>
      </c>
      <c r="K349" s="477">
        <v>150000</v>
      </c>
      <c r="L349" s="477">
        <v>0</v>
      </c>
      <c r="M349" s="477">
        <f t="shared" si="602"/>
        <v>150000</v>
      </c>
      <c r="N349" s="477">
        <f t="shared" si="603"/>
        <v>0</v>
      </c>
      <c r="O349" s="477"/>
      <c r="P349" s="477"/>
      <c r="Q349" s="477">
        <f t="shared" si="604"/>
        <v>150000</v>
      </c>
      <c r="R349" s="477">
        <f t="shared" si="605"/>
        <v>0</v>
      </c>
      <c r="S349" s="477">
        <f t="shared" si="606"/>
        <v>150000</v>
      </c>
      <c r="V349" s="476">
        <f t="shared" si="564"/>
        <v>150000</v>
      </c>
      <c r="W349" s="476">
        <f t="shared" si="565"/>
        <v>0</v>
      </c>
      <c r="X349" s="476">
        <f t="shared" si="566"/>
        <v>0</v>
      </c>
      <c r="Y349" s="476">
        <f t="shared" si="567"/>
        <v>0</v>
      </c>
      <c r="Z349" s="476">
        <f t="shared" si="568"/>
        <v>0</v>
      </c>
      <c r="AA349" s="476">
        <f t="shared" si="569"/>
        <v>0</v>
      </c>
      <c r="AB349" s="476">
        <f t="shared" si="570"/>
        <v>0</v>
      </c>
      <c r="AC349" s="476">
        <f t="shared" si="571"/>
        <v>0</v>
      </c>
      <c r="AD349" s="476">
        <f t="shared" si="572"/>
        <v>0</v>
      </c>
      <c r="AE349" s="476">
        <f t="shared" si="573"/>
        <v>0</v>
      </c>
      <c r="AF349" s="476">
        <f t="shared" si="574"/>
        <v>0</v>
      </c>
      <c r="AG349" s="476">
        <f t="shared" si="575"/>
        <v>0</v>
      </c>
      <c r="AH349" s="476">
        <f t="shared" si="576"/>
        <v>0</v>
      </c>
      <c r="AI349" s="476">
        <f t="shared" si="577"/>
        <v>0</v>
      </c>
      <c r="AJ349" s="476">
        <f t="shared" si="578"/>
        <v>0</v>
      </c>
      <c r="AK349" s="476">
        <f t="shared" si="579"/>
        <v>0</v>
      </c>
      <c r="AL349" s="476">
        <f t="shared" si="580"/>
        <v>0</v>
      </c>
      <c r="AM349" s="476">
        <f t="shared" si="581"/>
        <v>0</v>
      </c>
      <c r="AN349" s="476">
        <f t="shared" si="582"/>
        <v>0</v>
      </c>
      <c r="AO349" s="476">
        <f t="shared" si="583"/>
        <v>0</v>
      </c>
      <c r="AP349" s="476">
        <f t="shared" si="584"/>
        <v>0</v>
      </c>
      <c r="AQ349" s="476">
        <f t="shared" si="585"/>
        <v>0</v>
      </c>
      <c r="AR349" s="476">
        <f t="shared" si="586"/>
        <v>0</v>
      </c>
      <c r="AS349" s="476">
        <f t="shared" si="587"/>
        <v>0</v>
      </c>
      <c r="AT349" s="476">
        <f t="shared" si="588"/>
        <v>0</v>
      </c>
      <c r="AU349" s="476">
        <f t="shared" si="589"/>
        <v>0</v>
      </c>
      <c r="AV349" s="476">
        <f t="shared" si="590"/>
        <v>0</v>
      </c>
      <c r="AW349" s="476">
        <f t="shared" si="591"/>
        <v>0</v>
      </c>
      <c r="AX349" s="476">
        <f t="shared" si="592"/>
        <v>0</v>
      </c>
      <c r="AY349" s="476">
        <f t="shared" si="593"/>
        <v>0</v>
      </c>
      <c r="AZ349" s="476">
        <f t="shared" si="594"/>
        <v>0</v>
      </c>
      <c r="BA349" s="476">
        <f t="shared" si="595"/>
        <v>0</v>
      </c>
      <c r="BB349" s="476">
        <f t="shared" si="596"/>
        <v>0</v>
      </c>
      <c r="BC349" s="476">
        <f t="shared" si="597"/>
        <v>0</v>
      </c>
      <c r="BD349" s="476">
        <f t="shared" si="598"/>
        <v>0</v>
      </c>
      <c r="BE349" s="476">
        <f t="shared" si="599"/>
        <v>0</v>
      </c>
      <c r="BF349" s="476">
        <f t="shared" si="600"/>
        <v>0</v>
      </c>
      <c r="BG349" s="476">
        <f t="shared" si="601"/>
        <v>0</v>
      </c>
    </row>
    <row r="350" spans="1:59" ht="16.5" customHeight="1">
      <c r="A350" s="583" t="s">
        <v>1571</v>
      </c>
      <c r="B350" s="584" t="s">
        <v>1572</v>
      </c>
      <c r="C350" s="584" t="s">
        <v>1573</v>
      </c>
      <c r="D350" s="413" t="s">
        <v>1164</v>
      </c>
      <c r="E350" s="412" t="s">
        <v>1181</v>
      </c>
      <c r="F350" s="413" t="s">
        <v>1172</v>
      </c>
      <c r="G350" s="412" t="s">
        <v>1202</v>
      </c>
      <c r="H350" s="412" t="s">
        <v>974</v>
      </c>
      <c r="I350" s="477">
        <v>0</v>
      </c>
      <c r="J350" s="477">
        <v>0</v>
      </c>
      <c r="K350" s="477">
        <v>32000</v>
      </c>
      <c r="L350" s="477">
        <v>0</v>
      </c>
      <c r="M350" s="477">
        <f t="shared" si="602"/>
        <v>32000</v>
      </c>
      <c r="N350" s="477">
        <f t="shared" si="603"/>
        <v>0</v>
      </c>
      <c r="O350" s="477"/>
      <c r="P350" s="477"/>
      <c r="Q350" s="477">
        <f t="shared" si="604"/>
        <v>32000</v>
      </c>
      <c r="R350" s="477">
        <f t="shared" si="605"/>
        <v>0</v>
      </c>
      <c r="S350" s="477">
        <f t="shared" si="606"/>
        <v>32000</v>
      </c>
      <c r="V350" s="476">
        <f t="shared" si="564"/>
        <v>32000</v>
      </c>
      <c r="W350" s="476">
        <f t="shared" si="565"/>
        <v>0</v>
      </c>
      <c r="X350" s="476">
        <f t="shared" si="566"/>
        <v>0</v>
      </c>
      <c r="Y350" s="476">
        <f t="shared" si="567"/>
        <v>0</v>
      </c>
      <c r="Z350" s="476">
        <f t="shared" si="568"/>
        <v>0</v>
      </c>
      <c r="AA350" s="476">
        <f t="shared" si="569"/>
        <v>0</v>
      </c>
      <c r="AB350" s="476">
        <f t="shared" si="570"/>
        <v>0</v>
      </c>
      <c r="AC350" s="476">
        <f t="shared" si="571"/>
        <v>0</v>
      </c>
      <c r="AD350" s="476">
        <f t="shared" si="572"/>
        <v>0</v>
      </c>
      <c r="AE350" s="476">
        <f t="shared" si="573"/>
        <v>0</v>
      </c>
      <c r="AF350" s="476">
        <f t="shared" si="574"/>
        <v>0</v>
      </c>
      <c r="AG350" s="476">
        <f t="shared" si="575"/>
        <v>0</v>
      </c>
      <c r="AH350" s="476">
        <f t="shared" si="576"/>
        <v>0</v>
      </c>
      <c r="AI350" s="476">
        <f t="shared" si="577"/>
        <v>0</v>
      </c>
      <c r="AJ350" s="476">
        <f t="shared" si="578"/>
        <v>0</v>
      </c>
      <c r="AK350" s="476">
        <f t="shared" si="579"/>
        <v>0</v>
      </c>
      <c r="AL350" s="476">
        <f t="shared" si="580"/>
        <v>0</v>
      </c>
      <c r="AM350" s="476">
        <f t="shared" si="581"/>
        <v>0</v>
      </c>
      <c r="AN350" s="476">
        <f t="shared" si="582"/>
        <v>0</v>
      </c>
      <c r="AO350" s="476">
        <f t="shared" si="583"/>
        <v>0</v>
      </c>
      <c r="AP350" s="476">
        <f t="shared" si="584"/>
        <v>0</v>
      </c>
      <c r="AQ350" s="476">
        <f t="shared" si="585"/>
        <v>0</v>
      </c>
      <c r="AR350" s="476">
        <f t="shared" si="586"/>
        <v>0</v>
      </c>
      <c r="AS350" s="476">
        <f t="shared" si="587"/>
        <v>0</v>
      </c>
      <c r="AT350" s="476">
        <f t="shared" si="588"/>
        <v>0</v>
      </c>
      <c r="AU350" s="476">
        <f t="shared" si="589"/>
        <v>0</v>
      </c>
      <c r="AV350" s="476">
        <f t="shared" si="590"/>
        <v>0</v>
      </c>
      <c r="AW350" s="476">
        <f t="shared" si="591"/>
        <v>0</v>
      </c>
      <c r="AX350" s="476">
        <f t="shared" si="592"/>
        <v>0</v>
      </c>
      <c r="AY350" s="476">
        <f t="shared" si="593"/>
        <v>0</v>
      </c>
      <c r="AZ350" s="476">
        <f t="shared" si="594"/>
        <v>0</v>
      </c>
      <c r="BA350" s="476">
        <f t="shared" si="595"/>
        <v>0</v>
      </c>
      <c r="BB350" s="476">
        <f t="shared" si="596"/>
        <v>0</v>
      </c>
      <c r="BC350" s="476">
        <f t="shared" si="597"/>
        <v>0</v>
      </c>
      <c r="BD350" s="476">
        <f t="shared" si="598"/>
        <v>0</v>
      </c>
      <c r="BE350" s="476">
        <f t="shared" si="599"/>
        <v>0</v>
      </c>
      <c r="BF350" s="476">
        <f t="shared" si="600"/>
        <v>0</v>
      </c>
      <c r="BG350" s="476">
        <f t="shared" si="601"/>
        <v>0</v>
      </c>
    </row>
    <row r="351" spans="1:59" ht="16.5" customHeight="1">
      <c r="A351" s="583" t="s">
        <v>1574</v>
      </c>
      <c r="B351" s="584" t="s">
        <v>1575</v>
      </c>
      <c r="C351" s="584" t="s">
        <v>1576</v>
      </c>
      <c r="D351" s="413" t="s">
        <v>1164</v>
      </c>
      <c r="E351" s="412" t="s">
        <v>1181</v>
      </c>
      <c r="F351" s="413" t="s">
        <v>1575</v>
      </c>
      <c r="G351" s="412" t="s">
        <v>1575</v>
      </c>
      <c r="H351" s="412" t="s">
        <v>974</v>
      </c>
      <c r="I351" s="477">
        <v>0</v>
      </c>
      <c r="J351" s="477">
        <v>0</v>
      </c>
      <c r="K351" s="477">
        <v>111000</v>
      </c>
      <c r="L351" s="477">
        <v>0</v>
      </c>
      <c r="M351" s="477">
        <f t="shared" si="602"/>
        <v>111000</v>
      </c>
      <c r="N351" s="477">
        <f t="shared" si="603"/>
        <v>0</v>
      </c>
      <c r="O351" s="477"/>
      <c r="P351" s="477"/>
      <c r="Q351" s="477">
        <f t="shared" si="604"/>
        <v>111000</v>
      </c>
      <c r="R351" s="477">
        <f t="shared" si="605"/>
        <v>0</v>
      </c>
      <c r="S351" s="477">
        <f t="shared" si="606"/>
        <v>111000</v>
      </c>
      <c r="V351" s="476">
        <f t="shared" si="564"/>
        <v>111000</v>
      </c>
      <c r="W351" s="476">
        <f t="shared" si="565"/>
        <v>0</v>
      </c>
      <c r="X351" s="476">
        <f t="shared" si="566"/>
        <v>0</v>
      </c>
      <c r="Y351" s="476">
        <f t="shared" si="567"/>
        <v>0</v>
      </c>
      <c r="Z351" s="476">
        <f t="shared" si="568"/>
        <v>0</v>
      </c>
      <c r="AA351" s="476">
        <f t="shared" si="569"/>
        <v>0</v>
      </c>
      <c r="AB351" s="476">
        <f t="shared" si="570"/>
        <v>0</v>
      </c>
      <c r="AC351" s="476">
        <f t="shared" si="571"/>
        <v>0</v>
      </c>
      <c r="AD351" s="476">
        <f t="shared" si="572"/>
        <v>0</v>
      </c>
      <c r="AE351" s="476">
        <f t="shared" si="573"/>
        <v>0</v>
      </c>
      <c r="AF351" s="476">
        <f t="shared" si="574"/>
        <v>0</v>
      </c>
      <c r="AG351" s="476">
        <f t="shared" si="575"/>
        <v>0</v>
      </c>
      <c r="AH351" s="476">
        <f t="shared" si="576"/>
        <v>0</v>
      </c>
      <c r="AI351" s="476">
        <f t="shared" si="577"/>
        <v>0</v>
      </c>
      <c r="AJ351" s="476">
        <f t="shared" si="578"/>
        <v>0</v>
      </c>
      <c r="AK351" s="476">
        <f t="shared" si="579"/>
        <v>0</v>
      </c>
      <c r="AL351" s="476">
        <f t="shared" si="580"/>
        <v>0</v>
      </c>
      <c r="AM351" s="476">
        <f t="shared" si="581"/>
        <v>0</v>
      </c>
      <c r="AN351" s="476">
        <f t="shared" si="582"/>
        <v>0</v>
      </c>
      <c r="AO351" s="476">
        <f t="shared" si="583"/>
        <v>0</v>
      </c>
      <c r="AP351" s="476">
        <f t="shared" si="584"/>
        <v>0</v>
      </c>
      <c r="AQ351" s="476">
        <f t="shared" si="585"/>
        <v>0</v>
      </c>
      <c r="AR351" s="476">
        <f t="shared" si="586"/>
        <v>0</v>
      </c>
      <c r="AS351" s="476">
        <f t="shared" si="587"/>
        <v>0</v>
      </c>
      <c r="AT351" s="476">
        <f t="shared" si="588"/>
        <v>0</v>
      </c>
      <c r="AU351" s="476">
        <f t="shared" si="589"/>
        <v>0</v>
      </c>
      <c r="AV351" s="476">
        <f t="shared" si="590"/>
        <v>0</v>
      </c>
      <c r="AW351" s="476">
        <f t="shared" si="591"/>
        <v>0</v>
      </c>
      <c r="AX351" s="476">
        <f t="shared" si="592"/>
        <v>0</v>
      </c>
      <c r="AY351" s="476">
        <f t="shared" si="593"/>
        <v>0</v>
      </c>
      <c r="AZ351" s="476">
        <f t="shared" si="594"/>
        <v>0</v>
      </c>
      <c r="BA351" s="476">
        <f t="shared" si="595"/>
        <v>0</v>
      </c>
      <c r="BB351" s="476">
        <f t="shared" si="596"/>
        <v>0</v>
      </c>
      <c r="BC351" s="476">
        <f t="shared" si="597"/>
        <v>0</v>
      </c>
      <c r="BD351" s="476">
        <f t="shared" si="598"/>
        <v>0</v>
      </c>
      <c r="BE351" s="476">
        <f t="shared" si="599"/>
        <v>0</v>
      </c>
      <c r="BF351" s="476">
        <f t="shared" si="600"/>
        <v>0</v>
      </c>
      <c r="BG351" s="476">
        <f t="shared" si="601"/>
        <v>0</v>
      </c>
    </row>
    <row r="352" spans="1:59" ht="16.5" customHeight="1">
      <c r="A352" s="583" t="s">
        <v>1577</v>
      </c>
      <c r="B352" s="584" t="s">
        <v>1578</v>
      </c>
      <c r="C352" s="584" t="s">
        <v>1579</v>
      </c>
      <c r="D352" s="413" t="s">
        <v>1164</v>
      </c>
      <c r="E352" s="412" t="s">
        <v>1181</v>
      </c>
      <c r="F352" s="413" t="s">
        <v>1578</v>
      </c>
      <c r="G352" s="412" t="s">
        <v>1578</v>
      </c>
      <c r="H352" s="412" t="s">
        <v>974</v>
      </c>
      <c r="I352" s="477">
        <v>0</v>
      </c>
      <c r="J352" s="477">
        <v>0</v>
      </c>
      <c r="K352" s="477">
        <v>235000</v>
      </c>
      <c r="L352" s="477">
        <v>0</v>
      </c>
      <c r="M352" s="477">
        <f t="shared" si="602"/>
        <v>235000</v>
      </c>
      <c r="N352" s="477">
        <f t="shared" si="603"/>
        <v>0</v>
      </c>
      <c r="O352" s="477"/>
      <c r="P352" s="477"/>
      <c r="Q352" s="477">
        <f t="shared" si="604"/>
        <v>235000</v>
      </c>
      <c r="R352" s="477">
        <f t="shared" si="605"/>
        <v>0</v>
      </c>
      <c r="S352" s="477">
        <f t="shared" si="606"/>
        <v>235000</v>
      </c>
      <c r="V352" s="476">
        <f t="shared" si="564"/>
        <v>235000</v>
      </c>
      <c r="W352" s="476">
        <f t="shared" si="565"/>
        <v>0</v>
      </c>
      <c r="X352" s="476">
        <f t="shared" si="566"/>
        <v>0</v>
      </c>
      <c r="Y352" s="476">
        <f t="shared" si="567"/>
        <v>0</v>
      </c>
      <c r="Z352" s="476">
        <f t="shared" si="568"/>
        <v>0</v>
      </c>
      <c r="AA352" s="476">
        <f t="shared" si="569"/>
        <v>0</v>
      </c>
      <c r="AB352" s="476">
        <f t="shared" si="570"/>
        <v>0</v>
      </c>
      <c r="AC352" s="476">
        <f t="shared" si="571"/>
        <v>0</v>
      </c>
      <c r="AD352" s="476">
        <f t="shared" si="572"/>
        <v>0</v>
      </c>
      <c r="AE352" s="476">
        <f t="shared" si="573"/>
        <v>0</v>
      </c>
      <c r="AF352" s="476">
        <f t="shared" si="574"/>
        <v>0</v>
      </c>
      <c r="AG352" s="476">
        <f t="shared" si="575"/>
        <v>0</v>
      </c>
      <c r="AH352" s="476">
        <f t="shared" si="576"/>
        <v>0</v>
      </c>
      <c r="AI352" s="476">
        <f t="shared" si="577"/>
        <v>0</v>
      </c>
      <c r="AJ352" s="476">
        <f t="shared" si="578"/>
        <v>0</v>
      </c>
      <c r="AK352" s="476">
        <f t="shared" si="579"/>
        <v>0</v>
      </c>
      <c r="AL352" s="476">
        <f t="shared" si="580"/>
        <v>0</v>
      </c>
      <c r="AM352" s="476">
        <f t="shared" si="581"/>
        <v>0</v>
      </c>
      <c r="AN352" s="476">
        <f t="shared" si="582"/>
        <v>0</v>
      </c>
      <c r="AO352" s="476">
        <f t="shared" si="583"/>
        <v>0</v>
      </c>
      <c r="AP352" s="476">
        <f t="shared" si="584"/>
        <v>0</v>
      </c>
      <c r="AQ352" s="476">
        <f t="shared" si="585"/>
        <v>0</v>
      </c>
      <c r="AR352" s="476">
        <f t="shared" si="586"/>
        <v>0</v>
      </c>
      <c r="AS352" s="476">
        <f t="shared" si="587"/>
        <v>0</v>
      </c>
      <c r="AT352" s="476">
        <f t="shared" si="588"/>
        <v>0</v>
      </c>
      <c r="AU352" s="476">
        <f t="shared" si="589"/>
        <v>0</v>
      </c>
      <c r="AV352" s="476">
        <f t="shared" si="590"/>
        <v>0</v>
      </c>
      <c r="AW352" s="476">
        <f t="shared" si="591"/>
        <v>0</v>
      </c>
      <c r="AX352" s="476">
        <f t="shared" si="592"/>
        <v>0</v>
      </c>
      <c r="AY352" s="476">
        <f t="shared" si="593"/>
        <v>0</v>
      </c>
      <c r="AZ352" s="476">
        <f t="shared" si="594"/>
        <v>0</v>
      </c>
      <c r="BA352" s="476">
        <f t="shared" si="595"/>
        <v>0</v>
      </c>
      <c r="BB352" s="476">
        <f t="shared" si="596"/>
        <v>0</v>
      </c>
      <c r="BC352" s="476">
        <f t="shared" si="597"/>
        <v>0</v>
      </c>
      <c r="BD352" s="476">
        <f t="shared" si="598"/>
        <v>0</v>
      </c>
      <c r="BE352" s="476">
        <f t="shared" si="599"/>
        <v>0</v>
      </c>
      <c r="BF352" s="476">
        <f t="shared" si="600"/>
        <v>0</v>
      </c>
      <c r="BG352" s="476">
        <f t="shared" si="601"/>
        <v>0</v>
      </c>
    </row>
    <row r="353" spans="1:59" ht="16.5" customHeight="1">
      <c r="A353" s="583" t="s">
        <v>704</v>
      </c>
      <c r="B353" s="584" t="s">
        <v>1062</v>
      </c>
      <c r="C353" s="584" t="s">
        <v>1817</v>
      </c>
      <c r="D353" s="413" t="s">
        <v>1051</v>
      </c>
      <c r="E353" s="412" t="s">
        <v>473</v>
      </c>
      <c r="F353" s="413" t="s">
        <v>1064</v>
      </c>
      <c r="G353" s="412" t="s">
        <v>332</v>
      </c>
      <c r="H353" s="412" t="s">
        <v>1023</v>
      </c>
      <c r="I353" s="477">
        <v>16526</v>
      </c>
      <c r="J353" s="477">
        <v>8263</v>
      </c>
      <c r="K353" s="477"/>
      <c r="L353" s="477"/>
      <c r="M353" s="477">
        <f t="shared" si="602"/>
        <v>16526</v>
      </c>
      <c r="N353" s="477">
        <f t="shared" si="603"/>
        <v>8263</v>
      </c>
      <c r="O353" s="477"/>
      <c r="P353" s="477"/>
      <c r="Q353" s="477">
        <f t="shared" si="604"/>
        <v>16526</v>
      </c>
      <c r="R353" s="477">
        <f t="shared" si="605"/>
        <v>8263</v>
      </c>
      <c r="S353" s="477">
        <f t="shared" si="606"/>
        <v>8263</v>
      </c>
      <c r="V353" s="476">
        <f t="shared" si="564"/>
        <v>0</v>
      </c>
      <c r="W353" s="476">
        <f t="shared" si="565"/>
        <v>0</v>
      </c>
      <c r="X353" s="476">
        <f t="shared" si="566"/>
        <v>0</v>
      </c>
      <c r="Y353" s="476">
        <f t="shared" si="567"/>
        <v>0</v>
      </c>
      <c r="Z353" s="476">
        <f t="shared" si="568"/>
        <v>0</v>
      </c>
      <c r="AA353" s="476">
        <f t="shared" si="569"/>
        <v>0</v>
      </c>
      <c r="AB353" s="476">
        <f t="shared" si="570"/>
        <v>0</v>
      </c>
      <c r="AC353" s="476">
        <f t="shared" si="571"/>
        <v>0</v>
      </c>
      <c r="AD353" s="476">
        <f t="shared" si="572"/>
        <v>0</v>
      </c>
      <c r="AE353" s="476">
        <f t="shared" si="573"/>
        <v>0</v>
      </c>
      <c r="AF353" s="476">
        <f t="shared" si="574"/>
        <v>0</v>
      </c>
      <c r="AG353" s="476">
        <f t="shared" si="575"/>
        <v>0</v>
      </c>
      <c r="AH353" s="476">
        <f t="shared" si="576"/>
        <v>0</v>
      </c>
      <c r="AI353" s="476">
        <f t="shared" si="577"/>
        <v>0</v>
      </c>
      <c r="AJ353" s="476">
        <f t="shared" si="578"/>
        <v>0</v>
      </c>
      <c r="AK353" s="476">
        <f t="shared" si="579"/>
        <v>0</v>
      </c>
      <c r="AL353" s="476">
        <f t="shared" si="580"/>
        <v>0</v>
      </c>
      <c r="AM353" s="476">
        <f t="shared" si="581"/>
        <v>0</v>
      </c>
      <c r="AN353" s="476">
        <f t="shared" si="582"/>
        <v>0</v>
      </c>
      <c r="AO353" s="476">
        <f t="shared" si="583"/>
        <v>0</v>
      </c>
      <c r="AP353" s="476">
        <f t="shared" si="584"/>
        <v>0</v>
      </c>
      <c r="AQ353" s="476">
        <f t="shared" si="585"/>
        <v>0</v>
      </c>
      <c r="AR353" s="476">
        <f t="shared" si="586"/>
        <v>0</v>
      </c>
      <c r="AS353" s="476">
        <f t="shared" si="587"/>
        <v>0</v>
      </c>
      <c r="AT353" s="476">
        <f t="shared" si="588"/>
        <v>0</v>
      </c>
      <c r="AU353" s="476">
        <f t="shared" si="589"/>
        <v>0</v>
      </c>
      <c r="AV353" s="476">
        <f t="shared" si="590"/>
        <v>0</v>
      </c>
      <c r="AW353" s="476">
        <f t="shared" si="591"/>
        <v>0</v>
      </c>
      <c r="AX353" s="476">
        <f t="shared" si="592"/>
        <v>0</v>
      </c>
      <c r="AY353" s="476">
        <f t="shared" si="593"/>
        <v>0</v>
      </c>
      <c r="AZ353" s="476">
        <f t="shared" si="594"/>
        <v>0</v>
      </c>
      <c r="BA353" s="476">
        <f t="shared" si="595"/>
        <v>0</v>
      </c>
      <c r="BB353" s="476">
        <f t="shared" si="596"/>
        <v>0</v>
      </c>
      <c r="BC353" s="476">
        <f t="shared" si="597"/>
        <v>0</v>
      </c>
      <c r="BD353" s="476">
        <f t="shared" si="598"/>
        <v>16526</v>
      </c>
      <c r="BE353" s="476">
        <f t="shared" si="599"/>
        <v>8263</v>
      </c>
      <c r="BF353" s="476">
        <f t="shared" si="600"/>
        <v>0</v>
      </c>
      <c r="BG353" s="476">
        <f t="shared" si="601"/>
        <v>0</v>
      </c>
    </row>
    <row r="354" spans="1:59" ht="16.5" customHeight="1">
      <c r="A354" s="583" t="s">
        <v>704</v>
      </c>
      <c r="B354" s="584" t="s">
        <v>1062</v>
      </c>
      <c r="C354" s="584" t="s">
        <v>1818</v>
      </c>
      <c r="D354" s="413" t="s">
        <v>1051</v>
      </c>
      <c r="E354" s="412" t="s">
        <v>473</v>
      </c>
      <c r="F354" s="413" t="s">
        <v>1064</v>
      </c>
      <c r="G354" s="412" t="s">
        <v>332</v>
      </c>
      <c r="H354" s="412" t="s">
        <v>1011</v>
      </c>
      <c r="I354" s="477">
        <v>79288</v>
      </c>
      <c r="J354" s="477">
        <v>39644</v>
      </c>
      <c r="K354" s="477"/>
      <c r="L354" s="477"/>
      <c r="M354" s="477">
        <f t="shared" si="602"/>
        <v>79288</v>
      </c>
      <c r="N354" s="477">
        <f t="shared" si="603"/>
        <v>39644</v>
      </c>
      <c r="O354" s="477"/>
      <c r="P354" s="477"/>
      <c r="Q354" s="477">
        <f t="shared" ref="Q354" si="607">+M354+O354</f>
        <v>79288</v>
      </c>
      <c r="R354" s="477">
        <f t="shared" ref="R354" si="608">+N354+P354</f>
        <v>39644</v>
      </c>
      <c r="S354" s="477">
        <f t="shared" ref="S354" si="609">+Q354-R354</f>
        <v>39644</v>
      </c>
      <c r="V354" s="476"/>
      <c r="W354" s="476"/>
      <c r="X354" s="476"/>
      <c r="Y354" s="476"/>
      <c r="Z354" s="476"/>
      <c r="AA354" s="476"/>
      <c r="AB354" s="476"/>
      <c r="AC354" s="476"/>
      <c r="AD354" s="476"/>
      <c r="AE354" s="476"/>
      <c r="AF354" s="476"/>
      <c r="AG354" s="476"/>
      <c r="AH354" s="476"/>
      <c r="AI354" s="476"/>
      <c r="AJ354" s="476"/>
      <c r="AK354" s="476"/>
      <c r="AL354" s="476"/>
      <c r="AM354" s="476"/>
      <c r="AN354" s="476"/>
      <c r="AO354" s="476"/>
      <c r="AP354" s="476"/>
      <c r="AQ354" s="476"/>
      <c r="AR354" s="476"/>
      <c r="AS354" s="476"/>
      <c r="AT354" s="476"/>
      <c r="AU354" s="476"/>
      <c r="AV354" s="476"/>
      <c r="AW354" s="476"/>
      <c r="AX354" s="476"/>
      <c r="AY354" s="476"/>
      <c r="AZ354" s="476"/>
      <c r="BA354" s="476"/>
      <c r="BB354" s="476"/>
      <c r="BC354" s="476"/>
      <c r="BD354" s="476"/>
      <c r="BE354" s="476"/>
      <c r="BF354" s="476"/>
      <c r="BG354" s="476"/>
    </row>
    <row r="355" spans="1:59" ht="16.5" customHeight="1">
      <c r="A355" s="583" t="s">
        <v>704</v>
      </c>
      <c r="B355" s="584" t="s">
        <v>1062</v>
      </c>
      <c r="C355" s="584" t="s">
        <v>1819</v>
      </c>
      <c r="D355" s="413" t="s">
        <v>1051</v>
      </c>
      <c r="E355" s="412" t="s">
        <v>473</v>
      </c>
      <c r="F355" s="413" t="s">
        <v>1064</v>
      </c>
      <c r="G355" s="412" t="s">
        <v>332</v>
      </c>
      <c r="H355" s="412" t="s">
        <v>1055</v>
      </c>
      <c r="I355" s="477">
        <v>208840</v>
      </c>
      <c r="J355" s="477">
        <v>104420</v>
      </c>
      <c r="K355" s="477"/>
      <c r="L355" s="477"/>
      <c r="M355" s="477">
        <f t="shared" si="602"/>
        <v>208840</v>
      </c>
      <c r="N355" s="477">
        <f t="shared" si="603"/>
        <v>104420</v>
      </c>
      <c r="O355" s="477"/>
      <c r="P355" s="477"/>
      <c r="Q355" s="477">
        <f t="shared" si="604"/>
        <v>208840</v>
      </c>
      <c r="R355" s="477">
        <f t="shared" si="605"/>
        <v>104420</v>
      </c>
      <c r="S355" s="477">
        <f t="shared" si="606"/>
        <v>104420</v>
      </c>
      <c r="V355" s="476">
        <f t="shared" ref="V355:V392" si="610">IF($V$8=$H355,$Q355,0)</f>
        <v>0</v>
      </c>
      <c r="W355" s="476">
        <f t="shared" ref="W355:W392" si="611">IF($V$8=$H355,$R355,0)</f>
        <v>0</v>
      </c>
      <c r="X355" s="476">
        <f t="shared" ref="X355:X392" si="612">IF($X$8=$H355,$Q355,0)</f>
        <v>0</v>
      </c>
      <c r="Y355" s="476">
        <f t="shared" ref="Y355:Y392" si="613">IF($X$8=$H355,$R355,0)</f>
        <v>0</v>
      </c>
      <c r="Z355" s="476">
        <f t="shared" ref="Z355:Z392" si="614">IF($Z$8=$H355,$Q355,0)</f>
        <v>0</v>
      </c>
      <c r="AA355" s="476">
        <f t="shared" ref="AA355:AA392" si="615">IF($Z$8=$H355,$R355,0)</f>
        <v>0</v>
      </c>
      <c r="AB355" s="476">
        <f t="shared" ref="AB355:AB392" si="616">IF($AB$8=$H355,$Q355,0)</f>
        <v>0</v>
      </c>
      <c r="AC355" s="476">
        <f t="shared" ref="AC355:AC392" si="617">IF($AB$8=$H355,$R355,0)</f>
        <v>0</v>
      </c>
      <c r="AD355" s="476">
        <f t="shared" ref="AD355:AD392" si="618">IF($AD$8=$H355,$Q355,0)</f>
        <v>0</v>
      </c>
      <c r="AE355" s="476">
        <f t="shared" ref="AE355:AE392" si="619">IF($AD$8=$H355,$R355,0)</f>
        <v>0</v>
      </c>
      <c r="AF355" s="476">
        <f t="shared" ref="AF355:AF392" si="620">IF($AF$8=$H355,$Q355,0)</f>
        <v>0</v>
      </c>
      <c r="AG355" s="476">
        <f t="shared" ref="AG355:AG392" si="621">IF($AF$8=$H355,$R355,0)</f>
        <v>0</v>
      </c>
      <c r="AH355" s="476">
        <f t="shared" ref="AH355:AH392" si="622">IF($AH$8=$H355,$Q355,0)</f>
        <v>0</v>
      </c>
      <c r="AI355" s="476">
        <f t="shared" ref="AI355:AI392" si="623">IF($AH$8=$H355,$R355,0)</f>
        <v>0</v>
      </c>
      <c r="AJ355" s="476">
        <f t="shared" ref="AJ355:AJ392" si="624">IF($AJ$8=$H355,$Q355,0)</f>
        <v>0</v>
      </c>
      <c r="AK355" s="476">
        <f t="shared" ref="AK355:AK392" si="625">IF($AJ$8=$H355,$R355,0)</f>
        <v>0</v>
      </c>
      <c r="AL355" s="476">
        <f t="shared" ref="AL355:AL392" si="626">IF($AL$8=$H355,$Q355,0)</f>
        <v>0</v>
      </c>
      <c r="AM355" s="476">
        <f t="shared" ref="AM355:AM392" si="627">IF($AL$8=$H355,$R355,0)</f>
        <v>0</v>
      </c>
      <c r="AN355" s="476">
        <f t="shared" ref="AN355:AN392" si="628">IF($AN$8=$H355,$Q355,0)</f>
        <v>0</v>
      </c>
      <c r="AO355" s="476">
        <f t="shared" ref="AO355:AO392" si="629">IF($AN$8=$H355,$R355,0)</f>
        <v>0</v>
      </c>
      <c r="AP355" s="476">
        <f t="shared" ref="AP355:AP392" si="630">IF($AP$8=$H355,$Q355,0)</f>
        <v>0</v>
      </c>
      <c r="AQ355" s="476">
        <f t="shared" ref="AQ355:AQ392" si="631">IF($AP$8=$H355,$R355,0)</f>
        <v>0</v>
      </c>
      <c r="AR355" s="476">
        <f t="shared" ref="AR355:AR392" si="632">IF($AR$8=$H355,$Q355,0)</f>
        <v>0</v>
      </c>
      <c r="AS355" s="476">
        <f t="shared" ref="AS355:AS392" si="633">IF($AR$8=$H355,$R355,0)</f>
        <v>0</v>
      </c>
      <c r="AT355" s="476">
        <f t="shared" ref="AT355:AT392" si="634">IF($AT$8=$H355,$Q355,0)</f>
        <v>0</v>
      </c>
      <c r="AU355" s="476">
        <f t="shared" ref="AU355:AU392" si="635">IF($AT$8=$H355,$R355,0)</f>
        <v>0</v>
      </c>
      <c r="AV355" s="476">
        <f t="shared" ref="AV355:AV392" si="636">IF($AV$8=$H355,$Q355,0)</f>
        <v>0</v>
      </c>
      <c r="AW355" s="476">
        <f t="shared" ref="AW355:AW392" si="637">IF($AV$8=$H355,$R355,0)</f>
        <v>0</v>
      </c>
      <c r="AX355" s="476">
        <f t="shared" ref="AX355:AX392" si="638">IF($AX$8=$H355,$Q355,0)</f>
        <v>0</v>
      </c>
      <c r="AY355" s="476">
        <f t="shared" ref="AY355:AY392" si="639">IF($AX$8=$H355,$R355,0)</f>
        <v>0</v>
      </c>
      <c r="AZ355" s="476">
        <f t="shared" ref="AZ355:AZ392" si="640">IF($AZ$8=$H355,$Q355,0)</f>
        <v>0</v>
      </c>
      <c r="BA355" s="476">
        <f t="shared" ref="BA355:BA392" si="641">IF($AZ$8=$H355,$R355,0)</f>
        <v>0</v>
      </c>
      <c r="BB355" s="476">
        <f t="shared" ref="BB355:BB392" si="642">IF($BB$8=$H355,$Q355,0)</f>
        <v>208840</v>
      </c>
      <c r="BC355" s="476">
        <f t="shared" ref="BC355:BC392" si="643">IF($BB$8=$H355,$R355,0)</f>
        <v>104420</v>
      </c>
      <c r="BD355" s="476">
        <f t="shared" ref="BD355:BD392" si="644">IF($BD$8=$H355,$Q355,0)</f>
        <v>0</v>
      </c>
      <c r="BE355" s="476">
        <f t="shared" ref="BE355:BE392" si="645">IF($BD$8=$H355,$R355,0)</f>
        <v>0</v>
      </c>
      <c r="BF355" s="476">
        <f t="shared" ref="BF355:BF392" si="646">IF($BF$8=$H355,$Q355,0)</f>
        <v>0</v>
      </c>
      <c r="BG355" s="476">
        <f t="shared" ref="BG355:BG392" si="647">IF($BF$8=$H355,$R355,0)</f>
        <v>0</v>
      </c>
    </row>
    <row r="356" spans="1:59" ht="16.5" customHeight="1">
      <c r="A356" s="583" t="s">
        <v>704</v>
      </c>
      <c r="B356" s="584" t="s">
        <v>1062</v>
      </c>
      <c r="C356" s="584" t="s">
        <v>1065</v>
      </c>
      <c r="D356" s="413" t="s">
        <v>1051</v>
      </c>
      <c r="E356" s="412" t="s">
        <v>473</v>
      </c>
      <c r="F356" s="413" t="s">
        <v>1064</v>
      </c>
      <c r="G356" s="412" t="s">
        <v>332</v>
      </c>
      <c r="H356" s="412" t="s">
        <v>1022</v>
      </c>
      <c r="I356" s="477">
        <v>2984702</v>
      </c>
      <c r="J356" s="477">
        <v>1492351</v>
      </c>
      <c r="K356" s="477"/>
      <c r="L356" s="477"/>
      <c r="M356" s="477">
        <f t="shared" si="602"/>
        <v>2984702</v>
      </c>
      <c r="N356" s="477">
        <f t="shared" si="603"/>
        <v>1492351</v>
      </c>
      <c r="O356" s="477"/>
      <c r="P356" s="477"/>
      <c r="Q356" s="477">
        <f t="shared" si="604"/>
        <v>2984702</v>
      </c>
      <c r="R356" s="477">
        <f t="shared" si="605"/>
        <v>1492351</v>
      </c>
      <c r="S356" s="477">
        <f t="shared" si="606"/>
        <v>1492351</v>
      </c>
      <c r="V356" s="476">
        <f t="shared" si="610"/>
        <v>0</v>
      </c>
      <c r="W356" s="476">
        <f t="shared" si="611"/>
        <v>0</v>
      </c>
      <c r="X356" s="476">
        <f t="shared" si="612"/>
        <v>0</v>
      </c>
      <c r="Y356" s="476">
        <f t="shared" si="613"/>
        <v>0</v>
      </c>
      <c r="Z356" s="476">
        <f t="shared" si="614"/>
        <v>0</v>
      </c>
      <c r="AA356" s="476">
        <f t="shared" si="615"/>
        <v>0</v>
      </c>
      <c r="AB356" s="476">
        <f t="shared" si="616"/>
        <v>0</v>
      </c>
      <c r="AC356" s="476">
        <f t="shared" si="617"/>
        <v>0</v>
      </c>
      <c r="AD356" s="476">
        <f t="shared" si="618"/>
        <v>0</v>
      </c>
      <c r="AE356" s="476">
        <f t="shared" si="619"/>
        <v>0</v>
      </c>
      <c r="AF356" s="476">
        <f t="shared" si="620"/>
        <v>0</v>
      </c>
      <c r="AG356" s="476">
        <f t="shared" si="621"/>
        <v>0</v>
      </c>
      <c r="AH356" s="476">
        <f t="shared" si="622"/>
        <v>0</v>
      </c>
      <c r="AI356" s="476">
        <f t="shared" si="623"/>
        <v>0</v>
      </c>
      <c r="AJ356" s="476">
        <f t="shared" si="624"/>
        <v>0</v>
      </c>
      <c r="AK356" s="476">
        <f t="shared" si="625"/>
        <v>0</v>
      </c>
      <c r="AL356" s="476">
        <f t="shared" si="626"/>
        <v>0</v>
      </c>
      <c r="AM356" s="476">
        <f t="shared" si="627"/>
        <v>0</v>
      </c>
      <c r="AN356" s="476">
        <f t="shared" si="628"/>
        <v>0</v>
      </c>
      <c r="AO356" s="476">
        <f t="shared" si="629"/>
        <v>0</v>
      </c>
      <c r="AP356" s="476">
        <f t="shared" si="630"/>
        <v>0</v>
      </c>
      <c r="AQ356" s="476">
        <f t="shared" si="631"/>
        <v>0</v>
      </c>
      <c r="AR356" s="476">
        <f t="shared" si="632"/>
        <v>0</v>
      </c>
      <c r="AS356" s="476">
        <f t="shared" si="633"/>
        <v>0</v>
      </c>
      <c r="AT356" s="476">
        <f t="shared" si="634"/>
        <v>0</v>
      </c>
      <c r="AU356" s="476">
        <f t="shared" si="635"/>
        <v>0</v>
      </c>
      <c r="AV356" s="476">
        <f t="shared" si="636"/>
        <v>2984702</v>
      </c>
      <c r="AW356" s="476">
        <f t="shared" si="637"/>
        <v>1492351</v>
      </c>
      <c r="AX356" s="476">
        <f t="shared" si="638"/>
        <v>0</v>
      </c>
      <c r="AY356" s="476">
        <f t="shared" si="639"/>
        <v>0</v>
      </c>
      <c r="AZ356" s="476">
        <f t="shared" si="640"/>
        <v>0</v>
      </c>
      <c r="BA356" s="476">
        <f t="shared" si="641"/>
        <v>0</v>
      </c>
      <c r="BB356" s="476">
        <f t="shared" si="642"/>
        <v>0</v>
      </c>
      <c r="BC356" s="476">
        <f t="shared" si="643"/>
        <v>0</v>
      </c>
      <c r="BD356" s="476">
        <f t="shared" si="644"/>
        <v>0</v>
      </c>
      <c r="BE356" s="476">
        <f t="shared" si="645"/>
        <v>0</v>
      </c>
      <c r="BF356" s="476">
        <f t="shared" si="646"/>
        <v>0</v>
      </c>
      <c r="BG356" s="476">
        <f t="shared" si="647"/>
        <v>0</v>
      </c>
    </row>
    <row r="357" spans="1:59" ht="16.5" customHeight="1">
      <c r="A357" s="583" t="s">
        <v>704</v>
      </c>
      <c r="B357" s="584" t="s">
        <v>1062</v>
      </c>
      <c r="C357" s="584" t="s">
        <v>1063</v>
      </c>
      <c r="D357" s="413" t="s">
        <v>1051</v>
      </c>
      <c r="E357" s="412" t="s">
        <v>473</v>
      </c>
      <c r="F357" s="413" t="s">
        <v>1064</v>
      </c>
      <c r="G357" s="412" t="s">
        <v>332</v>
      </c>
      <c r="H357" s="412" t="s">
        <v>1014</v>
      </c>
      <c r="I357" s="477">
        <v>200000</v>
      </c>
      <c r="J357" s="477">
        <v>100000</v>
      </c>
      <c r="K357" s="477"/>
      <c r="L357" s="477"/>
      <c r="M357" s="477">
        <f t="shared" si="602"/>
        <v>200000</v>
      </c>
      <c r="N357" s="477">
        <f t="shared" si="603"/>
        <v>100000</v>
      </c>
      <c r="O357" s="477"/>
      <c r="P357" s="477"/>
      <c r="Q357" s="477">
        <f t="shared" si="604"/>
        <v>200000</v>
      </c>
      <c r="R357" s="477">
        <f t="shared" si="605"/>
        <v>100000</v>
      </c>
      <c r="S357" s="477">
        <f t="shared" si="606"/>
        <v>100000</v>
      </c>
      <c r="V357" s="476">
        <f t="shared" si="610"/>
        <v>0</v>
      </c>
      <c r="W357" s="476">
        <f t="shared" si="611"/>
        <v>0</v>
      </c>
      <c r="X357" s="476">
        <f t="shared" si="612"/>
        <v>0</v>
      </c>
      <c r="Y357" s="476">
        <f t="shared" si="613"/>
        <v>0</v>
      </c>
      <c r="Z357" s="476">
        <f t="shared" si="614"/>
        <v>0</v>
      </c>
      <c r="AA357" s="476">
        <f t="shared" si="615"/>
        <v>0</v>
      </c>
      <c r="AB357" s="476">
        <f t="shared" si="616"/>
        <v>0</v>
      </c>
      <c r="AC357" s="476">
        <f t="shared" si="617"/>
        <v>0</v>
      </c>
      <c r="AD357" s="476">
        <f t="shared" si="618"/>
        <v>0</v>
      </c>
      <c r="AE357" s="476">
        <f t="shared" si="619"/>
        <v>0</v>
      </c>
      <c r="AF357" s="476">
        <f t="shared" si="620"/>
        <v>0</v>
      </c>
      <c r="AG357" s="476">
        <f t="shared" si="621"/>
        <v>0</v>
      </c>
      <c r="AH357" s="476">
        <f t="shared" si="622"/>
        <v>0</v>
      </c>
      <c r="AI357" s="476">
        <f t="shared" si="623"/>
        <v>0</v>
      </c>
      <c r="AJ357" s="476">
        <f t="shared" si="624"/>
        <v>0</v>
      </c>
      <c r="AK357" s="476">
        <f t="shared" si="625"/>
        <v>0</v>
      </c>
      <c r="AL357" s="476">
        <f t="shared" si="626"/>
        <v>0</v>
      </c>
      <c r="AM357" s="476">
        <f t="shared" si="627"/>
        <v>0</v>
      </c>
      <c r="AN357" s="476">
        <f t="shared" si="628"/>
        <v>0</v>
      </c>
      <c r="AO357" s="476">
        <f t="shared" si="629"/>
        <v>0</v>
      </c>
      <c r="AP357" s="476">
        <f t="shared" si="630"/>
        <v>200000</v>
      </c>
      <c r="AQ357" s="476">
        <f t="shared" si="631"/>
        <v>100000</v>
      </c>
      <c r="AR357" s="476">
        <f t="shared" si="632"/>
        <v>0</v>
      </c>
      <c r="AS357" s="476">
        <f t="shared" si="633"/>
        <v>0</v>
      </c>
      <c r="AT357" s="476">
        <f t="shared" si="634"/>
        <v>0</v>
      </c>
      <c r="AU357" s="476">
        <f t="shared" si="635"/>
        <v>0</v>
      </c>
      <c r="AV357" s="476">
        <f t="shared" si="636"/>
        <v>0</v>
      </c>
      <c r="AW357" s="476">
        <f t="shared" si="637"/>
        <v>0</v>
      </c>
      <c r="AX357" s="476">
        <f t="shared" si="638"/>
        <v>0</v>
      </c>
      <c r="AY357" s="476">
        <f t="shared" si="639"/>
        <v>0</v>
      </c>
      <c r="AZ357" s="476">
        <f t="shared" si="640"/>
        <v>0</v>
      </c>
      <c r="BA357" s="476">
        <f t="shared" si="641"/>
        <v>0</v>
      </c>
      <c r="BB357" s="476">
        <f t="shared" si="642"/>
        <v>0</v>
      </c>
      <c r="BC357" s="476">
        <f t="shared" si="643"/>
        <v>0</v>
      </c>
      <c r="BD357" s="476">
        <f t="shared" si="644"/>
        <v>0</v>
      </c>
      <c r="BE357" s="476">
        <f t="shared" si="645"/>
        <v>0</v>
      </c>
      <c r="BF357" s="476">
        <f t="shared" si="646"/>
        <v>0</v>
      </c>
      <c r="BG357" s="476">
        <f t="shared" si="647"/>
        <v>0</v>
      </c>
    </row>
    <row r="358" spans="1:59" ht="16.5" customHeight="1">
      <c r="A358" s="583" t="s">
        <v>707</v>
      </c>
      <c r="B358" s="584" t="s">
        <v>1067</v>
      </c>
      <c r="C358" s="584" t="s">
        <v>1277</v>
      </c>
      <c r="D358" s="413" t="s">
        <v>1051</v>
      </c>
      <c r="E358" s="412" t="s">
        <v>466</v>
      </c>
      <c r="F358" s="413" t="s">
        <v>1057</v>
      </c>
      <c r="G358" s="412" t="s">
        <v>1067</v>
      </c>
      <c r="H358" s="412" t="s">
        <v>1275</v>
      </c>
      <c r="I358" s="477">
        <v>30000</v>
      </c>
      <c r="J358" s="477">
        <v>30000</v>
      </c>
      <c r="K358" s="477"/>
      <c r="L358" s="477"/>
      <c r="M358" s="477">
        <f t="shared" si="602"/>
        <v>30000</v>
      </c>
      <c r="N358" s="477">
        <f t="shared" si="603"/>
        <v>30000</v>
      </c>
      <c r="O358" s="477"/>
      <c r="P358" s="477"/>
      <c r="Q358" s="477">
        <f t="shared" si="604"/>
        <v>30000</v>
      </c>
      <c r="R358" s="477">
        <f t="shared" si="605"/>
        <v>30000</v>
      </c>
      <c r="S358" s="477">
        <f t="shared" si="606"/>
        <v>0</v>
      </c>
      <c r="V358" s="476">
        <f t="shared" si="610"/>
        <v>0</v>
      </c>
      <c r="W358" s="476">
        <f t="shared" si="611"/>
        <v>0</v>
      </c>
      <c r="X358" s="476">
        <f t="shared" si="612"/>
        <v>0</v>
      </c>
      <c r="Y358" s="476">
        <f t="shared" si="613"/>
        <v>0</v>
      </c>
      <c r="Z358" s="476">
        <f t="shared" si="614"/>
        <v>0</v>
      </c>
      <c r="AA358" s="476">
        <f t="shared" si="615"/>
        <v>0</v>
      </c>
      <c r="AB358" s="476">
        <f t="shared" si="616"/>
        <v>0</v>
      </c>
      <c r="AC358" s="476">
        <f t="shared" si="617"/>
        <v>0</v>
      </c>
      <c r="AD358" s="476">
        <f t="shared" si="618"/>
        <v>0</v>
      </c>
      <c r="AE358" s="476">
        <f t="shared" si="619"/>
        <v>0</v>
      </c>
      <c r="AF358" s="476">
        <f t="shared" si="620"/>
        <v>0</v>
      </c>
      <c r="AG358" s="476">
        <f t="shared" si="621"/>
        <v>0</v>
      </c>
      <c r="AH358" s="476">
        <f t="shared" si="622"/>
        <v>0</v>
      </c>
      <c r="AI358" s="476">
        <f t="shared" si="623"/>
        <v>0</v>
      </c>
      <c r="AJ358" s="476">
        <f t="shared" si="624"/>
        <v>0</v>
      </c>
      <c r="AK358" s="476">
        <f t="shared" si="625"/>
        <v>0</v>
      </c>
      <c r="AL358" s="476">
        <f t="shared" si="626"/>
        <v>0</v>
      </c>
      <c r="AM358" s="476">
        <f t="shared" si="627"/>
        <v>0</v>
      </c>
      <c r="AN358" s="476">
        <f t="shared" si="628"/>
        <v>0</v>
      </c>
      <c r="AO358" s="476">
        <f t="shared" si="629"/>
        <v>0</v>
      </c>
      <c r="AP358" s="476">
        <f t="shared" si="630"/>
        <v>0</v>
      </c>
      <c r="AQ358" s="476">
        <f t="shared" si="631"/>
        <v>0</v>
      </c>
      <c r="AR358" s="476">
        <f t="shared" si="632"/>
        <v>0</v>
      </c>
      <c r="AS358" s="476">
        <f t="shared" si="633"/>
        <v>0</v>
      </c>
      <c r="AT358" s="476">
        <f t="shared" si="634"/>
        <v>0</v>
      </c>
      <c r="AU358" s="476">
        <f t="shared" si="635"/>
        <v>0</v>
      </c>
      <c r="AV358" s="476">
        <f t="shared" si="636"/>
        <v>0</v>
      </c>
      <c r="AW358" s="476">
        <f t="shared" si="637"/>
        <v>0</v>
      </c>
      <c r="AX358" s="476">
        <f t="shared" si="638"/>
        <v>0</v>
      </c>
      <c r="AY358" s="476">
        <f t="shared" si="639"/>
        <v>0</v>
      </c>
      <c r="AZ358" s="476">
        <f t="shared" si="640"/>
        <v>0</v>
      </c>
      <c r="BA358" s="476">
        <f t="shared" si="641"/>
        <v>0</v>
      </c>
      <c r="BB358" s="476">
        <f t="shared" si="642"/>
        <v>0</v>
      </c>
      <c r="BC358" s="476">
        <f t="shared" si="643"/>
        <v>0</v>
      </c>
      <c r="BD358" s="476">
        <f t="shared" si="644"/>
        <v>0</v>
      </c>
      <c r="BE358" s="476">
        <f t="shared" si="645"/>
        <v>0</v>
      </c>
      <c r="BF358" s="476">
        <f t="shared" si="646"/>
        <v>0</v>
      </c>
      <c r="BG358" s="476">
        <f t="shared" si="647"/>
        <v>0</v>
      </c>
    </row>
    <row r="359" spans="1:59" ht="16.5" customHeight="1">
      <c r="A359" s="583" t="s">
        <v>718</v>
      </c>
      <c r="B359" s="584" t="s">
        <v>1075</v>
      </c>
      <c r="C359" s="584" t="s">
        <v>1820</v>
      </c>
      <c r="D359" s="413" t="s">
        <v>1051</v>
      </c>
      <c r="E359" s="412" t="s">
        <v>466</v>
      </c>
      <c r="F359" s="413" t="s">
        <v>1057</v>
      </c>
      <c r="G359" s="412" t="s">
        <v>1058</v>
      </c>
      <c r="H359" s="412" t="s">
        <v>1055</v>
      </c>
      <c r="I359" s="477">
        <v>4500</v>
      </c>
      <c r="J359" s="477">
        <v>4500</v>
      </c>
      <c r="K359" s="477"/>
      <c r="L359" s="477"/>
      <c r="M359" s="477">
        <f t="shared" si="602"/>
        <v>4500</v>
      </c>
      <c r="N359" s="477">
        <f t="shared" si="603"/>
        <v>4500</v>
      </c>
      <c r="O359" s="477"/>
      <c r="P359" s="477"/>
      <c r="Q359" s="477">
        <f t="shared" si="604"/>
        <v>4500</v>
      </c>
      <c r="R359" s="477">
        <f t="shared" si="605"/>
        <v>4500</v>
      </c>
      <c r="S359" s="477">
        <f t="shared" si="606"/>
        <v>0</v>
      </c>
      <c r="V359" s="476">
        <f t="shared" si="610"/>
        <v>0</v>
      </c>
      <c r="W359" s="476">
        <f t="shared" si="611"/>
        <v>0</v>
      </c>
      <c r="X359" s="476">
        <f t="shared" si="612"/>
        <v>0</v>
      </c>
      <c r="Y359" s="476">
        <f t="shared" si="613"/>
        <v>0</v>
      </c>
      <c r="Z359" s="476">
        <f t="shared" si="614"/>
        <v>0</v>
      </c>
      <c r="AA359" s="476">
        <f t="shared" si="615"/>
        <v>0</v>
      </c>
      <c r="AB359" s="476">
        <f t="shared" si="616"/>
        <v>0</v>
      </c>
      <c r="AC359" s="476">
        <f t="shared" si="617"/>
        <v>0</v>
      </c>
      <c r="AD359" s="476">
        <f t="shared" si="618"/>
        <v>0</v>
      </c>
      <c r="AE359" s="476">
        <f t="shared" si="619"/>
        <v>0</v>
      </c>
      <c r="AF359" s="476">
        <f t="shared" si="620"/>
        <v>0</v>
      </c>
      <c r="AG359" s="476">
        <f t="shared" si="621"/>
        <v>0</v>
      </c>
      <c r="AH359" s="476">
        <f t="shared" si="622"/>
        <v>0</v>
      </c>
      <c r="AI359" s="476">
        <f t="shared" si="623"/>
        <v>0</v>
      </c>
      <c r="AJ359" s="476">
        <f t="shared" si="624"/>
        <v>0</v>
      </c>
      <c r="AK359" s="476">
        <f t="shared" si="625"/>
        <v>0</v>
      </c>
      <c r="AL359" s="476">
        <f t="shared" si="626"/>
        <v>0</v>
      </c>
      <c r="AM359" s="476">
        <f t="shared" si="627"/>
        <v>0</v>
      </c>
      <c r="AN359" s="476">
        <f t="shared" si="628"/>
        <v>0</v>
      </c>
      <c r="AO359" s="476">
        <f t="shared" si="629"/>
        <v>0</v>
      </c>
      <c r="AP359" s="476">
        <f t="shared" si="630"/>
        <v>0</v>
      </c>
      <c r="AQ359" s="476">
        <f t="shared" si="631"/>
        <v>0</v>
      </c>
      <c r="AR359" s="476">
        <f t="shared" si="632"/>
        <v>0</v>
      </c>
      <c r="AS359" s="476">
        <f t="shared" si="633"/>
        <v>0</v>
      </c>
      <c r="AT359" s="476">
        <f t="shared" si="634"/>
        <v>0</v>
      </c>
      <c r="AU359" s="476">
        <f t="shared" si="635"/>
        <v>0</v>
      </c>
      <c r="AV359" s="476">
        <f t="shared" si="636"/>
        <v>0</v>
      </c>
      <c r="AW359" s="476">
        <f t="shared" si="637"/>
        <v>0</v>
      </c>
      <c r="AX359" s="476">
        <f t="shared" si="638"/>
        <v>0</v>
      </c>
      <c r="AY359" s="476">
        <f t="shared" si="639"/>
        <v>0</v>
      </c>
      <c r="AZ359" s="476">
        <f t="shared" si="640"/>
        <v>0</v>
      </c>
      <c r="BA359" s="476">
        <f t="shared" si="641"/>
        <v>0</v>
      </c>
      <c r="BB359" s="476">
        <f t="shared" si="642"/>
        <v>4500</v>
      </c>
      <c r="BC359" s="476">
        <f t="shared" si="643"/>
        <v>4500</v>
      </c>
      <c r="BD359" s="476">
        <f t="shared" si="644"/>
        <v>0</v>
      </c>
      <c r="BE359" s="476">
        <f t="shared" si="645"/>
        <v>0</v>
      </c>
      <c r="BF359" s="476">
        <f t="shared" si="646"/>
        <v>0</v>
      </c>
      <c r="BG359" s="476">
        <f t="shared" si="647"/>
        <v>0</v>
      </c>
    </row>
    <row r="360" spans="1:59" ht="16.5" customHeight="1">
      <c r="A360" s="583" t="s">
        <v>835</v>
      </c>
      <c r="B360" s="584" t="s">
        <v>1153</v>
      </c>
      <c r="C360" s="584" t="s">
        <v>1821</v>
      </c>
      <c r="D360" s="413" t="s">
        <v>1051</v>
      </c>
      <c r="E360" s="412" t="s">
        <v>1153</v>
      </c>
      <c r="F360" s="413" t="s">
        <v>1153</v>
      </c>
      <c r="G360" s="412" t="s">
        <v>1153</v>
      </c>
      <c r="H360" s="412" t="s">
        <v>1019</v>
      </c>
      <c r="I360" s="477">
        <v>0</v>
      </c>
      <c r="J360" s="477">
        <v>1847601.54</v>
      </c>
      <c r="K360" s="477"/>
      <c r="L360" s="477"/>
      <c r="M360" s="477">
        <f t="shared" si="602"/>
        <v>0</v>
      </c>
      <c r="N360" s="477">
        <f t="shared" si="603"/>
        <v>1847601.54</v>
      </c>
      <c r="O360" s="477"/>
      <c r="P360" s="477"/>
      <c r="Q360" s="477">
        <f t="shared" si="604"/>
        <v>0</v>
      </c>
      <c r="R360" s="477">
        <f t="shared" si="605"/>
        <v>1847601.54</v>
      </c>
      <c r="S360" s="477">
        <f t="shared" si="606"/>
        <v>-1847601.54</v>
      </c>
      <c r="V360" s="476">
        <f t="shared" si="610"/>
        <v>0</v>
      </c>
      <c r="W360" s="476">
        <f t="shared" si="611"/>
        <v>0</v>
      </c>
      <c r="X360" s="476">
        <f t="shared" si="612"/>
        <v>0</v>
      </c>
      <c r="Y360" s="476">
        <f t="shared" si="613"/>
        <v>0</v>
      </c>
      <c r="Z360" s="476">
        <f t="shared" si="614"/>
        <v>0</v>
      </c>
      <c r="AA360" s="476">
        <f t="shared" si="615"/>
        <v>0</v>
      </c>
      <c r="AB360" s="476">
        <f t="shared" si="616"/>
        <v>0</v>
      </c>
      <c r="AC360" s="476">
        <f t="shared" si="617"/>
        <v>0</v>
      </c>
      <c r="AD360" s="476">
        <f t="shared" si="618"/>
        <v>0</v>
      </c>
      <c r="AE360" s="476">
        <f t="shared" si="619"/>
        <v>1847601.54</v>
      </c>
      <c r="AF360" s="476">
        <f t="shared" si="620"/>
        <v>0</v>
      </c>
      <c r="AG360" s="476">
        <f t="shared" si="621"/>
        <v>0</v>
      </c>
      <c r="AH360" s="476">
        <f t="shared" si="622"/>
        <v>0</v>
      </c>
      <c r="AI360" s="476">
        <f t="shared" si="623"/>
        <v>0</v>
      </c>
      <c r="AJ360" s="476">
        <f t="shared" si="624"/>
        <v>0</v>
      </c>
      <c r="AK360" s="476">
        <f t="shared" si="625"/>
        <v>0</v>
      </c>
      <c r="AL360" s="476">
        <f t="shared" si="626"/>
        <v>0</v>
      </c>
      <c r="AM360" s="476">
        <f t="shared" si="627"/>
        <v>0</v>
      </c>
      <c r="AN360" s="476">
        <f t="shared" si="628"/>
        <v>0</v>
      </c>
      <c r="AO360" s="476">
        <f t="shared" si="629"/>
        <v>0</v>
      </c>
      <c r="AP360" s="476">
        <f t="shared" si="630"/>
        <v>0</v>
      </c>
      <c r="AQ360" s="476">
        <f t="shared" si="631"/>
        <v>0</v>
      </c>
      <c r="AR360" s="476">
        <f t="shared" si="632"/>
        <v>0</v>
      </c>
      <c r="AS360" s="476">
        <f t="shared" si="633"/>
        <v>0</v>
      </c>
      <c r="AT360" s="476">
        <f t="shared" si="634"/>
        <v>0</v>
      </c>
      <c r="AU360" s="476">
        <f t="shared" si="635"/>
        <v>0</v>
      </c>
      <c r="AV360" s="476">
        <f t="shared" si="636"/>
        <v>0</v>
      </c>
      <c r="AW360" s="476">
        <f t="shared" si="637"/>
        <v>0</v>
      </c>
      <c r="AX360" s="476">
        <f t="shared" si="638"/>
        <v>0</v>
      </c>
      <c r="AY360" s="476">
        <f t="shared" si="639"/>
        <v>0</v>
      </c>
      <c r="AZ360" s="476">
        <f t="shared" si="640"/>
        <v>0</v>
      </c>
      <c r="BA360" s="476">
        <f t="shared" si="641"/>
        <v>0</v>
      </c>
      <c r="BB360" s="476">
        <f t="shared" si="642"/>
        <v>0</v>
      </c>
      <c r="BC360" s="476">
        <f t="shared" si="643"/>
        <v>0</v>
      </c>
      <c r="BD360" s="476">
        <f t="shared" si="644"/>
        <v>0</v>
      </c>
      <c r="BE360" s="476">
        <f t="shared" si="645"/>
        <v>0</v>
      </c>
      <c r="BF360" s="476">
        <f t="shared" si="646"/>
        <v>0</v>
      </c>
      <c r="BG360" s="476">
        <f t="shared" si="647"/>
        <v>0</v>
      </c>
    </row>
    <row r="361" spans="1:59" ht="16.5" customHeight="1">
      <c r="A361" s="583" t="s">
        <v>835</v>
      </c>
      <c r="B361" s="584" t="s">
        <v>1153</v>
      </c>
      <c r="C361" s="584" t="s">
        <v>1822</v>
      </c>
      <c r="D361" s="413" t="s">
        <v>1051</v>
      </c>
      <c r="E361" s="412" t="s">
        <v>1153</v>
      </c>
      <c r="F361" s="413" t="s">
        <v>1153</v>
      </c>
      <c r="G361" s="412" t="s">
        <v>1153</v>
      </c>
      <c r="H361" s="412" t="s">
        <v>1027</v>
      </c>
      <c r="I361" s="477">
        <v>0</v>
      </c>
      <c r="J361" s="477">
        <v>1321436.3999999999</v>
      </c>
      <c r="K361" s="477"/>
      <c r="L361" s="477"/>
      <c r="M361" s="477">
        <f t="shared" si="602"/>
        <v>0</v>
      </c>
      <c r="N361" s="477">
        <f t="shared" si="603"/>
        <v>1321436.3999999999</v>
      </c>
      <c r="O361" s="477"/>
      <c r="P361" s="477"/>
      <c r="Q361" s="477">
        <f t="shared" si="604"/>
        <v>0</v>
      </c>
      <c r="R361" s="477">
        <f t="shared" si="605"/>
        <v>1321436.3999999999</v>
      </c>
      <c r="S361" s="477">
        <f t="shared" si="606"/>
        <v>-1321436.3999999999</v>
      </c>
      <c r="V361" s="476">
        <f t="shared" si="610"/>
        <v>0</v>
      </c>
      <c r="W361" s="476">
        <f t="shared" si="611"/>
        <v>0</v>
      </c>
      <c r="X361" s="476">
        <f t="shared" si="612"/>
        <v>0</v>
      </c>
      <c r="Y361" s="476">
        <f t="shared" si="613"/>
        <v>0</v>
      </c>
      <c r="Z361" s="476">
        <f t="shared" si="614"/>
        <v>0</v>
      </c>
      <c r="AA361" s="476">
        <f t="shared" si="615"/>
        <v>0</v>
      </c>
      <c r="AB361" s="476">
        <f t="shared" si="616"/>
        <v>0</v>
      </c>
      <c r="AC361" s="476">
        <f t="shared" si="617"/>
        <v>0</v>
      </c>
      <c r="AD361" s="476">
        <f t="shared" si="618"/>
        <v>0</v>
      </c>
      <c r="AE361" s="476">
        <f t="shared" si="619"/>
        <v>0</v>
      </c>
      <c r="AF361" s="476">
        <f t="shared" si="620"/>
        <v>0</v>
      </c>
      <c r="AG361" s="476">
        <f t="shared" si="621"/>
        <v>0</v>
      </c>
      <c r="AH361" s="476">
        <f t="shared" si="622"/>
        <v>0</v>
      </c>
      <c r="AI361" s="476">
        <f t="shared" si="623"/>
        <v>0</v>
      </c>
      <c r="AJ361" s="476">
        <f t="shared" si="624"/>
        <v>0</v>
      </c>
      <c r="AK361" s="476">
        <f t="shared" si="625"/>
        <v>0</v>
      </c>
      <c r="AL361" s="476">
        <f t="shared" si="626"/>
        <v>0</v>
      </c>
      <c r="AM361" s="476">
        <f t="shared" si="627"/>
        <v>0</v>
      </c>
      <c r="AN361" s="476">
        <f t="shared" si="628"/>
        <v>0</v>
      </c>
      <c r="AO361" s="476">
        <f t="shared" si="629"/>
        <v>0</v>
      </c>
      <c r="AP361" s="476">
        <f t="shared" si="630"/>
        <v>0</v>
      </c>
      <c r="AQ361" s="476">
        <f t="shared" si="631"/>
        <v>0</v>
      </c>
      <c r="AR361" s="476">
        <f t="shared" si="632"/>
        <v>0</v>
      </c>
      <c r="AS361" s="476">
        <f t="shared" si="633"/>
        <v>1321436.3999999999</v>
      </c>
      <c r="AT361" s="476">
        <f t="shared" si="634"/>
        <v>0</v>
      </c>
      <c r="AU361" s="476">
        <f t="shared" si="635"/>
        <v>0</v>
      </c>
      <c r="AV361" s="476">
        <f t="shared" si="636"/>
        <v>0</v>
      </c>
      <c r="AW361" s="476">
        <f t="shared" si="637"/>
        <v>0</v>
      </c>
      <c r="AX361" s="476">
        <f t="shared" si="638"/>
        <v>0</v>
      </c>
      <c r="AY361" s="476">
        <f t="shared" si="639"/>
        <v>0</v>
      </c>
      <c r="AZ361" s="476">
        <f t="shared" si="640"/>
        <v>0</v>
      </c>
      <c r="BA361" s="476">
        <f t="shared" si="641"/>
        <v>0</v>
      </c>
      <c r="BB361" s="476">
        <f t="shared" si="642"/>
        <v>0</v>
      </c>
      <c r="BC361" s="476">
        <f t="shared" si="643"/>
        <v>0</v>
      </c>
      <c r="BD361" s="476">
        <f t="shared" si="644"/>
        <v>0</v>
      </c>
      <c r="BE361" s="476">
        <f t="shared" si="645"/>
        <v>0</v>
      </c>
      <c r="BF361" s="476">
        <f t="shared" si="646"/>
        <v>0</v>
      </c>
      <c r="BG361" s="476">
        <f t="shared" si="647"/>
        <v>0</v>
      </c>
    </row>
    <row r="362" spans="1:59" ht="16.5" customHeight="1">
      <c r="A362" s="583" t="s">
        <v>835</v>
      </c>
      <c r="B362" s="584" t="s">
        <v>1153</v>
      </c>
      <c r="C362" s="584" t="s">
        <v>1823</v>
      </c>
      <c r="D362" s="413" t="s">
        <v>1051</v>
      </c>
      <c r="E362" s="412" t="s">
        <v>1153</v>
      </c>
      <c r="F362" s="413" t="s">
        <v>1153</v>
      </c>
      <c r="G362" s="412" t="s">
        <v>1153</v>
      </c>
      <c r="H362" s="412" t="s">
        <v>1026</v>
      </c>
      <c r="I362" s="477">
        <v>0</v>
      </c>
      <c r="J362" s="477">
        <v>1</v>
      </c>
      <c r="K362" s="477"/>
      <c r="L362" s="477"/>
      <c r="M362" s="477">
        <f t="shared" si="602"/>
        <v>0</v>
      </c>
      <c r="N362" s="477">
        <f t="shared" si="603"/>
        <v>1</v>
      </c>
      <c r="O362" s="477"/>
      <c r="P362" s="477"/>
      <c r="Q362" s="477">
        <f t="shared" si="604"/>
        <v>0</v>
      </c>
      <c r="R362" s="477">
        <f t="shared" si="605"/>
        <v>1</v>
      </c>
      <c r="S362" s="477">
        <f t="shared" si="606"/>
        <v>-1</v>
      </c>
      <c r="V362" s="476">
        <f t="shared" si="610"/>
        <v>0</v>
      </c>
      <c r="W362" s="476">
        <f t="shared" si="611"/>
        <v>0</v>
      </c>
      <c r="X362" s="476">
        <f t="shared" si="612"/>
        <v>0</v>
      </c>
      <c r="Y362" s="476">
        <f t="shared" si="613"/>
        <v>0</v>
      </c>
      <c r="Z362" s="476">
        <f t="shared" si="614"/>
        <v>0</v>
      </c>
      <c r="AA362" s="476">
        <f t="shared" si="615"/>
        <v>0</v>
      </c>
      <c r="AB362" s="476">
        <f t="shared" si="616"/>
        <v>0</v>
      </c>
      <c r="AC362" s="476">
        <f t="shared" si="617"/>
        <v>0</v>
      </c>
      <c r="AD362" s="476">
        <f t="shared" si="618"/>
        <v>0</v>
      </c>
      <c r="AE362" s="476">
        <f t="shared" si="619"/>
        <v>0</v>
      </c>
      <c r="AF362" s="476">
        <f t="shared" si="620"/>
        <v>0</v>
      </c>
      <c r="AG362" s="476">
        <f t="shared" si="621"/>
        <v>0</v>
      </c>
      <c r="AH362" s="476">
        <f t="shared" si="622"/>
        <v>0</v>
      </c>
      <c r="AI362" s="476">
        <f t="shared" si="623"/>
        <v>0</v>
      </c>
      <c r="AJ362" s="476">
        <f t="shared" si="624"/>
        <v>0</v>
      </c>
      <c r="AK362" s="476">
        <f t="shared" si="625"/>
        <v>0</v>
      </c>
      <c r="AL362" s="476">
        <f t="shared" si="626"/>
        <v>0</v>
      </c>
      <c r="AM362" s="476">
        <f t="shared" si="627"/>
        <v>1</v>
      </c>
      <c r="AN362" s="476">
        <f t="shared" si="628"/>
        <v>0</v>
      </c>
      <c r="AO362" s="476">
        <f t="shared" si="629"/>
        <v>0</v>
      </c>
      <c r="AP362" s="476">
        <f t="shared" si="630"/>
        <v>0</v>
      </c>
      <c r="AQ362" s="476">
        <f t="shared" si="631"/>
        <v>0</v>
      </c>
      <c r="AR362" s="476">
        <f t="shared" si="632"/>
        <v>0</v>
      </c>
      <c r="AS362" s="476">
        <f t="shared" si="633"/>
        <v>0</v>
      </c>
      <c r="AT362" s="476">
        <f t="shared" si="634"/>
        <v>0</v>
      </c>
      <c r="AU362" s="476">
        <f t="shared" si="635"/>
        <v>0</v>
      </c>
      <c r="AV362" s="476">
        <f t="shared" si="636"/>
        <v>0</v>
      </c>
      <c r="AW362" s="476">
        <f t="shared" si="637"/>
        <v>0</v>
      </c>
      <c r="AX362" s="476">
        <f t="shared" si="638"/>
        <v>0</v>
      </c>
      <c r="AY362" s="476">
        <f t="shared" si="639"/>
        <v>0</v>
      </c>
      <c r="AZ362" s="476">
        <f t="shared" si="640"/>
        <v>0</v>
      </c>
      <c r="BA362" s="476">
        <f t="shared" si="641"/>
        <v>0</v>
      </c>
      <c r="BB362" s="476">
        <f t="shared" si="642"/>
        <v>0</v>
      </c>
      <c r="BC362" s="476">
        <f t="shared" si="643"/>
        <v>0</v>
      </c>
      <c r="BD362" s="476">
        <f t="shared" si="644"/>
        <v>0</v>
      </c>
      <c r="BE362" s="476">
        <f t="shared" si="645"/>
        <v>0</v>
      </c>
      <c r="BF362" s="476">
        <f t="shared" si="646"/>
        <v>0</v>
      </c>
      <c r="BG362" s="476">
        <f t="shared" si="647"/>
        <v>0</v>
      </c>
    </row>
    <row r="363" spans="1:59" ht="16.5" customHeight="1">
      <c r="A363" s="583" t="s">
        <v>830</v>
      </c>
      <c r="B363" s="584" t="s">
        <v>1149</v>
      </c>
      <c r="C363" s="584" t="s">
        <v>1824</v>
      </c>
      <c r="D363" s="413" t="s">
        <v>1051</v>
      </c>
      <c r="E363" s="412" t="s">
        <v>473</v>
      </c>
      <c r="F363" s="413" t="s">
        <v>1134</v>
      </c>
      <c r="G363" s="412" t="s">
        <v>1137</v>
      </c>
      <c r="H363" s="412" t="s">
        <v>1275</v>
      </c>
      <c r="I363" s="477">
        <v>0</v>
      </c>
      <c r="J363" s="477">
        <v>0</v>
      </c>
      <c r="K363" s="477"/>
      <c r="L363" s="477"/>
      <c r="M363" s="477">
        <f t="shared" si="602"/>
        <v>0</v>
      </c>
      <c r="N363" s="477">
        <f t="shared" si="603"/>
        <v>0</v>
      </c>
      <c r="O363" s="477"/>
      <c r="P363" s="477"/>
      <c r="Q363" s="477">
        <f t="shared" si="604"/>
        <v>0</v>
      </c>
      <c r="R363" s="477">
        <f t="shared" si="605"/>
        <v>0</v>
      </c>
      <c r="S363" s="477">
        <f t="shared" si="606"/>
        <v>0</v>
      </c>
      <c r="V363" s="476">
        <f t="shared" si="610"/>
        <v>0</v>
      </c>
      <c r="W363" s="476">
        <f t="shared" si="611"/>
        <v>0</v>
      </c>
      <c r="X363" s="476">
        <f t="shared" si="612"/>
        <v>0</v>
      </c>
      <c r="Y363" s="476">
        <f t="shared" si="613"/>
        <v>0</v>
      </c>
      <c r="Z363" s="476">
        <f t="shared" si="614"/>
        <v>0</v>
      </c>
      <c r="AA363" s="476">
        <f t="shared" si="615"/>
        <v>0</v>
      </c>
      <c r="AB363" s="476">
        <f t="shared" si="616"/>
        <v>0</v>
      </c>
      <c r="AC363" s="476">
        <f t="shared" si="617"/>
        <v>0</v>
      </c>
      <c r="AD363" s="476">
        <f t="shared" si="618"/>
        <v>0</v>
      </c>
      <c r="AE363" s="476">
        <f t="shared" si="619"/>
        <v>0</v>
      </c>
      <c r="AF363" s="476">
        <f t="shared" si="620"/>
        <v>0</v>
      </c>
      <c r="AG363" s="476">
        <f t="shared" si="621"/>
        <v>0</v>
      </c>
      <c r="AH363" s="476">
        <f t="shared" si="622"/>
        <v>0</v>
      </c>
      <c r="AI363" s="476">
        <f t="shared" si="623"/>
        <v>0</v>
      </c>
      <c r="AJ363" s="476">
        <f t="shared" si="624"/>
        <v>0</v>
      </c>
      <c r="AK363" s="476">
        <f t="shared" si="625"/>
        <v>0</v>
      </c>
      <c r="AL363" s="476">
        <f t="shared" si="626"/>
        <v>0</v>
      </c>
      <c r="AM363" s="476">
        <f t="shared" si="627"/>
        <v>0</v>
      </c>
      <c r="AN363" s="476">
        <f t="shared" si="628"/>
        <v>0</v>
      </c>
      <c r="AO363" s="476">
        <f t="shared" si="629"/>
        <v>0</v>
      </c>
      <c r="AP363" s="476">
        <f t="shared" si="630"/>
        <v>0</v>
      </c>
      <c r="AQ363" s="476">
        <f t="shared" si="631"/>
        <v>0</v>
      </c>
      <c r="AR363" s="476">
        <f t="shared" si="632"/>
        <v>0</v>
      </c>
      <c r="AS363" s="476">
        <f t="shared" si="633"/>
        <v>0</v>
      </c>
      <c r="AT363" s="476">
        <f t="shared" si="634"/>
        <v>0</v>
      </c>
      <c r="AU363" s="476">
        <f t="shared" si="635"/>
        <v>0</v>
      </c>
      <c r="AV363" s="476">
        <f t="shared" si="636"/>
        <v>0</v>
      </c>
      <c r="AW363" s="476">
        <f t="shared" si="637"/>
        <v>0</v>
      </c>
      <c r="AX363" s="476">
        <f t="shared" si="638"/>
        <v>0</v>
      </c>
      <c r="AY363" s="476">
        <f t="shared" si="639"/>
        <v>0</v>
      </c>
      <c r="AZ363" s="476">
        <f t="shared" si="640"/>
        <v>0</v>
      </c>
      <c r="BA363" s="476">
        <f t="shared" si="641"/>
        <v>0</v>
      </c>
      <c r="BB363" s="476">
        <f t="shared" si="642"/>
        <v>0</v>
      </c>
      <c r="BC363" s="476">
        <f t="shared" si="643"/>
        <v>0</v>
      </c>
      <c r="BD363" s="476">
        <f t="shared" si="644"/>
        <v>0</v>
      </c>
      <c r="BE363" s="476">
        <f t="shared" si="645"/>
        <v>0</v>
      </c>
      <c r="BF363" s="476">
        <f t="shared" si="646"/>
        <v>0</v>
      </c>
      <c r="BG363" s="476">
        <f t="shared" si="647"/>
        <v>0</v>
      </c>
    </row>
    <row r="364" spans="1:59" ht="16.5" customHeight="1">
      <c r="A364" s="583" t="s">
        <v>832</v>
      </c>
      <c r="B364" s="584" t="s">
        <v>1137</v>
      </c>
      <c r="C364" s="584" t="s">
        <v>1137</v>
      </c>
      <c r="D364" s="413" t="s">
        <v>1051</v>
      </c>
      <c r="E364" s="412" t="s">
        <v>473</v>
      </c>
      <c r="F364" s="413" t="s">
        <v>1134</v>
      </c>
      <c r="G364" s="412" t="s">
        <v>1137</v>
      </c>
      <c r="H364" s="412" t="s">
        <v>1022</v>
      </c>
      <c r="I364" s="477">
        <v>1724099</v>
      </c>
      <c r="J364" s="477">
        <v>0</v>
      </c>
      <c r="K364" s="477"/>
      <c r="L364" s="477"/>
      <c r="M364" s="477">
        <f t="shared" si="602"/>
        <v>1724099</v>
      </c>
      <c r="N364" s="477">
        <f t="shared" si="603"/>
        <v>0</v>
      </c>
      <c r="O364" s="477"/>
      <c r="P364" s="477"/>
      <c r="Q364" s="477">
        <f t="shared" si="604"/>
        <v>1724099</v>
      </c>
      <c r="R364" s="477">
        <f t="shared" si="605"/>
        <v>0</v>
      </c>
      <c r="S364" s="477">
        <f t="shared" si="606"/>
        <v>1724099</v>
      </c>
      <c r="V364" s="476">
        <f t="shared" si="610"/>
        <v>0</v>
      </c>
      <c r="W364" s="476">
        <f t="shared" si="611"/>
        <v>0</v>
      </c>
      <c r="X364" s="476">
        <f t="shared" si="612"/>
        <v>0</v>
      </c>
      <c r="Y364" s="476">
        <f t="shared" si="613"/>
        <v>0</v>
      </c>
      <c r="Z364" s="476">
        <f t="shared" si="614"/>
        <v>0</v>
      </c>
      <c r="AA364" s="476">
        <f t="shared" si="615"/>
        <v>0</v>
      </c>
      <c r="AB364" s="476">
        <f t="shared" si="616"/>
        <v>0</v>
      </c>
      <c r="AC364" s="476">
        <f t="shared" si="617"/>
        <v>0</v>
      </c>
      <c r="AD364" s="476">
        <f t="shared" si="618"/>
        <v>0</v>
      </c>
      <c r="AE364" s="476">
        <f t="shared" si="619"/>
        <v>0</v>
      </c>
      <c r="AF364" s="476">
        <f t="shared" si="620"/>
        <v>0</v>
      </c>
      <c r="AG364" s="476">
        <f t="shared" si="621"/>
        <v>0</v>
      </c>
      <c r="AH364" s="476">
        <f t="shared" si="622"/>
        <v>0</v>
      </c>
      <c r="AI364" s="476">
        <f t="shared" si="623"/>
        <v>0</v>
      </c>
      <c r="AJ364" s="476">
        <f t="shared" si="624"/>
        <v>0</v>
      </c>
      <c r="AK364" s="476">
        <f t="shared" si="625"/>
        <v>0</v>
      </c>
      <c r="AL364" s="476">
        <f t="shared" si="626"/>
        <v>0</v>
      </c>
      <c r="AM364" s="476">
        <f t="shared" si="627"/>
        <v>0</v>
      </c>
      <c r="AN364" s="476">
        <f t="shared" si="628"/>
        <v>0</v>
      </c>
      <c r="AO364" s="476">
        <f t="shared" si="629"/>
        <v>0</v>
      </c>
      <c r="AP364" s="476">
        <f t="shared" si="630"/>
        <v>0</v>
      </c>
      <c r="AQ364" s="476">
        <f t="shared" si="631"/>
        <v>0</v>
      </c>
      <c r="AR364" s="476">
        <f t="shared" si="632"/>
        <v>0</v>
      </c>
      <c r="AS364" s="476">
        <f t="shared" si="633"/>
        <v>0</v>
      </c>
      <c r="AT364" s="476">
        <f t="shared" si="634"/>
        <v>0</v>
      </c>
      <c r="AU364" s="476">
        <f t="shared" si="635"/>
        <v>0</v>
      </c>
      <c r="AV364" s="476">
        <f t="shared" si="636"/>
        <v>1724099</v>
      </c>
      <c r="AW364" s="476">
        <f t="shared" si="637"/>
        <v>0</v>
      </c>
      <c r="AX364" s="476">
        <f t="shared" si="638"/>
        <v>0</v>
      </c>
      <c r="AY364" s="476">
        <f t="shared" si="639"/>
        <v>0</v>
      </c>
      <c r="AZ364" s="476">
        <f t="shared" si="640"/>
        <v>0</v>
      </c>
      <c r="BA364" s="476">
        <f t="shared" si="641"/>
        <v>0</v>
      </c>
      <c r="BB364" s="476">
        <f t="shared" si="642"/>
        <v>0</v>
      </c>
      <c r="BC364" s="476">
        <f t="shared" si="643"/>
        <v>0</v>
      </c>
      <c r="BD364" s="476">
        <f t="shared" si="644"/>
        <v>0</v>
      </c>
      <c r="BE364" s="476">
        <f t="shared" si="645"/>
        <v>0</v>
      </c>
      <c r="BF364" s="476">
        <f t="shared" si="646"/>
        <v>0</v>
      </c>
      <c r="BG364" s="476">
        <f t="shared" si="647"/>
        <v>0</v>
      </c>
    </row>
    <row r="365" spans="1:59" ht="16.5" customHeight="1">
      <c r="A365" s="583" t="s">
        <v>831</v>
      </c>
      <c r="B365" s="584" t="s">
        <v>1150</v>
      </c>
      <c r="C365" s="584" t="s">
        <v>1150</v>
      </c>
      <c r="D365" s="413" t="s">
        <v>1051</v>
      </c>
      <c r="E365" s="412" t="s">
        <v>473</v>
      </c>
      <c r="F365" s="413" t="s">
        <v>1134</v>
      </c>
      <c r="G365" s="412" t="s">
        <v>1137</v>
      </c>
      <c r="H365" s="412" t="s">
        <v>974</v>
      </c>
      <c r="I365" s="477">
        <v>1724099</v>
      </c>
      <c r="J365" s="477">
        <v>1724099</v>
      </c>
      <c r="K365" s="477"/>
      <c r="L365" s="477"/>
      <c r="M365" s="477">
        <f t="shared" si="602"/>
        <v>1724099</v>
      </c>
      <c r="N365" s="477">
        <f t="shared" si="603"/>
        <v>1724099</v>
      </c>
      <c r="O365" s="477"/>
      <c r="P365" s="477"/>
      <c r="Q365" s="477">
        <f t="shared" si="604"/>
        <v>1724099</v>
      </c>
      <c r="R365" s="477">
        <f t="shared" si="605"/>
        <v>1724099</v>
      </c>
      <c r="S365" s="477">
        <f t="shared" si="606"/>
        <v>0</v>
      </c>
      <c r="V365" s="476">
        <f t="shared" si="610"/>
        <v>1724099</v>
      </c>
      <c r="W365" s="476">
        <f t="shared" si="611"/>
        <v>1724099</v>
      </c>
      <c r="X365" s="476">
        <f t="shared" si="612"/>
        <v>0</v>
      </c>
      <c r="Y365" s="476">
        <f t="shared" si="613"/>
        <v>0</v>
      </c>
      <c r="Z365" s="476">
        <f t="shared" si="614"/>
        <v>0</v>
      </c>
      <c r="AA365" s="476">
        <f t="shared" si="615"/>
        <v>0</v>
      </c>
      <c r="AB365" s="476">
        <f t="shared" si="616"/>
        <v>0</v>
      </c>
      <c r="AC365" s="476">
        <f t="shared" si="617"/>
        <v>0</v>
      </c>
      <c r="AD365" s="476">
        <f t="shared" si="618"/>
        <v>0</v>
      </c>
      <c r="AE365" s="476">
        <f t="shared" si="619"/>
        <v>0</v>
      </c>
      <c r="AF365" s="476">
        <f t="shared" si="620"/>
        <v>0</v>
      </c>
      <c r="AG365" s="476">
        <f t="shared" si="621"/>
        <v>0</v>
      </c>
      <c r="AH365" s="476">
        <f t="shared" si="622"/>
        <v>0</v>
      </c>
      <c r="AI365" s="476">
        <f t="shared" si="623"/>
        <v>0</v>
      </c>
      <c r="AJ365" s="476">
        <f t="shared" si="624"/>
        <v>0</v>
      </c>
      <c r="AK365" s="476">
        <f t="shared" si="625"/>
        <v>0</v>
      </c>
      <c r="AL365" s="476">
        <f t="shared" si="626"/>
        <v>0</v>
      </c>
      <c r="AM365" s="476">
        <f t="shared" si="627"/>
        <v>0</v>
      </c>
      <c r="AN365" s="476">
        <f t="shared" si="628"/>
        <v>0</v>
      </c>
      <c r="AO365" s="476">
        <f t="shared" si="629"/>
        <v>0</v>
      </c>
      <c r="AP365" s="476">
        <f t="shared" si="630"/>
        <v>0</v>
      </c>
      <c r="AQ365" s="476">
        <f t="shared" si="631"/>
        <v>0</v>
      </c>
      <c r="AR365" s="476">
        <f t="shared" si="632"/>
        <v>0</v>
      </c>
      <c r="AS365" s="476">
        <f t="shared" si="633"/>
        <v>0</v>
      </c>
      <c r="AT365" s="476">
        <f t="shared" si="634"/>
        <v>0</v>
      </c>
      <c r="AU365" s="476">
        <f t="shared" si="635"/>
        <v>0</v>
      </c>
      <c r="AV365" s="476">
        <f t="shared" si="636"/>
        <v>0</v>
      </c>
      <c r="AW365" s="476">
        <f t="shared" si="637"/>
        <v>0</v>
      </c>
      <c r="AX365" s="476">
        <f t="shared" si="638"/>
        <v>0</v>
      </c>
      <c r="AY365" s="476">
        <f t="shared" si="639"/>
        <v>0</v>
      </c>
      <c r="AZ365" s="476">
        <f t="shared" si="640"/>
        <v>0</v>
      </c>
      <c r="BA365" s="476">
        <f t="shared" si="641"/>
        <v>0</v>
      </c>
      <c r="BB365" s="476">
        <f t="shared" si="642"/>
        <v>0</v>
      </c>
      <c r="BC365" s="476">
        <f t="shared" si="643"/>
        <v>0</v>
      </c>
      <c r="BD365" s="476">
        <f t="shared" si="644"/>
        <v>0</v>
      </c>
      <c r="BE365" s="476">
        <f t="shared" si="645"/>
        <v>0</v>
      </c>
      <c r="BF365" s="476">
        <f t="shared" si="646"/>
        <v>0</v>
      </c>
      <c r="BG365" s="476">
        <f t="shared" si="647"/>
        <v>0</v>
      </c>
    </row>
    <row r="366" spans="1:59" ht="16.5" customHeight="1">
      <c r="A366" s="583" t="s">
        <v>815</v>
      </c>
      <c r="B366" s="584" t="s">
        <v>1146</v>
      </c>
      <c r="C366" s="584" t="s">
        <v>1146</v>
      </c>
      <c r="D366" s="413" t="s">
        <v>1051</v>
      </c>
      <c r="E366" s="412" t="s">
        <v>473</v>
      </c>
      <c r="F366" s="413" t="s">
        <v>1134</v>
      </c>
      <c r="G366" s="412" t="s">
        <v>1137</v>
      </c>
      <c r="H366" s="412" t="s">
        <v>1022</v>
      </c>
      <c r="I366" s="477">
        <v>70</v>
      </c>
      <c r="J366" s="477">
        <v>70</v>
      </c>
      <c r="K366" s="477"/>
      <c r="L366" s="477"/>
      <c r="M366" s="477">
        <f t="shared" si="602"/>
        <v>70</v>
      </c>
      <c r="N366" s="477">
        <f t="shared" si="603"/>
        <v>70</v>
      </c>
      <c r="O366" s="477"/>
      <c r="P366" s="477"/>
      <c r="Q366" s="477">
        <f t="shared" si="604"/>
        <v>70</v>
      </c>
      <c r="R366" s="477">
        <f t="shared" si="605"/>
        <v>70</v>
      </c>
      <c r="S366" s="477">
        <f t="shared" si="606"/>
        <v>0</v>
      </c>
      <c r="V366" s="476">
        <f t="shared" si="610"/>
        <v>0</v>
      </c>
      <c r="W366" s="476">
        <f t="shared" si="611"/>
        <v>0</v>
      </c>
      <c r="X366" s="476">
        <f t="shared" si="612"/>
        <v>0</v>
      </c>
      <c r="Y366" s="476">
        <f t="shared" si="613"/>
        <v>0</v>
      </c>
      <c r="Z366" s="476">
        <f t="shared" si="614"/>
        <v>0</v>
      </c>
      <c r="AA366" s="476">
        <f t="shared" si="615"/>
        <v>0</v>
      </c>
      <c r="AB366" s="476">
        <f t="shared" si="616"/>
        <v>0</v>
      </c>
      <c r="AC366" s="476">
        <f t="shared" si="617"/>
        <v>0</v>
      </c>
      <c r="AD366" s="476">
        <f t="shared" si="618"/>
        <v>0</v>
      </c>
      <c r="AE366" s="476">
        <f t="shared" si="619"/>
        <v>0</v>
      </c>
      <c r="AF366" s="476">
        <f t="shared" si="620"/>
        <v>0</v>
      </c>
      <c r="AG366" s="476">
        <f t="shared" si="621"/>
        <v>0</v>
      </c>
      <c r="AH366" s="476">
        <f t="shared" si="622"/>
        <v>0</v>
      </c>
      <c r="AI366" s="476">
        <f t="shared" si="623"/>
        <v>0</v>
      </c>
      <c r="AJ366" s="476">
        <f t="shared" si="624"/>
        <v>0</v>
      </c>
      <c r="AK366" s="476">
        <f t="shared" si="625"/>
        <v>0</v>
      </c>
      <c r="AL366" s="476">
        <f t="shared" si="626"/>
        <v>0</v>
      </c>
      <c r="AM366" s="476">
        <f t="shared" si="627"/>
        <v>0</v>
      </c>
      <c r="AN366" s="476">
        <f t="shared" si="628"/>
        <v>0</v>
      </c>
      <c r="AO366" s="476">
        <f t="shared" si="629"/>
        <v>0</v>
      </c>
      <c r="AP366" s="476">
        <f t="shared" si="630"/>
        <v>0</v>
      </c>
      <c r="AQ366" s="476">
        <f t="shared" si="631"/>
        <v>0</v>
      </c>
      <c r="AR366" s="476">
        <f t="shared" si="632"/>
        <v>0</v>
      </c>
      <c r="AS366" s="476">
        <f t="shared" si="633"/>
        <v>0</v>
      </c>
      <c r="AT366" s="476">
        <f t="shared" si="634"/>
        <v>0</v>
      </c>
      <c r="AU366" s="476">
        <f t="shared" si="635"/>
        <v>0</v>
      </c>
      <c r="AV366" s="476">
        <f t="shared" si="636"/>
        <v>70</v>
      </c>
      <c r="AW366" s="476">
        <f t="shared" si="637"/>
        <v>70</v>
      </c>
      <c r="AX366" s="476">
        <f t="shared" si="638"/>
        <v>0</v>
      </c>
      <c r="AY366" s="476">
        <f t="shared" si="639"/>
        <v>0</v>
      </c>
      <c r="AZ366" s="476">
        <f t="shared" si="640"/>
        <v>0</v>
      </c>
      <c r="BA366" s="476">
        <f t="shared" si="641"/>
        <v>0</v>
      </c>
      <c r="BB366" s="476">
        <f t="shared" si="642"/>
        <v>0</v>
      </c>
      <c r="BC366" s="476">
        <f t="shared" si="643"/>
        <v>0</v>
      </c>
      <c r="BD366" s="476">
        <f t="shared" si="644"/>
        <v>0</v>
      </c>
      <c r="BE366" s="476">
        <f t="shared" si="645"/>
        <v>0</v>
      </c>
      <c r="BF366" s="476">
        <f t="shared" si="646"/>
        <v>0</v>
      </c>
      <c r="BG366" s="476">
        <f t="shared" si="647"/>
        <v>0</v>
      </c>
    </row>
    <row r="367" spans="1:59" ht="16.5" customHeight="1">
      <c r="A367" s="583" t="s">
        <v>809</v>
      </c>
      <c r="B367" s="584" t="s">
        <v>1139</v>
      </c>
      <c r="C367" s="584" t="s">
        <v>1140</v>
      </c>
      <c r="D367" s="413" t="s">
        <v>1051</v>
      </c>
      <c r="E367" s="412" t="s">
        <v>473</v>
      </c>
      <c r="F367" s="413" t="s">
        <v>1134</v>
      </c>
      <c r="G367" s="412" t="s">
        <v>1137</v>
      </c>
      <c r="H367" s="412" t="s">
        <v>974</v>
      </c>
      <c r="I367" s="477">
        <v>1740</v>
      </c>
      <c r="J367" s="477"/>
      <c r="K367" s="477"/>
      <c r="L367" s="477"/>
      <c r="M367" s="477">
        <f t="shared" si="602"/>
        <v>1740</v>
      </c>
      <c r="N367" s="477">
        <f t="shared" si="603"/>
        <v>0</v>
      </c>
      <c r="O367" s="477"/>
      <c r="P367" s="477"/>
      <c r="Q367" s="477">
        <f t="shared" si="604"/>
        <v>1740</v>
      </c>
      <c r="R367" s="477">
        <f t="shared" si="605"/>
        <v>0</v>
      </c>
      <c r="S367" s="477">
        <f t="shared" si="606"/>
        <v>1740</v>
      </c>
      <c r="V367" s="476">
        <f t="shared" si="610"/>
        <v>1740</v>
      </c>
      <c r="W367" s="476">
        <f t="shared" si="611"/>
        <v>0</v>
      </c>
      <c r="X367" s="476">
        <f t="shared" si="612"/>
        <v>0</v>
      </c>
      <c r="Y367" s="476">
        <f t="shared" si="613"/>
        <v>0</v>
      </c>
      <c r="Z367" s="476">
        <f t="shared" si="614"/>
        <v>0</v>
      </c>
      <c r="AA367" s="476">
        <f t="shared" si="615"/>
        <v>0</v>
      </c>
      <c r="AB367" s="476">
        <f t="shared" si="616"/>
        <v>0</v>
      </c>
      <c r="AC367" s="476">
        <f t="shared" si="617"/>
        <v>0</v>
      </c>
      <c r="AD367" s="476">
        <f t="shared" si="618"/>
        <v>0</v>
      </c>
      <c r="AE367" s="476">
        <f t="shared" si="619"/>
        <v>0</v>
      </c>
      <c r="AF367" s="476">
        <f t="shared" si="620"/>
        <v>0</v>
      </c>
      <c r="AG367" s="476">
        <f t="shared" si="621"/>
        <v>0</v>
      </c>
      <c r="AH367" s="476">
        <f t="shared" si="622"/>
        <v>0</v>
      </c>
      <c r="AI367" s="476">
        <f t="shared" si="623"/>
        <v>0</v>
      </c>
      <c r="AJ367" s="476">
        <f t="shared" si="624"/>
        <v>0</v>
      </c>
      <c r="AK367" s="476">
        <f t="shared" si="625"/>
        <v>0</v>
      </c>
      <c r="AL367" s="476">
        <f t="shared" si="626"/>
        <v>0</v>
      </c>
      <c r="AM367" s="476">
        <f t="shared" si="627"/>
        <v>0</v>
      </c>
      <c r="AN367" s="476">
        <f t="shared" si="628"/>
        <v>0</v>
      </c>
      <c r="AO367" s="476">
        <f t="shared" si="629"/>
        <v>0</v>
      </c>
      <c r="AP367" s="476">
        <f t="shared" si="630"/>
        <v>0</v>
      </c>
      <c r="AQ367" s="476">
        <f t="shared" si="631"/>
        <v>0</v>
      </c>
      <c r="AR367" s="476">
        <f t="shared" si="632"/>
        <v>0</v>
      </c>
      <c r="AS367" s="476">
        <f t="shared" si="633"/>
        <v>0</v>
      </c>
      <c r="AT367" s="476">
        <f t="shared" si="634"/>
        <v>0</v>
      </c>
      <c r="AU367" s="476">
        <f t="shared" si="635"/>
        <v>0</v>
      </c>
      <c r="AV367" s="476">
        <f t="shared" si="636"/>
        <v>0</v>
      </c>
      <c r="AW367" s="476">
        <f t="shared" si="637"/>
        <v>0</v>
      </c>
      <c r="AX367" s="476">
        <f t="shared" si="638"/>
        <v>0</v>
      </c>
      <c r="AY367" s="476">
        <f t="shared" si="639"/>
        <v>0</v>
      </c>
      <c r="AZ367" s="476">
        <f t="shared" si="640"/>
        <v>0</v>
      </c>
      <c r="BA367" s="476">
        <f t="shared" si="641"/>
        <v>0</v>
      </c>
      <c r="BB367" s="476">
        <f t="shared" si="642"/>
        <v>0</v>
      </c>
      <c r="BC367" s="476">
        <f t="shared" si="643"/>
        <v>0</v>
      </c>
      <c r="BD367" s="476">
        <f t="shared" si="644"/>
        <v>0</v>
      </c>
      <c r="BE367" s="476">
        <f t="shared" si="645"/>
        <v>0</v>
      </c>
      <c r="BF367" s="476">
        <f t="shared" si="646"/>
        <v>0</v>
      </c>
      <c r="BG367" s="476">
        <f t="shared" si="647"/>
        <v>0</v>
      </c>
    </row>
    <row r="368" spans="1:59" ht="16.5" customHeight="1">
      <c r="A368" s="585"/>
      <c r="B368" s="584" t="s">
        <v>1283</v>
      </c>
      <c r="C368" s="586" t="s">
        <v>1283</v>
      </c>
      <c r="D368" s="413" t="s">
        <v>1051</v>
      </c>
      <c r="E368" s="412" t="s">
        <v>473</v>
      </c>
      <c r="F368" s="413" t="s">
        <v>1134</v>
      </c>
      <c r="G368" s="412" t="s">
        <v>1137</v>
      </c>
      <c r="H368" s="412" t="s">
        <v>1283</v>
      </c>
      <c r="I368" s="477"/>
      <c r="J368" s="477">
        <v>1997055.26</v>
      </c>
      <c r="K368" s="477"/>
      <c r="L368" s="477"/>
      <c r="M368" s="477">
        <f t="shared" si="602"/>
        <v>0</v>
      </c>
      <c r="N368" s="477">
        <f t="shared" si="603"/>
        <v>1997055.26</v>
      </c>
      <c r="O368" s="477"/>
      <c r="P368" s="477"/>
      <c r="Q368" s="477">
        <f t="shared" si="604"/>
        <v>0</v>
      </c>
      <c r="R368" s="477">
        <f t="shared" si="605"/>
        <v>1997055.26</v>
      </c>
      <c r="S368" s="477">
        <f t="shared" si="606"/>
        <v>-1997055.26</v>
      </c>
      <c r="V368" s="476">
        <f t="shared" si="610"/>
        <v>0</v>
      </c>
      <c r="W368" s="476">
        <f t="shared" si="611"/>
        <v>0</v>
      </c>
      <c r="X368" s="476">
        <f t="shared" si="612"/>
        <v>0</v>
      </c>
      <c r="Y368" s="476">
        <f t="shared" si="613"/>
        <v>0</v>
      </c>
      <c r="Z368" s="476">
        <f t="shared" si="614"/>
        <v>0</v>
      </c>
      <c r="AA368" s="476">
        <f t="shared" si="615"/>
        <v>0</v>
      </c>
      <c r="AB368" s="476">
        <f t="shared" si="616"/>
        <v>0</v>
      </c>
      <c r="AC368" s="476">
        <f t="shared" si="617"/>
        <v>0</v>
      </c>
      <c r="AD368" s="476">
        <f t="shared" si="618"/>
        <v>0</v>
      </c>
      <c r="AE368" s="476">
        <f t="shared" si="619"/>
        <v>0</v>
      </c>
      <c r="AF368" s="476">
        <f t="shared" si="620"/>
        <v>0</v>
      </c>
      <c r="AG368" s="476">
        <f t="shared" si="621"/>
        <v>0</v>
      </c>
      <c r="AH368" s="476">
        <f t="shared" si="622"/>
        <v>0</v>
      </c>
      <c r="AI368" s="476">
        <f t="shared" si="623"/>
        <v>0</v>
      </c>
      <c r="AJ368" s="476">
        <f t="shared" si="624"/>
        <v>0</v>
      </c>
      <c r="AK368" s="476">
        <f t="shared" si="625"/>
        <v>0</v>
      </c>
      <c r="AL368" s="476">
        <f t="shared" si="626"/>
        <v>0</v>
      </c>
      <c r="AM368" s="476">
        <f t="shared" si="627"/>
        <v>0</v>
      </c>
      <c r="AN368" s="476">
        <f t="shared" si="628"/>
        <v>0</v>
      </c>
      <c r="AO368" s="476">
        <f t="shared" si="629"/>
        <v>0</v>
      </c>
      <c r="AP368" s="476">
        <f t="shared" si="630"/>
        <v>0</v>
      </c>
      <c r="AQ368" s="476">
        <f t="shared" si="631"/>
        <v>0</v>
      </c>
      <c r="AR368" s="476">
        <f t="shared" si="632"/>
        <v>0</v>
      </c>
      <c r="AS368" s="476">
        <f t="shared" si="633"/>
        <v>0</v>
      </c>
      <c r="AT368" s="476">
        <f t="shared" si="634"/>
        <v>0</v>
      </c>
      <c r="AU368" s="476">
        <f t="shared" si="635"/>
        <v>0</v>
      </c>
      <c r="AV368" s="476">
        <f t="shared" si="636"/>
        <v>0</v>
      </c>
      <c r="AW368" s="476">
        <f t="shared" si="637"/>
        <v>0</v>
      </c>
      <c r="AX368" s="476">
        <f t="shared" si="638"/>
        <v>0</v>
      </c>
      <c r="AY368" s="476">
        <f t="shared" si="639"/>
        <v>0</v>
      </c>
      <c r="AZ368" s="476">
        <f t="shared" si="640"/>
        <v>0</v>
      </c>
      <c r="BA368" s="476">
        <f t="shared" si="641"/>
        <v>0</v>
      </c>
      <c r="BB368" s="476">
        <f t="shared" si="642"/>
        <v>0</v>
      </c>
      <c r="BC368" s="476">
        <f t="shared" si="643"/>
        <v>0</v>
      </c>
      <c r="BD368" s="476">
        <f t="shared" si="644"/>
        <v>0</v>
      </c>
      <c r="BE368" s="476">
        <f t="shared" si="645"/>
        <v>0</v>
      </c>
      <c r="BF368" s="476">
        <f t="shared" si="646"/>
        <v>0</v>
      </c>
      <c r="BG368" s="476">
        <f t="shared" si="647"/>
        <v>0</v>
      </c>
    </row>
    <row r="369" spans="1:59" ht="16.5" customHeight="1">
      <c r="A369" s="585"/>
      <c r="B369" s="584" t="s">
        <v>1309</v>
      </c>
      <c r="C369" s="586" t="s">
        <v>1309</v>
      </c>
      <c r="D369" s="413" t="s">
        <v>1051</v>
      </c>
      <c r="E369" s="412" t="s">
        <v>473</v>
      </c>
      <c r="F369" s="413" t="s">
        <v>1134</v>
      </c>
      <c r="G369" s="412" t="s">
        <v>1309</v>
      </c>
      <c r="H369" s="412" t="s">
        <v>1309</v>
      </c>
      <c r="I369" s="477"/>
      <c r="J369" s="477">
        <v>0</v>
      </c>
      <c r="K369" s="477"/>
      <c r="L369" s="477"/>
      <c r="M369" s="477">
        <f t="shared" si="602"/>
        <v>0</v>
      </c>
      <c r="N369" s="477">
        <f t="shared" si="603"/>
        <v>0</v>
      </c>
      <c r="O369" s="477"/>
      <c r="P369" s="477"/>
      <c r="Q369" s="477">
        <f t="shared" si="604"/>
        <v>0</v>
      </c>
      <c r="R369" s="477">
        <f t="shared" si="605"/>
        <v>0</v>
      </c>
      <c r="S369" s="477">
        <f t="shared" si="606"/>
        <v>0</v>
      </c>
      <c r="V369" s="476">
        <f t="shared" si="610"/>
        <v>0</v>
      </c>
      <c r="W369" s="476">
        <f t="shared" si="611"/>
        <v>0</v>
      </c>
      <c r="X369" s="476">
        <f t="shared" si="612"/>
        <v>0</v>
      </c>
      <c r="Y369" s="476">
        <f t="shared" si="613"/>
        <v>0</v>
      </c>
      <c r="Z369" s="476">
        <f t="shared" si="614"/>
        <v>0</v>
      </c>
      <c r="AA369" s="476">
        <f t="shared" si="615"/>
        <v>0</v>
      </c>
      <c r="AB369" s="476">
        <f t="shared" si="616"/>
        <v>0</v>
      </c>
      <c r="AC369" s="476">
        <f t="shared" si="617"/>
        <v>0</v>
      </c>
      <c r="AD369" s="476">
        <f t="shared" si="618"/>
        <v>0</v>
      </c>
      <c r="AE369" s="476">
        <f t="shared" si="619"/>
        <v>0</v>
      </c>
      <c r="AF369" s="476">
        <f t="shared" si="620"/>
        <v>0</v>
      </c>
      <c r="AG369" s="476">
        <f t="shared" si="621"/>
        <v>0</v>
      </c>
      <c r="AH369" s="476">
        <f t="shared" si="622"/>
        <v>0</v>
      </c>
      <c r="AI369" s="476">
        <f t="shared" si="623"/>
        <v>0</v>
      </c>
      <c r="AJ369" s="476">
        <f t="shared" si="624"/>
        <v>0</v>
      </c>
      <c r="AK369" s="476">
        <f t="shared" si="625"/>
        <v>0</v>
      </c>
      <c r="AL369" s="476">
        <f t="shared" si="626"/>
        <v>0</v>
      </c>
      <c r="AM369" s="476">
        <f t="shared" si="627"/>
        <v>0</v>
      </c>
      <c r="AN369" s="476">
        <f t="shared" si="628"/>
        <v>0</v>
      </c>
      <c r="AO369" s="476">
        <f t="shared" si="629"/>
        <v>0</v>
      </c>
      <c r="AP369" s="476">
        <f t="shared" si="630"/>
        <v>0</v>
      </c>
      <c r="AQ369" s="476">
        <f t="shared" si="631"/>
        <v>0</v>
      </c>
      <c r="AR369" s="476">
        <f t="shared" si="632"/>
        <v>0</v>
      </c>
      <c r="AS369" s="476">
        <f t="shared" si="633"/>
        <v>0</v>
      </c>
      <c r="AT369" s="476">
        <f t="shared" si="634"/>
        <v>0</v>
      </c>
      <c r="AU369" s="476">
        <f t="shared" si="635"/>
        <v>0</v>
      </c>
      <c r="AV369" s="476">
        <f t="shared" si="636"/>
        <v>0</v>
      </c>
      <c r="AW369" s="476">
        <f t="shared" si="637"/>
        <v>0</v>
      </c>
      <c r="AX369" s="476">
        <f t="shared" si="638"/>
        <v>0</v>
      </c>
      <c r="AY369" s="476">
        <f t="shared" si="639"/>
        <v>0</v>
      </c>
      <c r="AZ369" s="476">
        <f t="shared" si="640"/>
        <v>0</v>
      </c>
      <c r="BA369" s="476">
        <f t="shared" si="641"/>
        <v>0</v>
      </c>
      <c r="BB369" s="476">
        <f t="shared" si="642"/>
        <v>0</v>
      </c>
      <c r="BC369" s="476">
        <f t="shared" si="643"/>
        <v>0</v>
      </c>
      <c r="BD369" s="476">
        <f t="shared" si="644"/>
        <v>0</v>
      </c>
      <c r="BE369" s="476">
        <f t="shared" si="645"/>
        <v>0</v>
      </c>
      <c r="BF369" s="476">
        <f t="shared" si="646"/>
        <v>0</v>
      </c>
      <c r="BG369" s="476">
        <f t="shared" si="647"/>
        <v>0</v>
      </c>
    </row>
    <row r="370" spans="1:59" ht="16.5" customHeight="1">
      <c r="A370" s="583" t="s">
        <v>835</v>
      </c>
      <c r="B370" s="584" t="s">
        <v>1153</v>
      </c>
      <c r="C370" s="584" t="s">
        <v>1825</v>
      </c>
      <c r="D370" s="413" t="s">
        <v>1051</v>
      </c>
      <c r="E370" s="412" t="s">
        <v>1153</v>
      </c>
      <c r="F370" s="413" t="s">
        <v>1153</v>
      </c>
      <c r="G370" s="412" t="s">
        <v>1153</v>
      </c>
      <c r="H370" s="412" t="s">
        <v>992</v>
      </c>
      <c r="I370" s="477">
        <v>63863.550000000047</v>
      </c>
      <c r="J370" s="477">
        <v>3539881.45</v>
      </c>
      <c r="K370" s="477"/>
      <c r="L370" s="477"/>
      <c r="M370" s="477">
        <f t="shared" si="602"/>
        <v>63863.550000000047</v>
      </c>
      <c r="N370" s="477">
        <f t="shared" si="603"/>
        <v>3539881.45</v>
      </c>
      <c r="O370" s="477"/>
      <c r="P370" s="477"/>
      <c r="Q370" s="477">
        <f t="shared" si="604"/>
        <v>63863.550000000047</v>
      </c>
      <c r="R370" s="477">
        <f t="shared" si="605"/>
        <v>3539881.45</v>
      </c>
      <c r="S370" s="477">
        <f t="shared" si="606"/>
        <v>-3476017.9000000004</v>
      </c>
      <c r="V370" s="476">
        <f t="shared" si="610"/>
        <v>0</v>
      </c>
      <c r="W370" s="476">
        <f t="shared" si="611"/>
        <v>0</v>
      </c>
      <c r="X370" s="476">
        <f t="shared" si="612"/>
        <v>0</v>
      </c>
      <c r="Y370" s="476">
        <f t="shared" si="613"/>
        <v>0</v>
      </c>
      <c r="Z370" s="476">
        <f t="shared" si="614"/>
        <v>0</v>
      </c>
      <c r="AA370" s="476">
        <f t="shared" si="615"/>
        <v>0</v>
      </c>
      <c r="AB370" s="476">
        <f t="shared" si="616"/>
        <v>0</v>
      </c>
      <c r="AC370" s="476">
        <f t="shared" si="617"/>
        <v>0</v>
      </c>
      <c r="AD370" s="476">
        <f t="shared" si="618"/>
        <v>0</v>
      </c>
      <c r="AE370" s="476">
        <f t="shared" si="619"/>
        <v>0</v>
      </c>
      <c r="AF370" s="476">
        <f t="shared" si="620"/>
        <v>0</v>
      </c>
      <c r="AG370" s="476">
        <f t="shared" si="621"/>
        <v>0</v>
      </c>
      <c r="AH370" s="476">
        <f t="shared" si="622"/>
        <v>0</v>
      </c>
      <c r="AI370" s="476">
        <f t="shared" si="623"/>
        <v>0</v>
      </c>
      <c r="AJ370" s="476">
        <f t="shared" si="624"/>
        <v>0</v>
      </c>
      <c r="AK370" s="476">
        <f t="shared" si="625"/>
        <v>0</v>
      </c>
      <c r="AL370" s="476">
        <f t="shared" si="626"/>
        <v>0</v>
      </c>
      <c r="AM370" s="476">
        <f t="shared" si="627"/>
        <v>0</v>
      </c>
      <c r="AN370" s="476">
        <f t="shared" si="628"/>
        <v>63863.550000000047</v>
      </c>
      <c r="AO370" s="476">
        <f t="shared" si="629"/>
        <v>3539881.45</v>
      </c>
      <c r="AP370" s="476">
        <f t="shared" si="630"/>
        <v>0</v>
      </c>
      <c r="AQ370" s="476">
        <f t="shared" si="631"/>
        <v>0</v>
      </c>
      <c r="AR370" s="476">
        <f t="shared" si="632"/>
        <v>0</v>
      </c>
      <c r="AS370" s="476">
        <f t="shared" si="633"/>
        <v>0</v>
      </c>
      <c r="AT370" s="476">
        <f t="shared" si="634"/>
        <v>0</v>
      </c>
      <c r="AU370" s="476">
        <f t="shared" si="635"/>
        <v>0</v>
      </c>
      <c r="AV370" s="476">
        <f t="shared" si="636"/>
        <v>0</v>
      </c>
      <c r="AW370" s="476">
        <f t="shared" si="637"/>
        <v>0</v>
      </c>
      <c r="AX370" s="476">
        <f t="shared" si="638"/>
        <v>0</v>
      </c>
      <c r="AY370" s="476">
        <f t="shared" si="639"/>
        <v>0</v>
      </c>
      <c r="AZ370" s="476">
        <f t="shared" si="640"/>
        <v>0</v>
      </c>
      <c r="BA370" s="476">
        <f t="shared" si="641"/>
        <v>0</v>
      </c>
      <c r="BB370" s="476">
        <f t="shared" si="642"/>
        <v>0</v>
      </c>
      <c r="BC370" s="476">
        <f t="shared" si="643"/>
        <v>0</v>
      </c>
      <c r="BD370" s="476">
        <f t="shared" si="644"/>
        <v>0</v>
      </c>
      <c r="BE370" s="476">
        <f t="shared" si="645"/>
        <v>0</v>
      </c>
      <c r="BF370" s="476">
        <f t="shared" si="646"/>
        <v>0</v>
      </c>
      <c r="BG370" s="476">
        <f t="shared" si="647"/>
        <v>0</v>
      </c>
    </row>
    <row r="371" spans="1:59" ht="16.5" customHeight="1">
      <c r="A371" s="585" t="s">
        <v>836</v>
      </c>
      <c r="B371" s="585" t="s">
        <v>1154</v>
      </c>
      <c r="C371" s="584" t="s">
        <v>1826</v>
      </c>
      <c r="D371" s="413" t="s">
        <v>1051</v>
      </c>
      <c r="E371" s="412" t="s">
        <v>1153</v>
      </c>
      <c r="F371" s="413" t="s">
        <v>1153</v>
      </c>
      <c r="G371" s="412" t="s">
        <v>1153</v>
      </c>
      <c r="H371" s="412" t="s">
        <v>1018</v>
      </c>
      <c r="I371" s="477">
        <v>340760</v>
      </c>
      <c r="J371" s="477">
        <v>0</v>
      </c>
      <c r="K371" s="477"/>
      <c r="L371" s="477"/>
      <c r="M371" s="477">
        <f t="shared" si="602"/>
        <v>340760</v>
      </c>
      <c r="N371" s="477">
        <f t="shared" si="603"/>
        <v>0</v>
      </c>
      <c r="O371" s="477"/>
      <c r="P371" s="477"/>
      <c r="Q371" s="477">
        <f t="shared" si="604"/>
        <v>340760</v>
      </c>
      <c r="R371" s="477">
        <f t="shared" si="605"/>
        <v>0</v>
      </c>
      <c r="S371" s="477">
        <f t="shared" si="606"/>
        <v>340760</v>
      </c>
      <c r="V371" s="476">
        <f t="shared" si="610"/>
        <v>0</v>
      </c>
      <c r="W371" s="476">
        <f t="shared" si="611"/>
        <v>0</v>
      </c>
      <c r="X371" s="476">
        <f t="shared" si="612"/>
        <v>0</v>
      </c>
      <c r="Y371" s="476">
        <f t="shared" si="613"/>
        <v>0</v>
      </c>
      <c r="Z371" s="476">
        <f t="shared" si="614"/>
        <v>0</v>
      </c>
      <c r="AA371" s="476">
        <f t="shared" si="615"/>
        <v>0</v>
      </c>
      <c r="AB371" s="476">
        <f t="shared" si="616"/>
        <v>0</v>
      </c>
      <c r="AC371" s="476">
        <f t="shared" si="617"/>
        <v>0</v>
      </c>
      <c r="AD371" s="476">
        <f t="shared" si="618"/>
        <v>0</v>
      </c>
      <c r="AE371" s="476">
        <f t="shared" si="619"/>
        <v>0</v>
      </c>
      <c r="AF371" s="476">
        <f t="shared" si="620"/>
        <v>0</v>
      </c>
      <c r="AG371" s="476">
        <f t="shared" si="621"/>
        <v>0</v>
      </c>
      <c r="AH371" s="476">
        <f t="shared" si="622"/>
        <v>0</v>
      </c>
      <c r="AI371" s="476">
        <f t="shared" si="623"/>
        <v>0</v>
      </c>
      <c r="AJ371" s="476">
        <f t="shared" si="624"/>
        <v>0</v>
      </c>
      <c r="AK371" s="476">
        <f t="shared" si="625"/>
        <v>0</v>
      </c>
      <c r="AL371" s="476">
        <f t="shared" si="626"/>
        <v>0</v>
      </c>
      <c r="AM371" s="476">
        <f t="shared" si="627"/>
        <v>0</v>
      </c>
      <c r="AN371" s="476">
        <f t="shared" si="628"/>
        <v>0</v>
      </c>
      <c r="AO371" s="476">
        <f t="shared" si="629"/>
        <v>0</v>
      </c>
      <c r="AP371" s="476">
        <f t="shared" si="630"/>
        <v>0</v>
      </c>
      <c r="AQ371" s="476">
        <f t="shared" si="631"/>
        <v>0</v>
      </c>
      <c r="AR371" s="476">
        <f t="shared" si="632"/>
        <v>0</v>
      </c>
      <c r="AS371" s="476">
        <f t="shared" si="633"/>
        <v>0</v>
      </c>
      <c r="AT371" s="476">
        <f t="shared" si="634"/>
        <v>0</v>
      </c>
      <c r="AU371" s="476">
        <f t="shared" si="635"/>
        <v>0</v>
      </c>
      <c r="AV371" s="476">
        <f t="shared" si="636"/>
        <v>0</v>
      </c>
      <c r="AW371" s="476">
        <f t="shared" si="637"/>
        <v>0</v>
      </c>
      <c r="AX371" s="476">
        <f t="shared" si="638"/>
        <v>0</v>
      </c>
      <c r="AY371" s="476">
        <f t="shared" si="639"/>
        <v>0</v>
      </c>
      <c r="AZ371" s="476">
        <f t="shared" si="640"/>
        <v>0</v>
      </c>
      <c r="BA371" s="476">
        <f t="shared" si="641"/>
        <v>0</v>
      </c>
      <c r="BB371" s="476">
        <f t="shared" si="642"/>
        <v>0</v>
      </c>
      <c r="BC371" s="476">
        <f t="shared" si="643"/>
        <v>0</v>
      </c>
      <c r="BD371" s="476">
        <f t="shared" si="644"/>
        <v>0</v>
      </c>
      <c r="BE371" s="476">
        <f t="shared" si="645"/>
        <v>0</v>
      </c>
      <c r="BF371" s="476">
        <f t="shared" si="646"/>
        <v>340760</v>
      </c>
      <c r="BG371" s="476">
        <f t="shared" si="647"/>
        <v>0</v>
      </c>
    </row>
    <row r="372" spans="1:59" ht="16.5" customHeight="1">
      <c r="A372" s="585" t="s">
        <v>836</v>
      </c>
      <c r="B372" s="585" t="s">
        <v>1154</v>
      </c>
      <c r="C372" s="584" t="s">
        <v>1827</v>
      </c>
      <c r="D372" s="413" t="s">
        <v>1051</v>
      </c>
      <c r="E372" s="412" t="s">
        <v>1153</v>
      </c>
      <c r="F372" s="413" t="s">
        <v>1153</v>
      </c>
      <c r="G372" s="412" t="s">
        <v>1153</v>
      </c>
      <c r="H372" s="412" t="s">
        <v>1021</v>
      </c>
      <c r="I372" s="477">
        <v>0</v>
      </c>
      <c r="J372" s="477">
        <v>19686</v>
      </c>
      <c r="K372" s="477"/>
      <c r="L372" s="477"/>
      <c r="M372" s="477">
        <f t="shared" si="602"/>
        <v>0</v>
      </c>
      <c r="N372" s="477">
        <f t="shared" si="603"/>
        <v>19686</v>
      </c>
      <c r="O372" s="477"/>
      <c r="P372" s="477"/>
      <c r="Q372" s="477">
        <f t="shared" si="604"/>
        <v>0</v>
      </c>
      <c r="R372" s="477">
        <f t="shared" si="605"/>
        <v>19686</v>
      </c>
      <c r="S372" s="477">
        <f t="shared" si="606"/>
        <v>-19686</v>
      </c>
      <c r="V372" s="476">
        <f t="shared" si="610"/>
        <v>0</v>
      </c>
      <c r="W372" s="476">
        <f t="shared" si="611"/>
        <v>0</v>
      </c>
      <c r="X372" s="476">
        <f t="shared" si="612"/>
        <v>0</v>
      </c>
      <c r="Y372" s="476">
        <f t="shared" si="613"/>
        <v>0</v>
      </c>
      <c r="Z372" s="476">
        <f t="shared" si="614"/>
        <v>0</v>
      </c>
      <c r="AA372" s="476">
        <f t="shared" si="615"/>
        <v>0</v>
      </c>
      <c r="AB372" s="476">
        <f t="shared" si="616"/>
        <v>0</v>
      </c>
      <c r="AC372" s="476">
        <f t="shared" si="617"/>
        <v>0</v>
      </c>
      <c r="AD372" s="476">
        <f t="shared" si="618"/>
        <v>0</v>
      </c>
      <c r="AE372" s="476">
        <f t="shared" si="619"/>
        <v>0</v>
      </c>
      <c r="AF372" s="476">
        <f t="shared" si="620"/>
        <v>0</v>
      </c>
      <c r="AG372" s="476">
        <f t="shared" si="621"/>
        <v>19686</v>
      </c>
      <c r="AH372" s="476">
        <f t="shared" si="622"/>
        <v>0</v>
      </c>
      <c r="AI372" s="476">
        <f t="shared" si="623"/>
        <v>0</v>
      </c>
      <c r="AJ372" s="476">
        <f t="shared" si="624"/>
        <v>0</v>
      </c>
      <c r="AK372" s="476">
        <f t="shared" si="625"/>
        <v>0</v>
      </c>
      <c r="AL372" s="476">
        <f t="shared" si="626"/>
        <v>0</v>
      </c>
      <c r="AM372" s="476">
        <f t="shared" si="627"/>
        <v>0</v>
      </c>
      <c r="AN372" s="476">
        <f t="shared" si="628"/>
        <v>0</v>
      </c>
      <c r="AO372" s="476">
        <f t="shared" si="629"/>
        <v>0</v>
      </c>
      <c r="AP372" s="476">
        <f t="shared" si="630"/>
        <v>0</v>
      </c>
      <c r="AQ372" s="476">
        <f t="shared" si="631"/>
        <v>0</v>
      </c>
      <c r="AR372" s="476">
        <f t="shared" si="632"/>
        <v>0</v>
      </c>
      <c r="AS372" s="476">
        <f t="shared" si="633"/>
        <v>0</v>
      </c>
      <c r="AT372" s="476">
        <f t="shared" si="634"/>
        <v>0</v>
      </c>
      <c r="AU372" s="476">
        <f t="shared" si="635"/>
        <v>0</v>
      </c>
      <c r="AV372" s="476">
        <f t="shared" si="636"/>
        <v>0</v>
      </c>
      <c r="AW372" s="476">
        <f t="shared" si="637"/>
        <v>0</v>
      </c>
      <c r="AX372" s="476">
        <f t="shared" si="638"/>
        <v>0</v>
      </c>
      <c r="AY372" s="476">
        <f t="shared" si="639"/>
        <v>0</v>
      </c>
      <c r="AZ372" s="476">
        <f t="shared" si="640"/>
        <v>0</v>
      </c>
      <c r="BA372" s="476">
        <f t="shared" si="641"/>
        <v>0</v>
      </c>
      <c r="BB372" s="476">
        <f t="shared" si="642"/>
        <v>0</v>
      </c>
      <c r="BC372" s="476">
        <f t="shared" si="643"/>
        <v>0</v>
      </c>
      <c r="BD372" s="476">
        <f t="shared" si="644"/>
        <v>0</v>
      </c>
      <c r="BE372" s="476">
        <f t="shared" si="645"/>
        <v>0</v>
      </c>
      <c r="BF372" s="476">
        <f t="shared" si="646"/>
        <v>0</v>
      </c>
      <c r="BG372" s="476">
        <f t="shared" si="647"/>
        <v>0</v>
      </c>
    </row>
    <row r="373" spans="1:59" ht="16.5" customHeight="1">
      <c r="A373" s="585" t="s">
        <v>836</v>
      </c>
      <c r="B373" s="585" t="s">
        <v>1154</v>
      </c>
      <c r="C373" s="584" t="s">
        <v>1828</v>
      </c>
      <c r="D373" s="413" t="s">
        <v>1051</v>
      </c>
      <c r="E373" s="412" t="s">
        <v>1153</v>
      </c>
      <c r="F373" s="413" t="s">
        <v>1153</v>
      </c>
      <c r="G373" s="412" t="s">
        <v>1153</v>
      </c>
      <c r="H373" s="412" t="s">
        <v>1025</v>
      </c>
      <c r="I373" s="477">
        <v>0</v>
      </c>
      <c r="J373" s="477">
        <v>113902</v>
      </c>
      <c r="K373" s="477"/>
      <c r="L373" s="477"/>
      <c r="M373" s="477">
        <f t="shared" si="602"/>
        <v>0</v>
      </c>
      <c r="N373" s="477">
        <f t="shared" si="603"/>
        <v>113902</v>
      </c>
      <c r="O373" s="477"/>
      <c r="P373" s="477"/>
      <c r="Q373" s="477">
        <f t="shared" si="604"/>
        <v>0</v>
      </c>
      <c r="R373" s="477">
        <f t="shared" si="605"/>
        <v>113902</v>
      </c>
      <c r="S373" s="477">
        <f t="shared" si="606"/>
        <v>-113902</v>
      </c>
      <c r="V373" s="476">
        <f t="shared" si="610"/>
        <v>0</v>
      </c>
      <c r="W373" s="476">
        <f t="shared" si="611"/>
        <v>0</v>
      </c>
      <c r="X373" s="476">
        <f t="shared" si="612"/>
        <v>0</v>
      </c>
      <c r="Y373" s="476">
        <f t="shared" si="613"/>
        <v>0</v>
      </c>
      <c r="Z373" s="476">
        <f t="shared" si="614"/>
        <v>0</v>
      </c>
      <c r="AA373" s="476">
        <f t="shared" si="615"/>
        <v>0</v>
      </c>
      <c r="AB373" s="476">
        <f t="shared" si="616"/>
        <v>0</v>
      </c>
      <c r="AC373" s="476">
        <f t="shared" si="617"/>
        <v>0</v>
      </c>
      <c r="AD373" s="476">
        <f t="shared" si="618"/>
        <v>0</v>
      </c>
      <c r="AE373" s="476">
        <f t="shared" si="619"/>
        <v>0</v>
      </c>
      <c r="AF373" s="476">
        <f t="shared" si="620"/>
        <v>0</v>
      </c>
      <c r="AG373" s="476">
        <f t="shared" si="621"/>
        <v>0</v>
      </c>
      <c r="AH373" s="476">
        <f t="shared" si="622"/>
        <v>0</v>
      </c>
      <c r="AI373" s="476">
        <f t="shared" si="623"/>
        <v>113902</v>
      </c>
      <c r="AJ373" s="476">
        <f t="shared" si="624"/>
        <v>0</v>
      </c>
      <c r="AK373" s="476">
        <f t="shared" si="625"/>
        <v>0</v>
      </c>
      <c r="AL373" s="476">
        <f t="shared" si="626"/>
        <v>0</v>
      </c>
      <c r="AM373" s="476">
        <f t="shared" si="627"/>
        <v>0</v>
      </c>
      <c r="AN373" s="476">
        <f t="shared" si="628"/>
        <v>0</v>
      </c>
      <c r="AO373" s="476">
        <f t="shared" si="629"/>
        <v>0</v>
      </c>
      <c r="AP373" s="476">
        <f t="shared" si="630"/>
        <v>0</v>
      </c>
      <c r="AQ373" s="476">
        <f t="shared" si="631"/>
        <v>0</v>
      </c>
      <c r="AR373" s="476">
        <f t="shared" si="632"/>
        <v>0</v>
      </c>
      <c r="AS373" s="476">
        <f t="shared" si="633"/>
        <v>0</v>
      </c>
      <c r="AT373" s="476">
        <f t="shared" si="634"/>
        <v>0</v>
      </c>
      <c r="AU373" s="476">
        <f t="shared" si="635"/>
        <v>0</v>
      </c>
      <c r="AV373" s="476">
        <f t="shared" si="636"/>
        <v>0</v>
      </c>
      <c r="AW373" s="476">
        <f t="shared" si="637"/>
        <v>0</v>
      </c>
      <c r="AX373" s="476">
        <f t="shared" si="638"/>
        <v>0</v>
      </c>
      <c r="AY373" s="476">
        <f t="shared" si="639"/>
        <v>0</v>
      </c>
      <c r="AZ373" s="476">
        <f t="shared" si="640"/>
        <v>0</v>
      </c>
      <c r="BA373" s="476">
        <f t="shared" si="641"/>
        <v>0</v>
      </c>
      <c r="BB373" s="476">
        <f t="shared" si="642"/>
        <v>0</v>
      </c>
      <c r="BC373" s="476">
        <f t="shared" si="643"/>
        <v>0</v>
      </c>
      <c r="BD373" s="476">
        <f t="shared" si="644"/>
        <v>0</v>
      </c>
      <c r="BE373" s="476">
        <f t="shared" si="645"/>
        <v>0</v>
      </c>
      <c r="BF373" s="476">
        <f t="shared" si="646"/>
        <v>0</v>
      </c>
      <c r="BG373" s="476">
        <f t="shared" si="647"/>
        <v>0</v>
      </c>
    </row>
    <row r="374" spans="1:59" ht="16.5" customHeight="1">
      <c r="A374" s="585" t="s">
        <v>836</v>
      </c>
      <c r="B374" s="585" t="s">
        <v>1154</v>
      </c>
      <c r="C374" s="584" t="s">
        <v>1829</v>
      </c>
      <c r="D374" s="413" t="s">
        <v>1051</v>
      </c>
      <c r="E374" s="412" t="s">
        <v>1153</v>
      </c>
      <c r="F374" s="412" t="s">
        <v>1153</v>
      </c>
      <c r="G374" s="412" t="s">
        <v>1153</v>
      </c>
      <c r="H374" s="412" t="s">
        <v>1024</v>
      </c>
      <c r="I374" s="477">
        <v>15118.65</v>
      </c>
      <c r="J374" s="477">
        <v>18934.349999999999</v>
      </c>
      <c r="K374" s="477"/>
      <c r="L374" s="477"/>
      <c r="M374" s="477">
        <f t="shared" si="602"/>
        <v>15118.65</v>
      </c>
      <c r="N374" s="477">
        <f t="shared" si="603"/>
        <v>18934.349999999999</v>
      </c>
      <c r="O374" s="477"/>
      <c r="P374" s="477"/>
      <c r="Q374" s="477">
        <f t="shared" si="604"/>
        <v>15118.65</v>
      </c>
      <c r="R374" s="477">
        <f t="shared" si="605"/>
        <v>18934.349999999999</v>
      </c>
      <c r="S374" s="477">
        <f t="shared" si="606"/>
        <v>-3815.6999999999989</v>
      </c>
      <c r="V374" s="476">
        <f t="shared" si="610"/>
        <v>0</v>
      </c>
      <c r="W374" s="476">
        <f t="shared" si="611"/>
        <v>0</v>
      </c>
      <c r="X374" s="476">
        <f t="shared" si="612"/>
        <v>0</v>
      </c>
      <c r="Y374" s="476">
        <f t="shared" si="613"/>
        <v>0</v>
      </c>
      <c r="Z374" s="476">
        <f t="shared" si="614"/>
        <v>0</v>
      </c>
      <c r="AA374" s="476">
        <f t="shared" si="615"/>
        <v>0</v>
      </c>
      <c r="AB374" s="476">
        <f t="shared" si="616"/>
        <v>0</v>
      </c>
      <c r="AC374" s="476">
        <f t="shared" si="617"/>
        <v>0</v>
      </c>
      <c r="AD374" s="476">
        <f t="shared" si="618"/>
        <v>0</v>
      </c>
      <c r="AE374" s="476">
        <f t="shared" si="619"/>
        <v>0</v>
      </c>
      <c r="AF374" s="476">
        <f t="shared" si="620"/>
        <v>0</v>
      </c>
      <c r="AG374" s="476">
        <f t="shared" si="621"/>
        <v>0</v>
      </c>
      <c r="AH374" s="476">
        <f t="shared" si="622"/>
        <v>0</v>
      </c>
      <c r="AI374" s="476">
        <f t="shared" si="623"/>
        <v>0</v>
      </c>
      <c r="AJ374" s="476">
        <f t="shared" si="624"/>
        <v>0</v>
      </c>
      <c r="AK374" s="476">
        <f t="shared" si="625"/>
        <v>0</v>
      </c>
      <c r="AL374" s="476">
        <f t="shared" si="626"/>
        <v>0</v>
      </c>
      <c r="AM374" s="476">
        <f t="shared" si="627"/>
        <v>0</v>
      </c>
      <c r="AN374" s="476">
        <f t="shared" si="628"/>
        <v>0</v>
      </c>
      <c r="AO374" s="476">
        <f t="shared" si="629"/>
        <v>0</v>
      </c>
      <c r="AP374" s="476">
        <f t="shared" si="630"/>
        <v>0</v>
      </c>
      <c r="AQ374" s="476">
        <f t="shared" si="631"/>
        <v>0</v>
      </c>
      <c r="AR374" s="476">
        <f t="shared" si="632"/>
        <v>0</v>
      </c>
      <c r="AS374" s="476">
        <f t="shared" si="633"/>
        <v>0</v>
      </c>
      <c r="AT374" s="476">
        <f t="shared" si="634"/>
        <v>0</v>
      </c>
      <c r="AU374" s="476">
        <f t="shared" si="635"/>
        <v>0</v>
      </c>
      <c r="AV374" s="476">
        <f t="shared" si="636"/>
        <v>0</v>
      </c>
      <c r="AW374" s="476">
        <f t="shared" si="637"/>
        <v>0</v>
      </c>
      <c r="AX374" s="476">
        <f t="shared" si="638"/>
        <v>0</v>
      </c>
      <c r="AY374" s="476">
        <f t="shared" si="639"/>
        <v>0</v>
      </c>
      <c r="AZ374" s="476">
        <f t="shared" si="640"/>
        <v>15118.65</v>
      </c>
      <c r="BA374" s="476">
        <f t="shared" si="641"/>
        <v>18934.349999999999</v>
      </c>
      <c r="BB374" s="476">
        <f t="shared" si="642"/>
        <v>0</v>
      </c>
      <c r="BC374" s="476">
        <f t="shared" si="643"/>
        <v>0</v>
      </c>
      <c r="BD374" s="476">
        <f t="shared" si="644"/>
        <v>0</v>
      </c>
      <c r="BE374" s="476">
        <f t="shared" si="645"/>
        <v>0</v>
      </c>
      <c r="BF374" s="476">
        <f t="shared" si="646"/>
        <v>0</v>
      </c>
      <c r="BG374" s="476">
        <f t="shared" si="647"/>
        <v>0</v>
      </c>
    </row>
    <row r="375" spans="1:59" ht="16.5" customHeight="1">
      <c r="A375" s="585" t="s">
        <v>837</v>
      </c>
      <c r="B375" s="585" t="s">
        <v>1155</v>
      </c>
      <c r="C375" s="584" t="s">
        <v>1830</v>
      </c>
      <c r="D375" s="413" t="s">
        <v>1051</v>
      </c>
      <c r="E375" s="412" t="s">
        <v>1153</v>
      </c>
      <c r="F375" s="413" t="s">
        <v>1153</v>
      </c>
      <c r="G375" s="412" t="s">
        <v>1153</v>
      </c>
      <c r="H375" s="412" t="s">
        <v>1011</v>
      </c>
      <c r="I375" s="477"/>
      <c r="J375" s="477">
        <v>1059128.96</v>
      </c>
      <c r="K375" s="477"/>
      <c r="L375" s="477"/>
      <c r="M375" s="477">
        <f t="shared" si="602"/>
        <v>0</v>
      </c>
      <c r="N375" s="477">
        <f t="shared" si="603"/>
        <v>1059128.96</v>
      </c>
      <c r="O375" s="477"/>
      <c r="P375" s="477"/>
      <c r="Q375" s="477">
        <f t="shared" si="604"/>
        <v>0</v>
      </c>
      <c r="R375" s="477">
        <f t="shared" si="605"/>
        <v>1059128.96</v>
      </c>
      <c r="S375" s="477">
        <f t="shared" si="606"/>
        <v>-1059128.96</v>
      </c>
      <c r="V375" s="476">
        <f t="shared" si="610"/>
        <v>0</v>
      </c>
      <c r="W375" s="476">
        <f t="shared" si="611"/>
        <v>0</v>
      </c>
      <c r="X375" s="476">
        <f t="shared" si="612"/>
        <v>0</v>
      </c>
      <c r="Y375" s="476">
        <f t="shared" si="613"/>
        <v>1059128.96</v>
      </c>
      <c r="Z375" s="476">
        <f t="shared" si="614"/>
        <v>0</v>
      </c>
      <c r="AA375" s="476">
        <f t="shared" si="615"/>
        <v>0</v>
      </c>
      <c r="AB375" s="476">
        <f t="shared" si="616"/>
        <v>0</v>
      </c>
      <c r="AC375" s="476">
        <f t="shared" si="617"/>
        <v>0</v>
      </c>
      <c r="AD375" s="476">
        <f t="shared" si="618"/>
        <v>0</v>
      </c>
      <c r="AE375" s="476">
        <f t="shared" si="619"/>
        <v>0</v>
      </c>
      <c r="AF375" s="476">
        <f t="shared" si="620"/>
        <v>0</v>
      </c>
      <c r="AG375" s="476">
        <f t="shared" si="621"/>
        <v>0</v>
      </c>
      <c r="AH375" s="476">
        <f t="shared" si="622"/>
        <v>0</v>
      </c>
      <c r="AI375" s="476">
        <f t="shared" si="623"/>
        <v>0</v>
      </c>
      <c r="AJ375" s="476">
        <f t="shared" si="624"/>
        <v>0</v>
      </c>
      <c r="AK375" s="476">
        <f t="shared" si="625"/>
        <v>0</v>
      </c>
      <c r="AL375" s="476">
        <f t="shared" si="626"/>
        <v>0</v>
      </c>
      <c r="AM375" s="476">
        <f t="shared" si="627"/>
        <v>0</v>
      </c>
      <c r="AN375" s="476">
        <f t="shared" si="628"/>
        <v>0</v>
      </c>
      <c r="AO375" s="476">
        <f t="shared" si="629"/>
        <v>0</v>
      </c>
      <c r="AP375" s="476">
        <f t="shared" si="630"/>
        <v>0</v>
      </c>
      <c r="AQ375" s="476">
        <f t="shared" si="631"/>
        <v>0</v>
      </c>
      <c r="AR375" s="476">
        <f t="shared" si="632"/>
        <v>0</v>
      </c>
      <c r="AS375" s="476">
        <f t="shared" si="633"/>
        <v>0</v>
      </c>
      <c r="AT375" s="476">
        <f t="shared" si="634"/>
        <v>0</v>
      </c>
      <c r="AU375" s="476">
        <f t="shared" si="635"/>
        <v>0</v>
      </c>
      <c r="AV375" s="476">
        <f t="shared" si="636"/>
        <v>0</v>
      </c>
      <c r="AW375" s="476">
        <f t="shared" si="637"/>
        <v>0</v>
      </c>
      <c r="AX375" s="476">
        <f t="shared" si="638"/>
        <v>0</v>
      </c>
      <c r="AY375" s="476">
        <f t="shared" si="639"/>
        <v>0</v>
      </c>
      <c r="AZ375" s="476">
        <f t="shared" si="640"/>
        <v>0</v>
      </c>
      <c r="BA375" s="476">
        <f t="shared" si="641"/>
        <v>0</v>
      </c>
      <c r="BB375" s="476">
        <f t="shared" si="642"/>
        <v>0</v>
      </c>
      <c r="BC375" s="476">
        <f t="shared" si="643"/>
        <v>0</v>
      </c>
      <c r="BD375" s="476">
        <f t="shared" si="644"/>
        <v>0</v>
      </c>
      <c r="BE375" s="476">
        <f t="shared" si="645"/>
        <v>0</v>
      </c>
      <c r="BF375" s="476">
        <f t="shared" si="646"/>
        <v>0</v>
      </c>
      <c r="BG375" s="476">
        <f t="shared" si="647"/>
        <v>0</v>
      </c>
    </row>
    <row r="376" spans="1:59" ht="16.5" customHeight="1">
      <c r="A376" s="585" t="s">
        <v>838</v>
      </c>
      <c r="B376" s="585" t="s">
        <v>1156</v>
      </c>
      <c r="C376" s="584" t="s">
        <v>1831</v>
      </c>
      <c r="D376" s="413" t="s">
        <v>1051</v>
      </c>
      <c r="E376" s="412" t="s">
        <v>1153</v>
      </c>
      <c r="F376" s="413" t="s">
        <v>1153</v>
      </c>
      <c r="G376" s="412" t="s">
        <v>1153</v>
      </c>
      <c r="H376" s="412" t="s">
        <v>1013</v>
      </c>
      <c r="I376" s="477">
        <v>131573.38</v>
      </c>
      <c r="J376" s="477"/>
      <c r="K376" s="477"/>
      <c r="L376" s="477"/>
      <c r="M376" s="477">
        <f t="shared" si="602"/>
        <v>131573.38</v>
      </c>
      <c r="N376" s="477">
        <f t="shared" si="603"/>
        <v>0</v>
      </c>
      <c r="O376" s="477"/>
      <c r="P376" s="477"/>
      <c r="Q376" s="477">
        <f t="shared" si="604"/>
        <v>131573.38</v>
      </c>
      <c r="R376" s="477">
        <f t="shared" si="605"/>
        <v>0</v>
      </c>
      <c r="S376" s="477">
        <f t="shared" si="606"/>
        <v>131573.38</v>
      </c>
      <c r="V376" s="476">
        <f t="shared" si="610"/>
        <v>0</v>
      </c>
      <c r="W376" s="476">
        <f t="shared" si="611"/>
        <v>0</v>
      </c>
      <c r="X376" s="476">
        <f t="shared" si="612"/>
        <v>0</v>
      </c>
      <c r="Y376" s="476">
        <f t="shared" si="613"/>
        <v>0</v>
      </c>
      <c r="Z376" s="476">
        <f t="shared" si="614"/>
        <v>0</v>
      </c>
      <c r="AA376" s="476">
        <f t="shared" si="615"/>
        <v>0</v>
      </c>
      <c r="AB376" s="476">
        <f t="shared" si="616"/>
        <v>0</v>
      </c>
      <c r="AC376" s="476">
        <f t="shared" si="617"/>
        <v>0</v>
      </c>
      <c r="AD376" s="476">
        <f t="shared" si="618"/>
        <v>0</v>
      </c>
      <c r="AE376" s="476">
        <f t="shared" si="619"/>
        <v>0</v>
      </c>
      <c r="AF376" s="476">
        <f t="shared" si="620"/>
        <v>0</v>
      </c>
      <c r="AG376" s="476">
        <f t="shared" si="621"/>
        <v>0</v>
      </c>
      <c r="AH376" s="476">
        <f t="shared" si="622"/>
        <v>0</v>
      </c>
      <c r="AI376" s="476">
        <f t="shared" si="623"/>
        <v>0</v>
      </c>
      <c r="AJ376" s="476">
        <f t="shared" si="624"/>
        <v>131573.38</v>
      </c>
      <c r="AK376" s="476">
        <f t="shared" si="625"/>
        <v>0</v>
      </c>
      <c r="AL376" s="476">
        <f t="shared" si="626"/>
        <v>0</v>
      </c>
      <c r="AM376" s="476">
        <f t="shared" si="627"/>
        <v>0</v>
      </c>
      <c r="AN376" s="476">
        <f t="shared" si="628"/>
        <v>0</v>
      </c>
      <c r="AO376" s="476">
        <f t="shared" si="629"/>
        <v>0</v>
      </c>
      <c r="AP376" s="476">
        <f t="shared" si="630"/>
        <v>0</v>
      </c>
      <c r="AQ376" s="476">
        <f t="shared" si="631"/>
        <v>0</v>
      </c>
      <c r="AR376" s="476">
        <f t="shared" si="632"/>
        <v>0</v>
      </c>
      <c r="AS376" s="476">
        <f t="shared" si="633"/>
        <v>0</v>
      </c>
      <c r="AT376" s="476">
        <f t="shared" si="634"/>
        <v>0</v>
      </c>
      <c r="AU376" s="476">
        <f t="shared" si="635"/>
        <v>0</v>
      </c>
      <c r="AV376" s="476">
        <f t="shared" si="636"/>
        <v>0</v>
      </c>
      <c r="AW376" s="476">
        <f t="shared" si="637"/>
        <v>0</v>
      </c>
      <c r="AX376" s="476">
        <f t="shared" si="638"/>
        <v>0</v>
      </c>
      <c r="AY376" s="476">
        <f t="shared" si="639"/>
        <v>0</v>
      </c>
      <c r="AZ376" s="476">
        <f t="shared" si="640"/>
        <v>0</v>
      </c>
      <c r="BA376" s="476">
        <f t="shared" si="641"/>
        <v>0</v>
      </c>
      <c r="BB376" s="476">
        <f t="shared" si="642"/>
        <v>0</v>
      </c>
      <c r="BC376" s="476">
        <f t="shared" si="643"/>
        <v>0</v>
      </c>
      <c r="BD376" s="476">
        <f t="shared" si="644"/>
        <v>0</v>
      </c>
      <c r="BE376" s="476">
        <f t="shared" si="645"/>
        <v>0</v>
      </c>
      <c r="BF376" s="476">
        <f t="shared" si="646"/>
        <v>0</v>
      </c>
      <c r="BG376" s="476">
        <f t="shared" si="647"/>
        <v>0</v>
      </c>
    </row>
    <row r="377" spans="1:59" ht="16.5" customHeight="1">
      <c r="A377" s="585" t="s">
        <v>839</v>
      </c>
      <c r="B377" s="585" t="s">
        <v>1157</v>
      </c>
      <c r="C377" s="584" t="s">
        <v>1832</v>
      </c>
      <c r="D377" s="413" t="s">
        <v>1051</v>
      </c>
      <c r="E377" s="412" t="s">
        <v>1153</v>
      </c>
      <c r="F377" s="413" t="s">
        <v>1153</v>
      </c>
      <c r="G377" s="412" t="s">
        <v>1153</v>
      </c>
      <c r="H377" s="412" t="s">
        <v>1016</v>
      </c>
      <c r="I377" s="477">
        <v>0</v>
      </c>
      <c r="J377" s="477">
        <v>160</v>
      </c>
      <c r="K377" s="477"/>
      <c r="L377" s="477"/>
      <c r="M377" s="477">
        <f t="shared" si="602"/>
        <v>0</v>
      </c>
      <c r="N377" s="477">
        <f t="shared" si="603"/>
        <v>160</v>
      </c>
      <c r="O377" s="477"/>
      <c r="P377" s="477"/>
      <c r="Q377" s="477">
        <f t="shared" si="604"/>
        <v>0</v>
      </c>
      <c r="R377" s="477">
        <f t="shared" si="605"/>
        <v>160</v>
      </c>
      <c r="S377" s="477">
        <f t="shared" si="606"/>
        <v>-160</v>
      </c>
      <c r="V377" s="476">
        <f t="shared" si="610"/>
        <v>0</v>
      </c>
      <c r="W377" s="476">
        <f t="shared" si="611"/>
        <v>0</v>
      </c>
      <c r="X377" s="476">
        <f t="shared" si="612"/>
        <v>0</v>
      </c>
      <c r="Y377" s="476">
        <f t="shared" si="613"/>
        <v>0</v>
      </c>
      <c r="Z377" s="476">
        <f t="shared" si="614"/>
        <v>0</v>
      </c>
      <c r="AA377" s="476">
        <f t="shared" si="615"/>
        <v>0</v>
      </c>
      <c r="AB377" s="476">
        <f t="shared" si="616"/>
        <v>0</v>
      </c>
      <c r="AC377" s="476">
        <f t="shared" si="617"/>
        <v>0</v>
      </c>
      <c r="AD377" s="476">
        <f t="shared" si="618"/>
        <v>0</v>
      </c>
      <c r="AE377" s="476">
        <f t="shared" si="619"/>
        <v>0</v>
      </c>
      <c r="AF377" s="476">
        <f t="shared" si="620"/>
        <v>0</v>
      </c>
      <c r="AG377" s="476">
        <f t="shared" si="621"/>
        <v>0</v>
      </c>
      <c r="AH377" s="476">
        <f t="shared" si="622"/>
        <v>0</v>
      </c>
      <c r="AI377" s="476">
        <f t="shared" si="623"/>
        <v>0</v>
      </c>
      <c r="AJ377" s="476">
        <f t="shared" si="624"/>
        <v>0</v>
      </c>
      <c r="AK377" s="476">
        <f t="shared" si="625"/>
        <v>0</v>
      </c>
      <c r="AL377" s="476">
        <f t="shared" si="626"/>
        <v>0</v>
      </c>
      <c r="AM377" s="476">
        <f t="shared" si="627"/>
        <v>0</v>
      </c>
      <c r="AN377" s="476">
        <f t="shared" si="628"/>
        <v>0</v>
      </c>
      <c r="AO377" s="476">
        <f t="shared" si="629"/>
        <v>0</v>
      </c>
      <c r="AP377" s="476">
        <f t="shared" si="630"/>
        <v>0</v>
      </c>
      <c r="AQ377" s="476">
        <f t="shared" si="631"/>
        <v>0</v>
      </c>
      <c r="AR377" s="476">
        <f t="shared" si="632"/>
        <v>0</v>
      </c>
      <c r="AS377" s="476">
        <f t="shared" si="633"/>
        <v>0</v>
      </c>
      <c r="AT377" s="476">
        <f t="shared" si="634"/>
        <v>0</v>
      </c>
      <c r="AU377" s="476">
        <f t="shared" si="635"/>
        <v>0</v>
      </c>
      <c r="AV377" s="476">
        <f t="shared" si="636"/>
        <v>0</v>
      </c>
      <c r="AW377" s="476">
        <f t="shared" si="637"/>
        <v>0</v>
      </c>
      <c r="AX377" s="476">
        <f t="shared" si="638"/>
        <v>0</v>
      </c>
      <c r="AY377" s="476">
        <f t="shared" si="639"/>
        <v>160</v>
      </c>
      <c r="AZ377" s="476">
        <f t="shared" si="640"/>
        <v>0</v>
      </c>
      <c r="BA377" s="476">
        <f t="shared" si="641"/>
        <v>0</v>
      </c>
      <c r="BB377" s="476">
        <f t="shared" si="642"/>
        <v>0</v>
      </c>
      <c r="BC377" s="476">
        <f t="shared" si="643"/>
        <v>0</v>
      </c>
      <c r="BD377" s="476">
        <f t="shared" si="644"/>
        <v>0</v>
      </c>
      <c r="BE377" s="476">
        <f t="shared" si="645"/>
        <v>0</v>
      </c>
      <c r="BF377" s="476">
        <f t="shared" si="646"/>
        <v>0</v>
      </c>
      <c r="BG377" s="476">
        <f t="shared" si="647"/>
        <v>0</v>
      </c>
    </row>
    <row r="378" spans="1:59" ht="16.5" customHeight="1">
      <c r="A378" s="585" t="s">
        <v>840</v>
      </c>
      <c r="B378" s="585" t="s">
        <v>1158</v>
      </c>
      <c r="C378" s="584" t="s">
        <v>1833</v>
      </c>
      <c r="D378" s="413" t="s">
        <v>1051</v>
      </c>
      <c r="E378" s="412" t="s">
        <v>1153</v>
      </c>
      <c r="F378" s="412" t="s">
        <v>1153</v>
      </c>
      <c r="G378" s="412" t="s">
        <v>1153</v>
      </c>
      <c r="H378" s="412" t="s">
        <v>1015</v>
      </c>
      <c r="I378" s="477">
        <v>0</v>
      </c>
      <c r="J378" s="477">
        <v>232</v>
      </c>
      <c r="K378" s="477"/>
      <c r="L378" s="477"/>
      <c r="M378" s="477">
        <f t="shared" si="602"/>
        <v>0</v>
      </c>
      <c r="N378" s="477">
        <f t="shared" si="603"/>
        <v>232</v>
      </c>
      <c r="O378" s="477"/>
      <c r="P378" s="477"/>
      <c r="Q378" s="477">
        <f t="shared" si="604"/>
        <v>0</v>
      </c>
      <c r="R378" s="477">
        <f t="shared" si="605"/>
        <v>232</v>
      </c>
      <c r="S378" s="477">
        <f t="shared" si="606"/>
        <v>-232</v>
      </c>
      <c r="V378" s="476">
        <f t="shared" si="610"/>
        <v>0</v>
      </c>
      <c r="W378" s="476">
        <f t="shared" si="611"/>
        <v>0</v>
      </c>
      <c r="X378" s="476">
        <f t="shared" si="612"/>
        <v>0</v>
      </c>
      <c r="Y378" s="476">
        <f t="shared" si="613"/>
        <v>0</v>
      </c>
      <c r="Z378" s="476">
        <f t="shared" si="614"/>
        <v>0</v>
      </c>
      <c r="AA378" s="476">
        <f t="shared" si="615"/>
        <v>0</v>
      </c>
      <c r="AB378" s="476">
        <f t="shared" si="616"/>
        <v>0</v>
      </c>
      <c r="AC378" s="476">
        <f t="shared" si="617"/>
        <v>0</v>
      </c>
      <c r="AD378" s="476">
        <f t="shared" si="618"/>
        <v>0</v>
      </c>
      <c r="AE378" s="476">
        <f t="shared" si="619"/>
        <v>0</v>
      </c>
      <c r="AF378" s="476">
        <f t="shared" si="620"/>
        <v>0</v>
      </c>
      <c r="AG378" s="476">
        <f t="shared" si="621"/>
        <v>0</v>
      </c>
      <c r="AH378" s="476">
        <f t="shared" si="622"/>
        <v>0</v>
      </c>
      <c r="AI378" s="476">
        <f t="shared" si="623"/>
        <v>0</v>
      </c>
      <c r="AJ378" s="476">
        <f t="shared" si="624"/>
        <v>0</v>
      </c>
      <c r="AK378" s="476">
        <f t="shared" si="625"/>
        <v>0</v>
      </c>
      <c r="AL378" s="476">
        <f t="shared" si="626"/>
        <v>0</v>
      </c>
      <c r="AM378" s="476">
        <f t="shared" si="627"/>
        <v>0</v>
      </c>
      <c r="AN378" s="476">
        <f t="shared" si="628"/>
        <v>0</v>
      </c>
      <c r="AO378" s="476">
        <f t="shared" si="629"/>
        <v>0</v>
      </c>
      <c r="AP378" s="476">
        <f t="shared" si="630"/>
        <v>0</v>
      </c>
      <c r="AQ378" s="476">
        <f t="shared" si="631"/>
        <v>0</v>
      </c>
      <c r="AR378" s="476">
        <f t="shared" si="632"/>
        <v>0</v>
      </c>
      <c r="AS378" s="476">
        <f t="shared" si="633"/>
        <v>0</v>
      </c>
      <c r="AT378" s="476">
        <f t="shared" si="634"/>
        <v>0</v>
      </c>
      <c r="AU378" s="476">
        <f t="shared" si="635"/>
        <v>232</v>
      </c>
      <c r="AV378" s="476">
        <f t="shared" si="636"/>
        <v>0</v>
      </c>
      <c r="AW378" s="476">
        <f t="shared" si="637"/>
        <v>0</v>
      </c>
      <c r="AX378" s="476">
        <f t="shared" si="638"/>
        <v>0</v>
      </c>
      <c r="AY378" s="476">
        <f t="shared" si="639"/>
        <v>0</v>
      </c>
      <c r="AZ378" s="476">
        <f t="shared" si="640"/>
        <v>0</v>
      </c>
      <c r="BA378" s="476">
        <f t="shared" si="641"/>
        <v>0</v>
      </c>
      <c r="BB378" s="476">
        <f t="shared" si="642"/>
        <v>0</v>
      </c>
      <c r="BC378" s="476">
        <f t="shared" si="643"/>
        <v>0</v>
      </c>
      <c r="BD378" s="476">
        <f t="shared" si="644"/>
        <v>0</v>
      </c>
      <c r="BE378" s="476">
        <f t="shared" si="645"/>
        <v>0</v>
      </c>
      <c r="BF378" s="476">
        <f t="shared" si="646"/>
        <v>0</v>
      </c>
      <c r="BG378" s="476">
        <f t="shared" si="647"/>
        <v>0</v>
      </c>
    </row>
    <row r="379" spans="1:59" ht="16.5" customHeight="1">
      <c r="A379" s="585" t="s">
        <v>841</v>
      </c>
      <c r="B379" s="585" t="s">
        <v>1159</v>
      </c>
      <c r="C379" s="584" t="s">
        <v>1834</v>
      </c>
      <c r="D379" s="413" t="s">
        <v>1051</v>
      </c>
      <c r="E379" s="412" t="s">
        <v>1153</v>
      </c>
      <c r="F379" s="413" t="s">
        <v>1153</v>
      </c>
      <c r="G379" s="412" t="s">
        <v>1153</v>
      </c>
      <c r="H379" s="412" t="s">
        <v>1012</v>
      </c>
      <c r="I379" s="477">
        <v>0</v>
      </c>
      <c r="J379" s="477">
        <v>143742</v>
      </c>
      <c r="K379" s="477"/>
      <c r="L379" s="477"/>
      <c r="M379" s="477">
        <f t="shared" si="602"/>
        <v>0</v>
      </c>
      <c r="N379" s="477">
        <f t="shared" si="603"/>
        <v>143742</v>
      </c>
      <c r="O379" s="477"/>
      <c r="P379" s="477"/>
      <c r="Q379" s="477">
        <f t="shared" si="604"/>
        <v>0</v>
      </c>
      <c r="R379" s="477">
        <f t="shared" si="605"/>
        <v>143742</v>
      </c>
      <c r="S379" s="477">
        <f t="shared" si="606"/>
        <v>-143742</v>
      </c>
      <c r="V379" s="476">
        <f t="shared" si="610"/>
        <v>0</v>
      </c>
      <c r="W379" s="476">
        <f t="shared" si="611"/>
        <v>0</v>
      </c>
      <c r="X379" s="476">
        <f t="shared" si="612"/>
        <v>0</v>
      </c>
      <c r="Y379" s="476">
        <f t="shared" si="613"/>
        <v>0</v>
      </c>
      <c r="Z379" s="476">
        <f t="shared" si="614"/>
        <v>0</v>
      </c>
      <c r="AA379" s="476">
        <f t="shared" si="615"/>
        <v>0</v>
      </c>
      <c r="AB379" s="476">
        <f t="shared" si="616"/>
        <v>0</v>
      </c>
      <c r="AC379" s="476">
        <f t="shared" si="617"/>
        <v>143742</v>
      </c>
      <c r="AD379" s="476">
        <f t="shared" si="618"/>
        <v>0</v>
      </c>
      <c r="AE379" s="476">
        <f t="shared" si="619"/>
        <v>0</v>
      </c>
      <c r="AF379" s="476">
        <f t="shared" si="620"/>
        <v>0</v>
      </c>
      <c r="AG379" s="476">
        <f t="shared" si="621"/>
        <v>0</v>
      </c>
      <c r="AH379" s="476">
        <f t="shared" si="622"/>
        <v>0</v>
      </c>
      <c r="AI379" s="476">
        <f t="shared" si="623"/>
        <v>0</v>
      </c>
      <c r="AJ379" s="476">
        <f t="shared" si="624"/>
        <v>0</v>
      </c>
      <c r="AK379" s="476">
        <f t="shared" si="625"/>
        <v>0</v>
      </c>
      <c r="AL379" s="476">
        <f t="shared" si="626"/>
        <v>0</v>
      </c>
      <c r="AM379" s="476">
        <f t="shared" si="627"/>
        <v>0</v>
      </c>
      <c r="AN379" s="476">
        <f t="shared" si="628"/>
        <v>0</v>
      </c>
      <c r="AO379" s="476">
        <f t="shared" si="629"/>
        <v>0</v>
      </c>
      <c r="AP379" s="476">
        <f t="shared" si="630"/>
        <v>0</v>
      </c>
      <c r="AQ379" s="476">
        <f t="shared" si="631"/>
        <v>0</v>
      </c>
      <c r="AR379" s="476">
        <f t="shared" si="632"/>
        <v>0</v>
      </c>
      <c r="AS379" s="476">
        <f t="shared" si="633"/>
        <v>0</v>
      </c>
      <c r="AT379" s="476">
        <f t="shared" si="634"/>
        <v>0</v>
      </c>
      <c r="AU379" s="476">
        <f t="shared" si="635"/>
        <v>0</v>
      </c>
      <c r="AV379" s="476">
        <f t="shared" si="636"/>
        <v>0</v>
      </c>
      <c r="AW379" s="476">
        <f t="shared" si="637"/>
        <v>0</v>
      </c>
      <c r="AX379" s="476">
        <f t="shared" si="638"/>
        <v>0</v>
      </c>
      <c r="AY379" s="476">
        <f t="shared" si="639"/>
        <v>0</v>
      </c>
      <c r="AZ379" s="476">
        <f t="shared" si="640"/>
        <v>0</v>
      </c>
      <c r="BA379" s="476">
        <f t="shared" si="641"/>
        <v>0</v>
      </c>
      <c r="BB379" s="476">
        <f t="shared" si="642"/>
        <v>0</v>
      </c>
      <c r="BC379" s="476">
        <f t="shared" si="643"/>
        <v>0</v>
      </c>
      <c r="BD379" s="476">
        <f t="shared" si="644"/>
        <v>0</v>
      </c>
      <c r="BE379" s="476">
        <f t="shared" si="645"/>
        <v>0</v>
      </c>
      <c r="BF379" s="476">
        <f t="shared" si="646"/>
        <v>0</v>
      </c>
      <c r="BG379" s="476">
        <f t="shared" si="647"/>
        <v>0</v>
      </c>
    </row>
    <row r="380" spans="1:59" ht="16.5" customHeight="1">
      <c r="A380" s="585" t="s">
        <v>842</v>
      </c>
      <c r="B380" s="585" t="s">
        <v>1160</v>
      </c>
      <c r="C380" s="584" t="s">
        <v>1835</v>
      </c>
      <c r="D380" s="413" t="s">
        <v>1051</v>
      </c>
      <c r="E380" s="412" t="s">
        <v>1153</v>
      </c>
      <c r="F380" s="413" t="s">
        <v>1153</v>
      </c>
      <c r="G380" s="412" t="s">
        <v>1153</v>
      </c>
      <c r="H380" s="412" t="s">
        <v>1023</v>
      </c>
      <c r="I380" s="477">
        <v>40031.769999999997</v>
      </c>
      <c r="J380" s="477">
        <v>0</v>
      </c>
      <c r="K380" s="477"/>
      <c r="L380" s="477"/>
      <c r="M380" s="477">
        <f t="shared" si="602"/>
        <v>40031.769999999997</v>
      </c>
      <c r="N380" s="477">
        <f t="shared" si="603"/>
        <v>0</v>
      </c>
      <c r="O380" s="477"/>
      <c r="P380" s="477"/>
      <c r="Q380" s="477">
        <f t="shared" si="604"/>
        <v>40031.769999999997</v>
      </c>
      <c r="R380" s="477">
        <f t="shared" si="605"/>
        <v>0</v>
      </c>
      <c r="S380" s="477">
        <f t="shared" si="606"/>
        <v>40031.769999999997</v>
      </c>
      <c r="V380" s="476">
        <f t="shared" si="610"/>
        <v>0</v>
      </c>
      <c r="W380" s="476">
        <f t="shared" si="611"/>
        <v>0</v>
      </c>
      <c r="X380" s="476">
        <f t="shared" si="612"/>
        <v>0</v>
      </c>
      <c r="Y380" s="476">
        <f t="shared" si="613"/>
        <v>0</v>
      </c>
      <c r="Z380" s="476">
        <f t="shared" si="614"/>
        <v>0</v>
      </c>
      <c r="AA380" s="476">
        <f t="shared" si="615"/>
        <v>0</v>
      </c>
      <c r="AB380" s="476">
        <f t="shared" si="616"/>
        <v>0</v>
      </c>
      <c r="AC380" s="476">
        <f t="shared" si="617"/>
        <v>0</v>
      </c>
      <c r="AD380" s="476">
        <f t="shared" si="618"/>
        <v>0</v>
      </c>
      <c r="AE380" s="476">
        <f t="shared" si="619"/>
        <v>0</v>
      </c>
      <c r="AF380" s="476">
        <f t="shared" si="620"/>
        <v>0</v>
      </c>
      <c r="AG380" s="476">
        <f t="shared" si="621"/>
        <v>0</v>
      </c>
      <c r="AH380" s="476">
        <f t="shared" si="622"/>
        <v>0</v>
      </c>
      <c r="AI380" s="476">
        <f t="shared" si="623"/>
        <v>0</v>
      </c>
      <c r="AJ380" s="476">
        <f t="shared" si="624"/>
        <v>0</v>
      </c>
      <c r="AK380" s="476">
        <f t="shared" si="625"/>
        <v>0</v>
      </c>
      <c r="AL380" s="476">
        <f t="shared" si="626"/>
        <v>0</v>
      </c>
      <c r="AM380" s="476">
        <f t="shared" si="627"/>
        <v>0</v>
      </c>
      <c r="AN380" s="476">
        <f t="shared" si="628"/>
        <v>0</v>
      </c>
      <c r="AO380" s="476">
        <f t="shared" si="629"/>
        <v>0</v>
      </c>
      <c r="AP380" s="476">
        <f t="shared" si="630"/>
        <v>0</v>
      </c>
      <c r="AQ380" s="476">
        <f t="shared" si="631"/>
        <v>0</v>
      </c>
      <c r="AR380" s="476">
        <f t="shared" si="632"/>
        <v>0</v>
      </c>
      <c r="AS380" s="476">
        <f t="shared" si="633"/>
        <v>0</v>
      </c>
      <c r="AT380" s="476">
        <f t="shared" si="634"/>
        <v>0</v>
      </c>
      <c r="AU380" s="476">
        <f t="shared" si="635"/>
        <v>0</v>
      </c>
      <c r="AV380" s="476">
        <f t="shared" si="636"/>
        <v>0</v>
      </c>
      <c r="AW380" s="476">
        <f t="shared" si="637"/>
        <v>0</v>
      </c>
      <c r="AX380" s="476">
        <f t="shared" si="638"/>
        <v>0</v>
      </c>
      <c r="AY380" s="476">
        <f t="shared" si="639"/>
        <v>0</v>
      </c>
      <c r="AZ380" s="476">
        <f t="shared" si="640"/>
        <v>0</v>
      </c>
      <c r="BA380" s="476">
        <f t="shared" si="641"/>
        <v>0</v>
      </c>
      <c r="BB380" s="476">
        <f t="shared" si="642"/>
        <v>0</v>
      </c>
      <c r="BC380" s="476">
        <f t="shared" si="643"/>
        <v>0</v>
      </c>
      <c r="BD380" s="476">
        <f t="shared" si="644"/>
        <v>40031.769999999997</v>
      </c>
      <c r="BE380" s="476">
        <f t="shared" si="645"/>
        <v>0</v>
      </c>
      <c r="BF380" s="476">
        <f t="shared" si="646"/>
        <v>0</v>
      </c>
      <c r="BG380" s="476">
        <f t="shared" si="647"/>
        <v>0</v>
      </c>
    </row>
    <row r="381" spans="1:59" ht="16.5" customHeight="1">
      <c r="A381" s="585" t="s">
        <v>844</v>
      </c>
      <c r="B381" s="585" t="s">
        <v>1161</v>
      </c>
      <c r="C381" s="584" t="s">
        <v>1836</v>
      </c>
      <c r="D381" s="413" t="s">
        <v>1051</v>
      </c>
      <c r="E381" s="412" t="s">
        <v>1153</v>
      </c>
      <c r="F381" s="413" t="s">
        <v>1153</v>
      </c>
      <c r="G381" s="412" t="s">
        <v>1153</v>
      </c>
      <c r="H381" s="412" t="s">
        <v>1055</v>
      </c>
      <c r="I381" s="477">
        <v>0</v>
      </c>
      <c r="J381" s="477">
        <v>7009823.8399999999</v>
      </c>
      <c r="K381" s="477"/>
      <c r="L381" s="477"/>
      <c r="M381" s="477">
        <f t="shared" si="602"/>
        <v>0</v>
      </c>
      <c r="N381" s="477">
        <f t="shared" si="603"/>
        <v>7009823.8399999999</v>
      </c>
      <c r="O381" s="477"/>
      <c r="P381" s="477"/>
      <c r="Q381" s="477">
        <f t="shared" si="604"/>
        <v>0</v>
      </c>
      <c r="R381" s="477">
        <f t="shared" si="605"/>
        <v>7009823.8399999999</v>
      </c>
      <c r="S381" s="477">
        <f t="shared" si="606"/>
        <v>-7009823.8399999999</v>
      </c>
      <c r="V381" s="476">
        <f t="shared" si="610"/>
        <v>0</v>
      </c>
      <c r="W381" s="476">
        <f t="shared" si="611"/>
        <v>0</v>
      </c>
      <c r="X381" s="476">
        <f t="shared" si="612"/>
        <v>0</v>
      </c>
      <c r="Y381" s="476">
        <f t="shared" si="613"/>
        <v>0</v>
      </c>
      <c r="Z381" s="476">
        <f t="shared" si="614"/>
        <v>0</v>
      </c>
      <c r="AA381" s="476">
        <f t="shared" si="615"/>
        <v>0</v>
      </c>
      <c r="AB381" s="476">
        <f t="shared" si="616"/>
        <v>0</v>
      </c>
      <c r="AC381" s="476">
        <f t="shared" si="617"/>
        <v>0</v>
      </c>
      <c r="AD381" s="476">
        <f t="shared" si="618"/>
        <v>0</v>
      </c>
      <c r="AE381" s="476">
        <f t="shared" si="619"/>
        <v>0</v>
      </c>
      <c r="AF381" s="476">
        <f t="shared" si="620"/>
        <v>0</v>
      </c>
      <c r="AG381" s="476">
        <f t="shared" si="621"/>
        <v>0</v>
      </c>
      <c r="AH381" s="476">
        <f t="shared" si="622"/>
        <v>0</v>
      </c>
      <c r="AI381" s="476">
        <f t="shared" si="623"/>
        <v>0</v>
      </c>
      <c r="AJ381" s="476">
        <f t="shared" si="624"/>
        <v>0</v>
      </c>
      <c r="AK381" s="476">
        <f t="shared" si="625"/>
        <v>0</v>
      </c>
      <c r="AL381" s="476">
        <f t="shared" si="626"/>
        <v>0</v>
      </c>
      <c r="AM381" s="476">
        <f t="shared" si="627"/>
        <v>0</v>
      </c>
      <c r="AN381" s="476">
        <f t="shared" si="628"/>
        <v>0</v>
      </c>
      <c r="AO381" s="476">
        <f t="shared" si="629"/>
        <v>0</v>
      </c>
      <c r="AP381" s="476">
        <f t="shared" si="630"/>
        <v>0</v>
      </c>
      <c r="AQ381" s="476">
        <f t="shared" si="631"/>
        <v>0</v>
      </c>
      <c r="AR381" s="476">
        <f t="shared" si="632"/>
        <v>0</v>
      </c>
      <c r="AS381" s="476">
        <f t="shared" si="633"/>
        <v>0</v>
      </c>
      <c r="AT381" s="476">
        <f t="shared" si="634"/>
        <v>0</v>
      </c>
      <c r="AU381" s="476">
        <f t="shared" si="635"/>
        <v>0</v>
      </c>
      <c r="AV381" s="476">
        <f t="shared" si="636"/>
        <v>0</v>
      </c>
      <c r="AW381" s="476">
        <f t="shared" si="637"/>
        <v>0</v>
      </c>
      <c r="AX381" s="476">
        <f t="shared" si="638"/>
        <v>0</v>
      </c>
      <c r="AY381" s="476">
        <f t="shared" si="639"/>
        <v>0</v>
      </c>
      <c r="AZ381" s="476">
        <f t="shared" si="640"/>
        <v>0</v>
      </c>
      <c r="BA381" s="476">
        <f t="shared" si="641"/>
        <v>0</v>
      </c>
      <c r="BB381" s="476">
        <f t="shared" si="642"/>
        <v>0</v>
      </c>
      <c r="BC381" s="476">
        <f t="shared" si="643"/>
        <v>7009823.8399999999</v>
      </c>
      <c r="BD381" s="476">
        <f t="shared" si="644"/>
        <v>0</v>
      </c>
      <c r="BE381" s="476">
        <f t="shared" si="645"/>
        <v>0</v>
      </c>
      <c r="BF381" s="476">
        <f t="shared" si="646"/>
        <v>0</v>
      </c>
      <c r="BG381" s="476">
        <f t="shared" si="647"/>
        <v>0</v>
      </c>
    </row>
    <row r="382" spans="1:59" ht="16.5" customHeight="1">
      <c r="A382" s="585" t="s">
        <v>845</v>
      </c>
      <c r="B382" s="585" t="s">
        <v>1162</v>
      </c>
      <c r="C382" s="584" t="s">
        <v>1837</v>
      </c>
      <c r="D382" s="413" t="s">
        <v>1051</v>
      </c>
      <c r="E382" s="412" t="s">
        <v>1153</v>
      </c>
      <c r="F382" s="413" t="s">
        <v>1153</v>
      </c>
      <c r="G382" s="412" t="s">
        <v>1153</v>
      </c>
      <c r="H382" s="412" t="s">
        <v>1020</v>
      </c>
      <c r="I382" s="477">
        <v>0</v>
      </c>
      <c r="J382" s="477">
        <v>197501</v>
      </c>
      <c r="K382" s="477"/>
      <c r="L382" s="477"/>
      <c r="M382" s="477">
        <f t="shared" si="602"/>
        <v>0</v>
      </c>
      <c r="N382" s="477">
        <f t="shared" si="603"/>
        <v>197501</v>
      </c>
      <c r="O382" s="477"/>
      <c r="P382" s="477"/>
      <c r="Q382" s="477">
        <f t="shared" si="604"/>
        <v>0</v>
      </c>
      <c r="R382" s="477">
        <f t="shared" si="605"/>
        <v>197501</v>
      </c>
      <c r="S382" s="477">
        <f t="shared" si="606"/>
        <v>-197501</v>
      </c>
      <c r="V382" s="476">
        <f t="shared" si="610"/>
        <v>0</v>
      </c>
      <c r="W382" s="476">
        <f t="shared" si="611"/>
        <v>0</v>
      </c>
      <c r="X382" s="476">
        <f t="shared" si="612"/>
        <v>0</v>
      </c>
      <c r="Y382" s="476">
        <f t="shared" si="613"/>
        <v>0</v>
      </c>
      <c r="Z382" s="476">
        <f t="shared" si="614"/>
        <v>0</v>
      </c>
      <c r="AA382" s="476">
        <f t="shared" si="615"/>
        <v>197501</v>
      </c>
      <c r="AB382" s="476">
        <f t="shared" si="616"/>
        <v>0</v>
      </c>
      <c r="AC382" s="476">
        <f t="shared" si="617"/>
        <v>0</v>
      </c>
      <c r="AD382" s="476">
        <f t="shared" si="618"/>
        <v>0</v>
      </c>
      <c r="AE382" s="476">
        <f t="shared" si="619"/>
        <v>0</v>
      </c>
      <c r="AF382" s="476">
        <f t="shared" si="620"/>
        <v>0</v>
      </c>
      <c r="AG382" s="476">
        <f t="shared" si="621"/>
        <v>0</v>
      </c>
      <c r="AH382" s="476">
        <f t="shared" si="622"/>
        <v>0</v>
      </c>
      <c r="AI382" s="476">
        <f t="shared" si="623"/>
        <v>0</v>
      </c>
      <c r="AJ382" s="476">
        <f t="shared" si="624"/>
        <v>0</v>
      </c>
      <c r="AK382" s="476">
        <f t="shared" si="625"/>
        <v>0</v>
      </c>
      <c r="AL382" s="476">
        <f t="shared" si="626"/>
        <v>0</v>
      </c>
      <c r="AM382" s="476">
        <f t="shared" si="627"/>
        <v>0</v>
      </c>
      <c r="AN382" s="476">
        <f t="shared" si="628"/>
        <v>0</v>
      </c>
      <c r="AO382" s="476">
        <f t="shared" si="629"/>
        <v>0</v>
      </c>
      <c r="AP382" s="476">
        <f t="shared" si="630"/>
        <v>0</v>
      </c>
      <c r="AQ382" s="476">
        <f t="shared" si="631"/>
        <v>0</v>
      </c>
      <c r="AR382" s="476">
        <f t="shared" si="632"/>
        <v>0</v>
      </c>
      <c r="AS382" s="476">
        <f t="shared" si="633"/>
        <v>0</v>
      </c>
      <c r="AT382" s="476">
        <f t="shared" si="634"/>
        <v>0</v>
      </c>
      <c r="AU382" s="476">
        <f t="shared" si="635"/>
        <v>0</v>
      </c>
      <c r="AV382" s="476">
        <f t="shared" si="636"/>
        <v>0</v>
      </c>
      <c r="AW382" s="476">
        <f t="shared" si="637"/>
        <v>0</v>
      </c>
      <c r="AX382" s="476">
        <f t="shared" si="638"/>
        <v>0</v>
      </c>
      <c r="AY382" s="476">
        <f t="shared" si="639"/>
        <v>0</v>
      </c>
      <c r="AZ382" s="476">
        <f t="shared" si="640"/>
        <v>0</v>
      </c>
      <c r="BA382" s="476">
        <f t="shared" si="641"/>
        <v>0</v>
      </c>
      <c r="BB382" s="476">
        <f t="shared" si="642"/>
        <v>0</v>
      </c>
      <c r="BC382" s="476">
        <f t="shared" si="643"/>
        <v>0</v>
      </c>
      <c r="BD382" s="476">
        <f t="shared" si="644"/>
        <v>0</v>
      </c>
      <c r="BE382" s="476">
        <f t="shared" si="645"/>
        <v>0</v>
      </c>
      <c r="BF382" s="476">
        <f t="shared" si="646"/>
        <v>0</v>
      </c>
      <c r="BG382" s="476">
        <f t="shared" si="647"/>
        <v>0</v>
      </c>
    </row>
    <row r="383" spans="1:59" ht="16.5" customHeight="1">
      <c r="A383" s="585" t="s">
        <v>846</v>
      </c>
      <c r="B383" s="585" t="s">
        <v>1163</v>
      </c>
      <c r="C383" s="584" t="s">
        <v>1838</v>
      </c>
      <c r="D383" s="413" t="s">
        <v>1051</v>
      </c>
      <c r="E383" s="412" t="s">
        <v>1153</v>
      </c>
      <c r="F383" s="413" t="s">
        <v>1153</v>
      </c>
      <c r="G383" s="412" t="s">
        <v>1153</v>
      </c>
      <c r="H383" s="412" t="s">
        <v>1022</v>
      </c>
      <c r="I383" s="477">
        <v>13192587</v>
      </c>
      <c r="J383" s="477">
        <v>39801207.060000002</v>
      </c>
      <c r="K383" s="477"/>
      <c r="L383" s="477"/>
      <c r="M383" s="477">
        <f t="shared" si="602"/>
        <v>13192587</v>
      </c>
      <c r="N383" s="477">
        <f t="shared" si="603"/>
        <v>39801207.060000002</v>
      </c>
      <c r="O383" s="477"/>
      <c r="P383" s="477"/>
      <c r="Q383" s="477">
        <f t="shared" si="604"/>
        <v>13192587</v>
      </c>
      <c r="R383" s="477">
        <f t="shared" si="605"/>
        <v>39801207.060000002</v>
      </c>
      <c r="S383" s="477">
        <f t="shared" si="606"/>
        <v>-26608620.060000002</v>
      </c>
      <c r="V383" s="476">
        <f t="shared" si="610"/>
        <v>0</v>
      </c>
      <c r="W383" s="476">
        <f t="shared" si="611"/>
        <v>0</v>
      </c>
      <c r="X383" s="476">
        <f t="shared" si="612"/>
        <v>0</v>
      </c>
      <c r="Y383" s="476">
        <f t="shared" si="613"/>
        <v>0</v>
      </c>
      <c r="Z383" s="476">
        <f t="shared" si="614"/>
        <v>0</v>
      </c>
      <c r="AA383" s="476">
        <f t="shared" si="615"/>
        <v>0</v>
      </c>
      <c r="AB383" s="476">
        <f t="shared" si="616"/>
        <v>0</v>
      </c>
      <c r="AC383" s="476">
        <f t="shared" si="617"/>
        <v>0</v>
      </c>
      <c r="AD383" s="476">
        <f t="shared" si="618"/>
        <v>0</v>
      </c>
      <c r="AE383" s="476">
        <f t="shared" si="619"/>
        <v>0</v>
      </c>
      <c r="AF383" s="476">
        <f t="shared" si="620"/>
        <v>0</v>
      </c>
      <c r="AG383" s="476">
        <f t="shared" si="621"/>
        <v>0</v>
      </c>
      <c r="AH383" s="476">
        <f t="shared" si="622"/>
        <v>0</v>
      </c>
      <c r="AI383" s="476">
        <f t="shared" si="623"/>
        <v>0</v>
      </c>
      <c r="AJ383" s="476">
        <f t="shared" si="624"/>
        <v>0</v>
      </c>
      <c r="AK383" s="476">
        <f t="shared" si="625"/>
        <v>0</v>
      </c>
      <c r="AL383" s="476">
        <f t="shared" si="626"/>
        <v>0</v>
      </c>
      <c r="AM383" s="476">
        <f t="shared" si="627"/>
        <v>0</v>
      </c>
      <c r="AN383" s="476">
        <f t="shared" si="628"/>
        <v>0</v>
      </c>
      <c r="AO383" s="476">
        <f t="shared" si="629"/>
        <v>0</v>
      </c>
      <c r="AP383" s="476">
        <f t="shared" si="630"/>
        <v>0</v>
      </c>
      <c r="AQ383" s="476">
        <f t="shared" si="631"/>
        <v>0</v>
      </c>
      <c r="AR383" s="476">
        <f t="shared" si="632"/>
        <v>0</v>
      </c>
      <c r="AS383" s="476">
        <f t="shared" si="633"/>
        <v>0</v>
      </c>
      <c r="AT383" s="476">
        <f t="shared" si="634"/>
        <v>0</v>
      </c>
      <c r="AU383" s="476">
        <f t="shared" si="635"/>
        <v>0</v>
      </c>
      <c r="AV383" s="476">
        <f t="shared" si="636"/>
        <v>13192587</v>
      </c>
      <c r="AW383" s="476">
        <f t="shared" si="637"/>
        <v>39801207.060000002</v>
      </c>
      <c r="AX383" s="476">
        <f t="shared" si="638"/>
        <v>0</v>
      </c>
      <c r="AY383" s="476">
        <f t="shared" si="639"/>
        <v>0</v>
      </c>
      <c r="AZ383" s="476">
        <f t="shared" si="640"/>
        <v>0</v>
      </c>
      <c r="BA383" s="476">
        <f t="shared" si="641"/>
        <v>0</v>
      </c>
      <c r="BB383" s="476">
        <f t="shared" si="642"/>
        <v>0</v>
      </c>
      <c r="BC383" s="476">
        <f t="shared" si="643"/>
        <v>0</v>
      </c>
      <c r="BD383" s="476">
        <f t="shared" si="644"/>
        <v>0</v>
      </c>
      <c r="BE383" s="476">
        <f t="shared" si="645"/>
        <v>0</v>
      </c>
      <c r="BF383" s="476">
        <f t="shared" si="646"/>
        <v>0</v>
      </c>
      <c r="BG383" s="476">
        <f t="shared" si="647"/>
        <v>0</v>
      </c>
    </row>
    <row r="384" spans="1:59" ht="16.5" customHeight="1">
      <c r="A384" s="585" t="s">
        <v>766</v>
      </c>
      <c r="B384" s="585" t="s">
        <v>1114</v>
      </c>
      <c r="C384" s="584" t="s">
        <v>1839</v>
      </c>
      <c r="D384" s="413" t="s">
        <v>1051</v>
      </c>
      <c r="E384" s="412" t="s">
        <v>466</v>
      </c>
      <c r="F384" s="413" t="s">
        <v>1057</v>
      </c>
      <c r="G384" s="412" t="s">
        <v>1112</v>
      </c>
      <c r="H384" s="412" t="s">
        <v>992</v>
      </c>
      <c r="I384" s="477">
        <v>1374205</v>
      </c>
      <c r="J384" s="477">
        <v>1374205</v>
      </c>
      <c r="K384" s="477"/>
      <c r="L384" s="477"/>
      <c r="M384" s="477">
        <f t="shared" si="602"/>
        <v>1374205</v>
      </c>
      <c r="N384" s="477">
        <f t="shared" si="603"/>
        <v>1374205</v>
      </c>
      <c r="O384" s="477"/>
      <c r="P384" s="477"/>
      <c r="Q384" s="477">
        <f t="shared" si="604"/>
        <v>1374205</v>
      </c>
      <c r="R384" s="477">
        <f t="shared" si="605"/>
        <v>1374205</v>
      </c>
      <c r="S384" s="477">
        <f t="shared" si="606"/>
        <v>0</v>
      </c>
      <c r="V384" s="476">
        <f t="shared" si="610"/>
        <v>0</v>
      </c>
      <c r="W384" s="476">
        <f t="shared" si="611"/>
        <v>0</v>
      </c>
      <c r="X384" s="476">
        <f t="shared" si="612"/>
        <v>0</v>
      </c>
      <c r="Y384" s="476">
        <f t="shared" si="613"/>
        <v>0</v>
      </c>
      <c r="Z384" s="476">
        <f t="shared" si="614"/>
        <v>0</v>
      </c>
      <c r="AA384" s="476">
        <f t="shared" si="615"/>
        <v>0</v>
      </c>
      <c r="AB384" s="476">
        <f t="shared" si="616"/>
        <v>0</v>
      </c>
      <c r="AC384" s="476">
        <f t="shared" si="617"/>
        <v>0</v>
      </c>
      <c r="AD384" s="476">
        <f t="shared" si="618"/>
        <v>0</v>
      </c>
      <c r="AE384" s="476">
        <f t="shared" si="619"/>
        <v>0</v>
      </c>
      <c r="AF384" s="476">
        <f t="shared" si="620"/>
        <v>0</v>
      </c>
      <c r="AG384" s="476">
        <f t="shared" si="621"/>
        <v>0</v>
      </c>
      <c r="AH384" s="476">
        <f t="shared" si="622"/>
        <v>0</v>
      </c>
      <c r="AI384" s="476">
        <f t="shared" si="623"/>
        <v>0</v>
      </c>
      <c r="AJ384" s="476">
        <f t="shared" si="624"/>
        <v>0</v>
      </c>
      <c r="AK384" s="476">
        <f t="shared" si="625"/>
        <v>0</v>
      </c>
      <c r="AL384" s="476">
        <f t="shared" si="626"/>
        <v>0</v>
      </c>
      <c r="AM384" s="476">
        <f t="shared" si="627"/>
        <v>0</v>
      </c>
      <c r="AN384" s="476">
        <f t="shared" si="628"/>
        <v>1374205</v>
      </c>
      <c r="AO384" s="476">
        <f t="shared" si="629"/>
        <v>1374205</v>
      </c>
      <c r="AP384" s="476">
        <f t="shared" si="630"/>
        <v>0</v>
      </c>
      <c r="AQ384" s="476">
        <f t="shared" si="631"/>
        <v>0</v>
      </c>
      <c r="AR384" s="476">
        <f t="shared" si="632"/>
        <v>0</v>
      </c>
      <c r="AS384" s="476">
        <f t="shared" si="633"/>
        <v>0</v>
      </c>
      <c r="AT384" s="476">
        <f t="shared" si="634"/>
        <v>0</v>
      </c>
      <c r="AU384" s="476">
        <f t="shared" si="635"/>
        <v>0</v>
      </c>
      <c r="AV384" s="476">
        <f t="shared" si="636"/>
        <v>0</v>
      </c>
      <c r="AW384" s="476">
        <f t="shared" si="637"/>
        <v>0</v>
      </c>
      <c r="AX384" s="476">
        <f t="shared" si="638"/>
        <v>0</v>
      </c>
      <c r="AY384" s="476">
        <f t="shared" si="639"/>
        <v>0</v>
      </c>
      <c r="AZ384" s="476">
        <f t="shared" si="640"/>
        <v>0</v>
      </c>
      <c r="BA384" s="476">
        <f t="shared" si="641"/>
        <v>0</v>
      </c>
      <c r="BB384" s="476">
        <f t="shared" si="642"/>
        <v>0</v>
      </c>
      <c r="BC384" s="476">
        <f t="shared" si="643"/>
        <v>0</v>
      </c>
      <c r="BD384" s="476">
        <f t="shared" si="644"/>
        <v>0</v>
      </c>
      <c r="BE384" s="476">
        <f t="shared" si="645"/>
        <v>0</v>
      </c>
      <c r="BF384" s="476">
        <f t="shared" si="646"/>
        <v>0</v>
      </c>
      <c r="BG384" s="476">
        <f t="shared" si="647"/>
        <v>0</v>
      </c>
    </row>
    <row r="385" spans="1:59" ht="16.5" customHeight="1">
      <c r="A385" s="585" t="s">
        <v>767</v>
      </c>
      <c r="B385" s="585" t="s">
        <v>1115</v>
      </c>
      <c r="C385" s="584" t="s">
        <v>1840</v>
      </c>
      <c r="D385" s="413" t="s">
        <v>1051</v>
      </c>
      <c r="E385" s="412" t="s">
        <v>466</v>
      </c>
      <c r="F385" s="413" t="s">
        <v>1057</v>
      </c>
      <c r="G385" s="412" t="s">
        <v>1112</v>
      </c>
      <c r="H385" s="412" t="s">
        <v>992</v>
      </c>
      <c r="I385" s="477">
        <v>769000</v>
      </c>
      <c r="J385" s="477">
        <v>769000</v>
      </c>
      <c r="K385" s="477"/>
      <c r="L385" s="477"/>
      <c r="M385" s="477">
        <f t="shared" si="602"/>
        <v>769000</v>
      </c>
      <c r="N385" s="477">
        <f t="shared" si="603"/>
        <v>769000</v>
      </c>
      <c r="O385" s="477"/>
      <c r="P385" s="477"/>
      <c r="Q385" s="477">
        <f t="shared" si="604"/>
        <v>769000</v>
      </c>
      <c r="R385" s="477">
        <f t="shared" si="605"/>
        <v>769000</v>
      </c>
      <c r="S385" s="477">
        <f t="shared" si="606"/>
        <v>0</v>
      </c>
      <c r="V385" s="476">
        <f t="shared" si="610"/>
        <v>0</v>
      </c>
      <c r="W385" s="476">
        <f t="shared" si="611"/>
        <v>0</v>
      </c>
      <c r="X385" s="476">
        <f t="shared" si="612"/>
        <v>0</v>
      </c>
      <c r="Y385" s="476">
        <f t="shared" si="613"/>
        <v>0</v>
      </c>
      <c r="Z385" s="476">
        <f t="shared" si="614"/>
        <v>0</v>
      </c>
      <c r="AA385" s="476">
        <f t="shared" si="615"/>
        <v>0</v>
      </c>
      <c r="AB385" s="476">
        <f t="shared" si="616"/>
        <v>0</v>
      </c>
      <c r="AC385" s="476">
        <f t="shared" si="617"/>
        <v>0</v>
      </c>
      <c r="AD385" s="476">
        <f t="shared" si="618"/>
        <v>0</v>
      </c>
      <c r="AE385" s="476">
        <f t="shared" si="619"/>
        <v>0</v>
      </c>
      <c r="AF385" s="476">
        <f t="shared" si="620"/>
        <v>0</v>
      </c>
      <c r="AG385" s="476">
        <f t="shared" si="621"/>
        <v>0</v>
      </c>
      <c r="AH385" s="476">
        <f t="shared" si="622"/>
        <v>0</v>
      </c>
      <c r="AI385" s="476">
        <f t="shared" si="623"/>
        <v>0</v>
      </c>
      <c r="AJ385" s="476">
        <f t="shared" si="624"/>
        <v>0</v>
      </c>
      <c r="AK385" s="476">
        <f t="shared" si="625"/>
        <v>0</v>
      </c>
      <c r="AL385" s="476">
        <f t="shared" si="626"/>
        <v>0</v>
      </c>
      <c r="AM385" s="476">
        <f t="shared" si="627"/>
        <v>0</v>
      </c>
      <c r="AN385" s="476">
        <f t="shared" si="628"/>
        <v>769000</v>
      </c>
      <c r="AO385" s="476">
        <f t="shared" si="629"/>
        <v>769000</v>
      </c>
      <c r="AP385" s="476">
        <f t="shared" si="630"/>
        <v>0</v>
      </c>
      <c r="AQ385" s="476">
        <f t="shared" si="631"/>
        <v>0</v>
      </c>
      <c r="AR385" s="476">
        <f t="shared" si="632"/>
        <v>0</v>
      </c>
      <c r="AS385" s="476">
        <f t="shared" si="633"/>
        <v>0</v>
      </c>
      <c r="AT385" s="476">
        <f t="shared" si="634"/>
        <v>0</v>
      </c>
      <c r="AU385" s="476">
        <f t="shared" si="635"/>
        <v>0</v>
      </c>
      <c r="AV385" s="476">
        <f t="shared" si="636"/>
        <v>0</v>
      </c>
      <c r="AW385" s="476">
        <f t="shared" si="637"/>
        <v>0</v>
      </c>
      <c r="AX385" s="476">
        <f t="shared" si="638"/>
        <v>0</v>
      </c>
      <c r="AY385" s="476">
        <f t="shared" si="639"/>
        <v>0</v>
      </c>
      <c r="AZ385" s="476">
        <f t="shared" si="640"/>
        <v>0</v>
      </c>
      <c r="BA385" s="476">
        <f t="shared" si="641"/>
        <v>0</v>
      </c>
      <c r="BB385" s="476">
        <f t="shared" si="642"/>
        <v>0</v>
      </c>
      <c r="BC385" s="476">
        <f t="shared" si="643"/>
        <v>0</v>
      </c>
      <c r="BD385" s="476">
        <f t="shared" si="644"/>
        <v>0</v>
      </c>
      <c r="BE385" s="476">
        <f t="shared" si="645"/>
        <v>0</v>
      </c>
      <c r="BF385" s="476">
        <f t="shared" si="646"/>
        <v>0</v>
      </c>
      <c r="BG385" s="476">
        <f t="shared" si="647"/>
        <v>0</v>
      </c>
    </row>
    <row r="386" spans="1:59" ht="16.5" customHeight="1">
      <c r="A386" s="585" t="s">
        <v>768</v>
      </c>
      <c r="B386" s="585" t="s">
        <v>1116</v>
      </c>
      <c r="C386" s="584" t="s">
        <v>1841</v>
      </c>
      <c r="D386" s="413" t="s">
        <v>1051</v>
      </c>
      <c r="E386" s="412" t="s">
        <v>466</v>
      </c>
      <c r="F386" s="413" t="s">
        <v>1057</v>
      </c>
      <c r="G386" s="412" t="s">
        <v>1112</v>
      </c>
      <c r="H386" s="412" t="s">
        <v>1275</v>
      </c>
      <c r="I386" s="477">
        <v>156000</v>
      </c>
      <c r="J386" s="477">
        <v>156000</v>
      </c>
      <c r="K386" s="477"/>
      <c r="L386" s="477"/>
      <c r="M386" s="477">
        <f t="shared" si="602"/>
        <v>156000</v>
      </c>
      <c r="N386" s="477">
        <f t="shared" si="603"/>
        <v>156000</v>
      </c>
      <c r="O386" s="477"/>
      <c r="P386" s="477"/>
      <c r="Q386" s="477">
        <f t="shared" si="604"/>
        <v>156000</v>
      </c>
      <c r="R386" s="477">
        <f t="shared" si="605"/>
        <v>156000</v>
      </c>
      <c r="S386" s="477">
        <f t="shared" si="606"/>
        <v>0</v>
      </c>
      <c r="V386" s="476">
        <f t="shared" si="610"/>
        <v>0</v>
      </c>
      <c r="W386" s="476">
        <f t="shared" si="611"/>
        <v>0</v>
      </c>
      <c r="X386" s="476">
        <f t="shared" si="612"/>
        <v>0</v>
      </c>
      <c r="Y386" s="476">
        <f t="shared" si="613"/>
        <v>0</v>
      </c>
      <c r="Z386" s="476">
        <f t="shared" si="614"/>
        <v>0</v>
      </c>
      <c r="AA386" s="476">
        <f t="shared" si="615"/>
        <v>0</v>
      </c>
      <c r="AB386" s="476">
        <f t="shared" si="616"/>
        <v>0</v>
      </c>
      <c r="AC386" s="476">
        <f t="shared" si="617"/>
        <v>0</v>
      </c>
      <c r="AD386" s="476">
        <f t="shared" si="618"/>
        <v>0</v>
      </c>
      <c r="AE386" s="476">
        <f t="shared" si="619"/>
        <v>0</v>
      </c>
      <c r="AF386" s="476">
        <f t="shared" si="620"/>
        <v>0</v>
      </c>
      <c r="AG386" s="476">
        <f t="shared" si="621"/>
        <v>0</v>
      </c>
      <c r="AH386" s="476">
        <f t="shared" si="622"/>
        <v>0</v>
      </c>
      <c r="AI386" s="476">
        <f t="shared" si="623"/>
        <v>0</v>
      </c>
      <c r="AJ386" s="476">
        <f t="shared" si="624"/>
        <v>0</v>
      </c>
      <c r="AK386" s="476">
        <f t="shared" si="625"/>
        <v>0</v>
      </c>
      <c r="AL386" s="476">
        <f t="shared" si="626"/>
        <v>0</v>
      </c>
      <c r="AM386" s="476">
        <f t="shared" si="627"/>
        <v>0</v>
      </c>
      <c r="AN386" s="476">
        <f t="shared" si="628"/>
        <v>0</v>
      </c>
      <c r="AO386" s="476">
        <f t="shared" si="629"/>
        <v>0</v>
      </c>
      <c r="AP386" s="476">
        <f t="shared" si="630"/>
        <v>0</v>
      </c>
      <c r="AQ386" s="476">
        <f t="shared" si="631"/>
        <v>0</v>
      </c>
      <c r="AR386" s="476">
        <f t="shared" si="632"/>
        <v>0</v>
      </c>
      <c r="AS386" s="476">
        <f t="shared" si="633"/>
        <v>0</v>
      </c>
      <c r="AT386" s="476">
        <f t="shared" si="634"/>
        <v>0</v>
      </c>
      <c r="AU386" s="476">
        <f t="shared" si="635"/>
        <v>0</v>
      </c>
      <c r="AV386" s="476">
        <f t="shared" si="636"/>
        <v>0</v>
      </c>
      <c r="AW386" s="476">
        <f t="shared" si="637"/>
        <v>0</v>
      </c>
      <c r="AX386" s="476">
        <f t="shared" si="638"/>
        <v>0</v>
      </c>
      <c r="AY386" s="476">
        <f t="shared" si="639"/>
        <v>0</v>
      </c>
      <c r="AZ386" s="476">
        <f t="shared" si="640"/>
        <v>0</v>
      </c>
      <c r="BA386" s="476">
        <f t="shared" si="641"/>
        <v>0</v>
      </c>
      <c r="BB386" s="476">
        <f t="shared" si="642"/>
        <v>0</v>
      </c>
      <c r="BC386" s="476">
        <f t="shared" si="643"/>
        <v>0</v>
      </c>
      <c r="BD386" s="476">
        <f t="shared" si="644"/>
        <v>0</v>
      </c>
      <c r="BE386" s="476">
        <f t="shared" si="645"/>
        <v>0</v>
      </c>
      <c r="BF386" s="476">
        <f t="shared" si="646"/>
        <v>0</v>
      </c>
      <c r="BG386" s="476">
        <f t="shared" si="647"/>
        <v>0</v>
      </c>
    </row>
    <row r="387" spans="1:59" ht="16.5" customHeight="1">
      <c r="A387" s="585" t="s">
        <v>773</v>
      </c>
      <c r="B387" s="585" t="s">
        <v>1117</v>
      </c>
      <c r="C387" s="584" t="s">
        <v>1842</v>
      </c>
      <c r="D387" s="413" t="s">
        <v>1051</v>
      </c>
      <c r="E387" s="412" t="s">
        <v>466</v>
      </c>
      <c r="F387" s="413" t="s">
        <v>1057</v>
      </c>
      <c r="G387" s="412" t="s">
        <v>1112</v>
      </c>
      <c r="H387" s="412" t="s">
        <v>1055</v>
      </c>
      <c r="I387" s="477">
        <v>225589</v>
      </c>
      <c r="J387" s="477">
        <v>225589</v>
      </c>
      <c r="K387" s="477"/>
      <c r="L387" s="477"/>
      <c r="M387" s="477">
        <f t="shared" si="602"/>
        <v>225589</v>
      </c>
      <c r="N387" s="477">
        <f t="shared" si="603"/>
        <v>225589</v>
      </c>
      <c r="O387" s="477"/>
      <c r="P387" s="477"/>
      <c r="Q387" s="477">
        <f t="shared" si="604"/>
        <v>225589</v>
      </c>
      <c r="R387" s="477">
        <f t="shared" si="605"/>
        <v>225589</v>
      </c>
      <c r="S387" s="477">
        <f t="shared" si="606"/>
        <v>0</v>
      </c>
      <c r="V387" s="476">
        <f t="shared" si="610"/>
        <v>0</v>
      </c>
      <c r="W387" s="476">
        <f t="shared" si="611"/>
        <v>0</v>
      </c>
      <c r="X387" s="476">
        <f t="shared" si="612"/>
        <v>0</v>
      </c>
      <c r="Y387" s="476">
        <f t="shared" si="613"/>
        <v>0</v>
      </c>
      <c r="Z387" s="476">
        <f t="shared" si="614"/>
        <v>0</v>
      </c>
      <c r="AA387" s="476">
        <f t="shared" si="615"/>
        <v>0</v>
      </c>
      <c r="AB387" s="476">
        <f t="shared" si="616"/>
        <v>0</v>
      </c>
      <c r="AC387" s="476">
        <f t="shared" si="617"/>
        <v>0</v>
      </c>
      <c r="AD387" s="476">
        <f t="shared" si="618"/>
        <v>0</v>
      </c>
      <c r="AE387" s="476">
        <f t="shared" si="619"/>
        <v>0</v>
      </c>
      <c r="AF387" s="476">
        <f t="shared" si="620"/>
        <v>0</v>
      </c>
      <c r="AG387" s="476">
        <f t="shared" si="621"/>
        <v>0</v>
      </c>
      <c r="AH387" s="476">
        <f t="shared" si="622"/>
        <v>0</v>
      </c>
      <c r="AI387" s="476">
        <f t="shared" si="623"/>
        <v>0</v>
      </c>
      <c r="AJ387" s="476">
        <f t="shared" si="624"/>
        <v>0</v>
      </c>
      <c r="AK387" s="476">
        <f t="shared" si="625"/>
        <v>0</v>
      </c>
      <c r="AL387" s="476">
        <f t="shared" si="626"/>
        <v>0</v>
      </c>
      <c r="AM387" s="476">
        <f t="shared" si="627"/>
        <v>0</v>
      </c>
      <c r="AN387" s="476">
        <f t="shared" si="628"/>
        <v>0</v>
      </c>
      <c r="AO387" s="476">
        <f t="shared" si="629"/>
        <v>0</v>
      </c>
      <c r="AP387" s="476">
        <f t="shared" si="630"/>
        <v>0</v>
      </c>
      <c r="AQ387" s="476">
        <f t="shared" si="631"/>
        <v>0</v>
      </c>
      <c r="AR387" s="476">
        <f t="shared" si="632"/>
        <v>0</v>
      </c>
      <c r="AS387" s="476">
        <f t="shared" si="633"/>
        <v>0</v>
      </c>
      <c r="AT387" s="476">
        <f t="shared" si="634"/>
        <v>0</v>
      </c>
      <c r="AU387" s="476">
        <f t="shared" si="635"/>
        <v>0</v>
      </c>
      <c r="AV387" s="476">
        <f t="shared" si="636"/>
        <v>0</v>
      </c>
      <c r="AW387" s="476">
        <f t="shared" si="637"/>
        <v>0</v>
      </c>
      <c r="AX387" s="476">
        <f t="shared" si="638"/>
        <v>0</v>
      </c>
      <c r="AY387" s="476">
        <f t="shared" si="639"/>
        <v>0</v>
      </c>
      <c r="AZ387" s="476">
        <f t="shared" si="640"/>
        <v>0</v>
      </c>
      <c r="BA387" s="476">
        <f t="shared" si="641"/>
        <v>0</v>
      </c>
      <c r="BB387" s="476">
        <f t="shared" si="642"/>
        <v>225589</v>
      </c>
      <c r="BC387" s="476">
        <f t="shared" si="643"/>
        <v>225589</v>
      </c>
      <c r="BD387" s="476">
        <f t="shared" si="644"/>
        <v>0</v>
      </c>
      <c r="BE387" s="476">
        <f t="shared" si="645"/>
        <v>0</v>
      </c>
      <c r="BF387" s="476">
        <f t="shared" si="646"/>
        <v>0</v>
      </c>
      <c r="BG387" s="476">
        <f t="shared" si="647"/>
        <v>0</v>
      </c>
    </row>
    <row r="388" spans="1:59" ht="16.5" customHeight="1">
      <c r="A388" s="585" t="s">
        <v>1120</v>
      </c>
      <c r="B388" s="585" t="s">
        <v>1121</v>
      </c>
      <c r="C388" s="584" t="s">
        <v>1843</v>
      </c>
      <c r="D388" s="413" t="s">
        <v>1051</v>
      </c>
      <c r="E388" s="412" t="s">
        <v>466</v>
      </c>
      <c r="F388" s="413" t="s">
        <v>1057</v>
      </c>
      <c r="G388" s="412" t="s">
        <v>1112</v>
      </c>
      <c r="H388" s="412" t="s">
        <v>1022</v>
      </c>
      <c r="I388" s="477">
        <v>15000</v>
      </c>
      <c r="J388" s="477">
        <v>15000</v>
      </c>
      <c r="K388" s="477"/>
      <c r="L388" s="477"/>
      <c r="M388" s="477">
        <f t="shared" si="602"/>
        <v>15000</v>
      </c>
      <c r="N388" s="477">
        <f t="shared" si="603"/>
        <v>15000</v>
      </c>
      <c r="O388" s="477"/>
      <c r="P388" s="477"/>
      <c r="Q388" s="477">
        <f t="shared" si="604"/>
        <v>15000</v>
      </c>
      <c r="R388" s="477">
        <f t="shared" si="605"/>
        <v>15000</v>
      </c>
      <c r="S388" s="477">
        <f t="shared" si="606"/>
        <v>0</v>
      </c>
      <c r="V388" s="476">
        <f t="shared" si="610"/>
        <v>0</v>
      </c>
      <c r="W388" s="476">
        <f t="shared" si="611"/>
        <v>0</v>
      </c>
      <c r="X388" s="476">
        <f t="shared" si="612"/>
        <v>0</v>
      </c>
      <c r="Y388" s="476">
        <f t="shared" si="613"/>
        <v>0</v>
      </c>
      <c r="Z388" s="476">
        <f t="shared" si="614"/>
        <v>0</v>
      </c>
      <c r="AA388" s="476">
        <f t="shared" si="615"/>
        <v>0</v>
      </c>
      <c r="AB388" s="476">
        <f t="shared" si="616"/>
        <v>0</v>
      </c>
      <c r="AC388" s="476">
        <f t="shared" si="617"/>
        <v>0</v>
      </c>
      <c r="AD388" s="476">
        <f t="shared" si="618"/>
        <v>0</v>
      </c>
      <c r="AE388" s="476">
        <f t="shared" si="619"/>
        <v>0</v>
      </c>
      <c r="AF388" s="476">
        <f t="shared" si="620"/>
        <v>0</v>
      </c>
      <c r="AG388" s="476">
        <f t="shared" si="621"/>
        <v>0</v>
      </c>
      <c r="AH388" s="476">
        <f t="shared" si="622"/>
        <v>0</v>
      </c>
      <c r="AI388" s="476">
        <f t="shared" si="623"/>
        <v>0</v>
      </c>
      <c r="AJ388" s="476">
        <f t="shared" si="624"/>
        <v>0</v>
      </c>
      <c r="AK388" s="476">
        <f t="shared" si="625"/>
        <v>0</v>
      </c>
      <c r="AL388" s="476">
        <f t="shared" si="626"/>
        <v>0</v>
      </c>
      <c r="AM388" s="476">
        <f t="shared" si="627"/>
        <v>0</v>
      </c>
      <c r="AN388" s="476">
        <f t="shared" si="628"/>
        <v>0</v>
      </c>
      <c r="AO388" s="476">
        <f t="shared" si="629"/>
        <v>0</v>
      </c>
      <c r="AP388" s="476">
        <f t="shared" si="630"/>
        <v>0</v>
      </c>
      <c r="AQ388" s="476">
        <f t="shared" si="631"/>
        <v>0</v>
      </c>
      <c r="AR388" s="476">
        <f t="shared" si="632"/>
        <v>0</v>
      </c>
      <c r="AS388" s="476">
        <f t="shared" si="633"/>
        <v>0</v>
      </c>
      <c r="AT388" s="476">
        <f t="shared" si="634"/>
        <v>0</v>
      </c>
      <c r="AU388" s="476">
        <f t="shared" si="635"/>
        <v>0</v>
      </c>
      <c r="AV388" s="476">
        <f t="shared" si="636"/>
        <v>15000</v>
      </c>
      <c r="AW388" s="476">
        <f t="shared" si="637"/>
        <v>15000</v>
      </c>
      <c r="AX388" s="476">
        <f t="shared" si="638"/>
        <v>0</v>
      </c>
      <c r="AY388" s="476">
        <f t="shared" si="639"/>
        <v>0</v>
      </c>
      <c r="AZ388" s="476">
        <f t="shared" si="640"/>
        <v>0</v>
      </c>
      <c r="BA388" s="476">
        <f t="shared" si="641"/>
        <v>0</v>
      </c>
      <c r="BB388" s="476">
        <f t="shared" si="642"/>
        <v>0</v>
      </c>
      <c r="BC388" s="476">
        <f t="shared" si="643"/>
        <v>0</v>
      </c>
      <c r="BD388" s="476">
        <f t="shared" si="644"/>
        <v>0</v>
      </c>
      <c r="BE388" s="476">
        <f t="shared" si="645"/>
        <v>0</v>
      </c>
      <c r="BF388" s="476">
        <f t="shared" si="646"/>
        <v>0</v>
      </c>
      <c r="BG388" s="476">
        <f t="shared" si="647"/>
        <v>0</v>
      </c>
    </row>
    <row r="389" spans="1:59" ht="16.5" customHeight="1">
      <c r="A389" s="585" t="s">
        <v>765</v>
      </c>
      <c r="B389" s="585" t="s">
        <v>1261</v>
      </c>
      <c r="C389" s="584" t="s">
        <v>148</v>
      </c>
      <c r="D389" s="413" t="s">
        <v>1051</v>
      </c>
      <c r="E389" s="412" t="s">
        <v>466</v>
      </c>
      <c r="F389" s="413" t="s">
        <v>1057</v>
      </c>
      <c r="G389" s="412" t="s">
        <v>1112</v>
      </c>
      <c r="H389" s="412" t="s">
        <v>974</v>
      </c>
      <c r="I389" s="477">
        <v>200000</v>
      </c>
      <c r="J389" s="477">
        <v>200000</v>
      </c>
      <c r="K389" s="477"/>
      <c r="L389" s="477"/>
      <c r="M389" s="477">
        <f t="shared" si="602"/>
        <v>200000</v>
      </c>
      <c r="N389" s="477">
        <f t="shared" si="603"/>
        <v>200000</v>
      </c>
      <c r="O389" s="477"/>
      <c r="P389" s="477"/>
      <c r="Q389" s="477">
        <f t="shared" si="604"/>
        <v>200000</v>
      </c>
      <c r="R389" s="477">
        <f t="shared" si="605"/>
        <v>200000</v>
      </c>
      <c r="S389" s="477">
        <f t="shared" si="606"/>
        <v>0</v>
      </c>
      <c r="V389" s="476">
        <f t="shared" si="610"/>
        <v>200000</v>
      </c>
      <c r="W389" s="476">
        <f t="shared" si="611"/>
        <v>200000</v>
      </c>
      <c r="X389" s="476">
        <f t="shared" si="612"/>
        <v>0</v>
      </c>
      <c r="Y389" s="476">
        <f t="shared" si="613"/>
        <v>0</v>
      </c>
      <c r="Z389" s="476">
        <f t="shared" si="614"/>
        <v>0</v>
      </c>
      <c r="AA389" s="476">
        <f t="shared" si="615"/>
        <v>0</v>
      </c>
      <c r="AB389" s="476">
        <f t="shared" si="616"/>
        <v>0</v>
      </c>
      <c r="AC389" s="476">
        <f t="shared" si="617"/>
        <v>0</v>
      </c>
      <c r="AD389" s="476">
        <f t="shared" si="618"/>
        <v>0</v>
      </c>
      <c r="AE389" s="476">
        <f t="shared" si="619"/>
        <v>0</v>
      </c>
      <c r="AF389" s="476">
        <f t="shared" si="620"/>
        <v>0</v>
      </c>
      <c r="AG389" s="476">
        <f t="shared" si="621"/>
        <v>0</v>
      </c>
      <c r="AH389" s="476">
        <f t="shared" si="622"/>
        <v>0</v>
      </c>
      <c r="AI389" s="476">
        <f t="shared" si="623"/>
        <v>0</v>
      </c>
      <c r="AJ389" s="476">
        <f t="shared" si="624"/>
        <v>0</v>
      </c>
      <c r="AK389" s="476">
        <f t="shared" si="625"/>
        <v>0</v>
      </c>
      <c r="AL389" s="476">
        <f t="shared" si="626"/>
        <v>0</v>
      </c>
      <c r="AM389" s="476">
        <f t="shared" si="627"/>
        <v>0</v>
      </c>
      <c r="AN389" s="476">
        <f t="shared" si="628"/>
        <v>0</v>
      </c>
      <c r="AO389" s="476">
        <f t="shared" si="629"/>
        <v>0</v>
      </c>
      <c r="AP389" s="476">
        <f t="shared" si="630"/>
        <v>0</v>
      </c>
      <c r="AQ389" s="476">
        <f t="shared" si="631"/>
        <v>0</v>
      </c>
      <c r="AR389" s="476">
        <f t="shared" si="632"/>
        <v>0</v>
      </c>
      <c r="AS389" s="476">
        <f t="shared" si="633"/>
        <v>0</v>
      </c>
      <c r="AT389" s="476">
        <f t="shared" si="634"/>
        <v>0</v>
      </c>
      <c r="AU389" s="476">
        <f t="shared" si="635"/>
        <v>0</v>
      </c>
      <c r="AV389" s="476">
        <f t="shared" si="636"/>
        <v>0</v>
      </c>
      <c r="AW389" s="476">
        <f t="shared" si="637"/>
        <v>0</v>
      </c>
      <c r="AX389" s="476">
        <f t="shared" si="638"/>
        <v>0</v>
      </c>
      <c r="AY389" s="476">
        <f t="shared" si="639"/>
        <v>0</v>
      </c>
      <c r="AZ389" s="476">
        <f t="shared" si="640"/>
        <v>0</v>
      </c>
      <c r="BA389" s="476">
        <f t="shared" si="641"/>
        <v>0</v>
      </c>
      <c r="BB389" s="476">
        <f t="shared" si="642"/>
        <v>0</v>
      </c>
      <c r="BC389" s="476">
        <f t="shared" si="643"/>
        <v>0</v>
      </c>
      <c r="BD389" s="476">
        <f t="shared" si="644"/>
        <v>0</v>
      </c>
      <c r="BE389" s="476">
        <f t="shared" si="645"/>
        <v>0</v>
      </c>
      <c r="BF389" s="476">
        <f t="shared" si="646"/>
        <v>0</v>
      </c>
      <c r="BG389" s="476">
        <f t="shared" si="647"/>
        <v>0</v>
      </c>
    </row>
    <row r="390" spans="1:59" ht="16.5" customHeight="1">
      <c r="A390" s="585" t="s">
        <v>1249</v>
      </c>
      <c r="B390" s="585" t="s">
        <v>1262</v>
      </c>
      <c r="C390" s="584" t="s">
        <v>1844</v>
      </c>
      <c r="D390" s="413" t="s">
        <v>1051</v>
      </c>
      <c r="E390" s="412" t="s">
        <v>466</v>
      </c>
      <c r="F390" s="413" t="s">
        <v>1057</v>
      </c>
      <c r="G390" s="412" t="s">
        <v>1112</v>
      </c>
      <c r="H390" s="412" t="s">
        <v>974</v>
      </c>
      <c r="I390" s="477">
        <v>131000</v>
      </c>
      <c r="J390" s="477">
        <v>131000</v>
      </c>
      <c r="K390" s="477"/>
      <c r="L390" s="477"/>
      <c r="M390" s="477">
        <f t="shared" si="602"/>
        <v>131000</v>
      </c>
      <c r="N390" s="477">
        <f t="shared" si="603"/>
        <v>131000</v>
      </c>
      <c r="O390" s="477"/>
      <c r="P390" s="477"/>
      <c r="Q390" s="477">
        <f t="shared" si="604"/>
        <v>131000</v>
      </c>
      <c r="R390" s="477">
        <f t="shared" si="605"/>
        <v>131000</v>
      </c>
      <c r="S390" s="477">
        <f t="shared" si="606"/>
        <v>0</v>
      </c>
      <c r="U390" s="472">
        <v>577200</v>
      </c>
      <c r="V390" s="476">
        <f t="shared" si="610"/>
        <v>131000</v>
      </c>
      <c r="W390" s="476">
        <f t="shared" si="611"/>
        <v>131000</v>
      </c>
      <c r="X390" s="476">
        <f t="shared" si="612"/>
        <v>0</v>
      </c>
      <c r="Y390" s="476">
        <f t="shared" si="613"/>
        <v>0</v>
      </c>
      <c r="Z390" s="476">
        <f t="shared" si="614"/>
        <v>0</v>
      </c>
      <c r="AA390" s="476">
        <f t="shared" si="615"/>
        <v>0</v>
      </c>
      <c r="AB390" s="476">
        <f t="shared" si="616"/>
        <v>0</v>
      </c>
      <c r="AC390" s="476">
        <f t="shared" si="617"/>
        <v>0</v>
      </c>
      <c r="AD390" s="476">
        <f t="shared" si="618"/>
        <v>0</v>
      </c>
      <c r="AE390" s="476">
        <f t="shared" si="619"/>
        <v>0</v>
      </c>
      <c r="AF390" s="476">
        <f t="shared" si="620"/>
        <v>0</v>
      </c>
      <c r="AG390" s="476">
        <f t="shared" si="621"/>
        <v>0</v>
      </c>
      <c r="AH390" s="476">
        <f t="shared" si="622"/>
        <v>0</v>
      </c>
      <c r="AI390" s="476">
        <f t="shared" si="623"/>
        <v>0</v>
      </c>
      <c r="AJ390" s="476">
        <f t="shared" si="624"/>
        <v>0</v>
      </c>
      <c r="AK390" s="476">
        <f t="shared" si="625"/>
        <v>0</v>
      </c>
      <c r="AL390" s="476">
        <f t="shared" si="626"/>
        <v>0</v>
      </c>
      <c r="AM390" s="476">
        <f t="shared" si="627"/>
        <v>0</v>
      </c>
      <c r="AN390" s="476">
        <f t="shared" si="628"/>
        <v>0</v>
      </c>
      <c r="AO390" s="476">
        <f t="shared" si="629"/>
        <v>0</v>
      </c>
      <c r="AP390" s="476">
        <f t="shared" si="630"/>
        <v>0</v>
      </c>
      <c r="AQ390" s="476">
        <f t="shared" si="631"/>
        <v>0</v>
      </c>
      <c r="AR390" s="476">
        <f t="shared" si="632"/>
        <v>0</v>
      </c>
      <c r="AS390" s="476">
        <f t="shared" si="633"/>
        <v>0</v>
      </c>
      <c r="AT390" s="476">
        <f t="shared" si="634"/>
        <v>0</v>
      </c>
      <c r="AU390" s="476">
        <f t="shared" si="635"/>
        <v>0</v>
      </c>
      <c r="AV390" s="476">
        <f t="shared" si="636"/>
        <v>0</v>
      </c>
      <c r="AW390" s="476">
        <f t="shared" si="637"/>
        <v>0</v>
      </c>
      <c r="AX390" s="476">
        <f t="shared" si="638"/>
        <v>0</v>
      </c>
      <c r="AY390" s="476">
        <f t="shared" si="639"/>
        <v>0</v>
      </c>
      <c r="AZ390" s="476">
        <f t="shared" si="640"/>
        <v>0</v>
      </c>
      <c r="BA390" s="476">
        <f t="shared" si="641"/>
        <v>0</v>
      </c>
      <c r="BB390" s="476">
        <f t="shared" si="642"/>
        <v>0</v>
      </c>
      <c r="BC390" s="476">
        <f t="shared" si="643"/>
        <v>0</v>
      </c>
      <c r="BD390" s="476">
        <f t="shared" si="644"/>
        <v>0</v>
      </c>
      <c r="BE390" s="476">
        <f t="shared" si="645"/>
        <v>0</v>
      </c>
      <c r="BF390" s="476">
        <f t="shared" si="646"/>
        <v>0</v>
      </c>
      <c r="BG390" s="476">
        <f t="shared" si="647"/>
        <v>0</v>
      </c>
    </row>
    <row r="391" spans="1:59" ht="16.5" customHeight="1">
      <c r="A391" s="585" t="s">
        <v>1249</v>
      </c>
      <c r="B391" s="585" t="s">
        <v>1262</v>
      </c>
      <c r="C391" s="584" t="s">
        <v>1845</v>
      </c>
      <c r="D391" s="413" t="s">
        <v>1051</v>
      </c>
      <c r="E391" s="412" t="s">
        <v>466</v>
      </c>
      <c r="F391" s="413" t="s">
        <v>1057</v>
      </c>
      <c r="G391" s="412" t="s">
        <v>1112</v>
      </c>
      <c r="H391" s="412" t="s">
        <v>1276</v>
      </c>
      <c r="I391" s="477">
        <v>344800</v>
      </c>
      <c r="J391" s="477">
        <v>344800</v>
      </c>
      <c r="K391" s="477"/>
      <c r="L391" s="477"/>
      <c r="M391" s="477">
        <f t="shared" si="602"/>
        <v>344800</v>
      </c>
      <c r="N391" s="477">
        <f t="shared" si="603"/>
        <v>344800</v>
      </c>
      <c r="O391" s="477"/>
      <c r="P391" s="477"/>
      <c r="Q391" s="477">
        <f t="shared" si="604"/>
        <v>344800</v>
      </c>
      <c r="R391" s="477">
        <f t="shared" si="605"/>
        <v>344800</v>
      </c>
      <c r="S391" s="477">
        <f t="shared" si="606"/>
        <v>0</v>
      </c>
      <c r="V391" s="476">
        <f t="shared" si="610"/>
        <v>0</v>
      </c>
      <c r="W391" s="476">
        <f t="shared" si="611"/>
        <v>0</v>
      </c>
      <c r="X391" s="476">
        <f t="shared" si="612"/>
        <v>0</v>
      </c>
      <c r="Y391" s="476">
        <f t="shared" si="613"/>
        <v>0</v>
      </c>
      <c r="Z391" s="476">
        <f t="shared" si="614"/>
        <v>0</v>
      </c>
      <c r="AA391" s="476">
        <f t="shared" si="615"/>
        <v>0</v>
      </c>
      <c r="AB391" s="476">
        <f t="shared" si="616"/>
        <v>0</v>
      </c>
      <c r="AC391" s="476">
        <f t="shared" si="617"/>
        <v>0</v>
      </c>
      <c r="AD391" s="476">
        <f t="shared" si="618"/>
        <v>0</v>
      </c>
      <c r="AE391" s="476">
        <f t="shared" si="619"/>
        <v>0</v>
      </c>
      <c r="AF391" s="476">
        <f t="shared" si="620"/>
        <v>0</v>
      </c>
      <c r="AG391" s="476">
        <f t="shared" si="621"/>
        <v>0</v>
      </c>
      <c r="AH391" s="476">
        <f t="shared" si="622"/>
        <v>0</v>
      </c>
      <c r="AI391" s="476">
        <f t="shared" si="623"/>
        <v>0</v>
      </c>
      <c r="AJ391" s="476">
        <f t="shared" si="624"/>
        <v>0</v>
      </c>
      <c r="AK391" s="476">
        <f t="shared" si="625"/>
        <v>0</v>
      </c>
      <c r="AL391" s="476">
        <f t="shared" si="626"/>
        <v>0</v>
      </c>
      <c r="AM391" s="476">
        <f t="shared" si="627"/>
        <v>0</v>
      </c>
      <c r="AN391" s="476">
        <f t="shared" si="628"/>
        <v>0</v>
      </c>
      <c r="AO391" s="476">
        <f t="shared" si="629"/>
        <v>0</v>
      </c>
      <c r="AP391" s="476">
        <f t="shared" si="630"/>
        <v>0</v>
      </c>
      <c r="AQ391" s="476">
        <f t="shared" si="631"/>
        <v>0</v>
      </c>
      <c r="AR391" s="476">
        <f t="shared" si="632"/>
        <v>0</v>
      </c>
      <c r="AS391" s="476">
        <f t="shared" si="633"/>
        <v>0</v>
      </c>
      <c r="AT391" s="476">
        <f t="shared" si="634"/>
        <v>0</v>
      </c>
      <c r="AU391" s="476">
        <f t="shared" si="635"/>
        <v>0</v>
      </c>
      <c r="AV391" s="476">
        <f t="shared" si="636"/>
        <v>0</v>
      </c>
      <c r="AW391" s="476">
        <f t="shared" si="637"/>
        <v>0</v>
      </c>
      <c r="AX391" s="476">
        <f t="shared" si="638"/>
        <v>0</v>
      </c>
      <c r="AY391" s="476">
        <f t="shared" si="639"/>
        <v>0</v>
      </c>
      <c r="AZ391" s="476">
        <f t="shared" si="640"/>
        <v>0</v>
      </c>
      <c r="BA391" s="476">
        <f t="shared" si="641"/>
        <v>0</v>
      </c>
      <c r="BB391" s="476">
        <f t="shared" si="642"/>
        <v>0</v>
      </c>
      <c r="BC391" s="476">
        <f t="shared" si="643"/>
        <v>0</v>
      </c>
      <c r="BD391" s="476">
        <f t="shared" si="644"/>
        <v>0</v>
      </c>
      <c r="BE391" s="476">
        <f t="shared" si="645"/>
        <v>0</v>
      </c>
      <c r="BF391" s="476">
        <f t="shared" si="646"/>
        <v>0</v>
      </c>
      <c r="BG391" s="476">
        <f t="shared" si="647"/>
        <v>0</v>
      </c>
    </row>
    <row r="392" spans="1:59" ht="16.5" customHeight="1">
      <c r="A392" s="585" t="s">
        <v>1332</v>
      </c>
      <c r="B392" s="585" t="s">
        <v>1333</v>
      </c>
      <c r="C392" s="584" t="s">
        <v>1846</v>
      </c>
      <c r="D392" s="413" t="s">
        <v>1051</v>
      </c>
      <c r="E392" s="412" t="s">
        <v>466</v>
      </c>
      <c r="F392" s="413" t="s">
        <v>1057</v>
      </c>
      <c r="G392" s="412" t="s">
        <v>1112</v>
      </c>
      <c r="H392" s="412"/>
      <c r="I392" s="477">
        <v>273000</v>
      </c>
      <c r="J392" s="477">
        <v>273000</v>
      </c>
      <c r="K392" s="477"/>
      <c r="L392" s="477"/>
      <c r="M392" s="477">
        <f t="shared" si="602"/>
        <v>273000</v>
      </c>
      <c r="N392" s="477">
        <f t="shared" si="603"/>
        <v>273000</v>
      </c>
      <c r="O392" s="477"/>
      <c r="P392" s="477"/>
      <c r="Q392" s="477">
        <f t="shared" si="604"/>
        <v>273000</v>
      </c>
      <c r="R392" s="477">
        <f t="shared" si="605"/>
        <v>273000</v>
      </c>
      <c r="S392" s="477">
        <f t="shared" si="606"/>
        <v>0</v>
      </c>
      <c r="V392" s="476">
        <f t="shared" si="610"/>
        <v>0</v>
      </c>
      <c r="W392" s="476">
        <f t="shared" si="611"/>
        <v>0</v>
      </c>
      <c r="X392" s="476">
        <f t="shared" si="612"/>
        <v>0</v>
      </c>
      <c r="Y392" s="476">
        <f t="shared" si="613"/>
        <v>0</v>
      </c>
      <c r="Z392" s="476">
        <f t="shared" si="614"/>
        <v>0</v>
      </c>
      <c r="AA392" s="476">
        <f t="shared" si="615"/>
        <v>0</v>
      </c>
      <c r="AB392" s="476">
        <f t="shared" si="616"/>
        <v>0</v>
      </c>
      <c r="AC392" s="476">
        <f t="shared" si="617"/>
        <v>0</v>
      </c>
      <c r="AD392" s="476">
        <f t="shared" si="618"/>
        <v>0</v>
      </c>
      <c r="AE392" s="476">
        <f t="shared" si="619"/>
        <v>0</v>
      </c>
      <c r="AF392" s="476">
        <f t="shared" si="620"/>
        <v>0</v>
      </c>
      <c r="AG392" s="476">
        <f t="shared" si="621"/>
        <v>0</v>
      </c>
      <c r="AH392" s="476">
        <f t="shared" si="622"/>
        <v>0</v>
      </c>
      <c r="AI392" s="476">
        <f t="shared" si="623"/>
        <v>0</v>
      </c>
      <c r="AJ392" s="476">
        <f t="shared" si="624"/>
        <v>0</v>
      </c>
      <c r="AK392" s="476">
        <f t="shared" si="625"/>
        <v>0</v>
      </c>
      <c r="AL392" s="476">
        <f t="shared" si="626"/>
        <v>0</v>
      </c>
      <c r="AM392" s="476">
        <f t="shared" si="627"/>
        <v>0</v>
      </c>
      <c r="AN392" s="476">
        <f t="shared" si="628"/>
        <v>0</v>
      </c>
      <c r="AO392" s="476">
        <f t="shared" si="629"/>
        <v>0</v>
      </c>
      <c r="AP392" s="476">
        <f t="shared" si="630"/>
        <v>0</v>
      </c>
      <c r="AQ392" s="476">
        <f t="shared" si="631"/>
        <v>0</v>
      </c>
      <c r="AR392" s="476">
        <f t="shared" si="632"/>
        <v>0</v>
      </c>
      <c r="AS392" s="476">
        <f t="shared" si="633"/>
        <v>0</v>
      </c>
      <c r="AT392" s="476">
        <f t="shared" si="634"/>
        <v>0</v>
      </c>
      <c r="AU392" s="476">
        <f t="shared" si="635"/>
        <v>0</v>
      </c>
      <c r="AV392" s="476">
        <f t="shared" si="636"/>
        <v>0</v>
      </c>
      <c r="AW392" s="476">
        <f t="shared" si="637"/>
        <v>0</v>
      </c>
      <c r="AX392" s="476">
        <f t="shared" si="638"/>
        <v>0</v>
      </c>
      <c r="AY392" s="476">
        <f t="shared" si="639"/>
        <v>0</v>
      </c>
      <c r="AZ392" s="476">
        <f t="shared" si="640"/>
        <v>0</v>
      </c>
      <c r="BA392" s="476">
        <f t="shared" si="641"/>
        <v>0</v>
      </c>
      <c r="BB392" s="476">
        <f t="shared" si="642"/>
        <v>0</v>
      </c>
      <c r="BC392" s="476">
        <f t="shared" si="643"/>
        <v>0</v>
      </c>
      <c r="BD392" s="476">
        <f t="shared" si="644"/>
        <v>0</v>
      </c>
      <c r="BE392" s="476">
        <f t="shared" si="645"/>
        <v>0</v>
      </c>
      <c r="BF392" s="476">
        <f t="shared" si="646"/>
        <v>0</v>
      </c>
      <c r="BG392" s="476">
        <f t="shared" si="647"/>
        <v>0</v>
      </c>
    </row>
    <row r="393" spans="1:59" ht="16.5" customHeight="1">
      <c r="A393" s="585" t="s">
        <v>1337</v>
      </c>
      <c r="B393" s="585" t="s">
        <v>1338</v>
      </c>
      <c r="C393" s="584" t="s">
        <v>1847</v>
      </c>
      <c r="D393" s="413" t="s">
        <v>1051</v>
      </c>
      <c r="E393" s="412" t="s">
        <v>466</v>
      </c>
      <c r="F393" s="413" t="s">
        <v>1057</v>
      </c>
      <c r="G393" s="412" t="s">
        <v>1112</v>
      </c>
      <c r="H393" s="412"/>
      <c r="I393" s="477">
        <v>58000</v>
      </c>
      <c r="J393" s="477">
        <v>58000</v>
      </c>
      <c r="K393" s="477"/>
      <c r="L393" s="477"/>
      <c r="M393" s="477">
        <f t="shared" si="602"/>
        <v>58000</v>
      </c>
      <c r="N393" s="477">
        <f t="shared" si="603"/>
        <v>58000</v>
      </c>
      <c r="O393" s="477"/>
      <c r="P393" s="477"/>
      <c r="Q393" s="477">
        <f t="shared" ref="Q393" si="648">+M393+O393</f>
        <v>58000</v>
      </c>
      <c r="R393" s="477">
        <f t="shared" ref="R393" si="649">+N393+P393</f>
        <v>58000</v>
      </c>
      <c r="S393" s="477">
        <f t="shared" ref="S393" si="650">+Q393-R393</f>
        <v>0</v>
      </c>
      <c r="V393" s="476"/>
      <c r="W393" s="476"/>
      <c r="X393" s="476"/>
      <c r="Y393" s="476"/>
      <c r="Z393" s="476"/>
      <c r="AA393" s="476"/>
      <c r="AB393" s="476"/>
      <c r="AC393" s="476"/>
      <c r="AD393" s="476"/>
      <c r="AE393" s="476"/>
      <c r="AF393" s="476"/>
      <c r="AG393" s="476"/>
      <c r="AH393" s="476"/>
      <c r="AI393" s="476"/>
      <c r="AJ393" s="476"/>
      <c r="AK393" s="476"/>
      <c r="AL393" s="476"/>
      <c r="AM393" s="476"/>
      <c r="AN393" s="476"/>
      <c r="AO393" s="476"/>
      <c r="AP393" s="476"/>
      <c r="AQ393" s="476"/>
      <c r="AR393" s="476"/>
      <c r="AS393" s="476"/>
      <c r="AT393" s="476"/>
      <c r="AU393" s="476"/>
      <c r="AV393" s="476"/>
      <c r="AW393" s="476"/>
      <c r="AX393" s="476"/>
      <c r="AY393" s="476"/>
      <c r="AZ393" s="476"/>
      <c r="BA393" s="476"/>
      <c r="BB393" s="476"/>
      <c r="BC393" s="476"/>
      <c r="BD393" s="476"/>
      <c r="BE393" s="476"/>
      <c r="BF393" s="476"/>
      <c r="BG393" s="476"/>
    </row>
    <row r="394" spans="1:59" ht="16.5" customHeight="1">
      <c r="A394" s="585" t="s">
        <v>696</v>
      </c>
      <c r="B394" s="585" t="s">
        <v>1056</v>
      </c>
      <c r="C394" s="584" t="s">
        <v>1848</v>
      </c>
      <c r="D394" s="413" t="s">
        <v>508</v>
      </c>
      <c r="E394" s="412" t="s">
        <v>330</v>
      </c>
      <c r="F394" s="413" t="s">
        <v>330</v>
      </c>
      <c r="G394" s="412" t="s">
        <v>330</v>
      </c>
      <c r="H394" s="412" t="s">
        <v>974</v>
      </c>
      <c r="I394" s="477">
        <v>0</v>
      </c>
      <c r="J394" s="477">
        <v>14070</v>
      </c>
      <c r="K394" s="477"/>
      <c r="L394" s="477"/>
      <c r="M394" s="477">
        <f t="shared" ref="M394:M457" si="651">+I394+K394</f>
        <v>0</v>
      </c>
      <c r="N394" s="477">
        <f t="shared" ref="N394:N457" si="652">+J394+L394</f>
        <v>14070</v>
      </c>
      <c r="O394" s="477"/>
      <c r="P394" s="477"/>
      <c r="Q394" s="477">
        <f t="shared" si="604"/>
        <v>0</v>
      </c>
      <c r="R394" s="477">
        <f t="shared" si="605"/>
        <v>14070</v>
      </c>
      <c r="S394" s="477">
        <f t="shared" si="606"/>
        <v>-14070</v>
      </c>
      <c r="V394" s="476">
        <f>IF($V$8=$H394,$Q394,0)</f>
        <v>0</v>
      </c>
      <c r="W394" s="476">
        <f>IF($V$8=$H394,$R394,0)</f>
        <v>14070</v>
      </c>
      <c r="X394" s="476">
        <f>IF($X$8=$H394,$Q394,0)</f>
        <v>0</v>
      </c>
      <c r="Y394" s="476">
        <f>IF($X$8=$H394,$R394,0)</f>
        <v>0</v>
      </c>
      <c r="Z394" s="476">
        <f>IF($Z$8=$H394,$Q394,0)</f>
        <v>0</v>
      </c>
      <c r="AA394" s="476">
        <f>IF($Z$8=$H394,$R394,0)</f>
        <v>0</v>
      </c>
      <c r="AB394" s="476">
        <f>IF($AB$8=$H394,$Q394,0)</f>
        <v>0</v>
      </c>
      <c r="AC394" s="476">
        <f>IF($AB$8=$H394,$R394,0)</f>
        <v>0</v>
      </c>
      <c r="AD394" s="476">
        <f>IF($AD$8=$H394,$Q394,0)</f>
        <v>0</v>
      </c>
      <c r="AE394" s="476">
        <f>IF($AD$8=$H394,$R394,0)</f>
        <v>0</v>
      </c>
      <c r="AF394" s="476">
        <f>IF($AF$8=$H394,$Q394,0)</f>
        <v>0</v>
      </c>
      <c r="AG394" s="476">
        <f>IF($AF$8=$H394,$R394,0)</f>
        <v>0</v>
      </c>
      <c r="AH394" s="476">
        <f>IF($AH$8=$H394,$Q394,0)</f>
        <v>0</v>
      </c>
      <c r="AI394" s="476">
        <f>IF($AH$8=$H394,$R394,0)</f>
        <v>0</v>
      </c>
      <c r="AJ394" s="476">
        <f>IF($AJ$8=$H394,$Q394,0)</f>
        <v>0</v>
      </c>
      <c r="AK394" s="476">
        <f>IF($AJ$8=$H394,$R394,0)</f>
        <v>0</v>
      </c>
      <c r="AL394" s="476">
        <f>IF($AL$8=$H394,$Q394,0)</f>
        <v>0</v>
      </c>
      <c r="AM394" s="476">
        <f>IF($AL$8=$H394,$R394,0)</f>
        <v>0</v>
      </c>
      <c r="AN394" s="476">
        <f>IF($AN$8=$H394,$Q394,0)</f>
        <v>0</v>
      </c>
      <c r="AO394" s="476">
        <f>IF($AN$8=$H394,$R394,0)</f>
        <v>0</v>
      </c>
      <c r="AP394" s="476">
        <f>IF($AP$8=$H394,$Q394,0)</f>
        <v>0</v>
      </c>
      <c r="AQ394" s="476">
        <f>IF($AP$8=$H394,$R394,0)</f>
        <v>0</v>
      </c>
      <c r="AR394" s="476">
        <f>IF($AR$8=$H394,$Q394,0)</f>
        <v>0</v>
      </c>
      <c r="AS394" s="476">
        <f>IF($AR$8=$H394,$R394,0)</f>
        <v>0</v>
      </c>
      <c r="AT394" s="476">
        <f>IF($AT$8=$H394,$Q394,0)</f>
        <v>0</v>
      </c>
      <c r="AU394" s="476">
        <f>IF($AT$8=$H394,$R394,0)</f>
        <v>0</v>
      </c>
      <c r="AV394" s="476">
        <f>IF($AV$8=$H394,$Q394,0)</f>
        <v>0</v>
      </c>
      <c r="AW394" s="476">
        <f>IF($AV$8=$H394,$R394,0)</f>
        <v>0</v>
      </c>
      <c r="AX394" s="476">
        <f>IF($AX$8=$H394,$Q394,0)</f>
        <v>0</v>
      </c>
      <c r="AY394" s="476">
        <f>IF($AX$8=$H394,$R394,0)</f>
        <v>0</v>
      </c>
      <c r="AZ394" s="476">
        <f>IF($AZ$8=$H394,$Q394,0)</f>
        <v>0</v>
      </c>
      <c r="BA394" s="476">
        <f>IF($AZ$8=$H394,$R394,0)</f>
        <v>0</v>
      </c>
      <c r="BB394" s="476">
        <f>IF($BB$8=$H394,$Q394,0)</f>
        <v>0</v>
      </c>
      <c r="BC394" s="476">
        <f>IF($BB$8=$H394,$R394,0)</f>
        <v>0</v>
      </c>
      <c r="BD394" s="476">
        <f>IF($BD$8=$H394,$Q394,0)</f>
        <v>0</v>
      </c>
      <c r="BE394" s="476">
        <f>IF($BD$8=$H394,$R394,0)</f>
        <v>0</v>
      </c>
      <c r="BF394" s="476">
        <f>IF($BF$8=$H394,$Q394,0)</f>
        <v>0</v>
      </c>
      <c r="BG394" s="476">
        <f>IF($BF$8=$H394,$R394,0)</f>
        <v>0</v>
      </c>
    </row>
    <row r="395" spans="1:59" ht="16.5" customHeight="1">
      <c r="A395" s="585" t="s">
        <v>698</v>
      </c>
      <c r="B395" s="585" t="s">
        <v>1059</v>
      </c>
      <c r="C395" s="584" t="s">
        <v>1849</v>
      </c>
      <c r="D395" s="413" t="s">
        <v>508</v>
      </c>
      <c r="E395" s="412" t="s">
        <v>330</v>
      </c>
      <c r="F395" s="413" t="s">
        <v>330</v>
      </c>
      <c r="G395" s="412" t="s">
        <v>330</v>
      </c>
      <c r="H395" s="412" t="s">
        <v>974</v>
      </c>
      <c r="I395" s="477">
        <v>398399</v>
      </c>
      <c r="J395" s="477">
        <v>0</v>
      </c>
      <c r="K395" s="477"/>
      <c r="L395" s="477"/>
      <c r="M395" s="477">
        <f t="shared" si="651"/>
        <v>398399</v>
      </c>
      <c r="N395" s="477">
        <f t="shared" si="652"/>
        <v>0</v>
      </c>
      <c r="O395" s="477"/>
      <c r="P395" s="477"/>
      <c r="Q395" s="477">
        <f t="shared" si="604"/>
        <v>398399</v>
      </c>
      <c r="R395" s="477">
        <f t="shared" si="605"/>
        <v>0</v>
      </c>
      <c r="S395" s="477">
        <f t="shared" si="606"/>
        <v>398399</v>
      </c>
      <c r="V395" s="476">
        <f>IF($V$8=$H395,$Q395,0)</f>
        <v>398399</v>
      </c>
      <c r="W395" s="476">
        <f>IF($V$8=$H395,$R395,0)</f>
        <v>0</v>
      </c>
      <c r="X395" s="476">
        <f>IF($X$8=$H395,$Q395,0)</f>
        <v>0</v>
      </c>
      <c r="Y395" s="476">
        <f>IF($X$8=$H395,$R395,0)</f>
        <v>0</v>
      </c>
      <c r="Z395" s="476">
        <f>IF($Z$8=$H395,$Q395,0)</f>
        <v>0</v>
      </c>
      <c r="AA395" s="476">
        <f>IF($Z$8=$H395,$R395,0)</f>
        <v>0</v>
      </c>
      <c r="AB395" s="476">
        <f>IF($AB$8=$H395,$Q395,0)</f>
        <v>0</v>
      </c>
      <c r="AC395" s="476">
        <f>IF($AB$8=$H395,$R395,0)</f>
        <v>0</v>
      </c>
      <c r="AD395" s="476">
        <f>IF($AD$8=$H395,$Q395,0)</f>
        <v>0</v>
      </c>
      <c r="AE395" s="476">
        <f>IF($AD$8=$H395,$R395,0)</f>
        <v>0</v>
      </c>
      <c r="AF395" s="476">
        <f>IF($AF$8=$H395,$Q395,0)</f>
        <v>0</v>
      </c>
      <c r="AG395" s="476">
        <f>IF($AF$8=$H395,$R395,0)</f>
        <v>0</v>
      </c>
      <c r="AH395" s="476">
        <f>IF($AH$8=$H395,$Q395,0)</f>
        <v>0</v>
      </c>
      <c r="AI395" s="476">
        <f>IF($AH$8=$H395,$R395,0)</f>
        <v>0</v>
      </c>
      <c r="AJ395" s="476">
        <f>IF($AJ$8=$H395,$Q395,0)</f>
        <v>0</v>
      </c>
      <c r="AK395" s="476">
        <f>IF($AJ$8=$H395,$R395,0)</f>
        <v>0</v>
      </c>
      <c r="AL395" s="476">
        <f>IF($AL$8=$H395,$Q395,0)</f>
        <v>0</v>
      </c>
      <c r="AM395" s="476">
        <f>IF($AL$8=$H395,$R395,0)</f>
        <v>0</v>
      </c>
      <c r="AN395" s="476">
        <f>IF($AN$8=$H395,$Q395,0)</f>
        <v>0</v>
      </c>
      <c r="AO395" s="476">
        <f>IF($AN$8=$H395,$R395,0)</f>
        <v>0</v>
      </c>
      <c r="AP395" s="476">
        <f>IF($AP$8=$H395,$Q395,0)</f>
        <v>0</v>
      </c>
      <c r="AQ395" s="476">
        <f>IF($AP$8=$H395,$R395,0)</f>
        <v>0</v>
      </c>
      <c r="AR395" s="476">
        <f>IF($AR$8=$H395,$Q395,0)</f>
        <v>0</v>
      </c>
      <c r="AS395" s="476">
        <f>IF($AR$8=$H395,$R395,0)</f>
        <v>0</v>
      </c>
      <c r="AT395" s="476">
        <f>IF($AT$8=$H395,$Q395,0)</f>
        <v>0</v>
      </c>
      <c r="AU395" s="476">
        <f>IF($AT$8=$H395,$R395,0)</f>
        <v>0</v>
      </c>
      <c r="AV395" s="476">
        <f>IF($AV$8=$H395,$Q395,0)</f>
        <v>0</v>
      </c>
      <c r="AW395" s="476">
        <f>IF($AV$8=$H395,$R395,0)</f>
        <v>0</v>
      </c>
      <c r="AX395" s="476">
        <f>IF($AX$8=$H395,$Q395,0)</f>
        <v>0</v>
      </c>
      <c r="AY395" s="476">
        <f>IF($AX$8=$H395,$R395,0)</f>
        <v>0</v>
      </c>
      <c r="AZ395" s="476">
        <f>IF($AZ$8=$H395,$Q395,0)</f>
        <v>0</v>
      </c>
      <c r="BA395" s="476">
        <f>IF($AZ$8=$H395,$R395,0)</f>
        <v>0</v>
      </c>
      <c r="BB395" s="476">
        <f>IF($BB$8=$H395,$Q395,0)</f>
        <v>0</v>
      </c>
      <c r="BC395" s="476">
        <f>IF($BB$8=$H395,$R395,0)</f>
        <v>0</v>
      </c>
      <c r="BD395" s="476">
        <f>IF($BD$8=$H395,$Q395,0)</f>
        <v>0</v>
      </c>
      <c r="BE395" s="476">
        <f>IF($BD$8=$H395,$R395,0)</f>
        <v>0</v>
      </c>
      <c r="BF395" s="476">
        <f>IF($BF$8=$H395,$Q395,0)</f>
        <v>0</v>
      </c>
      <c r="BG395" s="476">
        <f>IF($BF$8=$H395,$R395,0)</f>
        <v>0</v>
      </c>
    </row>
    <row r="396" spans="1:59" ht="16.5" customHeight="1">
      <c r="A396" s="585" t="s">
        <v>699</v>
      </c>
      <c r="B396" s="585" t="s">
        <v>1060</v>
      </c>
      <c r="C396" s="584" t="s">
        <v>1850</v>
      </c>
      <c r="D396" s="413" t="s">
        <v>508</v>
      </c>
      <c r="E396" s="412" t="s">
        <v>330</v>
      </c>
      <c r="F396" s="413" t="s">
        <v>330</v>
      </c>
      <c r="G396" s="412" t="s">
        <v>330</v>
      </c>
      <c r="H396" s="412" t="s">
        <v>1013</v>
      </c>
      <c r="I396" s="477">
        <v>95515</v>
      </c>
      <c r="J396" s="477">
        <v>0</v>
      </c>
      <c r="K396" s="477"/>
      <c r="L396" s="477"/>
      <c r="M396" s="477">
        <f t="shared" si="651"/>
        <v>95515</v>
      </c>
      <c r="N396" s="477">
        <f t="shared" si="652"/>
        <v>0</v>
      </c>
      <c r="O396" s="477"/>
      <c r="P396" s="477"/>
      <c r="Q396" s="477">
        <f t="shared" si="604"/>
        <v>95515</v>
      </c>
      <c r="R396" s="477">
        <f t="shared" si="605"/>
        <v>0</v>
      </c>
      <c r="S396" s="477">
        <f t="shared" si="606"/>
        <v>95515</v>
      </c>
      <c r="V396" s="476">
        <f>IF($V$8=$H396,$Q396,0)</f>
        <v>0</v>
      </c>
      <c r="W396" s="476">
        <f>IF($V$8=$H396,$R396,0)</f>
        <v>0</v>
      </c>
      <c r="X396" s="476">
        <f>IF($X$8=$H396,$Q396,0)</f>
        <v>0</v>
      </c>
      <c r="Y396" s="476">
        <f>IF($X$8=$H396,$R396,0)</f>
        <v>0</v>
      </c>
      <c r="Z396" s="476">
        <f>IF($Z$8=$H396,$Q396,0)</f>
        <v>0</v>
      </c>
      <c r="AA396" s="476">
        <f>IF($Z$8=$H396,$R396,0)</f>
        <v>0</v>
      </c>
      <c r="AB396" s="476">
        <f>IF($AB$8=$H396,$Q396,0)</f>
        <v>0</v>
      </c>
      <c r="AC396" s="476">
        <f>IF($AB$8=$H396,$R396,0)</f>
        <v>0</v>
      </c>
      <c r="AD396" s="476">
        <f>IF($AD$8=$H396,$Q396,0)</f>
        <v>0</v>
      </c>
      <c r="AE396" s="476">
        <f>IF($AD$8=$H396,$R396,0)</f>
        <v>0</v>
      </c>
      <c r="AF396" s="476">
        <f>IF($AF$8=$H396,$Q396,0)</f>
        <v>0</v>
      </c>
      <c r="AG396" s="476">
        <f>IF($AF$8=$H396,$R396,0)</f>
        <v>0</v>
      </c>
      <c r="AH396" s="476">
        <f>IF($AH$8=$H396,$Q396,0)</f>
        <v>0</v>
      </c>
      <c r="AI396" s="476">
        <f>IF($AH$8=$H396,$R396,0)</f>
        <v>0</v>
      </c>
      <c r="AJ396" s="476">
        <f>IF($AJ$8=$H396,$Q396,0)</f>
        <v>95515</v>
      </c>
      <c r="AK396" s="476">
        <f>IF($AJ$8=$H396,$R396,0)</f>
        <v>0</v>
      </c>
      <c r="AL396" s="476">
        <f>IF($AL$8=$H396,$Q396,0)</f>
        <v>0</v>
      </c>
      <c r="AM396" s="476">
        <f>IF($AL$8=$H396,$R396,0)</f>
        <v>0</v>
      </c>
      <c r="AN396" s="476">
        <f>IF($AN$8=$H396,$Q396,0)</f>
        <v>0</v>
      </c>
      <c r="AO396" s="476">
        <f>IF($AN$8=$H396,$R396,0)</f>
        <v>0</v>
      </c>
      <c r="AP396" s="476">
        <f>IF($AP$8=$H396,$Q396,0)</f>
        <v>0</v>
      </c>
      <c r="AQ396" s="476">
        <f>IF($AP$8=$H396,$R396,0)</f>
        <v>0</v>
      </c>
      <c r="AR396" s="476">
        <f>IF($AR$8=$H396,$Q396,0)</f>
        <v>0</v>
      </c>
      <c r="AS396" s="476">
        <f>IF($AR$8=$H396,$R396,0)</f>
        <v>0</v>
      </c>
      <c r="AT396" s="476">
        <f>IF($AT$8=$H396,$Q396,0)</f>
        <v>0</v>
      </c>
      <c r="AU396" s="476">
        <f>IF($AT$8=$H396,$R396,0)</f>
        <v>0</v>
      </c>
      <c r="AV396" s="476">
        <f>IF($AV$8=$H396,$Q396,0)</f>
        <v>0</v>
      </c>
      <c r="AW396" s="476">
        <f>IF($AV$8=$H396,$R396,0)</f>
        <v>0</v>
      </c>
      <c r="AX396" s="476">
        <f>IF($AX$8=$H396,$Q396,0)</f>
        <v>0</v>
      </c>
      <c r="AY396" s="476">
        <f>IF($AX$8=$H396,$R396,0)</f>
        <v>0</v>
      </c>
      <c r="AZ396" s="476">
        <f>IF($AZ$8=$H396,$Q396,0)</f>
        <v>0</v>
      </c>
      <c r="BA396" s="476">
        <f>IF($AZ$8=$H396,$R396,0)</f>
        <v>0</v>
      </c>
      <c r="BB396" s="476">
        <f>IF($BB$8=$H396,$Q396,0)</f>
        <v>0</v>
      </c>
      <c r="BC396" s="476">
        <f>IF($BB$8=$H396,$R396,0)</f>
        <v>0</v>
      </c>
      <c r="BD396" s="476">
        <f>IF($BD$8=$H396,$Q396,0)</f>
        <v>0</v>
      </c>
      <c r="BE396" s="476">
        <f>IF($BD$8=$H396,$R396,0)</f>
        <v>0</v>
      </c>
      <c r="BF396" s="476">
        <f>IF($BF$8=$H396,$Q396,0)</f>
        <v>0</v>
      </c>
      <c r="BG396" s="476">
        <f>IF($BF$8=$H396,$R396,0)</f>
        <v>0</v>
      </c>
    </row>
    <row r="397" spans="1:59" ht="16.5" customHeight="1">
      <c r="A397" s="585" t="s">
        <v>699</v>
      </c>
      <c r="B397" s="585" t="s">
        <v>1060</v>
      </c>
      <c r="C397" s="584" t="s">
        <v>1851</v>
      </c>
      <c r="D397" s="413" t="s">
        <v>508</v>
      </c>
      <c r="E397" s="412" t="s">
        <v>330</v>
      </c>
      <c r="F397" s="413" t="s">
        <v>330</v>
      </c>
      <c r="G397" s="412" t="s">
        <v>330</v>
      </c>
      <c r="H397" s="412" t="s">
        <v>974</v>
      </c>
      <c r="I397" s="477">
        <v>196699</v>
      </c>
      <c r="J397" s="477">
        <v>0</v>
      </c>
      <c r="K397" s="477"/>
      <c r="L397" s="477"/>
      <c r="M397" s="477">
        <f t="shared" si="651"/>
        <v>196699</v>
      </c>
      <c r="N397" s="477">
        <f t="shared" si="652"/>
        <v>0</v>
      </c>
      <c r="O397" s="477"/>
      <c r="P397" s="477"/>
      <c r="Q397" s="477">
        <f t="shared" si="604"/>
        <v>196699</v>
      </c>
      <c r="R397" s="477">
        <f t="shared" si="605"/>
        <v>0</v>
      </c>
      <c r="S397" s="477">
        <f t="shared" si="606"/>
        <v>196699</v>
      </c>
      <c r="V397" s="476">
        <f>IF($V$8=$H397,$Q397,0)</f>
        <v>196699</v>
      </c>
      <c r="W397" s="476">
        <f>IF($V$8=$H397,$R397,0)</f>
        <v>0</v>
      </c>
      <c r="X397" s="476">
        <f>IF($X$8=$H397,$Q397,0)</f>
        <v>0</v>
      </c>
      <c r="Y397" s="476">
        <f>IF($X$8=$H397,$R397,0)</f>
        <v>0</v>
      </c>
      <c r="Z397" s="476">
        <f>IF($Z$8=$H397,$Q397,0)</f>
        <v>0</v>
      </c>
      <c r="AA397" s="476">
        <f>IF($Z$8=$H397,$R397,0)</f>
        <v>0</v>
      </c>
      <c r="AB397" s="476">
        <f>IF($AB$8=$H397,$Q397,0)</f>
        <v>0</v>
      </c>
      <c r="AC397" s="476">
        <f>IF($AB$8=$H397,$R397,0)</f>
        <v>0</v>
      </c>
      <c r="AD397" s="476">
        <f>IF($AD$8=$H397,$Q397,0)</f>
        <v>0</v>
      </c>
      <c r="AE397" s="476">
        <f>IF($AD$8=$H397,$R397,0)</f>
        <v>0</v>
      </c>
      <c r="AF397" s="476">
        <f>IF($AF$8=$H397,$Q397,0)</f>
        <v>0</v>
      </c>
      <c r="AG397" s="476">
        <f>IF($AF$8=$H397,$R397,0)</f>
        <v>0</v>
      </c>
      <c r="AH397" s="476">
        <f>IF($AH$8=$H397,$Q397,0)</f>
        <v>0</v>
      </c>
      <c r="AI397" s="476">
        <f>IF($AH$8=$H397,$R397,0)</f>
        <v>0</v>
      </c>
      <c r="AJ397" s="476">
        <f>IF($AJ$8=$H397,$Q397,0)</f>
        <v>0</v>
      </c>
      <c r="AK397" s="476">
        <f>IF($AJ$8=$H397,$R397,0)</f>
        <v>0</v>
      </c>
      <c r="AL397" s="476">
        <f>IF($AL$8=$H397,$Q397,0)</f>
        <v>0</v>
      </c>
      <c r="AM397" s="476">
        <f>IF($AL$8=$H397,$R397,0)</f>
        <v>0</v>
      </c>
      <c r="AN397" s="476">
        <f>IF($AN$8=$H397,$Q397,0)</f>
        <v>0</v>
      </c>
      <c r="AO397" s="476">
        <f>IF($AN$8=$H397,$R397,0)</f>
        <v>0</v>
      </c>
      <c r="AP397" s="476">
        <f>IF($AP$8=$H397,$Q397,0)</f>
        <v>0</v>
      </c>
      <c r="AQ397" s="476">
        <f>IF($AP$8=$H397,$R397,0)</f>
        <v>0</v>
      </c>
      <c r="AR397" s="476">
        <f>IF($AR$8=$H397,$Q397,0)</f>
        <v>0</v>
      </c>
      <c r="AS397" s="476">
        <f>IF($AR$8=$H397,$R397,0)</f>
        <v>0</v>
      </c>
      <c r="AT397" s="476">
        <f>IF($AT$8=$H397,$Q397,0)</f>
        <v>0</v>
      </c>
      <c r="AU397" s="476">
        <f>IF($AT$8=$H397,$R397,0)</f>
        <v>0</v>
      </c>
      <c r="AV397" s="476">
        <f>IF($AV$8=$H397,$Q397,0)</f>
        <v>0</v>
      </c>
      <c r="AW397" s="476">
        <f>IF($AV$8=$H397,$R397,0)</f>
        <v>0</v>
      </c>
      <c r="AX397" s="476">
        <f>IF($AX$8=$H397,$Q397,0)</f>
        <v>0</v>
      </c>
      <c r="AY397" s="476">
        <f>IF($AX$8=$H397,$R397,0)</f>
        <v>0</v>
      </c>
      <c r="AZ397" s="476">
        <f>IF($AZ$8=$H397,$Q397,0)</f>
        <v>0</v>
      </c>
      <c r="BA397" s="476">
        <f>IF($AZ$8=$H397,$R397,0)</f>
        <v>0</v>
      </c>
      <c r="BB397" s="476">
        <f>IF($BB$8=$H397,$Q397,0)</f>
        <v>0</v>
      </c>
      <c r="BC397" s="476">
        <f>IF($BB$8=$H397,$R397,0)</f>
        <v>0</v>
      </c>
      <c r="BD397" s="476">
        <f>IF($BD$8=$H397,$Q397,0)</f>
        <v>0</v>
      </c>
      <c r="BE397" s="476">
        <f>IF($BD$8=$H397,$R397,0)</f>
        <v>0</v>
      </c>
      <c r="BF397" s="476">
        <f>IF($BF$8=$H397,$Q397,0)</f>
        <v>0</v>
      </c>
      <c r="BG397" s="476">
        <f>IF($BF$8=$H397,$R397,0)</f>
        <v>0</v>
      </c>
    </row>
    <row r="398" spans="1:59" ht="16.5" customHeight="1">
      <c r="A398" s="585" t="s">
        <v>702</v>
      </c>
      <c r="B398" s="585" t="s">
        <v>1061</v>
      </c>
      <c r="C398" s="584" t="s">
        <v>1852</v>
      </c>
      <c r="D398" s="413" t="s">
        <v>508</v>
      </c>
      <c r="E398" s="412" t="s">
        <v>330</v>
      </c>
      <c r="F398" s="413" t="s">
        <v>330</v>
      </c>
      <c r="G398" s="413" t="s">
        <v>330</v>
      </c>
      <c r="H398" s="412" t="s">
        <v>974</v>
      </c>
      <c r="I398" s="477">
        <v>11000</v>
      </c>
      <c r="J398" s="477">
        <v>0</v>
      </c>
      <c r="K398" s="477"/>
      <c r="L398" s="477"/>
      <c r="M398" s="477">
        <f t="shared" si="651"/>
        <v>11000</v>
      </c>
      <c r="N398" s="477">
        <f t="shared" si="652"/>
        <v>0</v>
      </c>
      <c r="O398" s="477"/>
      <c r="P398" s="477"/>
      <c r="Q398" s="477">
        <f t="shared" ref="Q398" si="653">+M398+O398</f>
        <v>11000</v>
      </c>
      <c r="R398" s="477">
        <f t="shared" ref="R398" si="654">+N398+P398</f>
        <v>0</v>
      </c>
      <c r="S398" s="477">
        <f t="shared" ref="S398" si="655">+Q398-R398</f>
        <v>11000</v>
      </c>
      <c r="V398" s="476"/>
      <c r="W398" s="476"/>
      <c r="X398" s="476"/>
      <c r="Y398" s="476"/>
      <c r="Z398" s="476"/>
      <c r="AA398" s="476"/>
      <c r="AB398" s="476"/>
      <c r="AC398" s="476"/>
      <c r="AD398" s="476"/>
      <c r="AE398" s="476"/>
      <c r="AF398" s="476"/>
      <c r="AG398" s="476"/>
      <c r="AH398" s="476"/>
      <c r="AI398" s="476"/>
      <c r="AJ398" s="476"/>
      <c r="AK398" s="476"/>
      <c r="AL398" s="476"/>
      <c r="AM398" s="476"/>
      <c r="AN398" s="476"/>
      <c r="AO398" s="476"/>
      <c r="AP398" s="476"/>
      <c r="AQ398" s="476"/>
      <c r="AR398" s="476"/>
      <c r="AS398" s="476"/>
      <c r="AT398" s="476"/>
      <c r="AU398" s="476"/>
      <c r="AV398" s="476"/>
      <c r="AW398" s="476"/>
      <c r="AX398" s="476"/>
      <c r="AY398" s="476"/>
      <c r="AZ398" s="476"/>
      <c r="BA398" s="476"/>
      <c r="BB398" s="476"/>
      <c r="BC398" s="476"/>
      <c r="BD398" s="476"/>
      <c r="BE398" s="476"/>
      <c r="BF398" s="476"/>
      <c r="BG398" s="476"/>
    </row>
    <row r="399" spans="1:59" ht="16.5" customHeight="1">
      <c r="A399" s="585" t="s">
        <v>708</v>
      </c>
      <c r="B399" s="585" t="s">
        <v>1068</v>
      </c>
      <c r="C399" s="584" t="s">
        <v>1853</v>
      </c>
      <c r="D399" s="413" t="s">
        <v>508</v>
      </c>
      <c r="E399" s="412" t="s">
        <v>330</v>
      </c>
      <c r="F399" s="413" t="s">
        <v>330</v>
      </c>
      <c r="G399" s="412" t="s">
        <v>330</v>
      </c>
      <c r="H399" s="412" t="s">
        <v>1018</v>
      </c>
      <c r="I399" s="477">
        <v>3591736</v>
      </c>
      <c r="J399" s="477">
        <v>0</v>
      </c>
      <c r="K399" s="477"/>
      <c r="L399" s="477"/>
      <c r="M399" s="477">
        <f t="shared" si="651"/>
        <v>3591736</v>
      </c>
      <c r="N399" s="477">
        <f t="shared" si="652"/>
        <v>0</v>
      </c>
      <c r="O399" s="477"/>
      <c r="P399" s="477"/>
      <c r="Q399" s="477">
        <f t="shared" si="604"/>
        <v>3591736</v>
      </c>
      <c r="R399" s="477">
        <f t="shared" si="605"/>
        <v>0</v>
      </c>
      <c r="S399" s="477">
        <f t="shared" si="606"/>
        <v>3591736</v>
      </c>
      <c r="V399" s="476">
        <f t="shared" ref="V399:V430" si="656">IF($V$8=$H399,$Q399,0)</f>
        <v>0</v>
      </c>
      <c r="W399" s="476">
        <f t="shared" ref="W399:W430" si="657">IF($V$8=$H399,$R399,0)</f>
        <v>0</v>
      </c>
      <c r="X399" s="476">
        <f t="shared" ref="X399:X430" si="658">IF($X$8=$H399,$Q399,0)</f>
        <v>0</v>
      </c>
      <c r="Y399" s="476">
        <f t="shared" ref="Y399:Y430" si="659">IF($X$8=$H399,$R399,0)</f>
        <v>0</v>
      </c>
      <c r="Z399" s="476">
        <f t="shared" ref="Z399:Z430" si="660">IF($Z$8=$H399,$Q399,0)</f>
        <v>0</v>
      </c>
      <c r="AA399" s="476">
        <f t="shared" ref="AA399:AA430" si="661">IF($Z$8=$H399,$R399,0)</f>
        <v>0</v>
      </c>
      <c r="AB399" s="476">
        <f t="shared" ref="AB399:AB430" si="662">IF($AB$8=$H399,$Q399,0)</f>
        <v>0</v>
      </c>
      <c r="AC399" s="476">
        <f t="shared" ref="AC399:AC430" si="663">IF($AB$8=$H399,$R399,0)</f>
        <v>0</v>
      </c>
      <c r="AD399" s="476">
        <f t="shared" ref="AD399:AD430" si="664">IF($AD$8=$H399,$Q399,0)</f>
        <v>0</v>
      </c>
      <c r="AE399" s="476">
        <f t="shared" ref="AE399:AE430" si="665">IF($AD$8=$H399,$R399,0)</f>
        <v>0</v>
      </c>
      <c r="AF399" s="476">
        <f t="shared" ref="AF399:AF430" si="666">IF($AF$8=$H399,$Q399,0)</f>
        <v>0</v>
      </c>
      <c r="AG399" s="476">
        <f t="shared" ref="AG399:AG430" si="667">IF($AF$8=$H399,$R399,0)</f>
        <v>0</v>
      </c>
      <c r="AH399" s="476">
        <f t="shared" ref="AH399:AH430" si="668">IF($AH$8=$H399,$Q399,0)</f>
        <v>0</v>
      </c>
      <c r="AI399" s="476">
        <f t="shared" ref="AI399:AI430" si="669">IF($AH$8=$H399,$R399,0)</f>
        <v>0</v>
      </c>
      <c r="AJ399" s="476">
        <f t="shared" ref="AJ399:AJ430" si="670">IF($AJ$8=$H399,$Q399,0)</f>
        <v>0</v>
      </c>
      <c r="AK399" s="476">
        <f t="shared" ref="AK399:AK430" si="671">IF($AJ$8=$H399,$R399,0)</f>
        <v>0</v>
      </c>
      <c r="AL399" s="476">
        <f t="shared" ref="AL399:AL430" si="672">IF($AL$8=$H399,$Q399,0)</f>
        <v>0</v>
      </c>
      <c r="AM399" s="476">
        <f t="shared" ref="AM399:AM430" si="673">IF($AL$8=$H399,$R399,0)</f>
        <v>0</v>
      </c>
      <c r="AN399" s="476">
        <f t="shared" ref="AN399:AN430" si="674">IF($AN$8=$H399,$Q399,0)</f>
        <v>0</v>
      </c>
      <c r="AO399" s="476">
        <f t="shared" ref="AO399:AO430" si="675">IF($AN$8=$H399,$R399,0)</f>
        <v>0</v>
      </c>
      <c r="AP399" s="476">
        <f t="shared" ref="AP399:AP430" si="676">IF($AP$8=$H399,$Q399,0)</f>
        <v>0</v>
      </c>
      <c r="AQ399" s="476">
        <f t="shared" ref="AQ399:AQ430" si="677">IF($AP$8=$H399,$R399,0)</f>
        <v>0</v>
      </c>
      <c r="AR399" s="476">
        <f t="shared" ref="AR399:AR430" si="678">IF($AR$8=$H399,$Q399,0)</f>
        <v>0</v>
      </c>
      <c r="AS399" s="476">
        <f t="shared" ref="AS399:AS430" si="679">IF($AR$8=$H399,$R399,0)</f>
        <v>0</v>
      </c>
      <c r="AT399" s="476">
        <f t="shared" ref="AT399:AT430" si="680">IF($AT$8=$H399,$Q399,0)</f>
        <v>0</v>
      </c>
      <c r="AU399" s="476">
        <f t="shared" ref="AU399:AU430" si="681">IF($AT$8=$H399,$R399,0)</f>
        <v>0</v>
      </c>
      <c r="AV399" s="476">
        <f t="shared" ref="AV399:AV430" si="682">IF($AV$8=$H399,$Q399,0)</f>
        <v>0</v>
      </c>
      <c r="AW399" s="476">
        <f t="shared" ref="AW399:AW430" si="683">IF($AV$8=$H399,$R399,0)</f>
        <v>0</v>
      </c>
      <c r="AX399" s="476">
        <f t="shared" ref="AX399:AX430" si="684">IF($AX$8=$H399,$Q399,0)</f>
        <v>0</v>
      </c>
      <c r="AY399" s="476">
        <f t="shared" ref="AY399:AY430" si="685">IF($AX$8=$H399,$R399,0)</f>
        <v>0</v>
      </c>
      <c r="AZ399" s="476">
        <f t="shared" ref="AZ399:AZ430" si="686">IF($AZ$8=$H399,$Q399,0)</f>
        <v>0</v>
      </c>
      <c r="BA399" s="476">
        <f t="shared" ref="BA399:BA430" si="687">IF($AZ$8=$H399,$R399,0)</f>
        <v>0</v>
      </c>
      <c r="BB399" s="476">
        <f t="shared" ref="BB399:BB430" si="688">IF($BB$8=$H399,$Q399,0)</f>
        <v>0</v>
      </c>
      <c r="BC399" s="476">
        <f t="shared" ref="BC399:BC430" si="689">IF($BB$8=$H399,$R399,0)</f>
        <v>0</v>
      </c>
      <c r="BD399" s="476">
        <f t="shared" ref="BD399:BD430" si="690">IF($BD$8=$H399,$Q399,0)</f>
        <v>0</v>
      </c>
      <c r="BE399" s="476">
        <f t="shared" ref="BE399:BE430" si="691">IF($BD$8=$H399,$R399,0)</f>
        <v>0</v>
      </c>
      <c r="BF399" s="476">
        <f t="shared" ref="BF399:BF430" si="692">IF($BF$8=$H399,$Q399,0)</f>
        <v>3591736</v>
      </c>
      <c r="BG399" s="476">
        <f t="shared" ref="BG399:BG430" si="693">IF($BF$8=$H399,$R399,0)</f>
        <v>0</v>
      </c>
    </row>
    <row r="400" spans="1:59" ht="16.5" customHeight="1">
      <c r="A400" s="585" t="s">
        <v>708</v>
      </c>
      <c r="B400" s="585" t="s">
        <v>1068</v>
      </c>
      <c r="C400" s="584" t="s">
        <v>1854</v>
      </c>
      <c r="D400" s="413" t="s">
        <v>508</v>
      </c>
      <c r="E400" s="412" t="s">
        <v>330</v>
      </c>
      <c r="F400" s="413" t="s">
        <v>330</v>
      </c>
      <c r="G400" s="412" t="s">
        <v>330</v>
      </c>
      <c r="H400" s="412" t="s">
        <v>1013</v>
      </c>
      <c r="I400" s="477">
        <v>143528.63</v>
      </c>
      <c r="J400" s="477">
        <v>0</v>
      </c>
      <c r="K400" s="477"/>
      <c r="L400" s="477"/>
      <c r="M400" s="477">
        <f t="shared" si="651"/>
        <v>143528.63</v>
      </c>
      <c r="N400" s="477">
        <f t="shared" si="652"/>
        <v>0</v>
      </c>
      <c r="O400" s="477"/>
      <c r="P400" s="477"/>
      <c r="Q400" s="477">
        <f t="shared" si="604"/>
        <v>143528.63</v>
      </c>
      <c r="R400" s="477">
        <f t="shared" si="605"/>
        <v>0</v>
      </c>
      <c r="S400" s="477">
        <f t="shared" si="606"/>
        <v>143528.63</v>
      </c>
      <c r="V400" s="476">
        <f t="shared" si="656"/>
        <v>0</v>
      </c>
      <c r="W400" s="476">
        <f t="shared" si="657"/>
        <v>0</v>
      </c>
      <c r="X400" s="476">
        <f t="shared" si="658"/>
        <v>0</v>
      </c>
      <c r="Y400" s="476">
        <f t="shared" si="659"/>
        <v>0</v>
      </c>
      <c r="Z400" s="476">
        <f t="shared" si="660"/>
        <v>0</v>
      </c>
      <c r="AA400" s="476">
        <f t="shared" si="661"/>
        <v>0</v>
      </c>
      <c r="AB400" s="476">
        <f t="shared" si="662"/>
        <v>0</v>
      </c>
      <c r="AC400" s="476">
        <f t="shared" si="663"/>
        <v>0</v>
      </c>
      <c r="AD400" s="476">
        <f t="shared" si="664"/>
        <v>0</v>
      </c>
      <c r="AE400" s="476">
        <f t="shared" si="665"/>
        <v>0</v>
      </c>
      <c r="AF400" s="476">
        <f t="shared" si="666"/>
        <v>0</v>
      </c>
      <c r="AG400" s="476">
        <f t="shared" si="667"/>
        <v>0</v>
      </c>
      <c r="AH400" s="476">
        <f t="shared" si="668"/>
        <v>0</v>
      </c>
      <c r="AI400" s="476">
        <f t="shared" si="669"/>
        <v>0</v>
      </c>
      <c r="AJ400" s="476">
        <f t="shared" si="670"/>
        <v>143528.63</v>
      </c>
      <c r="AK400" s="476">
        <f t="shared" si="671"/>
        <v>0</v>
      </c>
      <c r="AL400" s="476">
        <f t="shared" si="672"/>
        <v>0</v>
      </c>
      <c r="AM400" s="476">
        <f t="shared" si="673"/>
        <v>0</v>
      </c>
      <c r="AN400" s="476">
        <f t="shared" si="674"/>
        <v>0</v>
      </c>
      <c r="AO400" s="476">
        <f t="shared" si="675"/>
        <v>0</v>
      </c>
      <c r="AP400" s="476">
        <f t="shared" si="676"/>
        <v>0</v>
      </c>
      <c r="AQ400" s="476">
        <f t="shared" si="677"/>
        <v>0</v>
      </c>
      <c r="AR400" s="476">
        <f t="shared" si="678"/>
        <v>0</v>
      </c>
      <c r="AS400" s="476">
        <f t="shared" si="679"/>
        <v>0</v>
      </c>
      <c r="AT400" s="476">
        <f t="shared" si="680"/>
        <v>0</v>
      </c>
      <c r="AU400" s="476">
        <f t="shared" si="681"/>
        <v>0</v>
      </c>
      <c r="AV400" s="476">
        <f t="shared" si="682"/>
        <v>0</v>
      </c>
      <c r="AW400" s="476">
        <f t="shared" si="683"/>
        <v>0</v>
      </c>
      <c r="AX400" s="476">
        <f t="shared" si="684"/>
        <v>0</v>
      </c>
      <c r="AY400" s="476">
        <f t="shared" si="685"/>
        <v>0</v>
      </c>
      <c r="AZ400" s="476">
        <f t="shared" si="686"/>
        <v>0</v>
      </c>
      <c r="BA400" s="476">
        <f t="shared" si="687"/>
        <v>0</v>
      </c>
      <c r="BB400" s="476">
        <f t="shared" si="688"/>
        <v>0</v>
      </c>
      <c r="BC400" s="476">
        <f t="shared" si="689"/>
        <v>0</v>
      </c>
      <c r="BD400" s="476">
        <f t="shared" si="690"/>
        <v>0</v>
      </c>
      <c r="BE400" s="476">
        <f t="shared" si="691"/>
        <v>0</v>
      </c>
      <c r="BF400" s="476">
        <f t="shared" si="692"/>
        <v>0</v>
      </c>
      <c r="BG400" s="476">
        <f t="shared" si="693"/>
        <v>0</v>
      </c>
    </row>
    <row r="401" spans="1:59" ht="16.5" customHeight="1">
      <c r="A401" s="585" t="s">
        <v>708</v>
      </c>
      <c r="B401" s="585" t="s">
        <v>1068</v>
      </c>
      <c r="C401" s="584" t="s">
        <v>1855</v>
      </c>
      <c r="D401" s="413" t="s">
        <v>508</v>
      </c>
      <c r="E401" s="412" t="s">
        <v>330</v>
      </c>
      <c r="F401" s="413" t="s">
        <v>330</v>
      </c>
      <c r="G401" s="412" t="s">
        <v>330</v>
      </c>
      <c r="H401" s="412" t="s">
        <v>1014</v>
      </c>
      <c r="I401" s="477">
        <v>3768214.11</v>
      </c>
      <c r="J401" s="477">
        <v>0</v>
      </c>
      <c r="K401" s="477"/>
      <c r="L401" s="477"/>
      <c r="M401" s="477">
        <f t="shared" si="651"/>
        <v>3768214.11</v>
      </c>
      <c r="N401" s="477">
        <f t="shared" si="652"/>
        <v>0</v>
      </c>
      <c r="O401" s="477"/>
      <c r="P401" s="477"/>
      <c r="Q401" s="477">
        <f t="shared" si="604"/>
        <v>3768214.11</v>
      </c>
      <c r="R401" s="477">
        <f t="shared" si="605"/>
        <v>0</v>
      </c>
      <c r="S401" s="477">
        <f t="shared" si="606"/>
        <v>3768214.11</v>
      </c>
      <c r="V401" s="476">
        <f t="shared" si="656"/>
        <v>0</v>
      </c>
      <c r="W401" s="476">
        <f t="shared" si="657"/>
        <v>0</v>
      </c>
      <c r="X401" s="476">
        <f t="shared" si="658"/>
        <v>0</v>
      </c>
      <c r="Y401" s="476">
        <f t="shared" si="659"/>
        <v>0</v>
      </c>
      <c r="Z401" s="476">
        <f t="shared" si="660"/>
        <v>0</v>
      </c>
      <c r="AA401" s="476">
        <f t="shared" si="661"/>
        <v>0</v>
      </c>
      <c r="AB401" s="476">
        <f t="shared" si="662"/>
        <v>0</v>
      </c>
      <c r="AC401" s="476">
        <f t="shared" si="663"/>
        <v>0</v>
      </c>
      <c r="AD401" s="476">
        <f t="shared" si="664"/>
        <v>0</v>
      </c>
      <c r="AE401" s="476">
        <f t="shared" si="665"/>
        <v>0</v>
      </c>
      <c r="AF401" s="476">
        <f t="shared" si="666"/>
        <v>0</v>
      </c>
      <c r="AG401" s="476">
        <f t="shared" si="667"/>
        <v>0</v>
      </c>
      <c r="AH401" s="476">
        <f t="shared" si="668"/>
        <v>0</v>
      </c>
      <c r="AI401" s="476">
        <f t="shared" si="669"/>
        <v>0</v>
      </c>
      <c r="AJ401" s="476">
        <f t="shared" si="670"/>
        <v>0</v>
      </c>
      <c r="AK401" s="476">
        <f t="shared" si="671"/>
        <v>0</v>
      </c>
      <c r="AL401" s="476">
        <f t="shared" si="672"/>
        <v>0</v>
      </c>
      <c r="AM401" s="476">
        <f t="shared" si="673"/>
        <v>0</v>
      </c>
      <c r="AN401" s="476">
        <f t="shared" si="674"/>
        <v>0</v>
      </c>
      <c r="AO401" s="476">
        <f t="shared" si="675"/>
        <v>0</v>
      </c>
      <c r="AP401" s="476">
        <f t="shared" si="676"/>
        <v>3768214.11</v>
      </c>
      <c r="AQ401" s="476">
        <f t="shared" si="677"/>
        <v>0</v>
      </c>
      <c r="AR401" s="476">
        <f t="shared" si="678"/>
        <v>0</v>
      </c>
      <c r="AS401" s="476">
        <f t="shared" si="679"/>
        <v>0</v>
      </c>
      <c r="AT401" s="476">
        <f t="shared" si="680"/>
        <v>0</v>
      </c>
      <c r="AU401" s="476">
        <f t="shared" si="681"/>
        <v>0</v>
      </c>
      <c r="AV401" s="476">
        <f t="shared" si="682"/>
        <v>0</v>
      </c>
      <c r="AW401" s="476">
        <f t="shared" si="683"/>
        <v>0</v>
      </c>
      <c r="AX401" s="476">
        <f t="shared" si="684"/>
        <v>0</v>
      </c>
      <c r="AY401" s="476">
        <f t="shared" si="685"/>
        <v>0</v>
      </c>
      <c r="AZ401" s="476">
        <f t="shared" si="686"/>
        <v>0</v>
      </c>
      <c r="BA401" s="476">
        <f t="shared" si="687"/>
        <v>0</v>
      </c>
      <c r="BB401" s="476">
        <f t="shared" si="688"/>
        <v>0</v>
      </c>
      <c r="BC401" s="476">
        <f t="shared" si="689"/>
        <v>0</v>
      </c>
      <c r="BD401" s="476">
        <f t="shared" si="690"/>
        <v>0</v>
      </c>
      <c r="BE401" s="476">
        <f t="shared" si="691"/>
        <v>0</v>
      </c>
      <c r="BF401" s="476">
        <f t="shared" si="692"/>
        <v>0</v>
      </c>
      <c r="BG401" s="476">
        <f t="shared" si="693"/>
        <v>0</v>
      </c>
    </row>
    <row r="402" spans="1:59" ht="16.5" customHeight="1">
      <c r="A402" s="585" t="s">
        <v>708</v>
      </c>
      <c r="B402" s="585" t="s">
        <v>1068</v>
      </c>
      <c r="C402" s="584" t="s">
        <v>1856</v>
      </c>
      <c r="D402" s="413" t="s">
        <v>508</v>
      </c>
      <c r="E402" s="412" t="s">
        <v>330</v>
      </c>
      <c r="F402" s="413" t="s">
        <v>330</v>
      </c>
      <c r="G402" s="412" t="s">
        <v>330</v>
      </c>
      <c r="H402" s="412" t="s">
        <v>974</v>
      </c>
      <c r="I402" s="477">
        <v>100000</v>
      </c>
      <c r="J402" s="477">
        <v>0</v>
      </c>
      <c r="K402" s="477"/>
      <c r="L402" s="477"/>
      <c r="M402" s="477">
        <f t="shared" si="651"/>
        <v>100000</v>
      </c>
      <c r="N402" s="477">
        <f t="shared" si="652"/>
        <v>0</v>
      </c>
      <c r="O402" s="477"/>
      <c r="P402" s="477"/>
      <c r="Q402" s="477">
        <f t="shared" si="604"/>
        <v>100000</v>
      </c>
      <c r="R402" s="477">
        <f t="shared" si="605"/>
        <v>0</v>
      </c>
      <c r="S402" s="477">
        <f t="shared" si="606"/>
        <v>100000</v>
      </c>
      <c r="V402" s="476">
        <f t="shared" si="656"/>
        <v>100000</v>
      </c>
      <c r="W402" s="476">
        <f t="shared" si="657"/>
        <v>0</v>
      </c>
      <c r="X402" s="476">
        <f t="shared" si="658"/>
        <v>0</v>
      </c>
      <c r="Y402" s="476">
        <f t="shared" si="659"/>
        <v>0</v>
      </c>
      <c r="Z402" s="476">
        <f t="shared" si="660"/>
        <v>0</v>
      </c>
      <c r="AA402" s="476">
        <f t="shared" si="661"/>
        <v>0</v>
      </c>
      <c r="AB402" s="476">
        <f t="shared" si="662"/>
        <v>0</v>
      </c>
      <c r="AC402" s="476">
        <f t="shared" si="663"/>
        <v>0</v>
      </c>
      <c r="AD402" s="476">
        <f t="shared" si="664"/>
        <v>0</v>
      </c>
      <c r="AE402" s="476">
        <f t="shared" si="665"/>
        <v>0</v>
      </c>
      <c r="AF402" s="476">
        <f t="shared" si="666"/>
        <v>0</v>
      </c>
      <c r="AG402" s="476">
        <f t="shared" si="667"/>
        <v>0</v>
      </c>
      <c r="AH402" s="476">
        <f t="shared" si="668"/>
        <v>0</v>
      </c>
      <c r="AI402" s="476">
        <f t="shared" si="669"/>
        <v>0</v>
      </c>
      <c r="AJ402" s="476">
        <f t="shared" si="670"/>
        <v>0</v>
      </c>
      <c r="AK402" s="476">
        <f t="shared" si="671"/>
        <v>0</v>
      </c>
      <c r="AL402" s="476">
        <f t="shared" si="672"/>
        <v>0</v>
      </c>
      <c r="AM402" s="476">
        <f t="shared" si="673"/>
        <v>0</v>
      </c>
      <c r="AN402" s="476">
        <f t="shared" si="674"/>
        <v>0</v>
      </c>
      <c r="AO402" s="476">
        <f t="shared" si="675"/>
        <v>0</v>
      </c>
      <c r="AP402" s="476">
        <f t="shared" si="676"/>
        <v>0</v>
      </c>
      <c r="AQ402" s="476">
        <f t="shared" si="677"/>
        <v>0</v>
      </c>
      <c r="AR402" s="476">
        <f t="shared" si="678"/>
        <v>0</v>
      </c>
      <c r="AS402" s="476">
        <f t="shared" si="679"/>
        <v>0</v>
      </c>
      <c r="AT402" s="476">
        <f t="shared" si="680"/>
        <v>0</v>
      </c>
      <c r="AU402" s="476">
        <f t="shared" si="681"/>
        <v>0</v>
      </c>
      <c r="AV402" s="476">
        <f t="shared" si="682"/>
        <v>0</v>
      </c>
      <c r="AW402" s="476">
        <f t="shared" si="683"/>
        <v>0</v>
      </c>
      <c r="AX402" s="476">
        <f t="shared" si="684"/>
        <v>0</v>
      </c>
      <c r="AY402" s="476">
        <f t="shared" si="685"/>
        <v>0</v>
      </c>
      <c r="AZ402" s="476">
        <f t="shared" si="686"/>
        <v>0</v>
      </c>
      <c r="BA402" s="476">
        <f t="shared" si="687"/>
        <v>0</v>
      </c>
      <c r="BB402" s="476">
        <f t="shared" si="688"/>
        <v>0</v>
      </c>
      <c r="BC402" s="476">
        <f t="shared" si="689"/>
        <v>0</v>
      </c>
      <c r="BD402" s="476">
        <f t="shared" si="690"/>
        <v>0</v>
      </c>
      <c r="BE402" s="476">
        <f t="shared" si="691"/>
        <v>0</v>
      </c>
      <c r="BF402" s="476">
        <f t="shared" si="692"/>
        <v>0</v>
      </c>
      <c r="BG402" s="476">
        <f t="shared" si="693"/>
        <v>0</v>
      </c>
    </row>
    <row r="403" spans="1:59" ht="16.5" customHeight="1">
      <c r="A403" s="585" t="s">
        <v>708</v>
      </c>
      <c r="B403" s="585" t="s">
        <v>1068</v>
      </c>
      <c r="C403" s="584" t="s">
        <v>1857</v>
      </c>
      <c r="D403" s="413" t="s">
        <v>508</v>
      </c>
      <c r="E403" s="412" t="s">
        <v>330</v>
      </c>
      <c r="F403" s="413" t="s">
        <v>330</v>
      </c>
      <c r="G403" s="412" t="s">
        <v>330</v>
      </c>
      <c r="H403" s="412" t="s">
        <v>1023</v>
      </c>
      <c r="I403" s="477">
        <v>299904</v>
      </c>
      <c r="J403" s="477">
        <v>0</v>
      </c>
      <c r="K403" s="477"/>
      <c r="L403" s="477"/>
      <c r="M403" s="477">
        <f t="shared" si="651"/>
        <v>299904</v>
      </c>
      <c r="N403" s="477">
        <f t="shared" si="652"/>
        <v>0</v>
      </c>
      <c r="O403" s="477"/>
      <c r="P403" s="477"/>
      <c r="Q403" s="477">
        <f t="shared" si="604"/>
        <v>299904</v>
      </c>
      <c r="R403" s="477">
        <f t="shared" si="605"/>
        <v>0</v>
      </c>
      <c r="S403" s="477">
        <f t="shared" si="606"/>
        <v>299904</v>
      </c>
      <c r="V403" s="476">
        <f t="shared" si="656"/>
        <v>0</v>
      </c>
      <c r="W403" s="476">
        <f t="shared" si="657"/>
        <v>0</v>
      </c>
      <c r="X403" s="476">
        <f t="shared" si="658"/>
        <v>0</v>
      </c>
      <c r="Y403" s="476">
        <f t="shared" si="659"/>
        <v>0</v>
      </c>
      <c r="Z403" s="476">
        <f t="shared" si="660"/>
        <v>0</v>
      </c>
      <c r="AA403" s="476">
        <f t="shared" si="661"/>
        <v>0</v>
      </c>
      <c r="AB403" s="476">
        <f t="shared" si="662"/>
        <v>0</v>
      </c>
      <c r="AC403" s="476">
        <f t="shared" si="663"/>
        <v>0</v>
      </c>
      <c r="AD403" s="476">
        <f t="shared" si="664"/>
        <v>0</v>
      </c>
      <c r="AE403" s="476">
        <f t="shared" si="665"/>
        <v>0</v>
      </c>
      <c r="AF403" s="476">
        <f t="shared" si="666"/>
        <v>0</v>
      </c>
      <c r="AG403" s="476">
        <f t="shared" si="667"/>
        <v>0</v>
      </c>
      <c r="AH403" s="476">
        <f t="shared" si="668"/>
        <v>0</v>
      </c>
      <c r="AI403" s="476">
        <f t="shared" si="669"/>
        <v>0</v>
      </c>
      <c r="AJ403" s="476">
        <f t="shared" si="670"/>
        <v>0</v>
      </c>
      <c r="AK403" s="476">
        <f t="shared" si="671"/>
        <v>0</v>
      </c>
      <c r="AL403" s="476">
        <f t="shared" si="672"/>
        <v>0</v>
      </c>
      <c r="AM403" s="476">
        <f t="shared" si="673"/>
        <v>0</v>
      </c>
      <c r="AN403" s="476">
        <f t="shared" si="674"/>
        <v>0</v>
      </c>
      <c r="AO403" s="476">
        <f t="shared" si="675"/>
        <v>0</v>
      </c>
      <c r="AP403" s="476">
        <f t="shared" si="676"/>
        <v>0</v>
      </c>
      <c r="AQ403" s="476">
        <f t="shared" si="677"/>
        <v>0</v>
      </c>
      <c r="AR403" s="476">
        <f t="shared" si="678"/>
        <v>0</v>
      </c>
      <c r="AS403" s="476">
        <f t="shared" si="679"/>
        <v>0</v>
      </c>
      <c r="AT403" s="476">
        <f t="shared" si="680"/>
        <v>0</v>
      </c>
      <c r="AU403" s="476">
        <f t="shared" si="681"/>
        <v>0</v>
      </c>
      <c r="AV403" s="476">
        <f t="shared" si="682"/>
        <v>0</v>
      </c>
      <c r="AW403" s="476">
        <f t="shared" si="683"/>
        <v>0</v>
      </c>
      <c r="AX403" s="476">
        <f t="shared" si="684"/>
        <v>0</v>
      </c>
      <c r="AY403" s="476">
        <f t="shared" si="685"/>
        <v>0</v>
      </c>
      <c r="AZ403" s="476">
        <f t="shared" si="686"/>
        <v>0</v>
      </c>
      <c r="BA403" s="476">
        <f t="shared" si="687"/>
        <v>0</v>
      </c>
      <c r="BB403" s="476">
        <f t="shared" si="688"/>
        <v>0</v>
      </c>
      <c r="BC403" s="476">
        <f t="shared" si="689"/>
        <v>0</v>
      </c>
      <c r="BD403" s="476">
        <f t="shared" si="690"/>
        <v>299904</v>
      </c>
      <c r="BE403" s="476">
        <f t="shared" si="691"/>
        <v>0</v>
      </c>
      <c r="BF403" s="476">
        <f t="shared" si="692"/>
        <v>0</v>
      </c>
      <c r="BG403" s="476">
        <f t="shared" si="693"/>
        <v>0</v>
      </c>
    </row>
    <row r="404" spans="1:59" ht="16.5" customHeight="1">
      <c r="A404" s="585" t="s">
        <v>708</v>
      </c>
      <c r="B404" s="585" t="s">
        <v>1068</v>
      </c>
      <c r="C404" s="584" t="s">
        <v>1858</v>
      </c>
      <c r="D404" s="413" t="s">
        <v>508</v>
      </c>
      <c r="E404" s="412" t="s">
        <v>330</v>
      </c>
      <c r="F404" s="413" t="s">
        <v>330</v>
      </c>
      <c r="G404" s="412" t="s">
        <v>330</v>
      </c>
      <c r="H404" s="412" t="s">
        <v>1011</v>
      </c>
      <c r="I404" s="477">
        <v>1600481</v>
      </c>
      <c r="J404" s="477">
        <v>0</v>
      </c>
      <c r="K404" s="477"/>
      <c r="L404" s="477"/>
      <c r="M404" s="477">
        <f t="shared" si="651"/>
        <v>1600481</v>
      </c>
      <c r="N404" s="477">
        <f t="shared" si="652"/>
        <v>0</v>
      </c>
      <c r="O404" s="477"/>
      <c r="P404" s="477"/>
      <c r="Q404" s="477">
        <f t="shared" si="604"/>
        <v>1600481</v>
      </c>
      <c r="R404" s="477">
        <f t="shared" si="605"/>
        <v>0</v>
      </c>
      <c r="S404" s="477">
        <f t="shared" si="606"/>
        <v>1600481</v>
      </c>
      <c r="V404" s="476">
        <f t="shared" si="656"/>
        <v>0</v>
      </c>
      <c r="W404" s="476">
        <f t="shared" si="657"/>
        <v>0</v>
      </c>
      <c r="X404" s="476">
        <f t="shared" si="658"/>
        <v>1600481</v>
      </c>
      <c r="Y404" s="476">
        <f t="shared" si="659"/>
        <v>0</v>
      </c>
      <c r="Z404" s="476">
        <f t="shared" si="660"/>
        <v>0</v>
      </c>
      <c r="AA404" s="476">
        <f t="shared" si="661"/>
        <v>0</v>
      </c>
      <c r="AB404" s="476">
        <f t="shared" si="662"/>
        <v>0</v>
      </c>
      <c r="AC404" s="476">
        <f t="shared" si="663"/>
        <v>0</v>
      </c>
      <c r="AD404" s="476">
        <f t="shared" si="664"/>
        <v>0</v>
      </c>
      <c r="AE404" s="476">
        <f t="shared" si="665"/>
        <v>0</v>
      </c>
      <c r="AF404" s="476">
        <f t="shared" si="666"/>
        <v>0</v>
      </c>
      <c r="AG404" s="476">
        <f t="shared" si="667"/>
        <v>0</v>
      </c>
      <c r="AH404" s="476">
        <f t="shared" si="668"/>
        <v>0</v>
      </c>
      <c r="AI404" s="476">
        <f t="shared" si="669"/>
        <v>0</v>
      </c>
      <c r="AJ404" s="476">
        <f t="shared" si="670"/>
        <v>0</v>
      </c>
      <c r="AK404" s="476">
        <f t="shared" si="671"/>
        <v>0</v>
      </c>
      <c r="AL404" s="476">
        <f t="shared" si="672"/>
        <v>0</v>
      </c>
      <c r="AM404" s="476">
        <f t="shared" si="673"/>
        <v>0</v>
      </c>
      <c r="AN404" s="476">
        <f t="shared" si="674"/>
        <v>0</v>
      </c>
      <c r="AO404" s="476">
        <f t="shared" si="675"/>
        <v>0</v>
      </c>
      <c r="AP404" s="476">
        <f t="shared" si="676"/>
        <v>0</v>
      </c>
      <c r="AQ404" s="476">
        <f t="shared" si="677"/>
        <v>0</v>
      </c>
      <c r="AR404" s="476">
        <f t="shared" si="678"/>
        <v>0</v>
      </c>
      <c r="AS404" s="476">
        <f t="shared" si="679"/>
        <v>0</v>
      </c>
      <c r="AT404" s="476">
        <f t="shared" si="680"/>
        <v>0</v>
      </c>
      <c r="AU404" s="476">
        <f t="shared" si="681"/>
        <v>0</v>
      </c>
      <c r="AV404" s="476">
        <f t="shared" si="682"/>
        <v>0</v>
      </c>
      <c r="AW404" s="476">
        <f t="shared" si="683"/>
        <v>0</v>
      </c>
      <c r="AX404" s="476">
        <f t="shared" si="684"/>
        <v>0</v>
      </c>
      <c r="AY404" s="476">
        <f t="shared" si="685"/>
        <v>0</v>
      </c>
      <c r="AZ404" s="476">
        <f t="shared" si="686"/>
        <v>0</v>
      </c>
      <c r="BA404" s="476">
        <f t="shared" si="687"/>
        <v>0</v>
      </c>
      <c r="BB404" s="476">
        <f t="shared" si="688"/>
        <v>0</v>
      </c>
      <c r="BC404" s="476">
        <f t="shared" si="689"/>
        <v>0</v>
      </c>
      <c r="BD404" s="476">
        <f t="shared" si="690"/>
        <v>0</v>
      </c>
      <c r="BE404" s="476">
        <f t="shared" si="691"/>
        <v>0</v>
      </c>
      <c r="BF404" s="476">
        <f t="shared" si="692"/>
        <v>0</v>
      </c>
      <c r="BG404" s="476">
        <f t="shared" si="693"/>
        <v>0</v>
      </c>
    </row>
    <row r="405" spans="1:59" ht="16.5" customHeight="1">
      <c r="A405" s="585" t="s">
        <v>708</v>
      </c>
      <c r="B405" s="585" t="s">
        <v>1068</v>
      </c>
      <c r="C405" s="584" t="s">
        <v>1859</v>
      </c>
      <c r="D405" s="413" t="s">
        <v>508</v>
      </c>
      <c r="E405" s="412" t="s">
        <v>330</v>
      </c>
      <c r="F405" s="413" t="s">
        <v>330</v>
      </c>
      <c r="G405" s="412" t="s">
        <v>330</v>
      </c>
      <c r="H405" s="412" t="s">
        <v>1012</v>
      </c>
      <c r="I405" s="477">
        <v>391647</v>
      </c>
      <c r="J405" s="477">
        <v>0</v>
      </c>
      <c r="K405" s="477"/>
      <c r="L405" s="477"/>
      <c r="M405" s="477">
        <f t="shared" si="651"/>
        <v>391647</v>
      </c>
      <c r="N405" s="477">
        <f t="shared" si="652"/>
        <v>0</v>
      </c>
      <c r="O405" s="477"/>
      <c r="P405" s="477"/>
      <c r="Q405" s="477">
        <f t="shared" si="604"/>
        <v>391647</v>
      </c>
      <c r="R405" s="477">
        <f t="shared" si="605"/>
        <v>0</v>
      </c>
      <c r="S405" s="477">
        <f t="shared" si="606"/>
        <v>391647</v>
      </c>
      <c r="V405" s="476">
        <f t="shared" si="656"/>
        <v>0</v>
      </c>
      <c r="W405" s="476">
        <f t="shared" si="657"/>
        <v>0</v>
      </c>
      <c r="X405" s="476">
        <f t="shared" si="658"/>
        <v>0</v>
      </c>
      <c r="Y405" s="476">
        <f t="shared" si="659"/>
        <v>0</v>
      </c>
      <c r="Z405" s="476">
        <f t="shared" si="660"/>
        <v>0</v>
      </c>
      <c r="AA405" s="476">
        <f t="shared" si="661"/>
        <v>0</v>
      </c>
      <c r="AB405" s="476">
        <f t="shared" si="662"/>
        <v>391647</v>
      </c>
      <c r="AC405" s="476">
        <f t="shared" si="663"/>
        <v>0</v>
      </c>
      <c r="AD405" s="476">
        <f t="shared" si="664"/>
        <v>0</v>
      </c>
      <c r="AE405" s="476">
        <f t="shared" si="665"/>
        <v>0</v>
      </c>
      <c r="AF405" s="476">
        <f t="shared" si="666"/>
        <v>0</v>
      </c>
      <c r="AG405" s="476">
        <f t="shared" si="667"/>
        <v>0</v>
      </c>
      <c r="AH405" s="476">
        <f t="shared" si="668"/>
        <v>0</v>
      </c>
      <c r="AI405" s="476">
        <f t="shared" si="669"/>
        <v>0</v>
      </c>
      <c r="AJ405" s="476">
        <f t="shared" si="670"/>
        <v>0</v>
      </c>
      <c r="AK405" s="476">
        <f t="shared" si="671"/>
        <v>0</v>
      </c>
      <c r="AL405" s="476">
        <f t="shared" si="672"/>
        <v>0</v>
      </c>
      <c r="AM405" s="476">
        <f t="shared" si="673"/>
        <v>0</v>
      </c>
      <c r="AN405" s="476">
        <f t="shared" si="674"/>
        <v>0</v>
      </c>
      <c r="AO405" s="476">
        <f t="shared" si="675"/>
        <v>0</v>
      </c>
      <c r="AP405" s="476">
        <f t="shared" si="676"/>
        <v>0</v>
      </c>
      <c r="AQ405" s="476">
        <f t="shared" si="677"/>
        <v>0</v>
      </c>
      <c r="AR405" s="476">
        <f t="shared" si="678"/>
        <v>0</v>
      </c>
      <c r="AS405" s="476">
        <f t="shared" si="679"/>
        <v>0</v>
      </c>
      <c r="AT405" s="476">
        <f t="shared" si="680"/>
        <v>0</v>
      </c>
      <c r="AU405" s="476">
        <f t="shared" si="681"/>
        <v>0</v>
      </c>
      <c r="AV405" s="476">
        <f t="shared" si="682"/>
        <v>0</v>
      </c>
      <c r="AW405" s="476">
        <f t="shared" si="683"/>
        <v>0</v>
      </c>
      <c r="AX405" s="476">
        <f t="shared" si="684"/>
        <v>0</v>
      </c>
      <c r="AY405" s="476">
        <f t="shared" si="685"/>
        <v>0</v>
      </c>
      <c r="AZ405" s="476">
        <f t="shared" si="686"/>
        <v>0</v>
      </c>
      <c r="BA405" s="476">
        <f t="shared" si="687"/>
        <v>0</v>
      </c>
      <c r="BB405" s="476">
        <f t="shared" si="688"/>
        <v>0</v>
      </c>
      <c r="BC405" s="476">
        <f t="shared" si="689"/>
        <v>0</v>
      </c>
      <c r="BD405" s="476">
        <f t="shared" si="690"/>
        <v>0</v>
      </c>
      <c r="BE405" s="476">
        <f t="shared" si="691"/>
        <v>0</v>
      </c>
      <c r="BF405" s="476">
        <f t="shared" si="692"/>
        <v>0</v>
      </c>
      <c r="BG405" s="476">
        <f t="shared" si="693"/>
        <v>0</v>
      </c>
    </row>
    <row r="406" spans="1:59" ht="16.5" customHeight="1">
      <c r="A406" s="585" t="s">
        <v>708</v>
      </c>
      <c r="B406" s="585" t="s">
        <v>1068</v>
      </c>
      <c r="C406" s="584" t="s">
        <v>1860</v>
      </c>
      <c r="D406" s="413" t="s">
        <v>508</v>
      </c>
      <c r="E406" s="412" t="s">
        <v>330</v>
      </c>
      <c r="F406" s="413" t="s">
        <v>330</v>
      </c>
      <c r="G406" s="412" t="s">
        <v>330</v>
      </c>
      <c r="H406" s="412" t="s">
        <v>1020</v>
      </c>
      <c r="I406" s="477">
        <v>2993633</v>
      </c>
      <c r="J406" s="477">
        <v>0</v>
      </c>
      <c r="K406" s="477"/>
      <c r="L406" s="477"/>
      <c r="M406" s="477">
        <f t="shared" si="651"/>
        <v>2993633</v>
      </c>
      <c r="N406" s="477">
        <f t="shared" si="652"/>
        <v>0</v>
      </c>
      <c r="O406" s="477"/>
      <c r="P406" s="477"/>
      <c r="Q406" s="477">
        <f t="shared" si="604"/>
        <v>2993633</v>
      </c>
      <c r="R406" s="477">
        <f t="shared" si="605"/>
        <v>0</v>
      </c>
      <c r="S406" s="477">
        <f t="shared" si="606"/>
        <v>2993633</v>
      </c>
      <c r="V406" s="476">
        <f t="shared" si="656"/>
        <v>0</v>
      </c>
      <c r="W406" s="476">
        <f t="shared" si="657"/>
        <v>0</v>
      </c>
      <c r="X406" s="476">
        <f t="shared" si="658"/>
        <v>0</v>
      </c>
      <c r="Y406" s="476">
        <f t="shared" si="659"/>
        <v>0</v>
      </c>
      <c r="Z406" s="476">
        <f t="shared" si="660"/>
        <v>2993633</v>
      </c>
      <c r="AA406" s="476">
        <f t="shared" si="661"/>
        <v>0</v>
      </c>
      <c r="AB406" s="476">
        <f t="shared" si="662"/>
        <v>0</v>
      </c>
      <c r="AC406" s="476">
        <f t="shared" si="663"/>
        <v>0</v>
      </c>
      <c r="AD406" s="476">
        <f t="shared" si="664"/>
        <v>0</v>
      </c>
      <c r="AE406" s="476">
        <f t="shared" si="665"/>
        <v>0</v>
      </c>
      <c r="AF406" s="476">
        <f t="shared" si="666"/>
        <v>0</v>
      </c>
      <c r="AG406" s="476">
        <f t="shared" si="667"/>
        <v>0</v>
      </c>
      <c r="AH406" s="476">
        <f t="shared" si="668"/>
        <v>0</v>
      </c>
      <c r="AI406" s="476">
        <f t="shared" si="669"/>
        <v>0</v>
      </c>
      <c r="AJ406" s="476">
        <f t="shared" si="670"/>
        <v>0</v>
      </c>
      <c r="AK406" s="476">
        <f t="shared" si="671"/>
        <v>0</v>
      </c>
      <c r="AL406" s="476">
        <f t="shared" si="672"/>
        <v>0</v>
      </c>
      <c r="AM406" s="476">
        <f t="shared" si="673"/>
        <v>0</v>
      </c>
      <c r="AN406" s="476">
        <f t="shared" si="674"/>
        <v>0</v>
      </c>
      <c r="AO406" s="476">
        <f t="shared" si="675"/>
        <v>0</v>
      </c>
      <c r="AP406" s="476">
        <f t="shared" si="676"/>
        <v>0</v>
      </c>
      <c r="AQ406" s="476">
        <f t="shared" si="677"/>
        <v>0</v>
      </c>
      <c r="AR406" s="476">
        <f t="shared" si="678"/>
        <v>0</v>
      </c>
      <c r="AS406" s="476">
        <f t="shared" si="679"/>
        <v>0</v>
      </c>
      <c r="AT406" s="476">
        <f t="shared" si="680"/>
        <v>0</v>
      </c>
      <c r="AU406" s="476">
        <f t="shared" si="681"/>
        <v>0</v>
      </c>
      <c r="AV406" s="476">
        <f t="shared" si="682"/>
        <v>0</v>
      </c>
      <c r="AW406" s="476">
        <f t="shared" si="683"/>
        <v>0</v>
      </c>
      <c r="AX406" s="476">
        <f t="shared" si="684"/>
        <v>0</v>
      </c>
      <c r="AY406" s="476">
        <f t="shared" si="685"/>
        <v>0</v>
      </c>
      <c r="AZ406" s="476">
        <f t="shared" si="686"/>
        <v>0</v>
      </c>
      <c r="BA406" s="476">
        <f t="shared" si="687"/>
        <v>0</v>
      </c>
      <c r="BB406" s="476">
        <f t="shared" si="688"/>
        <v>0</v>
      </c>
      <c r="BC406" s="476">
        <f t="shared" si="689"/>
        <v>0</v>
      </c>
      <c r="BD406" s="476">
        <f t="shared" si="690"/>
        <v>0</v>
      </c>
      <c r="BE406" s="476">
        <f t="shared" si="691"/>
        <v>0</v>
      </c>
      <c r="BF406" s="476">
        <f t="shared" si="692"/>
        <v>0</v>
      </c>
      <c r="BG406" s="476">
        <f t="shared" si="693"/>
        <v>0</v>
      </c>
    </row>
    <row r="407" spans="1:59" ht="16.5" customHeight="1">
      <c r="A407" s="585" t="s">
        <v>708</v>
      </c>
      <c r="B407" s="585" t="s">
        <v>1068</v>
      </c>
      <c r="C407" s="584" t="s">
        <v>1861</v>
      </c>
      <c r="D407" s="413" t="s">
        <v>508</v>
      </c>
      <c r="E407" s="412" t="s">
        <v>330</v>
      </c>
      <c r="F407" s="413" t="s">
        <v>330</v>
      </c>
      <c r="G407" s="412" t="s">
        <v>330</v>
      </c>
      <c r="H407" s="412" t="s">
        <v>1055</v>
      </c>
      <c r="I407" s="477">
        <v>10194036</v>
      </c>
      <c r="J407" s="477">
        <v>654955</v>
      </c>
      <c r="K407" s="477"/>
      <c r="L407" s="477"/>
      <c r="M407" s="477">
        <f t="shared" si="651"/>
        <v>10194036</v>
      </c>
      <c r="N407" s="477">
        <f t="shared" si="652"/>
        <v>654955</v>
      </c>
      <c r="O407" s="477"/>
      <c r="P407" s="477"/>
      <c r="Q407" s="477">
        <f t="shared" si="604"/>
        <v>10194036</v>
      </c>
      <c r="R407" s="477">
        <f t="shared" si="605"/>
        <v>654955</v>
      </c>
      <c r="S407" s="477">
        <f t="shared" si="606"/>
        <v>9539081</v>
      </c>
      <c r="V407" s="476">
        <f t="shared" si="656"/>
        <v>0</v>
      </c>
      <c r="W407" s="476">
        <f t="shared" si="657"/>
        <v>0</v>
      </c>
      <c r="X407" s="476">
        <f t="shared" si="658"/>
        <v>0</v>
      </c>
      <c r="Y407" s="476">
        <f t="shared" si="659"/>
        <v>0</v>
      </c>
      <c r="Z407" s="476">
        <f t="shared" si="660"/>
        <v>0</v>
      </c>
      <c r="AA407" s="476">
        <f t="shared" si="661"/>
        <v>0</v>
      </c>
      <c r="AB407" s="476">
        <f t="shared" si="662"/>
        <v>0</v>
      </c>
      <c r="AC407" s="476">
        <f t="shared" si="663"/>
        <v>0</v>
      </c>
      <c r="AD407" s="476">
        <f t="shared" si="664"/>
        <v>0</v>
      </c>
      <c r="AE407" s="476">
        <f t="shared" si="665"/>
        <v>0</v>
      </c>
      <c r="AF407" s="476">
        <f t="shared" si="666"/>
        <v>0</v>
      </c>
      <c r="AG407" s="476">
        <f t="shared" si="667"/>
        <v>0</v>
      </c>
      <c r="AH407" s="476">
        <f t="shared" si="668"/>
        <v>0</v>
      </c>
      <c r="AI407" s="476">
        <f t="shared" si="669"/>
        <v>0</v>
      </c>
      <c r="AJ407" s="476">
        <f t="shared" si="670"/>
        <v>0</v>
      </c>
      <c r="AK407" s="476">
        <f t="shared" si="671"/>
        <v>0</v>
      </c>
      <c r="AL407" s="476">
        <f t="shared" si="672"/>
        <v>0</v>
      </c>
      <c r="AM407" s="476">
        <f t="shared" si="673"/>
        <v>0</v>
      </c>
      <c r="AN407" s="476">
        <f t="shared" si="674"/>
        <v>0</v>
      </c>
      <c r="AO407" s="476">
        <f t="shared" si="675"/>
        <v>0</v>
      </c>
      <c r="AP407" s="476">
        <f t="shared" si="676"/>
        <v>0</v>
      </c>
      <c r="AQ407" s="476">
        <f t="shared" si="677"/>
        <v>0</v>
      </c>
      <c r="AR407" s="476">
        <f t="shared" si="678"/>
        <v>0</v>
      </c>
      <c r="AS407" s="476">
        <f t="shared" si="679"/>
        <v>0</v>
      </c>
      <c r="AT407" s="476">
        <f t="shared" si="680"/>
        <v>0</v>
      </c>
      <c r="AU407" s="476">
        <f t="shared" si="681"/>
        <v>0</v>
      </c>
      <c r="AV407" s="476">
        <f t="shared" si="682"/>
        <v>0</v>
      </c>
      <c r="AW407" s="476">
        <f t="shared" si="683"/>
        <v>0</v>
      </c>
      <c r="AX407" s="476">
        <f t="shared" si="684"/>
        <v>0</v>
      </c>
      <c r="AY407" s="476">
        <f t="shared" si="685"/>
        <v>0</v>
      </c>
      <c r="AZ407" s="476">
        <f t="shared" si="686"/>
        <v>0</v>
      </c>
      <c r="BA407" s="476">
        <f t="shared" si="687"/>
        <v>0</v>
      </c>
      <c r="BB407" s="476">
        <f t="shared" si="688"/>
        <v>10194036</v>
      </c>
      <c r="BC407" s="476">
        <f t="shared" si="689"/>
        <v>654955</v>
      </c>
      <c r="BD407" s="476">
        <f t="shared" si="690"/>
        <v>0</v>
      </c>
      <c r="BE407" s="476">
        <f t="shared" si="691"/>
        <v>0</v>
      </c>
      <c r="BF407" s="476">
        <f t="shared" si="692"/>
        <v>0</v>
      </c>
      <c r="BG407" s="476">
        <f t="shared" si="693"/>
        <v>0</v>
      </c>
    </row>
    <row r="408" spans="1:59" ht="16.5" customHeight="1">
      <c r="A408" s="585" t="s">
        <v>708</v>
      </c>
      <c r="B408" s="585" t="s">
        <v>1068</v>
      </c>
      <c r="C408" s="584" t="s">
        <v>1862</v>
      </c>
      <c r="D408" s="413" t="s">
        <v>508</v>
      </c>
      <c r="E408" s="412" t="s">
        <v>330</v>
      </c>
      <c r="F408" s="413" t="s">
        <v>330</v>
      </c>
      <c r="G408" s="412" t="s">
        <v>330</v>
      </c>
      <c r="H408" s="412" t="s">
        <v>1021</v>
      </c>
      <c r="I408" s="477">
        <v>738524</v>
      </c>
      <c r="J408" s="477">
        <v>0</v>
      </c>
      <c r="K408" s="477"/>
      <c r="L408" s="477"/>
      <c r="M408" s="477">
        <f t="shared" si="651"/>
        <v>738524</v>
      </c>
      <c r="N408" s="477">
        <f t="shared" si="652"/>
        <v>0</v>
      </c>
      <c r="O408" s="477"/>
      <c r="P408" s="477"/>
      <c r="Q408" s="477">
        <f t="shared" si="604"/>
        <v>738524</v>
      </c>
      <c r="R408" s="477">
        <f t="shared" si="605"/>
        <v>0</v>
      </c>
      <c r="S408" s="477">
        <f t="shared" si="606"/>
        <v>738524</v>
      </c>
      <c r="V408" s="476">
        <f t="shared" si="656"/>
        <v>0</v>
      </c>
      <c r="W408" s="476">
        <f t="shared" si="657"/>
        <v>0</v>
      </c>
      <c r="X408" s="476">
        <f t="shared" si="658"/>
        <v>0</v>
      </c>
      <c r="Y408" s="476">
        <f t="shared" si="659"/>
        <v>0</v>
      </c>
      <c r="Z408" s="476">
        <f t="shared" si="660"/>
        <v>0</v>
      </c>
      <c r="AA408" s="476">
        <f t="shared" si="661"/>
        <v>0</v>
      </c>
      <c r="AB408" s="476">
        <f t="shared" si="662"/>
        <v>0</v>
      </c>
      <c r="AC408" s="476">
        <f t="shared" si="663"/>
        <v>0</v>
      </c>
      <c r="AD408" s="476">
        <f t="shared" si="664"/>
        <v>0</v>
      </c>
      <c r="AE408" s="476">
        <f t="shared" si="665"/>
        <v>0</v>
      </c>
      <c r="AF408" s="476">
        <f t="shared" si="666"/>
        <v>738524</v>
      </c>
      <c r="AG408" s="476">
        <f t="shared" si="667"/>
        <v>0</v>
      </c>
      <c r="AH408" s="476">
        <f t="shared" si="668"/>
        <v>0</v>
      </c>
      <c r="AI408" s="476">
        <f t="shared" si="669"/>
        <v>0</v>
      </c>
      <c r="AJ408" s="476">
        <f t="shared" si="670"/>
        <v>0</v>
      </c>
      <c r="AK408" s="476">
        <f t="shared" si="671"/>
        <v>0</v>
      </c>
      <c r="AL408" s="476">
        <f t="shared" si="672"/>
        <v>0</v>
      </c>
      <c r="AM408" s="476">
        <f t="shared" si="673"/>
        <v>0</v>
      </c>
      <c r="AN408" s="476">
        <f t="shared" si="674"/>
        <v>0</v>
      </c>
      <c r="AO408" s="476">
        <f t="shared" si="675"/>
        <v>0</v>
      </c>
      <c r="AP408" s="476">
        <f t="shared" si="676"/>
        <v>0</v>
      </c>
      <c r="AQ408" s="476">
        <f t="shared" si="677"/>
        <v>0</v>
      </c>
      <c r="AR408" s="476">
        <f t="shared" si="678"/>
        <v>0</v>
      </c>
      <c r="AS408" s="476">
        <f t="shared" si="679"/>
        <v>0</v>
      </c>
      <c r="AT408" s="476">
        <f t="shared" si="680"/>
        <v>0</v>
      </c>
      <c r="AU408" s="476">
        <f t="shared" si="681"/>
        <v>0</v>
      </c>
      <c r="AV408" s="476">
        <f t="shared" si="682"/>
        <v>0</v>
      </c>
      <c r="AW408" s="476">
        <f t="shared" si="683"/>
        <v>0</v>
      </c>
      <c r="AX408" s="476">
        <f t="shared" si="684"/>
        <v>0</v>
      </c>
      <c r="AY408" s="476">
        <f t="shared" si="685"/>
        <v>0</v>
      </c>
      <c r="AZ408" s="476">
        <f t="shared" si="686"/>
        <v>0</v>
      </c>
      <c r="BA408" s="476">
        <f t="shared" si="687"/>
        <v>0</v>
      </c>
      <c r="BB408" s="476">
        <f t="shared" si="688"/>
        <v>0</v>
      </c>
      <c r="BC408" s="476">
        <f t="shared" si="689"/>
        <v>0</v>
      </c>
      <c r="BD408" s="476">
        <f t="shared" si="690"/>
        <v>0</v>
      </c>
      <c r="BE408" s="476">
        <f t="shared" si="691"/>
        <v>0</v>
      </c>
      <c r="BF408" s="476">
        <f t="shared" si="692"/>
        <v>0</v>
      </c>
      <c r="BG408" s="476">
        <f t="shared" si="693"/>
        <v>0</v>
      </c>
    </row>
    <row r="409" spans="1:59" ht="16.5" customHeight="1">
      <c r="A409" s="585" t="s">
        <v>708</v>
      </c>
      <c r="B409" s="585" t="s">
        <v>1068</v>
      </c>
      <c r="C409" s="584" t="s">
        <v>1863</v>
      </c>
      <c r="D409" s="413" t="s">
        <v>508</v>
      </c>
      <c r="E409" s="412" t="s">
        <v>330</v>
      </c>
      <c r="F409" s="413" t="s">
        <v>330</v>
      </c>
      <c r="G409" s="412" t="s">
        <v>330</v>
      </c>
      <c r="H409" s="412" t="s">
        <v>1025</v>
      </c>
      <c r="I409" s="477">
        <v>2384280.7599999998</v>
      </c>
      <c r="J409" s="477">
        <v>0</v>
      </c>
      <c r="K409" s="477"/>
      <c r="L409" s="477"/>
      <c r="M409" s="477">
        <f t="shared" si="651"/>
        <v>2384280.7599999998</v>
      </c>
      <c r="N409" s="477">
        <f t="shared" si="652"/>
        <v>0</v>
      </c>
      <c r="O409" s="477"/>
      <c r="P409" s="477"/>
      <c r="Q409" s="477">
        <f t="shared" si="604"/>
        <v>2384280.7599999998</v>
      </c>
      <c r="R409" s="477">
        <f t="shared" si="605"/>
        <v>0</v>
      </c>
      <c r="S409" s="477">
        <f t="shared" si="606"/>
        <v>2384280.7599999998</v>
      </c>
      <c r="V409" s="476">
        <f t="shared" si="656"/>
        <v>0</v>
      </c>
      <c r="W409" s="476">
        <f t="shared" si="657"/>
        <v>0</v>
      </c>
      <c r="X409" s="476">
        <f t="shared" si="658"/>
        <v>0</v>
      </c>
      <c r="Y409" s="476">
        <f t="shared" si="659"/>
        <v>0</v>
      </c>
      <c r="Z409" s="476">
        <f t="shared" si="660"/>
        <v>0</v>
      </c>
      <c r="AA409" s="476">
        <f t="shared" si="661"/>
        <v>0</v>
      </c>
      <c r="AB409" s="476">
        <f t="shared" si="662"/>
        <v>0</v>
      </c>
      <c r="AC409" s="476">
        <f t="shared" si="663"/>
        <v>0</v>
      </c>
      <c r="AD409" s="476">
        <f t="shared" si="664"/>
        <v>0</v>
      </c>
      <c r="AE409" s="476">
        <f t="shared" si="665"/>
        <v>0</v>
      </c>
      <c r="AF409" s="476">
        <f t="shared" si="666"/>
        <v>0</v>
      </c>
      <c r="AG409" s="476">
        <f t="shared" si="667"/>
        <v>0</v>
      </c>
      <c r="AH409" s="476">
        <f t="shared" si="668"/>
        <v>2384280.7599999998</v>
      </c>
      <c r="AI409" s="476">
        <f t="shared" si="669"/>
        <v>0</v>
      </c>
      <c r="AJ409" s="476">
        <f t="shared" si="670"/>
        <v>0</v>
      </c>
      <c r="AK409" s="476">
        <f t="shared" si="671"/>
        <v>0</v>
      </c>
      <c r="AL409" s="476">
        <f t="shared" si="672"/>
        <v>0</v>
      </c>
      <c r="AM409" s="476">
        <f t="shared" si="673"/>
        <v>0</v>
      </c>
      <c r="AN409" s="476">
        <f t="shared" si="674"/>
        <v>0</v>
      </c>
      <c r="AO409" s="476">
        <f t="shared" si="675"/>
        <v>0</v>
      </c>
      <c r="AP409" s="476">
        <f t="shared" si="676"/>
        <v>0</v>
      </c>
      <c r="AQ409" s="476">
        <f t="shared" si="677"/>
        <v>0</v>
      </c>
      <c r="AR409" s="476">
        <f t="shared" si="678"/>
        <v>0</v>
      </c>
      <c r="AS409" s="476">
        <f t="shared" si="679"/>
        <v>0</v>
      </c>
      <c r="AT409" s="476">
        <f t="shared" si="680"/>
        <v>0</v>
      </c>
      <c r="AU409" s="476">
        <f t="shared" si="681"/>
        <v>0</v>
      </c>
      <c r="AV409" s="476">
        <f t="shared" si="682"/>
        <v>0</v>
      </c>
      <c r="AW409" s="476">
        <f t="shared" si="683"/>
        <v>0</v>
      </c>
      <c r="AX409" s="476">
        <f t="shared" si="684"/>
        <v>0</v>
      </c>
      <c r="AY409" s="476">
        <f t="shared" si="685"/>
        <v>0</v>
      </c>
      <c r="AZ409" s="476">
        <f t="shared" si="686"/>
        <v>0</v>
      </c>
      <c r="BA409" s="476">
        <f t="shared" si="687"/>
        <v>0</v>
      </c>
      <c r="BB409" s="476">
        <f t="shared" si="688"/>
        <v>0</v>
      </c>
      <c r="BC409" s="476">
        <f t="shared" si="689"/>
        <v>0</v>
      </c>
      <c r="BD409" s="476">
        <f t="shared" si="690"/>
        <v>0</v>
      </c>
      <c r="BE409" s="476">
        <f t="shared" si="691"/>
        <v>0</v>
      </c>
      <c r="BF409" s="476">
        <f t="shared" si="692"/>
        <v>0</v>
      </c>
      <c r="BG409" s="476">
        <f t="shared" si="693"/>
        <v>0</v>
      </c>
    </row>
    <row r="410" spans="1:59" ht="16.5" customHeight="1">
      <c r="A410" s="585" t="s">
        <v>708</v>
      </c>
      <c r="B410" s="585" t="s">
        <v>1068</v>
      </c>
      <c r="C410" s="584" t="s">
        <v>1864</v>
      </c>
      <c r="D410" s="413" t="s">
        <v>508</v>
      </c>
      <c r="E410" s="412" t="s">
        <v>330</v>
      </c>
      <c r="F410" s="413" t="s">
        <v>330</v>
      </c>
      <c r="G410" s="412" t="s">
        <v>330</v>
      </c>
      <c r="H410" s="412" t="s">
        <v>1022</v>
      </c>
      <c r="I410" s="477">
        <v>25699281</v>
      </c>
      <c r="J410" s="477">
        <v>0</v>
      </c>
      <c r="K410" s="477"/>
      <c r="L410" s="477"/>
      <c r="M410" s="477">
        <f t="shared" si="651"/>
        <v>25699281</v>
      </c>
      <c r="N410" s="477">
        <f t="shared" si="652"/>
        <v>0</v>
      </c>
      <c r="O410" s="477"/>
      <c r="P410" s="477"/>
      <c r="Q410" s="477">
        <f t="shared" si="604"/>
        <v>25699281</v>
      </c>
      <c r="R410" s="477">
        <f t="shared" si="605"/>
        <v>0</v>
      </c>
      <c r="S410" s="477">
        <f t="shared" si="606"/>
        <v>25699281</v>
      </c>
      <c r="V410" s="476">
        <f t="shared" si="656"/>
        <v>0</v>
      </c>
      <c r="W410" s="476">
        <f t="shared" si="657"/>
        <v>0</v>
      </c>
      <c r="X410" s="476">
        <f t="shared" si="658"/>
        <v>0</v>
      </c>
      <c r="Y410" s="476">
        <f t="shared" si="659"/>
        <v>0</v>
      </c>
      <c r="Z410" s="476">
        <f t="shared" si="660"/>
        <v>0</v>
      </c>
      <c r="AA410" s="476">
        <f t="shared" si="661"/>
        <v>0</v>
      </c>
      <c r="AB410" s="476">
        <f t="shared" si="662"/>
        <v>0</v>
      </c>
      <c r="AC410" s="476">
        <f t="shared" si="663"/>
        <v>0</v>
      </c>
      <c r="AD410" s="476">
        <f t="shared" si="664"/>
        <v>0</v>
      </c>
      <c r="AE410" s="476">
        <f t="shared" si="665"/>
        <v>0</v>
      </c>
      <c r="AF410" s="476">
        <f t="shared" si="666"/>
        <v>0</v>
      </c>
      <c r="AG410" s="476">
        <f t="shared" si="667"/>
        <v>0</v>
      </c>
      <c r="AH410" s="476">
        <f t="shared" si="668"/>
        <v>0</v>
      </c>
      <c r="AI410" s="476">
        <f t="shared" si="669"/>
        <v>0</v>
      </c>
      <c r="AJ410" s="476">
        <f t="shared" si="670"/>
        <v>0</v>
      </c>
      <c r="AK410" s="476">
        <f t="shared" si="671"/>
        <v>0</v>
      </c>
      <c r="AL410" s="476">
        <f t="shared" si="672"/>
        <v>0</v>
      </c>
      <c r="AM410" s="476">
        <f t="shared" si="673"/>
        <v>0</v>
      </c>
      <c r="AN410" s="476">
        <f t="shared" si="674"/>
        <v>0</v>
      </c>
      <c r="AO410" s="476">
        <f t="shared" si="675"/>
        <v>0</v>
      </c>
      <c r="AP410" s="476">
        <f t="shared" si="676"/>
        <v>0</v>
      </c>
      <c r="AQ410" s="476">
        <f t="shared" si="677"/>
        <v>0</v>
      </c>
      <c r="AR410" s="476">
        <f t="shared" si="678"/>
        <v>0</v>
      </c>
      <c r="AS410" s="476">
        <f t="shared" si="679"/>
        <v>0</v>
      </c>
      <c r="AT410" s="476">
        <f t="shared" si="680"/>
        <v>0</v>
      </c>
      <c r="AU410" s="476">
        <f t="shared" si="681"/>
        <v>0</v>
      </c>
      <c r="AV410" s="476">
        <f t="shared" si="682"/>
        <v>25699281</v>
      </c>
      <c r="AW410" s="476">
        <f t="shared" si="683"/>
        <v>0</v>
      </c>
      <c r="AX410" s="476">
        <f t="shared" si="684"/>
        <v>0</v>
      </c>
      <c r="AY410" s="476">
        <f t="shared" si="685"/>
        <v>0</v>
      </c>
      <c r="AZ410" s="476">
        <f t="shared" si="686"/>
        <v>0</v>
      </c>
      <c r="BA410" s="476">
        <f t="shared" si="687"/>
        <v>0</v>
      </c>
      <c r="BB410" s="476">
        <f t="shared" si="688"/>
        <v>0</v>
      </c>
      <c r="BC410" s="476">
        <f t="shared" si="689"/>
        <v>0</v>
      </c>
      <c r="BD410" s="476">
        <f t="shared" si="690"/>
        <v>0</v>
      </c>
      <c r="BE410" s="476">
        <f t="shared" si="691"/>
        <v>0</v>
      </c>
      <c r="BF410" s="476">
        <f t="shared" si="692"/>
        <v>0</v>
      </c>
      <c r="BG410" s="476">
        <f t="shared" si="693"/>
        <v>0</v>
      </c>
    </row>
    <row r="411" spans="1:59" ht="16.5" customHeight="1">
      <c r="A411" s="585" t="s">
        <v>708</v>
      </c>
      <c r="B411" s="585" t="s">
        <v>1068</v>
      </c>
      <c r="C411" s="584" t="s">
        <v>1865</v>
      </c>
      <c r="D411" s="413" t="s">
        <v>508</v>
      </c>
      <c r="E411" s="412" t="s">
        <v>330</v>
      </c>
      <c r="F411" s="413" t="s">
        <v>330</v>
      </c>
      <c r="G411" s="412" t="s">
        <v>330</v>
      </c>
      <c r="H411" s="412" t="s">
        <v>1019</v>
      </c>
      <c r="I411" s="477">
        <v>3544301</v>
      </c>
      <c r="J411" s="477">
        <v>0</v>
      </c>
      <c r="K411" s="477"/>
      <c r="L411" s="477"/>
      <c r="M411" s="477">
        <f t="shared" si="651"/>
        <v>3544301</v>
      </c>
      <c r="N411" s="477">
        <f t="shared" si="652"/>
        <v>0</v>
      </c>
      <c r="O411" s="477"/>
      <c r="P411" s="477"/>
      <c r="Q411" s="477">
        <f t="shared" si="604"/>
        <v>3544301</v>
      </c>
      <c r="R411" s="477">
        <f t="shared" si="605"/>
        <v>0</v>
      </c>
      <c r="S411" s="477">
        <f t="shared" si="606"/>
        <v>3544301</v>
      </c>
      <c r="V411" s="476">
        <f t="shared" si="656"/>
        <v>0</v>
      </c>
      <c r="W411" s="476">
        <f t="shared" si="657"/>
        <v>0</v>
      </c>
      <c r="X411" s="476">
        <f t="shared" si="658"/>
        <v>0</v>
      </c>
      <c r="Y411" s="476">
        <f t="shared" si="659"/>
        <v>0</v>
      </c>
      <c r="Z411" s="476">
        <f t="shared" si="660"/>
        <v>0</v>
      </c>
      <c r="AA411" s="476">
        <f t="shared" si="661"/>
        <v>0</v>
      </c>
      <c r="AB411" s="476">
        <f t="shared" si="662"/>
        <v>0</v>
      </c>
      <c r="AC411" s="476">
        <f t="shared" si="663"/>
        <v>0</v>
      </c>
      <c r="AD411" s="476">
        <f t="shared" si="664"/>
        <v>3544301</v>
      </c>
      <c r="AE411" s="476">
        <f t="shared" si="665"/>
        <v>0</v>
      </c>
      <c r="AF411" s="476">
        <f t="shared" si="666"/>
        <v>0</v>
      </c>
      <c r="AG411" s="476">
        <f t="shared" si="667"/>
        <v>0</v>
      </c>
      <c r="AH411" s="476">
        <f t="shared" si="668"/>
        <v>0</v>
      </c>
      <c r="AI411" s="476">
        <f t="shared" si="669"/>
        <v>0</v>
      </c>
      <c r="AJ411" s="476">
        <f t="shared" si="670"/>
        <v>0</v>
      </c>
      <c r="AK411" s="476">
        <f t="shared" si="671"/>
        <v>0</v>
      </c>
      <c r="AL411" s="476">
        <f t="shared" si="672"/>
        <v>0</v>
      </c>
      <c r="AM411" s="476">
        <f t="shared" si="673"/>
        <v>0</v>
      </c>
      <c r="AN411" s="476">
        <f t="shared" si="674"/>
        <v>0</v>
      </c>
      <c r="AO411" s="476">
        <f t="shared" si="675"/>
        <v>0</v>
      </c>
      <c r="AP411" s="476">
        <f t="shared" si="676"/>
        <v>0</v>
      </c>
      <c r="AQ411" s="476">
        <f t="shared" si="677"/>
        <v>0</v>
      </c>
      <c r="AR411" s="476">
        <f t="shared" si="678"/>
        <v>0</v>
      </c>
      <c r="AS411" s="476">
        <f t="shared" si="679"/>
        <v>0</v>
      </c>
      <c r="AT411" s="476">
        <f t="shared" si="680"/>
        <v>0</v>
      </c>
      <c r="AU411" s="476">
        <f t="shared" si="681"/>
        <v>0</v>
      </c>
      <c r="AV411" s="476">
        <f t="shared" si="682"/>
        <v>0</v>
      </c>
      <c r="AW411" s="476">
        <f t="shared" si="683"/>
        <v>0</v>
      </c>
      <c r="AX411" s="476">
        <f t="shared" si="684"/>
        <v>0</v>
      </c>
      <c r="AY411" s="476">
        <f t="shared" si="685"/>
        <v>0</v>
      </c>
      <c r="AZ411" s="476">
        <f t="shared" si="686"/>
        <v>0</v>
      </c>
      <c r="BA411" s="476">
        <f t="shared" si="687"/>
        <v>0</v>
      </c>
      <c r="BB411" s="476">
        <f t="shared" si="688"/>
        <v>0</v>
      </c>
      <c r="BC411" s="476">
        <f t="shared" si="689"/>
        <v>0</v>
      </c>
      <c r="BD411" s="476">
        <f t="shared" si="690"/>
        <v>0</v>
      </c>
      <c r="BE411" s="476">
        <f t="shared" si="691"/>
        <v>0</v>
      </c>
      <c r="BF411" s="476">
        <f t="shared" si="692"/>
        <v>0</v>
      </c>
      <c r="BG411" s="476">
        <f t="shared" si="693"/>
        <v>0</v>
      </c>
    </row>
    <row r="412" spans="1:59" ht="16.5" customHeight="1">
      <c r="A412" s="585" t="s">
        <v>708</v>
      </c>
      <c r="B412" s="585" t="s">
        <v>1068</v>
      </c>
      <c r="C412" s="584" t="s">
        <v>1866</v>
      </c>
      <c r="D412" s="413" t="s">
        <v>508</v>
      </c>
      <c r="E412" s="412" t="s">
        <v>330</v>
      </c>
      <c r="F412" s="413" t="s">
        <v>330</v>
      </c>
      <c r="G412" s="412" t="s">
        <v>330</v>
      </c>
      <c r="H412" s="412" t="s">
        <v>1027</v>
      </c>
      <c r="I412" s="477">
        <v>563372</v>
      </c>
      <c r="J412" s="477">
        <v>0</v>
      </c>
      <c r="K412" s="477"/>
      <c r="L412" s="477"/>
      <c r="M412" s="477">
        <f t="shared" si="651"/>
        <v>563372</v>
      </c>
      <c r="N412" s="477">
        <f t="shared" si="652"/>
        <v>0</v>
      </c>
      <c r="O412" s="477"/>
      <c r="P412" s="477"/>
      <c r="Q412" s="477">
        <f t="shared" si="604"/>
        <v>563372</v>
      </c>
      <c r="R412" s="477">
        <f t="shared" si="605"/>
        <v>0</v>
      </c>
      <c r="S412" s="477">
        <f t="shared" si="606"/>
        <v>563372</v>
      </c>
      <c r="V412" s="476">
        <f t="shared" si="656"/>
        <v>0</v>
      </c>
      <c r="W412" s="476">
        <f t="shared" si="657"/>
        <v>0</v>
      </c>
      <c r="X412" s="476">
        <f t="shared" si="658"/>
        <v>0</v>
      </c>
      <c r="Y412" s="476">
        <f t="shared" si="659"/>
        <v>0</v>
      </c>
      <c r="Z412" s="476">
        <f t="shared" si="660"/>
        <v>0</v>
      </c>
      <c r="AA412" s="476">
        <f t="shared" si="661"/>
        <v>0</v>
      </c>
      <c r="AB412" s="476">
        <f t="shared" si="662"/>
        <v>0</v>
      </c>
      <c r="AC412" s="476">
        <f t="shared" si="663"/>
        <v>0</v>
      </c>
      <c r="AD412" s="476">
        <f t="shared" si="664"/>
        <v>0</v>
      </c>
      <c r="AE412" s="476">
        <f t="shared" si="665"/>
        <v>0</v>
      </c>
      <c r="AF412" s="476">
        <f t="shared" si="666"/>
        <v>0</v>
      </c>
      <c r="AG412" s="476">
        <f t="shared" si="667"/>
        <v>0</v>
      </c>
      <c r="AH412" s="476">
        <f t="shared" si="668"/>
        <v>0</v>
      </c>
      <c r="AI412" s="476">
        <f t="shared" si="669"/>
        <v>0</v>
      </c>
      <c r="AJ412" s="476">
        <f t="shared" si="670"/>
        <v>0</v>
      </c>
      <c r="AK412" s="476">
        <f t="shared" si="671"/>
        <v>0</v>
      </c>
      <c r="AL412" s="476">
        <f t="shared" si="672"/>
        <v>0</v>
      </c>
      <c r="AM412" s="476">
        <f t="shared" si="673"/>
        <v>0</v>
      </c>
      <c r="AN412" s="476">
        <f t="shared" si="674"/>
        <v>0</v>
      </c>
      <c r="AO412" s="476">
        <f t="shared" si="675"/>
        <v>0</v>
      </c>
      <c r="AP412" s="476">
        <f t="shared" si="676"/>
        <v>0</v>
      </c>
      <c r="AQ412" s="476">
        <f t="shared" si="677"/>
        <v>0</v>
      </c>
      <c r="AR412" s="476">
        <f t="shared" si="678"/>
        <v>563372</v>
      </c>
      <c r="AS412" s="476">
        <f t="shared" si="679"/>
        <v>0</v>
      </c>
      <c r="AT412" s="476">
        <f t="shared" si="680"/>
        <v>0</v>
      </c>
      <c r="AU412" s="476">
        <f t="shared" si="681"/>
        <v>0</v>
      </c>
      <c r="AV412" s="476">
        <f t="shared" si="682"/>
        <v>0</v>
      </c>
      <c r="AW412" s="476">
        <f t="shared" si="683"/>
        <v>0</v>
      </c>
      <c r="AX412" s="476">
        <f t="shared" si="684"/>
        <v>0</v>
      </c>
      <c r="AY412" s="476">
        <f t="shared" si="685"/>
        <v>0</v>
      </c>
      <c r="AZ412" s="476">
        <f t="shared" si="686"/>
        <v>0</v>
      </c>
      <c r="BA412" s="476">
        <f t="shared" si="687"/>
        <v>0</v>
      </c>
      <c r="BB412" s="476">
        <f t="shared" si="688"/>
        <v>0</v>
      </c>
      <c r="BC412" s="476">
        <f t="shared" si="689"/>
        <v>0</v>
      </c>
      <c r="BD412" s="476">
        <f t="shared" si="690"/>
        <v>0</v>
      </c>
      <c r="BE412" s="476">
        <f t="shared" si="691"/>
        <v>0</v>
      </c>
      <c r="BF412" s="476">
        <f t="shared" si="692"/>
        <v>0</v>
      </c>
      <c r="BG412" s="476">
        <f t="shared" si="693"/>
        <v>0</v>
      </c>
    </row>
    <row r="413" spans="1:59" ht="16.5" customHeight="1">
      <c r="A413" s="585" t="s">
        <v>708</v>
      </c>
      <c r="B413" s="585" t="s">
        <v>1068</v>
      </c>
      <c r="C413" s="584" t="s">
        <v>1867</v>
      </c>
      <c r="D413" s="413" t="s">
        <v>508</v>
      </c>
      <c r="E413" s="412" t="s">
        <v>330</v>
      </c>
      <c r="F413" s="413" t="s">
        <v>330</v>
      </c>
      <c r="G413" s="412" t="s">
        <v>330</v>
      </c>
      <c r="H413" s="412" t="s">
        <v>992</v>
      </c>
      <c r="I413" s="477">
        <v>994850</v>
      </c>
      <c r="J413" s="477">
        <v>0</v>
      </c>
      <c r="K413" s="477"/>
      <c r="L413" s="477"/>
      <c r="M413" s="477">
        <f t="shared" si="651"/>
        <v>994850</v>
      </c>
      <c r="N413" s="477">
        <f t="shared" si="652"/>
        <v>0</v>
      </c>
      <c r="O413" s="477"/>
      <c r="P413" s="477"/>
      <c r="Q413" s="477">
        <f t="shared" si="604"/>
        <v>994850</v>
      </c>
      <c r="R413" s="477">
        <f t="shared" si="605"/>
        <v>0</v>
      </c>
      <c r="S413" s="477">
        <f t="shared" si="606"/>
        <v>994850</v>
      </c>
      <c r="V413" s="476">
        <f t="shared" si="656"/>
        <v>0</v>
      </c>
      <c r="W413" s="476">
        <f t="shared" si="657"/>
        <v>0</v>
      </c>
      <c r="X413" s="476">
        <f t="shared" si="658"/>
        <v>0</v>
      </c>
      <c r="Y413" s="476">
        <f t="shared" si="659"/>
        <v>0</v>
      </c>
      <c r="Z413" s="476">
        <f t="shared" si="660"/>
        <v>0</v>
      </c>
      <c r="AA413" s="476">
        <f t="shared" si="661"/>
        <v>0</v>
      </c>
      <c r="AB413" s="476">
        <f t="shared" si="662"/>
        <v>0</v>
      </c>
      <c r="AC413" s="476">
        <f t="shared" si="663"/>
        <v>0</v>
      </c>
      <c r="AD413" s="476">
        <f t="shared" si="664"/>
        <v>0</v>
      </c>
      <c r="AE413" s="476">
        <f t="shared" si="665"/>
        <v>0</v>
      </c>
      <c r="AF413" s="476">
        <f t="shared" si="666"/>
        <v>0</v>
      </c>
      <c r="AG413" s="476">
        <f t="shared" si="667"/>
        <v>0</v>
      </c>
      <c r="AH413" s="476">
        <f t="shared" si="668"/>
        <v>0</v>
      </c>
      <c r="AI413" s="476">
        <f t="shared" si="669"/>
        <v>0</v>
      </c>
      <c r="AJ413" s="476">
        <f t="shared" si="670"/>
        <v>0</v>
      </c>
      <c r="AK413" s="476">
        <f t="shared" si="671"/>
        <v>0</v>
      </c>
      <c r="AL413" s="476">
        <f t="shared" si="672"/>
        <v>0</v>
      </c>
      <c r="AM413" s="476">
        <f t="shared" si="673"/>
        <v>0</v>
      </c>
      <c r="AN413" s="476">
        <f t="shared" si="674"/>
        <v>994850</v>
      </c>
      <c r="AO413" s="476">
        <f t="shared" si="675"/>
        <v>0</v>
      </c>
      <c r="AP413" s="476">
        <f t="shared" si="676"/>
        <v>0</v>
      </c>
      <c r="AQ413" s="476">
        <f t="shared" si="677"/>
        <v>0</v>
      </c>
      <c r="AR413" s="476">
        <f t="shared" si="678"/>
        <v>0</v>
      </c>
      <c r="AS413" s="476">
        <f t="shared" si="679"/>
        <v>0</v>
      </c>
      <c r="AT413" s="476">
        <f t="shared" si="680"/>
        <v>0</v>
      </c>
      <c r="AU413" s="476">
        <f t="shared" si="681"/>
        <v>0</v>
      </c>
      <c r="AV413" s="476">
        <f t="shared" si="682"/>
        <v>0</v>
      </c>
      <c r="AW413" s="476">
        <f t="shared" si="683"/>
        <v>0</v>
      </c>
      <c r="AX413" s="476">
        <f t="shared" si="684"/>
        <v>0</v>
      </c>
      <c r="AY413" s="476">
        <f t="shared" si="685"/>
        <v>0</v>
      </c>
      <c r="AZ413" s="476">
        <f t="shared" si="686"/>
        <v>0</v>
      </c>
      <c r="BA413" s="476">
        <f t="shared" si="687"/>
        <v>0</v>
      </c>
      <c r="BB413" s="476">
        <f t="shared" si="688"/>
        <v>0</v>
      </c>
      <c r="BC413" s="476">
        <f t="shared" si="689"/>
        <v>0</v>
      </c>
      <c r="BD413" s="476">
        <f t="shared" si="690"/>
        <v>0</v>
      </c>
      <c r="BE413" s="476">
        <f t="shared" si="691"/>
        <v>0</v>
      </c>
      <c r="BF413" s="476">
        <f t="shared" si="692"/>
        <v>0</v>
      </c>
      <c r="BG413" s="476">
        <f t="shared" si="693"/>
        <v>0</v>
      </c>
    </row>
    <row r="414" spans="1:59" ht="16.5" customHeight="1">
      <c r="A414" s="585" t="s">
        <v>708</v>
      </c>
      <c r="B414" s="585" t="s">
        <v>1068</v>
      </c>
      <c r="C414" s="584" t="s">
        <v>1868</v>
      </c>
      <c r="D414" s="413" t="s">
        <v>508</v>
      </c>
      <c r="E414" s="412" t="s">
        <v>330</v>
      </c>
      <c r="F414" s="413" t="s">
        <v>330</v>
      </c>
      <c r="G414" s="412" t="s">
        <v>330</v>
      </c>
      <c r="H414" s="412" t="s">
        <v>1275</v>
      </c>
      <c r="I414" s="477">
        <v>254927</v>
      </c>
      <c r="J414" s="477">
        <v>28730</v>
      </c>
      <c r="K414" s="477">
        <v>62000</v>
      </c>
      <c r="L414" s="477">
        <v>0</v>
      </c>
      <c r="M414" s="477">
        <f t="shared" si="651"/>
        <v>316927</v>
      </c>
      <c r="N414" s="477">
        <f t="shared" si="652"/>
        <v>28730</v>
      </c>
      <c r="O414" s="477"/>
      <c r="P414" s="477"/>
      <c r="Q414" s="477">
        <f t="shared" ref="Q414:Q480" si="694">+M414+O414</f>
        <v>316927</v>
      </c>
      <c r="R414" s="477">
        <f t="shared" ref="R414:R480" si="695">+N414+P414</f>
        <v>28730</v>
      </c>
      <c r="S414" s="477">
        <f t="shared" ref="S414:S480" si="696">+Q414-R414</f>
        <v>288197</v>
      </c>
      <c r="V414" s="476">
        <f t="shared" si="656"/>
        <v>0</v>
      </c>
      <c r="W414" s="476">
        <f t="shared" si="657"/>
        <v>0</v>
      </c>
      <c r="X414" s="476">
        <f t="shared" si="658"/>
        <v>0</v>
      </c>
      <c r="Y414" s="476">
        <f t="shared" si="659"/>
        <v>0</v>
      </c>
      <c r="Z414" s="476">
        <f t="shared" si="660"/>
        <v>0</v>
      </c>
      <c r="AA414" s="476">
        <f t="shared" si="661"/>
        <v>0</v>
      </c>
      <c r="AB414" s="476">
        <f t="shared" si="662"/>
        <v>0</v>
      </c>
      <c r="AC414" s="476">
        <f t="shared" si="663"/>
        <v>0</v>
      </c>
      <c r="AD414" s="476">
        <f t="shared" si="664"/>
        <v>0</v>
      </c>
      <c r="AE414" s="476">
        <f t="shared" si="665"/>
        <v>0</v>
      </c>
      <c r="AF414" s="476">
        <f t="shared" si="666"/>
        <v>0</v>
      </c>
      <c r="AG414" s="476">
        <f t="shared" si="667"/>
        <v>0</v>
      </c>
      <c r="AH414" s="476">
        <f t="shared" si="668"/>
        <v>0</v>
      </c>
      <c r="AI414" s="476">
        <f t="shared" si="669"/>
        <v>0</v>
      </c>
      <c r="AJ414" s="476">
        <f t="shared" si="670"/>
        <v>0</v>
      </c>
      <c r="AK414" s="476">
        <f t="shared" si="671"/>
        <v>0</v>
      </c>
      <c r="AL414" s="476">
        <f t="shared" si="672"/>
        <v>0</v>
      </c>
      <c r="AM414" s="476">
        <f t="shared" si="673"/>
        <v>0</v>
      </c>
      <c r="AN414" s="476">
        <f t="shared" si="674"/>
        <v>0</v>
      </c>
      <c r="AO414" s="476">
        <f t="shared" si="675"/>
        <v>0</v>
      </c>
      <c r="AP414" s="476">
        <f t="shared" si="676"/>
        <v>0</v>
      </c>
      <c r="AQ414" s="476">
        <f t="shared" si="677"/>
        <v>0</v>
      </c>
      <c r="AR414" s="476">
        <f t="shared" si="678"/>
        <v>0</v>
      </c>
      <c r="AS414" s="476">
        <f t="shared" si="679"/>
        <v>0</v>
      </c>
      <c r="AT414" s="476">
        <f t="shared" si="680"/>
        <v>0</v>
      </c>
      <c r="AU414" s="476">
        <f t="shared" si="681"/>
        <v>0</v>
      </c>
      <c r="AV414" s="476">
        <f t="shared" si="682"/>
        <v>0</v>
      </c>
      <c r="AW414" s="476">
        <f t="shared" si="683"/>
        <v>0</v>
      </c>
      <c r="AX414" s="476">
        <f t="shared" si="684"/>
        <v>0</v>
      </c>
      <c r="AY414" s="476">
        <f t="shared" si="685"/>
        <v>0</v>
      </c>
      <c r="AZ414" s="476">
        <f t="shared" si="686"/>
        <v>0</v>
      </c>
      <c r="BA414" s="476">
        <f t="shared" si="687"/>
        <v>0</v>
      </c>
      <c r="BB414" s="476">
        <f t="shared" si="688"/>
        <v>0</v>
      </c>
      <c r="BC414" s="476">
        <f t="shared" si="689"/>
        <v>0</v>
      </c>
      <c r="BD414" s="476">
        <f t="shared" si="690"/>
        <v>0</v>
      </c>
      <c r="BE414" s="476">
        <f t="shared" si="691"/>
        <v>0</v>
      </c>
      <c r="BF414" s="476">
        <f t="shared" si="692"/>
        <v>0</v>
      </c>
      <c r="BG414" s="476">
        <f t="shared" si="693"/>
        <v>0</v>
      </c>
    </row>
    <row r="415" spans="1:59" ht="16.5" customHeight="1">
      <c r="A415" s="585" t="s">
        <v>709</v>
      </c>
      <c r="B415" s="585" t="s">
        <v>1069</v>
      </c>
      <c r="C415" s="584" t="s">
        <v>1869</v>
      </c>
      <c r="D415" s="413" t="s">
        <v>508</v>
      </c>
      <c r="E415" s="412" t="s">
        <v>330</v>
      </c>
      <c r="F415" s="413" t="s">
        <v>330</v>
      </c>
      <c r="G415" s="412" t="s">
        <v>330</v>
      </c>
      <c r="H415" s="412" t="s">
        <v>974</v>
      </c>
      <c r="I415" s="477">
        <v>16440</v>
      </c>
      <c r="J415" s="477">
        <v>0</v>
      </c>
      <c r="K415" s="477"/>
      <c r="L415" s="477"/>
      <c r="M415" s="477">
        <f t="shared" si="651"/>
        <v>16440</v>
      </c>
      <c r="N415" s="477">
        <f t="shared" si="652"/>
        <v>0</v>
      </c>
      <c r="O415" s="477"/>
      <c r="P415" s="477"/>
      <c r="Q415" s="477">
        <f t="shared" si="694"/>
        <v>16440</v>
      </c>
      <c r="R415" s="477">
        <f t="shared" si="695"/>
        <v>0</v>
      </c>
      <c r="S415" s="477">
        <f t="shared" si="696"/>
        <v>16440</v>
      </c>
      <c r="V415" s="476">
        <f t="shared" si="656"/>
        <v>16440</v>
      </c>
      <c r="W415" s="476">
        <f t="shared" si="657"/>
        <v>0</v>
      </c>
      <c r="X415" s="476">
        <f t="shared" si="658"/>
        <v>0</v>
      </c>
      <c r="Y415" s="476">
        <f t="shared" si="659"/>
        <v>0</v>
      </c>
      <c r="Z415" s="476">
        <f t="shared" si="660"/>
        <v>0</v>
      </c>
      <c r="AA415" s="476">
        <f t="shared" si="661"/>
        <v>0</v>
      </c>
      <c r="AB415" s="476">
        <f t="shared" si="662"/>
        <v>0</v>
      </c>
      <c r="AC415" s="476">
        <f t="shared" si="663"/>
        <v>0</v>
      </c>
      <c r="AD415" s="476">
        <f t="shared" si="664"/>
        <v>0</v>
      </c>
      <c r="AE415" s="476">
        <f t="shared" si="665"/>
        <v>0</v>
      </c>
      <c r="AF415" s="476">
        <f t="shared" si="666"/>
        <v>0</v>
      </c>
      <c r="AG415" s="476">
        <f t="shared" si="667"/>
        <v>0</v>
      </c>
      <c r="AH415" s="476">
        <f t="shared" si="668"/>
        <v>0</v>
      </c>
      <c r="AI415" s="476">
        <f t="shared" si="669"/>
        <v>0</v>
      </c>
      <c r="AJ415" s="476">
        <f t="shared" si="670"/>
        <v>0</v>
      </c>
      <c r="AK415" s="476">
        <f t="shared" si="671"/>
        <v>0</v>
      </c>
      <c r="AL415" s="476">
        <f t="shared" si="672"/>
        <v>0</v>
      </c>
      <c r="AM415" s="476">
        <f t="shared" si="673"/>
        <v>0</v>
      </c>
      <c r="AN415" s="476">
        <f t="shared" si="674"/>
        <v>0</v>
      </c>
      <c r="AO415" s="476">
        <f t="shared" si="675"/>
        <v>0</v>
      </c>
      <c r="AP415" s="476">
        <f t="shared" si="676"/>
        <v>0</v>
      </c>
      <c r="AQ415" s="476">
        <f t="shared" si="677"/>
        <v>0</v>
      </c>
      <c r="AR415" s="476">
        <f t="shared" si="678"/>
        <v>0</v>
      </c>
      <c r="AS415" s="476">
        <f t="shared" si="679"/>
        <v>0</v>
      </c>
      <c r="AT415" s="476">
        <f t="shared" si="680"/>
        <v>0</v>
      </c>
      <c r="AU415" s="476">
        <f t="shared" si="681"/>
        <v>0</v>
      </c>
      <c r="AV415" s="476">
        <f t="shared" si="682"/>
        <v>0</v>
      </c>
      <c r="AW415" s="476">
        <f t="shared" si="683"/>
        <v>0</v>
      </c>
      <c r="AX415" s="476">
        <f t="shared" si="684"/>
        <v>0</v>
      </c>
      <c r="AY415" s="476">
        <f t="shared" si="685"/>
        <v>0</v>
      </c>
      <c r="AZ415" s="476">
        <f t="shared" si="686"/>
        <v>0</v>
      </c>
      <c r="BA415" s="476">
        <f t="shared" si="687"/>
        <v>0</v>
      </c>
      <c r="BB415" s="476">
        <f t="shared" si="688"/>
        <v>0</v>
      </c>
      <c r="BC415" s="476">
        <f t="shared" si="689"/>
        <v>0</v>
      </c>
      <c r="BD415" s="476">
        <f t="shared" si="690"/>
        <v>0</v>
      </c>
      <c r="BE415" s="476">
        <f t="shared" si="691"/>
        <v>0</v>
      </c>
      <c r="BF415" s="476">
        <f t="shared" si="692"/>
        <v>0</v>
      </c>
      <c r="BG415" s="476">
        <f t="shared" si="693"/>
        <v>0</v>
      </c>
    </row>
    <row r="416" spans="1:59" ht="16.5" customHeight="1">
      <c r="A416" s="585" t="s">
        <v>709</v>
      </c>
      <c r="B416" s="585" t="s">
        <v>1069</v>
      </c>
      <c r="C416" s="584" t="s">
        <v>1870</v>
      </c>
      <c r="D416" s="413" t="s">
        <v>508</v>
      </c>
      <c r="E416" s="412" t="s">
        <v>330</v>
      </c>
      <c r="F416" s="413" t="s">
        <v>330</v>
      </c>
      <c r="G416" s="412" t="s">
        <v>330</v>
      </c>
      <c r="H416" s="412" t="s">
        <v>1020</v>
      </c>
      <c r="I416" s="477">
        <v>1755199</v>
      </c>
      <c r="J416" s="477">
        <v>0</v>
      </c>
      <c r="K416" s="477"/>
      <c r="L416" s="477"/>
      <c r="M416" s="477">
        <f t="shared" si="651"/>
        <v>1755199</v>
      </c>
      <c r="N416" s="477">
        <f t="shared" si="652"/>
        <v>0</v>
      </c>
      <c r="O416" s="477"/>
      <c r="P416" s="477"/>
      <c r="Q416" s="477">
        <f t="shared" si="694"/>
        <v>1755199</v>
      </c>
      <c r="R416" s="477">
        <f t="shared" si="695"/>
        <v>0</v>
      </c>
      <c r="S416" s="477">
        <f t="shared" si="696"/>
        <v>1755199</v>
      </c>
      <c r="V416" s="476">
        <f t="shared" si="656"/>
        <v>0</v>
      </c>
      <c r="W416" s="476">
        <f t="shared" si="657"/>
        <v>0</v>
      </c>
      <c r="X416" s="476">
        <f t="shared" si="658"/>
        <v>0</v>
      </c>
      <c r="Y416" s="476">
        <f t="shared" si="659"/>
        <v>0</v>
      </c>
      <c r="Z416" s="476">
        <f t="shared" si="660"/>
        <v>1755199</v>
      </c>
      <c r="AA416" s="476">
        <f t="shared" si="661"/>
        <v>0</v>
      </c>
      <c r="AB416" s="476">
        <f t="shared" si="662"/>
        <v>0</v>
      </c>
      <c r="AC416" s="476">
        <f t="shared" si="663"/>
        <v>0</v>
      </c>
      <c r="AD416" s="476">
        <f t="shared" si="664"/>
        <v>0</v>
      </c>
      <c r="AE416" s="476">
        <f t="shared" si="665"/>
        <v>0</v>
      </c>
      <c r="AF416" s="476">
        <f t="shared" si="666"/>
        <v>0</v>
      </c>
      <c r="AG416" s="476">
        <f t="shared" si="667"/>
        <v>0</v>
      </c>
      <c r="AH416" s="476">
        <f t="shared" si="668"/>
        <v>0</v>
      </c>
      <c r="AI416" s="476">
        <f t="shared" si="669"/>
        <v>0</v>
      </c>
      <c r="AJ416" s="476">
        <f t="shared" si="670"/>
        <v>0</v>
      </c>
      <c r="AK416" s="476">
        <f t="shared" si="671"/>
        <v>0</v>
      </c>
      <c r="AL416" s="476">
        <f t="shared" si="672"/>
        <v>0</v>
      </c>
      <c r="AM416" s="476">
        <f t="shared" si="673"/>
        <v>0</v>
      </c>
      <c r="AN416" s="476">
        <f t="shared" si="674"/>
        <v>0</v>
      </c>
      <c r="AO416" s="476">
        <f t="shared" si="675"/>
        <v>0</v>
      </c>
      <c r="AP416" s="476">
        <f t="shared" si="676"/>
        <v>0</v>
      </c>
      <c r="AQ416" s="476">
        <f t="shared" si="677"/>
        <v>0</v>
      </c>
      <c r="AR416" s="476">
        <f t="shared" si="678"/>
        <v>0</v>
      </c>
      <c r="AS416" s="476">
        <f t="shared" si="679"/>
        <v>0</v>
      </c>
      <c r="AT416" s="476">
        <f t="shared" si="680"/>
        <v>0</v>
      </c>
      <c r="AU416" s="476">
        <f t="shared" si="681"/>
        <v>0</v>
      </c>
      <c r="AV416" s="476">
        <f t="shared" si="682"/>
        <v>0</v>
      </c>
      <c r="AW416" s="476">
        <f t="shared" si="683"/>
        <v>0</v>
      </c>
      <c r="AX416" s="476">
        <f t="shared" si="684"/>
        <v>0</v>
      </c>
      <c r="AY416" s="476">
        <f t="shared" si="685"/>
        <v>0</v>
      </c>
      <c r="AZ416" s="476">
        <f t="shared" si="686"/>
        <v>0</v>
      </c>
      <c r="BA416" s="476">
        <f t="shared" si="687"/>
        <v>0</v>
      </c>
      <c r="BB416" s="476">
        <f t="shared" si="688"/>
        <v>0</v>
      </c>
      <c r="BC416" s="476">
        <f t="shared" si="689"/>
        <v>0</v>
      </c>
      <c r="BD416" s="476">
        <f t="shared" si="690"/>
        <v>0</v>
      </c>
      <c r="BE416" s="476">
        <f t="shared" si="691"/>
        <v>0</v>
      </c>
      <c r="BF416" s="476">
        <f t="shared" si="692"/>
        <v>0</v>
      </c>
      <c r="BG416" s="476">
        <f t="shared" si="693"/>
        <v>0</v>
      </c>
    </row>
    <row r="417" spans="1:59" ht="16.5" customHeight="1">
      <c r="A417" s="585" t="s">
        <v>710</v>
      </c>
      <c r="B417" s="585" t="s">
        <v>1070</v>
      </c>
      <c r="C417" s="584" t="s">
        <v>1871</v>
      </c>
      <c r="D417" s="413" t="s">
        <v>508</v>
      </c>
      <c r="E417" s="412" t="s">
        <v>330</v>
      </c>
      <c r="F417" s="413" t="s">
        <v>330</v>
      </c>
      <c r="G417" s="412" t="s">
        <v>330</v>
      </c>
      <c r="H417" s="412" t="s">
        <v>974</v>
      </c>
      <c r="I417" s="477">
        <v>3268048</v>
      </c>
      <c r="J417" s="477">
        <v>0</v>
      </c>
      <c r="K417" s="477"/>
      <c r="L417" s="477"/>
      <c r="M417" s="477">
        <f t="shared" si="651"/>
        <v>3268048</v>
      </c>
      <c r="N417" s="477">
        <f t="shared" si="652"/>
        <v>0</v>
      </c>
      <c r="O417" s="477"/>
      <c r="P417" s="477"/>
      <c r="Q417" s="477">
        <f t="shared" si="694"/>
        <v>3268048</v>
      </c>
      <c r="R417" s="477">
        <f t="shared" si="695"/>
        <v>0</v>
      </c>
      <c r="S417" s="477">
        <f t="shared" si="696"/>
        <v>3268048</v>
      </c>
      <c r="V417" s="476">
        <f t="shared" si="656"/>
        <v>3268048</v>
      </c>
      <c r="W417" s="476">
        <f t="shared" si="657"/>
        <v>0</v>
      </c>
      <c r="X417" s="476">
        <f t="shared" si="658"/>
        <v>0</v>
      </c>
      <c r="Y417" s="476">
        <f t="shared" si="659"/>
        <v>0</v>
      </c>
      <c r="Z417" s="476">
        <f t="shared" si="660"/>
        <v>0</v>
      </c>
      <c r="AA417" s="476">
        <f t="shared" si="661"/>
        <v>0</v>
      </c>
      <c r="AB417" s="476">
        <f t="shared" si="662"/>
        <v>0</v>
      </c>
      <c r="AC417" s="476">
        <f t="shared" si="663"/>
        <v>0</v>
      </c>
      <c r="AD417" s="476">
        <f t="shared" si="664"/>
        <v>0</v>
      </c>
      <c r="AE417" s="476">
        <f t="shared" si="665"/>
        <v>0</v>
      </c>
      <c r="AF417" s="476">
        <f t="shared" si="666"/>
        <v>0</v>
      </c>
      <c r="AG417" s="476">
        <f t="shared" si="667"/>
        <v>0</v>
      </c>
      <c r="AH417" s="476">
        <f t="shared" si="668"/>
        <v>0</v>
      </c>
      <c r="AI417" s="476">
        <f t="shared" si="669"/>
        <v>0</v>
      </c>
      <c r="AJ417" s="476">
        <f t="shared" si="670"/>
        <v>0</v>
      </c>
      <c r="AK417" s="476">
        <f t="shared" si="671"/>
        <v>0</v>
      </c>
      <c r="AL417" s="476">
        <f t="shared" si="672"/>
        <v>0</v>
      </c>
      <c r="AM417" s="476">
        <f t="shared" si="673"/>
        <v>0</v>
      </c>
      <c r="AN417" s="476">
        <f t="shared" si="674"/>
        <v>0</v>
      </c>
      <c r="AO417" s="476">
        <f t="shared" si="675"/>
        <v>0</v>
      </c>
      <c r="AP417" s="476">
        <f t="shared" si="676"/>
        <v>0</v>
      </c>
      <c r="AQ417" s="476">
        <f t="shared" si="677"/>
        <v>0</v>
      </c>
      <c r="AR417" s="476">
        <f t="shared" si="678"/>
        <v>0</v>
      </c>
      <c r="AS417" s="476">
        <f t="shared" si="679"/>
        <v>0</v>
      </c>
      <c r="AT417" s="476">
        <f t="shared" si="680"/>
        <v>0</v>
      </c>
      <c r="AU417" s="476">
        <f t="shared" si="681"/>
        <v>0</v>
      </c>
      <c r="AV417" s="476">
        <f t="shared" si="682"/>
        <v>0</v>
      </c>
      <c r="AW417" s="476">
        <f t="shared" si="683"/>
        <v>0</v>
      </c>
      <c r="AX417" s="476">
        <f t="shared" si="684"/>
        <v>0</v>
      </c>
      <c r="AY417" s="476">
        <f t="shared" si="685"/>
        <v>0</v>
      </c>
      <c r="AZ417" s="476">
        <f t="shared" si="686"/>
        <v>0</v>
      </c>
      <c r="BA417" s="476">
        <f t="shared" si="687"/>
        <v>0</v>
      </c>
      <c r="BB417" s="476">
        <f t="shared" si="688"/>
        <v>0</v>
      </c>
      <c r="BC417" s="476">
        <f t="shared" si="689"/>
        <v>0</v>
      </c>
      <c r="BD417" s="476">
        <f t="shared" si="690"/>
        <v>0</v>
      </c>
      <c r="BE417" s="476">
        <f t="shared" si="691"/>
        <v>0</v>
      </c>
      <c r="BF417" s="476">
        <f t="shared" si="692"/>
        <v>0</v>
      </c>
      <c r="BG417" s="476">
        <f t="shared" si="693"/>
        <v>0</v>
      </c>
    </row>
    <row r="418" spans="1:59" ht="16.5" customHeight="1">
      <c r="A418" s="585" t="s">
        <v>710</v>
      </c>
      <c r="B418" s="585" t="s">
        <v>1070</v>
      </c>
      <c r="C418" s="584" t="s">
        <v>1872</v>
      </c>
      <c r="D418" s="413" t="s">
        <v>508</v>
      </c>
      <c r="E418" s="412" t="s">
        <v>330</v>
      </c>
      <c r="F418" s="413" t="s">
        <v>330</v>
      </c>
      <c r="G418" s="412" t="s">
        <v>330</v>
      </c>
      <c r="H418" s="412" t="s">
        <v>1055</v>
      </c>
      <c r="I418" s="477">
        <v>3076</v>
      </c>
      <c r="J418" s="477">
        <v>0</v>
      </c>
      <c r="K418" s="477"/>
      <c r="L418" s="477"/>
      <c r="M418" s="477">
        <f t="shared" si="651"/>
        <v>3076</v>
      </c>
      <c r="N418" s="477">
        <f t="shared" si="652"/>
        <v>0</v>
      </c>
      <c r="O418" s="477"/>
      <c r="P418" s="477"/>
      <c r="Q418" s="477">
        <f t="shared" si="694"/>
        <v>3076</v>
      </c>
      <c r="R418" s="477">
        <f t="shared" si="695"/>
        <v>0</v>
      </c>
      <c r="S418" s="477">
        <f t="shared" si="696"/>
        <v>3076</v>
      </c>
      <c r="V418" s="476">
        <f t="shared" si="656"/>
        <v>0</v>
      </c>
      <c r="W418" s="476">
        <f t="shared" si="657"/>
        <v>0</v>
      </c>
      <c r="X418" s="476">
        <f t="shared" si="658"/>
        <v>0</v>
      </c>
      <c r="Y418" s="476">
        <f t="shared" si="659"/>
        <v>0</v>
      </c>
      <c r="Z418" s="476">
        <f t="shared" si="660"/>
        <v>0</v>
      </c>
      <c r="AA418" s="476">
        <f t="shared" si="661"/>
        <v>0</v>
      </c>
      <c r="AB418" s="476">
        <f t="shared" si="662"/>
        <v>0</v>
      </c>
      <c r="AC418" s="476">
        <f t="shared" si="663"/>
        <v>0</v>
      </c>
      <c r="AD418" s="476">
        <f t="shared" si="664"/>
        <v>0</v>
      </c>
      <c r="AE418" s="476">
        <f t="shared" si="665"/>
        <v>0</v>
      </c>
      <c r="AF418" s="476">
        <f t="shared" si="666"/>
        <v>0</v>
      </c>
      <c r="AG418" s="476">
        <f t="shared" si="667"/>
        <v>0</v>
      </c>
      <c r="AH418" s="476">
        <f t="shared" si="668"/>
        <v>0</v>
      </c>
      <c r="AI418" s="476">
        <f t="shared" si="669"/>
        <v>0</v>
      </c>
      <c r="AJ418" s="476">
        <f t="shared" si="670"/>
        <v>0</v>
      </c>
      <c r="AK418" s="476">
        <f t="shared" si="671"/>
        <v>0</v>
      </c>
      <c r="AL418" s="476">
        <f t="shared" si="672"/>
        <v>0</v>
      </c>
      <c r="AM418" s="476">
        <f t="shared" si="673"/>
        <v>0</v>
      </c>
      <c r="AN418" s="476">
        <f t="shared" si="674"/>
        <v>0</v>
      </c>
      <c r="AO418" s="476">
        <f t="shared" si="675"/>
        <v>0</v>
      </c>
      <c r="AP418" s="476">
        <f t="shared" si="676"/>
        <v>0</v>
      </c>
      <c r="AQ418" s="476">
        <f t="shared" si="677"/>
        <v>0</v>
      </c>
      <c r="AR418" s="476">
        <f t="shared" si="678"/>
        <v>0</v>
      </c>
      <c r="AS418" s="476">
        <f t="shared" si="679"/>
        <v>0</v>
      </c>
      <c r="AT418" s="476">
        <f t="shared" si="680"/>
        <v>0</v>
      </c>
      <c r="AU418" s="476">
        <f t="shared" si="681"/>
        <v>0</v>
      </c>
      <c r="AV418" s="476">
        <f t="shared" si="682"/>
        <v>0</v>
      </c>
      <c r="AW418" s="476">
        <f t="shared" si="683"/>
        <v>0</v>
      </c>
      <c r="AX418" s="476">
        <f t="shared" si="684"/>
        <v>0</v>
      </c>
      <c r="AY418" s="476">
        <f t="shared" si="685"/>
        <v>0</v>
      </c>
      <c r="AZ418" s="476">
        <f t="shared" si="686"/>
        <v>0</v>
      </c>
      <c r="BA418" s="476">
        <f t="shared" si="687"/>
        <v>0</v>
      </c>
      <c r="BB418" s="476">
        <f t="shared" si="688"/>
        <v>3076</v>
      </c>
      <c r="BC418" s="476">
        <f t="shared" si="689"/>
        <v>0</v>
      </c>
      <c r="BD418" s="476">
        <f t="shared" si="690"/>
        <v>0</v>
      </c>
      <c r="BE418" s="476">
        <f t="shared" si="691"/>
        <v>0</v>
      </c>
      <c r="BF418" s="476">
        <f t="shared" si="692"/>
        <v>0</v>
      </c>
      <c r="BG418" s="476">
        <f t="shared" si="693"/>
        <v>0</v>
      </c>
    </row>
    <row r="419" spans="1:59" ht="16.5" customHeight="1">
      <c r="A419" s="585" t="s">
        <v>711</v>
      </c>
      <c r="B419" s="585" t="s">
        <v>1071</v>
      </c>
      <c r="C419" s="584" t="s">
        <v>1873</v>
      </c>
      <c r="D419" s="413" t="s">
        <v>508</v>
      </c>
      <c r="E419" s="412" t="s">
        <v>330</v>
      </c>
      <c r="F419" s="413" t="s">
        <v>330</v>
      </c>
      <c r="G419" s="412" t="s">
        <v>330</v>
      </c>
      <c r="H419" s="412" t="s">
        <v>974</v>
      </c>
      <c r="I419" s="477">
        <v>693696</v>
      </c>
      <c r="J419" s="477">
        <v>0</v>
      </c>
      <c r="K419" s="477"/>
      <c r="L419" s="477"/>
      <c r="M419" s="477">
        <f t="shared" si="651"/>
        <v>693696</v>
      </c>
      <c r="N419" s="477">
        <f t="shared" si="652"/>
        <v>0</v>
      </c>
      <c r="O419" s="477"/>
      <c r="P419" s="477"/>
      <c r="Q419" s="477">
        <f t="shared" si="694"/>
        <v>693696</v>
      </c>
      <c r="R419" s="477">
        <f t="shared" si="695"/>
        <v>0</v>
      </c>
      <c r="S419" s="477">
        <f t="shared" si="696"/>
        <v>693696</v>
      </c>
      <c r="V419" s="476">
        <f t="shared" si="656"/>
        <v>693696</v>
      </c>
      <c r="W419" s="476">
        <f t="shared" si="657"/>
        <v>0</v>
      </c>
      <c r="X419" s="476">
        <f t="shared" si="658"/>
        <v>0</v>
      </c>
      <c r="Y419" s="476">
        <f t="shared" si="659"/>
        <v>0</v>
      </c>
      <c r="Z419" s="476">
        <f t="shared" si="660"/>
        <v>0</v>
      </c>
      <c r="AA419" s="476">
        <f t="shared" si="661"/>
        <v>0</v>
      </c>
      <c r="AB419" s="476">
        <f t="shared" si="662"/>
        <v>0</v>
      </c>
      <c r="AC419" s="476">
        <f t="shared" si="663"/>
        <v>0</v>
      </c>
      <c r="AD419" s="476">
        <f t="shared" si="664"/>
        <v>0</v>
      </c>
      <c r="AE419" s="476">
        <f t="shared" si="665"/>
        <v>0</v>
      </c>
      <c r="AF419" s="476">
        <f t="shared" si="666"/>
        <v>0</v>
      </c>
      <c r="AG419" s="476">
        <f t="shared" si="667"/>
        <v>0</v>
      </c>
      <c r="AH419" s="476">
        <f t="shared" si="668"/>
        <v>0</v>
      </c>
      <c r="AI419" s="476">
        <f t="shared" si="669"/>
        <v>0</v>
      </c>
      <c r="AJ419" s="476">
        <f t="shared" si="670"/>
        <v>0</v>
      </c>
      <c r="AK419" s="476">
        <f t="shared" si="671"/>
        <v>0</v>
      </c>
      <c r="AL419" s="476">
        <f t="shared" si="672"/>
        <v>0</v>
      </c>
      <c r="AM419" s="476">
        <f t="shared" si="673"/>
        <v>0</v>
      </c>
      <c r="AN419" s="476">
        <f t="shared" si="674"/>
        <v>0</v>
      </c>
      <c r="AO419" s="476">
        <f t="shared" si="675"/>
        <v>0</v>
      </c>
      <c r="AP419" s="476">
        <f t="shared" si="676"/>
        <v>0</v>
      </c>
      <c r="AQ419" s="476">
        <f t="shared" si="677"/>
        <v>0</v>
      </c>
      <c r="AR419" s="476">
        <f t="shared" si="678"/>
        <v>0</v>
      </c>
      <c r="AS419" s="476">
        <f t="shared" si="679"/>
        <v>0</v>
      </c>
      <c r="AT419" s="476">
        <f t="shared" si="680"/>
        <v>0</v>
      </c>
      <c r="AU419" s="476">
        <f t="shared" si="681"/>
        <v>0</v>
      </c>
      <c r="AV419" s="476">
        <f t="shared" si="682"/>
        <v>0</v>
      </c>
      <c r="AW419" s="476">
        <f t="shared" si="683"/>
        <v>0</v>
      </c>
      <c r="AX419" s="476">
        <f t="shared" si="684"/>
        <v>0</v>
      </c>
      <c r="AY419" s="476">
        <f t="shared" si="685"/>
        <v>0</v>
      </c>
      <c r="AZ419" s="476">
        <f t="shared" si="686"/>
        <v>0</v>
      </c>
      <c r="BA419" s="476">
        <f t="shared" si="687"/>
        <v>0</v>
      </c>
      <c r="BB419" s="476">
        <f t="shared" si="688"/>
        <v>0</v>
      </c>
      <c r="BC419" s="476">
        <f t="shared" si="689"/>
        <v>0</v>
      </c>
      <c r="BD419" s="476">
        <f t="shared" si="690"/>
        <v>0</v>
      </c>
      <c r="BE419" s="476">
        <f t="shared" si="691"/>
        <v>0</v>
      </c>
      <c r="BF419" s="476">
        <f t="shared" si="692"/>
        <v>0</v>
      </c>
      <c r="BG419" s="476">
        <f t="shared" si="693"/>
        <v>0</v>
      </c>
    </row>
    <row r="420" spans="1:59" ht="16.5" customHeight="1">
      <c r="A420" s="585" t="s">
        <v>711</v>
      </c>
      <c r="B420" s="585" t="s">
        <v>1071</v>
      </c>
      <c r="C420" s="584" t="s">
        <v>1874</v>
      </c>
      <c r="D420" s="413" t="s">
        <v>508</v>
      </c>
      <c r="E420" s="412" t="s">
        <v>330</v>
      </c>
      <c r="F420" s="413" t="s">
        <v>330</v>
      </c>
      <c r="G420" s="412" t="s">
        <v>330</v>
      </c>
      <c r="H420" s="412" t="s">
        <v>1055</v>
      </c>
      <c r="I420" s="477">
        <v>210640</v>
      </c>
      <c r="J420" s="477">
        <v>0</v>
      </c>
      <c r="K420" s="477"/>
      <c r="L420" s="477"/>
      <c r="M420" s="477">
        <f t="shared" si="651"/>
        <v>210640</v>
      </c>
      <c r="N420" s="477">
        <f t="shared" si="652"/>
        <v>0</v>
      </c>
      <c r="O420" s="477"/>
      <c r="P420" s="477"/>
      <c r="Q420" s="477">
        <f t="shared" si="694"/>
        <v>210640</v>
      </c>
      <c r="R420" s="477">
        <f t="shared" si="695"/>
        <v>0</v>
      </c>
      <c r="S420" s="477">
        <f t="shared" si="696"/>
        <v>210640</v>
      </c>
      <c r="V420" s="476">
        <f t="shared" si="656"/>
        <v>0</v>
      </c>
      <c r="W420" s="476">
        <f t="shared" si="657"/>
        <v>0</v>
      </c>
      <c r="X420" s="476">
        <f t="shared" si="658"/>
        <v>0</v>
      </c>
      <c r="Y420" s="476">
        <f t="shared" si="659"/>
        <v>0</v>
      </c>
      <c r="Z420" s="476">
        <f t="shared" si="660"/>
        <v>0</v>
      </c>
      <c r="AA420" s="476">
        <f t="shared" si="661"/>
        <v>0</v>
      </c>
      <c r="AB420" s="476">
        <f t="shared" si="662"/>
        <v>0</v>
      </c>
      <c r="AC420" s="476">
        <f t="shared" si="663"/>
        <v>0</v>
      </c>
      <c r="AD420" s="476">
        <f t="shared" si="664"/>
        <v>0</v>
      </c>
      <c r="AE420" s="476">
        <f t="shared" si="665"/>
        <v>0</v>
      </c>
      <c r="AF420" s="476">
        <f t="shared" si="666"/>
        <v>0</v>
      </c>
      <c r="AG420" s="476">
        <f t="shared" si="667"/>
        <v>0</v>
      </c>
      <c r="AH420" s="476">
        <f t="shared" si="668"/>
        <v>0</v>
      </c>
      <c r="AI420" s="476">
        <f t="shared" si="669"/>
        <v>0</v>
      </c>
      <c r="AJ420" s="476">
        <f t="shared" si="670"/>
        <v>0</v>
      </c>
      <c r="AK420" s="476">
        <f t="shared" si="671"/>
        <v>0</v>
      </c>
      <c r="AL420" s="476">
        <f t="shared" si="672"/>
        <v>0</v>
      </c>
      <c r="AM420" s="476">
        <f t="shared" si="673"/>
        <v>0</v>
      </c>
      <c r="AN420" s="476">
        <f t="shared" si="674"/>
        <v>0</v>
      </c>
      <c r="AO420" s="476">
        <f t="shared" si="675"/>
        <v>0</v>
      </c>
      <c r="AP420" s="476">
        <f t="shared" si="676"/>
        <v>0</v>
      </c>
      <c r="AQ420" s="476">
        <f t="shared" si="677"/>
        <v>0</v>
      </c>
      <c r="AR420" s="476">
        <f t="shared" si="678"/>
        <v>0</v>
      </c>
      <c r="AS420" s="476">
        <f t="shared" si="679"/>
        <v>0</v>
      </c>
      <c r="AT420" s="476">
        <f t="shared" si="680"/>
        <v>0</v>
      </c>
      <c r="AU420" s="476">
        <f t="shared" si="681"/>
        <v>0</v>
      </c>
      <c r="AV420" s="476">
        <f t="shared" si="682"/>
        <v>0</v>
      </c>
      <c r="AW420" s="476">
        <f t="shared" si="683"/>
        <v>0</v>
      </c>
      <c r="AX420" s="476">
        <f t="shared" si="684"/>
        <v>0</v>
      </c>
      <c r="AY420" s="476">
        <f t="shared" si="685"/>
        <v>0</v>
      </c>
      <c r="AZ420" s="476">
        <f t="shared" si="686"/>
        <v>0</v>
      </c>
      <c r="BA420" s="476">
        <f t="shared" si="687"/>
        <v>0</v>
      </c>
      <c r="BB420" s="476">
        <f t="shared" si="688"/>
        <v>210640</v>
      </c>
      <c r="BC420" s="476">
        <f t="shared" si="689"/>
        <v>0</v>
      </c>
      <c r="BD420" s="476">
        <f t="shared" si="690"/>
        <v>0</v>
      </c>
      <c r="BE420" s="476">
        <f t="shared" si="691"/>
        <v>0</v>
      </c>
      <c r="BF420" s="476">
        <f t="shared" si="692"/>
        <v>0</v>
      </c>
      <c r="BG420" s="476">
        <f t="shared" si="693"/>
        <v>0</v>
      </c>
    </row>
    <row r="421" spans="1:59" ht="16.5" customHeight="1">
      <c r="A421" s="585" t="s">
        <v>711</v>
      </c>
      <c r="B421" s="585" t="s">
        <v>1071</v>
      </c>
      <c r="C421" s="584" t="s">
        <v>1875</v>
      </c>
      <c r="D421" s="413" t="s">
        <v>508</v>
      </c>
      <c r="E421" s="412" t="s">
        <v>330</v>
      </c>
      <c r="F421" s="413" t="s">
        <v>330</v>
      </c>
      <c r="G421" s="412" t="s">
        <v>330</v>
      </c>
      <c r="H421" s="412" t="s">
        <v>1025</v>
      </c>
      <c r="I421" s="477">
        <v>321121</v>
      </c>
      <c r="J421" s="477">
        <v>0</v>
      </c>
      <c r="K421" s="477"/>
      <c r="L421" s="477"/>
      <c r="M421" s="477">
        <f t="shared" si="651"/>
        <v>321121</v>
      </c>
      <c r="N421" s="477">
        <f t="shared" si="652"/>
        <v>0</v>
      </c>
      <c r="O421" s="477"/>
      <c r="P421" s="477"/>
      <c r="Q421" s="477">
        <f t="shared" si="694"/>
        <v>321121</v>
      </c>
      <c r="R421" s="477">
        <f t="shared" si="695"/>
        <v>0</v>
      </c>
      <c r="S421" s="477">
        <f t="shared" si="696"/>
        <v>321121</v>
      </c>
      <c r="V421" s="476">
        <f t="shared" si="656"/>
        <v>0</v>
      </c>
      <c r="W421" s="476">
        <f t="shared" si="657"/>
        <v>0</v>
      </c>
      <c r="X421" s="476">
        <f t="shared" si="658"/>
        <v>0</v>
      </c>
      <c r="Y421" s="476">
        <f t="shared" si="659"/>
        <v>0</v>
      </c>
      <c r="Z421" s="476">
        <f t="shared" si="660"/>
        <v>0</v>
      </c>
      <c r="AA421" s="476">
        <f t="shared" si="661"/>
        <v>0</v>
      </c>
      <c r="AB421" s="476">
        <f t="shared" si="662"/>
        <v>0</v>
      </c>
      <c r="AC421" s="476">
        <f t="shared" si="663"/>
        <v>0</v>
      </c>
      <c r="AD421" s="476">
        <f t="shared" si="664"/>
        <v>0</v>
      </c>
      <c r="AE421" s="476">
        <f t="shared" si="665"/>
        <v>0</v>
      </c>
      <c r="AF421" s="476">
        <f t="shared" si="666"/>
        <v>0</v>
      </c>
      <c r="AG421" s="476">
        <f t="shared" si="667"/>
        <v>0</v>
      </c>
      <c r="AH421" s="476">
        <f t="shared" si="668"/>
        <v>321121</v>
      </c>
      <c r="AI421" s="476">
        <f t="shared" si="669"/>
        <v>0</v>
      </c>
      <c r="AJ421" s="476">
        <f t="shared" si="670"/>
        <v>0</v>
      </c>
      <c r="AK421" s="476">
        <f t="shared" si="671"/>
        <v>0</v>
      </c>
      <c r="AL421" s="476">
        <f t="shared" si="672"/>
        <v>0</v>
      </c>
      <c r="AM421" s="476">
        <f t="shared" si="673"/>
        <v>0</v>
      </c>
      <c r="AN421" s="476">
        <f t="shared" si="674"/>
        <v>0</v>
      </c>
      <c r="AO421" s="476">
        <f t="shared" si="675"/>
        <v>0</v>
      </c>
      <c r="AP421" s="476">
        <f t="shared" si="676"/>
        <v>0</v>
      </c>
      <c r="AQ421" s="476">
        <f t="shared" si="677"/>
        <v>0</v>
      </c>
      <c r="AR421" s="476">
        <f t="shared" si="678"/>
        <v>0</v>
      </c>
      <c r="AS421" s="476">
        <f t="shared" si="679"/>
        <v>0</v>
      </c>
      <c r="AT421" s="476">
        <f t="shared" si="680"/>
        <v>0</v>
      </c>
      <c r="AU421" s="476">
        <f t="shared" si="681"/>
        <v>0</v>
      </c>
      <c r="AV421" s="476">
        <f t="shared" si="682"/>
        <v>0</v>
      </c>
      <c r="AW421" s="476">
        <f t="shared" si="683"/>
        <v>0</v>
      </c>
      <c r="AX421" s="476">
        <f t="shared" si="684"/>
        <v>0</v>
      </c>
      <c r="AY421" s="476">
        <f t="shared" si="685"/>
        <v>0</v>
      </c>
      <c r="AZ421" s="476">
        <f t="shared" si="686"/>
        <v>0</v>
      </c>
      <c r="BA421" s="476">
        <f t="shared" si="687"/>
        <v>0</v>
      </c>
      <c r="BB421" s="476">
        <f t="shared" si="688"/>
        <v>0</v>
      </c>
      <c r="BC421" s="476">
        <f t="shared" si="689"/>
        <v>0</v>
      </c>
      <c r="BD421" s="476">
        <f t="shared" si="690"/>
        <v>0</v>
      </c>
      <c r="BE421" s="476">
        <f t="shared" si="691"/>
        <v>0</v>
      </c>
      <c r="BF421" s="476">
        <f t="shared" si="692"/>
        <v>0</v>
      </c>
      <c r="BG421" s="476">
        <f t="shared" si="693"/>
        <v>0</v>
      </c>
    </row>
    <row r="422" spans="1:59" ht="16.5" customHeight="1">
      <c r="A422" s="585" t="s">
        <v>713</v>
      </c>
      <c r="B422" s="585" t="s">
        <v>1072</v>
      </c>
      <c r="C422" s="584" t="s">
        <v>1876</v>
      </c>
      <c r="D422" s="413" t="s">
        <v>508</v>
      </c>
      <c r="E422" s="412" t="s">
        <v>330</v>
      </c>
      <c r="F422" s="413" t="s">
        <v>330</v>
      </c>
      <c r="G422" s="412" t="s">
        <v>330</v>
      </c>
      <c r="H422" s="412" t="s">
        <v>974</v>
      </c>
      <c r="I422" s="477">
        <v>367608</v>
      </c>
      <c r="J422" s="477">
        <v>0</v>
      </c>
      <c r="K422" s="477"/>
      <c r="L422" s="477"/>
      <c r="M422" s="477">
        <f t="shared" si="651"/>
        <v>367608</v>
      </c>
      <c r="N422" s="477">
        <f t="shared" si="652"/>
        <v>0</v>
      </c>
      <c r="O422" s="477"/>
      <c r="P422" s="477"/>
      <c r="Q422" s="477">
        <f t="shared" si="694"/>
        <v>367608</v>
      </c>
      <c r="R422" s="477">
        <f t="shared" si="695"/>
        <v>0</v>
      </c>
      <c r="S422" s="477">
        <f t="shared" si="696"/>
        <v>367608</v>
      </c>
      <c r="V422" s="476">
        <f t="shared" si="656"/>
        <v>367608</v>
      </c>
      <c r="W422" s="476">
        <f t="shared" si="657"/>
        <v>0</v>
      </c>
      <c r="X422" s="476">
        <f t="shared" si="658"/>
        <v>0</v>
      </c>
      <c r="Y422" s="476">
        <f t="shared" si="659"/>
        <v>0</v>
      </c>
      <c r="Z422" s="476">
        <f t="shared" si="660"/>
        <v>0</v>
      </c>
      <c r="AA422" s="476">
        <f t="shared" si="661"/>
        <v>0</v>
      </c>
      <c r="AB422" s="476">
        <f t="shared" si="662"/>
        <v>0</v>
      </c>
      <c r="AC422" s="476">
        <f t="shared" si="663"/>
        <v>0</v>
      </c>
      <c r="AD422" s="476">
        <f t="shared" si="664"/>
        <v>0</v>
      </c>
      <c r="AE422" s="476">
        <f t="shared" si="665"/>
        <v>0</v>
      </c>
      <c r="AF422" s="476">
        <f t="shared" si="666"/>
        <v>0</v>
      </c>
      <c r="AG422" s="476">
        <f t="shared" si="667"/>
        <v>0</v>
      </c>
      <c r="AH422" s="476">
        <f t="shared" si="668"/>
        <v>0</v>
      </c>
      <c r="AI422" s="476">
        <f t="shared" si="669"/>
        <v>0</v>
      </c>
      <c r="AJ422" s="476">
        <f t="shared" si="670"/>
        <v>0</v>
      </c>
      <c r="AK422" s="476">
        <f t="shared" si="671"/>
        <v>0</v>
      </c>
      <c r="AL422" s="476">
        <f t="shared" si="672"/>
        <v>0</v>
      </c>
      <c r="AM422" s="476">
        <f t="shared" si="673"/>
        <v>0</v>
      </c>
      <c r="AN422" s="476">
        <f t="shared" si="674"/>
        <v>0</v>
      </c>
      <c r="AO422" s="476">
        <f t="shared" si="675"/>
        <v>0</v>
      </c>
      <c r="AP422" s="476">
        <f t="shared" si="676"/>
        <v>0</v>
      </c>
      <c r="AQ422" s="476">
        <f t="shared" si="677"/>
        <v>0</v>
      </c>
      <c r="AR422" s="476">
        <f t="shared" si="678"/>
        <v>0</v>
      </c>
      <c r="AS422" s="476">
        <f t="shared" si="679"/>
        <v>0</v>
      </c>
      <c r="AT422" s="476">
        <f t="shared" si="680"/>
        <v>0</v>
      </c>
      <c r="AU422" s="476">
        <f t="shared" si="681"/>
        <v>0</v>
      </c>
      <c r="AV422" s="476">
        <f t="shared" si="682"/>
        <v>0</v>
      </c>
      <c r="AW422" s="476">
        <f t="shared" si="683"/>
        <v>0</v>
      </c>
      <c r="AX422" s="476">
        <f t="shared" si="684"/>
        <v>0</v>
      </c>
      <c r="AY422" s="476">
        <f t="shared" si="685"/>
        <v>0</v>
      </c>
      <c r="AZ422" s="476">
        <f t="shared" si="686"/>
        <v>0</v>
      </c>
      <c r="BA422" s="476">
        <f t="shared" si="687"/>
        <v>0</v>
      </c>
      <c r="BB422" s="476">
        <f t="shared" si="688"/>
        <v>0</v>
      </c>
      <c r="BC422" s="476">
        <f t="shared" si="689"/>
        <v>0</v>
      </c>
      <c r="BD422" s="476">
        <f t="shared" si="690"/>
        <v>0</v>
      </c>
      <c r="BE422" s="476">
        <f t="shared" si="691"/>
        <v>0</v>
      </c>
      <c r="BF422" s="476">
        <f t="shared" si="692"/>
        <v>0</v>
      </c>
      <c r="BG422" s="476">
        <f t="shared" si="693"/>
        <v>0</v>
      </c>
    </row>
    <row r="423" spans="1:59" ht="16.5" customHeight="1">
      <c r="A423" s="585" t="s">
        <v>714</v>
      </c>
      <c r="B423" s="585" t="s">
        <v>1073</v>
      </c>
      <c r="C423" s="584" t="s">
        <v>1877</v>
      </c>
      <c r="D423" s="413" t="s">
        <v>508</v>
      </c>
      <c r="E423" s="412" t="s">
        <v>330</v>
      </c>
      <c r="F423" s="413" t="s">
        <v>330</v>
      </c>
      <c r="G423" s="412" t="s">
        <v>330</v>
      </c>
      <c r="H423" s="412" t="s">
        <v>974</v>
      </c>
      <c r="I423" s="477">
        <v>233849</v>
      </c>
      <c r="J423" s="477">
        <v>0</v>
      </c>
      <c r="K423" s="477"/>
      <c r="L423" s="477"/>
      <c r="M423" s="477">
        <f t="shared" si="651"/>
        <v>233849</v>
      </c>
      <c r="N423" s="477">
        <f t="shared" si="652"/>
        <v>0</v>
      </c>
      <c r="O423" s="477"/>
      <c r="P423" s="477"/>
      <c r="Q423" s="477">
        <f t="shared" si="694"/>
        <v>233849</v>
      </c>
      <c r="R423" s="477">
        <f t="shared" si="695"/>
        <v>0</v>
      </c>
      <c r="S423" s="477">
        <f t="shared" si="696"/>
        <v>233849</v>
      </c>
      <c r="V423" s="476">
        <f t="shared" si="656"/>
        <v>233849</v>
      </c>
      <c r="W423" s="476">
        <f t="shared" si="657"/>
        <v>0</v>
      </c>
      <c r="X423" s="476">
        <f t="shared" si="658"/>
        <v>0</v>
      </c>
      <c r="Y423" s="476">
        <f t="shared" si="659"/>
        <v>0</v>
      </c>
      <c r="Z423" s="476">
        <f t="shared" si="660"/>
        <v>0</v>
      </c>
      <c r="AA423" s="476">
        <f t="shared" si="661"/>
        <v>0</v>
      </c>
      <c r="AB423" s="476">
        <f t="shared" si="662"/>
        <v>0</v>
      </c>
      <c r="AC423" s="476">
        <f t="shared" si="663"/>
        <v>0</v>
      </c>
      <c r="AD423" s="476">
        <f t="shared" si="664"/>
        <v>0</v>
      </c>
      <c r="AE423" s="476">
        <f t="shared" si="665"/>
        <v>0</v>
      </c>
      <c r="AF423" s="476">
        <f t="shared" si="666"/>
        <v>0</v>
      </c>
      <c r="AG423" s="476">
        <f t="shared" si="667"/>
        <v>0</v>
      </c>
      <c r="AH423" s="476">
        <f t="shared" si="668"/>
        <v>0</v>
      </c>
      <c r="AI423" s="476">
        <f t="shared" si="669"/>
        <v>0</v>
      </c>
      <c r="AJ423" s="476">
        <f t="shared" si="670"/>
        <v>0</v>
      </c>
      <c r="AK423" s="476">
        <f t="shared" si="671"/>
        <v>0</v>
      </c>
      <c r="AL423" s="476">
        <f t="shared" si="672"/>
        <v>0</v>
      </c>
      <c r="AM423" s="476">
        <f t="shared" si="673"/>
        <v>0</v>
      </c>
      <c r="AN423" s="476">
        <f t="shared" si="674"/>
        <v>0</v>
      </c>
      <c r="AO423" s="476">
        <f t="shared" si="675"/>
        <v>0</v>
      </c>
      <c r="AP423" s="476">
        <f t="shared" si="676"/>
        <v>0</v>
      </c>
      <c r="AQ423" s="476">
        <f t="shared" si="677"/>
        <v>0</v>
      </c>
      <c r="AR423" s="476">
        <f t="shared" si="678"/>
        <v>0</v>
      </c>
      <c r="AS423" s="476">
        <f t="shared" si="679"/>
        <v>0</v>
      </c>
      <c r="AT423" s="476">
        <f t="shared" si="680"/>
        <v>0</v>
      </c>
      <c r="AU423" s="476">
        <f t="shared" si="681"/>
        <v>0</v>
      </c>
      <c r="AV423" s="476">
        <f t="shared" si="682"/>
        <v>0</v>
      </c>
      <c r="AW423" s="476">
        <f t="shared" si="683"/>
        <v>0</v>
      </c>
      <c r="AX423" s="476">
        <f t="shared" si="684"/>
        <v>0</v>
      </c>
      <c r="AY423" s="476">
        <f t="shared" si="685"/>
        <v>0</v>
      </c>
      <c r="AZ423" s="476">
        <f t="shared" si="686"/>
        <v>0</v>
      </c>
      <c r="BA423" s="476">
        <f t="shared" si="687"/>
        <v>0</v>
      </c>
      <c r="BB423" s="476">
        <f t="shared" si="688"/>
        <v>0</v>
      </c>
      <c r="BC423" s="476">
        <f t="shared" si="689"/>
        <v>0</v>
      </c>
      <c r="BD423" s="476">
        <f t="shared" si="690"/>
        <v>0</v>
      </c>
      <c r="BE423" s="476">
        <f t="shared" si="691"/>
        <v>0</v>
      </c>
      <c r="BF423" s="476">
        <f t="shared" si="692"/>
        <v>0</v>
      </c>
      <c r="BG423" s="476">
        <f t="shared" si="693"/>
        <v>0</v>
      </c>
    </row>
    <row r="424" spans="1:59" ht="16.5" customHeight="1">
      <c r="A424" s="585" t="s">
        <v>714</v>
      </c>
      <c r="B424" s="585" t="s">
        <v>1073</v>
      </c>
      <c r="C424" s="584" t="s">
        <v>1878</v>
      </c>
      <c r="D424" s="413" t="s">
        <v>508</v>
      </c>
      <c r="E424" s="412" t="s">
        <v>330</v>
      </c>
      <c r="F424" s="413" t="s">
        <v>330</v>
      </c>
      <c r="G424" s="412" t="s">
        <v>330</v>
      </c>
      <c r="H424" s="412" t="s">
        <v>1011</v>
      </c>
      <c r="I424" s="477">
        <v>195102</v>
      </c>
      <c r="J424" s="477">
        <v>0</v>
      </c>
      <c r="K424" s="477"/>
      <c r="L424" s="477"/>
      <c r="M424" s="477">
        <f t="shared" si="651"/>
        <v>195102</v>
      </c>
      <c r="N424" s="477">
        <f t="shared" si="652"/>
        <v>0</v>
      </c>
      <c r="O424" s="477"/>
      <c r="P424" s="477"/>
      <c r="Q424" s="477">
        <f t="shared" si="694"/>
        <v>195102</v>
      </c>
      <c r="R424" s="477">
        <f t="shared" si="695"/>
        <v>0</v>
      </c>
      <c r="S424" s="477">
        <f t="shared" si="696"/>
        <v>195102</v>
      </c>
      <c r="V424" s="476">
        <f t="shared" si="656"/>
        <v>0</v>
      </c>
      <c r="W424" s="476">
        <f t="shared" si="657"/>
        <v>0</v>
      </c>
      <c r="X424" s="476">
        <f t="shared" si="658"/>
        <v>195102</v>
      </c>
      <c r="Y424" s="476">
        <f t="shared" si="659"/>
        <v>0</v>
      </c>
      <c r="Z424" s="476">
        <f t="shared" si="660"/>
        <v>0</v>
      </c>
      <c r="AA424" s="476">
        <f t="shared" si="661"/>
        <v>0</v>
      </c>
      <c r="AB424" s="476">
        <f t="shared" si="662"/>
        <v>0</v>
      </c>
      <c r="AC424" s="476">
        <f t="shared" si="663"/>
        <v>0</v>
      </c>
      <c r="AD424" s="476">
        <f t="shared" si="664"/>
        <v>0</v>
      </c>
      <c r="AE424" s="476">
        <f t="shared" si="665"/>
        <v>0</v>
      </c>
      <c r="AF424" s="476">
        <f t="shared" si="666"/>
        <v>0</v>
      </c>
      <c r="AG424" s="476">
        <f t="shared" si="667"/>
        <v>0</v>
      </c>
      <c r="AH424" s="476">
        <f t="shared" si="668"/>
        <v>0</v>
      </c>
      <c r="AI424" s="476">
        <f t="shared" si="669"/>
        <v>0</v>
      </c>
      <c r="AJ424" s="476">
        <f t="shared" si="670"/>
        <v>0</v>
      </c>
      <c r="AK424" s="476">
        <f t="shared" si="671"/>
        <v>0</v>
      </c>
      <c r="AL424" s="476">
        <f t="shared" si="672"/>
        <v>0</v>
      </c>
      <c r="AM424" s="476">
        <f t="shared" si="673"/>
        <v>0</v>
      </c>
      <c r="AN424" s="476">
        <f t="shared" si="674"/>
        <v>0</v>
      </c>
      <c r="AO424" s="476">
        <f t="shared" si="675"/>
        <v>0</v>
      </c>
      <c r="AP424" s="476">
        <f t="shared" si="676"/>
        <v>0</v>
      </c>
      <c r="AQ424" s="476">
        <f t="shared" si="677"/>
        <v>0</v>
      </c>
      <c r="AR424" s="476">
        <f t="shared" si="678"/>
        <v>0</v>
      </c>
      <c r="AS424" s="476">
        <f t="shared" si="679"/>
        <v>0</v>
      </c>
      <c r="AT424" s="476">
        <f t="shared" si="680"/>
        <v>0</v>
      </c>
      <c r="AU424" s="476">
        <f t="shared" si="681"/>
        <v>0</v>
      </c>
      <c r="AV424" s="476">
        <f t="shared" si="682"/>
        <v>0</v>
      </c>
      <c r="AW424" s="476">
        <f t="shared" si="683"/>
        <v>0</v>
      </c>
      <c r="AX424" s="476">
        <f t="shared" si="684"/>
        <v>0</v>
      </c>
      <c r="AY424" s="476">
        <f t="shared" si="685"/>
        <v>0</v>
      </c>
      <c r="AZ424" s="476">
        <f t="shared" si="686"/>
        <v>0</v>
      </c>
      <c r="BA424" s="476">
        <f t="shared" si="687"/>
        <v>0</v>
      </c>
      <c r="BB424" s="476">
        <f t="shared" si="688"/>
        <v>0</v>
      </c>
      <c r="BC424" s="476">
        <f t="shared" si="689"/>
        <v>0</v>
      </c>
      <c r="BD424" s="476">
        <f t="shared" si="690"/>
        <v>0</v>
      </c>
      <c r="BE424" s="476">
        <f t="shared" si="691"/>
        <v>0</v>
      </c>
      <c r="BF424" s="476">
        <f t="shared" si="692"/>
        <v>0</v>
      </c>
      <c r="BG424" s="476">
        <f t="shared" si="693"/>
        <v>0</v>
      </c>
    </row>
    <row r="425" spans="1:59" ht="16.5" customHeight="1">
      <c r="A425" s="585" t="s">
        <v>714</v>
      </c>
      <c r="B425" s="585" t="s">
        <v>1073</v>
      </c>
      <c r="C425" s="584" t="s">
        <v>1879</v>
      </c>
      <c r="D425" s="413" t="s">
        <v>508</v>
      </c>
      <c r="E425" s="412" t="s">
        <v>330</v>
      </c>
      <c r="F425" s="413" t="s">
        <v>330</v>
      </c>
      <c r="G425" s="412" t="s">
        <v>330</v>
      </c>
      <c r="H425" s="412" t="s">
        <v>1055</v>
      </c>
      <c r="I425" s="477">
        <v>0</v>
      </c>
      <c r="J425" s="477">
        <v>7635</v>
      </c>
      <c r="K425" s="477"/>
      <c r="L425" s="477"/>
      <c r="M425" s="477">
        <f t="shared" si="651"/>
        <v>0</v>
      </c>
      <c r="N425" s="477">
        <f t="shared" si="652"/>
        <v>7635</v>
      </c>
      <c r="O425" s="477"/>
      <c r="P425" s="477"/>
      <c r="Q425" s="477">
        <f t="shared" si="694"/>
        <v>0</v>
      </c>
      <c r="R425" s="477">
        <f t="shared" si="695"/>
        <v>7635</v>
      </c>
      <c r="S425" s="477">
        <f t="shared" si="696"/>
        <v>-7635</v>
      </c>
      <c r="V425" s="476">
        <f t="shared" si="656"/>
        <v>0</v>
      </c>
      <c r="W425" s="476">
        <f t="shared" si="657"/>
        <v>0</v>
      </c>
      <c r="X425" s="476">
        <f t="shared" si="658"/>
        <v>0</v>
      </c>
      <c r="Y425" s="476">
        <f t="shared" si="659"/>
        <v>0</v>
      </c>
      <c r="Z425" s="476">
        <f t="shared" si="660"/>
        <v>0</v>
      </c>
      <c r="AA425" s="476">
        <f t="shared" si="661"/>
        <v>0</v>
      </c>
      <c r="AB425" s="476">
        <f t="shared" si="662"/>
        <v>0</v>
      </c>
      <c r="AC425" s="476">
        <f t="shared" si="663"/>
        <v>0</v>
      </c>
      <c r="AD425" s="476">
        <f t="shared" si="664"/>
        <v>0</v>
      </c>
      <c r="AE425" s="476">
        <f t="shared" si="665"/>
        <v>0</v>
      </c>
      <c r="AF425" s="476">
        <f t="shared" si="666"/>
        <v>0</v>
      </c>
      <c r="AG425" s="476">
        <f t="shared" si="667"/>
        <v>0</v>
      </c>
      <c r="AH425" s="476">
        <f t="shared" si="668"/>
        <v>0</v>
      </c>
      <c r="AI425" s="476">
        <f t="shared" si="669"/>
        <v>0</v>
      </c>
      <c r="AJ425" s="476">
        <f t="shared" si="670"/>
        <v>0</v>
      </c>
      <c r="AK425" s="476">
        <f t="shared" si="671"/>
        <v>0</v>
      </c>
      <c r="AL425" s="476">
        <f t="shared" si="672"/>
        <v>0</v>
      </c>
      <c r="AM425" s="476">
        <f t="shared" si="673"/>
        <v>0</v>
      </c>
      <c r="AN425" s="476">
        <f t="shared" si="674"/>
        <v>0</v>
      </c>
      <c r="AO425" s="476">
        <f t="shared" si="675"/>
        <v>0</v>
      </c>
      <c r="AP425" s="476">
        <f t="shared" si="676"/>
        <v>0</v>
      </c>
      <c r="AQ425" s="476">
        <f t="shared" si="677"/>
        <v>0</v>
      </c>
      <c r="AR425" s="476">
        <f t="shared" si="678"/>
        <v>0</v>
      </c>
      <c r="AS425" s="476">
        <f t="shared" si="679"/>
        <v>0</v>
      </c>
      <c r="AT425" s="476">
        <f t="shared" si="680"/>
        <v>0</v>
      </c>
      <c r="AU425" s="476">
        <f t="shared" si="681"/>
        <v>0</v>
      </c>
      <c r="AV425" s="476">
        <f t="shared" si="682"/>
        <v>0</v>
      </c>
      <c r="AW425" s="476">
        <f t="shared" si="683"/>
        <v>0</v>
      </c>
      <c r="AX425" s="476">
        <f t="shared" si="684"/>
        <v>0</v>
      </c>
      <c r="AY425" s="476">
        <f t="shared" si="685"/>
        <v>0</v>
      </c>
      <c r="AZ425" s="476">
        <f t="shared" si="686"/>
        <v>0</v>
      </c>
      <c r="BA425" s="476">
        <f t="shared" si="687"/>
        <v>0</v>
      </c>
      <c r="BB425" s="476">
        <f t="shared" si="688"/>
        <v>0</v>
      </c>
      <c r="BC425" s="476">
        <f t="shared" si="689"/>
        <v>7635</v>
      </c>
      <c r="BD425" s="476">
        <f t="shared" si="690"/>
        <v>0</v>
      </c>
      <c r="BE425" s="476">
        <f t="shared" si="691"/>
        <v>0</v>
      </c>
      <c r="BF425" s="476">
        <f t="shared" si="692"/>
        <v>0</v>
      </c>
      <c r="BG425" s="476">
        <f t="shared" si="693"/>
        <v>0</v>
      </c>
    </row>
    <row r="426" spans="1:59" ht="16.5" customHeight="1">
      <c r="A426" s="585" t="s">
        <v>715</v>
      </c>
      <c r="B426" s="585" t="s">
        <v>1074</v>
      </c>
      <c r="C426" s="584" t="s">
        <v>1880</v>
      </c>
      <c r="D426" s="413" t="s">
        <v>508</v>
      </c>
      <c r="E426" s="412" t="s">
        <v>330</v>
      </c>
      <c r="F426" s="413" t="s">
        <v>330</v>
      </c>
      <c r="G426" s="412" t="s">
        <v>330</v>
      </c>
      <c r="H426" s="412" t="s">
        <v>974</v>
      </c>
      <c r="I426" s="477">
        <v>66466</v>
      </c>
      <c r="J426" s="477">
        <v>0</v>
      </c>
      <c r="K426" s="477"/>
      <c r="L426" s="477"/>
      <c r="M426" s="477">
        <f t="shared" si="651"/>
        <v>66466</v>
      </c>
      <c r="N426" s="477">
        <f t="shared" si="652"/>
        <v>0</v>
      </c>
      <c r="O426" s="477"/>
      <c r="P426" s="477"/>
      <c r="Q426" s="477">
        <f t="shared" si="694"/>
        <v>66466</v>
      </c>
      <c r="R426" s="477">
        <f t="shared" si="695"/>
        <v>0</v>
      </c>
      <c r="S426" s="477">
        <f t="shared" si="696"/>
        <v>66466</v>
      </c>
      <c r="V426" s="476">
        <f t="shared" si="656"/>
        <v>66466</v>
      </c>
      <c r="W426" s="476">
        <f t="shared" si="657"/>
        <v>0</v>
      </c>
      <c r="X426" s="476">
        <f t="shared" si="658"/>
        <v>0</v>
      </c>
      <c r="Y426" s="476">
        <f t="shared" si="659"/>
        <v>0</v>
      </c>
      <c r="Z426" s="476">
        <f t="shared" si="660"/>
        <v>0</v>
      </c>
      <c r="AA426" s="476">
        <f t="shared" si="661"/>
        <v>0</v>
      </c>
      <c r="AB426" s="476">
        <f t="shared" si="662"/>
        <v>0</v>
      </c>
      <c r="AC426" s="476">
        <f t="shared" si="663"/>
        <v>0</v>
      </c>
      <c r="AD426" s="476">
        <f t="shared" si="664"/>
        <v>0</v>
      </c>
      <c r="AE426" s="476">
        <f t="shared" si="665"/>
        <v>0</v>
      </c>
      <c r="AF426" s="476">
        <f t="shared" si="666"/>
        <v>0</v>
      </c>
      <c r="AG426" s="476">
        <f t="shared" si="667"/>
        <v>0</v>
      </c>
      <c r="AH426" s="476">
        <f t="shared" si="668"/>
        <v>0</v>
      </c>
      <c r="AI426" s="476">
        <f t="shared" si="669"/>
        <v>0</v>
      </c>
      <c r="AJ426" s="476">
        <f t="shared" si="670"/>
        <v>0</v>
      </c>
      <c r="AK426" s="476">
        <f t="shared" si="671"/>
        <v>0</v>
      </c>
      <c r="AL426" s="476">
        <f t="shared" si="672"/>
        <v>0</v>
      </c>
      <c r="AM426" s="476">
        <f t="shared" si="673"/>
        <v>0</v>
      </c>
      <c r="AN426" s="476">
        <f t="shared" si="674"/>
        <v>0</v>
      </c>
      <c r="AO426" s="476">
        <f t="shared" si="675"/>
        <v>0</v>
      </c>
      <c r="AP426" s="476">
        <f t="shared" si="676"/>
        <v>0</v>
      </c>
      <c r="AQ426" s="476">
        <f t="shared" si="677"/>
        <v>0</v>
      </c>
      <c r="AR426" s="476">
        <f t="shared" si="678"/>
        <v>0</v>
      </c>
      <c r="AS426" s="476">
        <f t="shared" si="679"/>
        <v>0</v>
      </c>
      <c r="AT426" s="476">
        <f t="shared" si="680"/>
        <v>0</v>
      </c>
      <c r="AU426" s="476">
        <f t="shared" si="681"/>
        <v>0</v>
      </c>
      <c r="AV426" s="476">
        <f t="shared" si="682"/>
        <v>0</v>
      </c>
      <c r="AW426" s="476">
        <f t="shared" si="683"/>
        <v>0</v>
      </c>
      <c r="AX426" s="476">
        <f t="shared" si="684"/>
        <v>0</v>
      </c>
      <c r="AY426" s="476">
        <f t="shared" si="685"/>
        <v>0</v>
      </c>
      <c r="AZ426" s="476">
        <f t="shared" si="686"/>
        <v>0</v>
      </c>
      <c r="BA426" s="476">
        <f t="shared" si="687"/>
        <v>0</v>
      </c>
      <c r="BB426" s="476">
        <f t="shared" si="688"/>
        <v>0</v>
      </c>
      <c r="BC426" s="476">
        <f t="shared" si="689"/>
        <v>0</v>
      </c>
      <c r="BD426" s="476">
        <f t="shared" si="690"/>
        <v>0</v>
      </c>
      <c r="BE426" s="476">
        <f t="shared" si="691"/>
        <v>0</v>
      </c>
      <c r="BF426" s="476">
        <f t="shared" si="692"/>
        <v>0</v>
      </c>
      <c r="BG426" s="476">
        <f t="shared" si="693"/>
        <v>0</v>
      </c>
    </row>
    <row r="427" spans="1:59" ht="16.5" customHeight="1">
      <c r="A427" s="585" t="s">
        <v>720</v>
      </c>
      <c r="B427" s="585" t="s">
        <v>1076</v>
      </c>
      <c r="C427" s="584" t="s">
        <v>1881</v>
      </c>
      <c r="D427" s="413" t="s">
        <v>508</v>
      </c>
      <c r="E427" s="412" t="s">
        <v>330</v>
      </c>
      <c r="F427" s="413" t="s">
        <v>330</v>
      </c>
      <c r="G427" s="412" t="s">
        <v>330</v>
      </c>
      <c r="H427" s="412" t="s">
        <v>974</v>
      </c>
      <c r="I427" s="477">
        <v>0</v>
      </c>
      <c r="J427" s="477">
        <v>849896</v>
      </c>
      <c r="K427" s="477"/>
      <c r="L427" s="477"/>
      <c r="M427" s="477">
        <f t="shared" si="651"/>
        <v>0</v>
      </c>
      <c r="N427" s="477">
        <f t="shared" si="652"/>
        <v>849896</v>
      </c>
      <c r="O427" s="477"/>
      <c r="P427" s="477"/>
      <c r="Q427" s="477">
        <f t="shared" si="694"/>
        <v>0</v>
      </c>
      <c r="R427" s="477">
        <f t="shared" si="695"/>
        <v>849896</v>
      </c>
      <c r="S427" s="477">
        <f t="shared" si="696"/>
        <v>-849896</v>
      </c>
      <c r="V427" s="476">
        <f t="shared" si="656"/>
        <v>0</v>
      </c>
      <c r="W427" s="476">
        <f t="shared" si="657"/>
        <v>849896</v>
      </c>
      <c r="X427" s="476">
        <f t="shared" si="658"/>
        <v>0</v>
      </c>
      <c r="Y427" s="476">
        <f t="shared" si="659"/>
        <v>0</v>
      </c>
      <c r="Z427" s="476">
        <f t="shared" si="660"/>
        <v>0</v>
      </c>
      <c r="AA427" s="476">
        <f t="shared" si="661"/>
        <v>0</v>
      </c>
      <c r="AB427" s="476">
        <f t="shared" si="662"/>
        <v>0</v>
      </c>
      <c r="AC427" s="476">
        <f t="shared" si="663"/>
        <v>0</v>
      </c>
      <c r="AD427" s="476">
        <f t="shared" si="664"/>
        <v>0</v>
      </c>
      <c r="AE427" s="476">
        <f t="shared" si="665"/>
        <v>0</v>
      </c>
      <c r="AF427" s="476">
        <f t="shared" si="666"/>
        <v>0</v>
      </c>
      <c r="AG427" s="476">
        <f t="shared" si="667"/>
        <v>0</v>
      </c>
      <c r="AH427" s="476">
        <f t="shared" si="668"/>
        <v>0</v>
      </c>
      <c r="AI427" s="476">
        <f t="shared" si="669"/>
        <v>0</v>
      </c>
      <c r="AJ427" s="476">
        <f t="shared" si="670"/>
        <v>0</v>
      </c>
      <c r="AK427" s="476">
        <f t="shared" si="671"/>
        <v>0</v>
      </c>
      <c r="AL427" s="476">
        <f t="shared" si="672"/>
        <v>0</v>
      </c>
      <c r="AM427" s="476">
        <f t="shared" si="673"/>
        <v>0</v>
      </c>
      <c r="AN427" s="476">
        <f t="shared" si="674"/>
        <v>0</v>
      </c>
      <c r="AO427" s="476">
        <f t="shared" si="675"/>
        <v>0</v>
      </c>
      <c r="AP427" s="476">
        <f t="shared" si="676"/>
        <v>0</v>
      </c>
      <c r="AQ427" s="476">
        <f t="shared" si="677"/>
        <v>0</v>
      </c>
      <c r="AR427" s="476">
        <f t="shared" si="678"/>
        <v>0</v>
      </c>
      <c r="AS427" s="476">
        <f t="shared" si="679"/>
        <v>0</v>
      </c>
      <c r="AT427" s="476">
        <f t="shared" si="680"/>
        <v>0</v>
      </c>
      <c r="AU427" s="476">
        <f t="shared" si="681"/>
        <v>0</v>
      </c>
      <c r="AV427" s="476">
        <f t="shared" si="682"/>
        <v>0</v>
      </c>
      <c r="AW427" s="476">
        <f t="shared" si="683"/>
        <v>0</v>
      </c>
      <c r="AX427" s="476">
        <f t="shared" si="684"/>
        <v>0</v>
      </c>
      <c r="AY427" s="476">
        <f t="shared" si="685"/>
        <v>0</v>
      </c>
      <c r="AZ427" s="476">
        <f t="shared" si="686"/>
        <v>0</v>
      </c>
      <c r="BA427" s="476">
        <f t="shared" si="687"/>
        <v>0</v>
      </c>
      <c r="BB427" s="476">
        <f t="shared" si="688"/>
        <v>0</v>
      </c>
      <c r="BC427" s="476">
        <f t="shared" si="689"/>
        <v>0</v>
      </c>
      <c r="BD427" s="476">
        <f t="shared" si="690"/>
        <v>0</v>
      </c>
      <c r="BE427" s="476">
        <f t="shared" si="691"/>
        <v>0</v>
      </c>
      <c r="BF427" s="476">
        <f t="shared" si="692"/>
        <v>0</v>
      </c>
      <c r="BG427" s="476">
        <f t="shared" si="693"/>
        <v>0</v>
      </c>
    </row>
    <row r="428" spans="1:59" ht="16.5" customHeight="1">
      <c r="A428" s="585" t="s">
        <v>721</v>
      </c>
      <c r="B428" s="585" t="s">
        <v>1077</v>
      </c>
      <c r="C428" s="584" t="s">
        <v>1882</v>
      </c>
      <c r="D428" s="413" t="s">
        <v>508</v>
      </c>
      <c r="E428" s="412" t="s">
        <v>330</v>
      </c>
      <c r="F428" s="413" t="s">
        <v>330</v>
      </c>
      <c r="G428" s="412" t="s">
        <v>330</v>
      </c>
      <c r="H428" s="412" t="s">
        <v>974</v>
      </c>
      <c r="I428" s="477">
        <v>1517740</v>
      </c>
      <c r="J428" s="477">
        <v>1517740</v>
      </c>
      <c r="K428" s="477"/>
      <c r="L428" s="477"/>
      <c r="M428" s="477">
        <f t="shared" si="651"/>
        <v>1517740</v>
      </c>
      <c r="N428" s="477">
        <f t="shared" si="652"/>
        <v>1517740</v>
      </c>
      <c r="O428" s="477"/>
      <c r="P428" s="477"/>
      <c r="Q428" s="477">
        <f t="shared" si="694"/>
        <v>1517740</v>
      </c>
      <c r="R428" s="477">
        <f t="shared" si="695"/>
        <v>1517740</v>
      </c>
      <c r="S428" s="477">
        <f t="shared" si="696"/>
        <v>0</v>
      </c>
      <c r="V428" s="476">
        <f t="shared" si="656"/>
        <v>1517740</v>
      </c>
      <c r="W428" s="476">
        <f t="shared" si="657"/>
        <v>1517740</v>
      </c>
      <c r="X428" s="476">
        <f t="shared" si="658"/>
        <v>0</v>
      </c>
      <c r="Y428" s="476">
        <f t="shared" si="659"/>
        <v>0</v>
      </c>
      <c r="Z428" s="476">
        <f t="shared" si="660"/>
        <v>0</v>
      </c>
      <c r="AA428" s="476">
        <f t="shared" si="661"/>
        <v>0</v>
      </c>
      <c r="AB428" s="476">
        <f t="shared" si="662"/>
        <v>0</v>
      </c>
      <c r="AC428" s="476">
        <f t="shared" si="663"/>
        <v>0</v>
      </c>
      <c r="AD428" s="476">
        <f t="shared" si="664"/>
        <v>0</v>
      </c>
      <c r="AE428" s="476">
        <f t="shared" si="665"/>
        <v>0</v>
      </c>
      <c r="AF428" s="476">
        <f t="shared" si="666"/>
        <v>0</v>
      </c>
      <c r="AG428" s="476">
        <f t="shared" si="667"/>
        <v>0</v>
      </c>
      <c r="AH428" s="476">
        <f t="shared" si="668"/>
        <v>0</v>
      </c>
      <c r="AI428" s="476">
        <f t="shared" si="669"/>
        <v>0</v>
      </c>
      <c r="AJ428" s="476">
        <f t="shared" si="670"/>
        <v>0</v>
      </c>
      <c r="AK428" s="476">
        <f t="shared" si="671"/>
        <v>0</v>
      </c>
      <c r="AL428" s="476">
        <f t="shared" si="672"/>
        <v>0</v>
      </c>
      <c r="AM428" s="476">
        <f t="shared" si="673"/>
        <v>0</v>
      </c>
      <c r="AN428" s="476">
        <f t="shared" si="674"/>
        <v>0</v>
      </c>
      <c r="AO428" s="476">
        <f t="shared" si="675"/>
        <v>0</v>
      </c>
      <c r="AP428" s="476">
        <f t="shared" si="676"/>
        <v>0</v>
      </c>
      <c r="AQ428" s="476">
        <f t="shared" si="677"/>
        <v>0</v>
      </c>
      <c r="AR428" s="476">
        <f t="shared" si="678"/>
        <v>0</v>
      </c>
      <c r="AS428" s="476">
        <f t="shared" si="679"/>
        <v>0</v>
      </c>
      <c r="AT428" s="476">
        <f t="shared" si="680"/>
        <v>0</v>
      </c>
      <c r="AU428" s="476">
        <f t="shared" si="681"/>
        <v>0</v>
      </c>
      <c r="AV428" s="476">
        <f t="shared" si="682"/>
        <v>0</v>
      </c>
      <c r="AW428" s="476">
        <f t="shared" si="683"/>
        <v>0</v>
      </c>
      <c r="AX428" s="476">
        <f t="shared" si="684"/>
        <v>0</v>
      </c>
      <c r="AY428" s="476">
        <f t="shared" si="685"/>
        <v>0</v>
      </c>
      <c r="AZ428" s="476">
        <f t="shared" si="686"/>
        <v>0</v>
      </c>
      <c r="BA428" s="476">
        <f t="shared" si="687"/>
        <v>0</v>
      </c>
      <c r="BB428" s="476">
        <f t="shared" si="688"/>
        <v>0</v>
      </c>
      <c r="BC428" s="476">
        <f t="shared" si="689"/>
        <v>0</v>
      </c>
      <c r="BD428" s="476">
        <f t="shared" si="690"/>
        <v>0</v>
      </c>
      <c r="BE428" s="476">
        <f t="shared" si="691"/>
        <v>0</v>
      </c>
      <c r="BF428" s="476">
        <f t="shared" si="692"/>
        <v>0</v>
      </c>
      <c r="BG428" s="476">
        <f t="shared" si="693"/>
        <v>0</v>
      </c>
    </row>
    <row r="429" spans="1:59" ht="16.5" customHeight="1">
      <c r="A429" s="585" t="s">
        <v>722</v>
      </c>
      <c r="B429" s="585" t="s">
        <v>1078</v>
      </c>
      <c r="C429" s="584" t="s">
        <v>1883</v>
      </c>
      <c r="D429" s="413" t="s">
        <v>508</v>
      </c>
      <c r="E429" s="412" t="s">
        <v>330</v>
      </c>
      <c r="F429" s="413" t="s">
        <v>330</v>
      </c>
      <c r="G429" s="412" t="s">
        <v>330</v>
      </c>
      <c r="H429" s="412" t="s">
        <v>974</v>
      </c>
      <c r="I429" s="477">
        <v>0</v>
      </c>
      <c r="J429" s="477">
        <v>186921</v>
      </c>
      <c r="K429" s="477"/>
      <c r="L429" s="477"/>
      <c r="M429" s="477">
        <f t="shared" si="651"/>
        <v>0</v>
      </c>
      <c r="N429" s="477">
        <f t="shared" si="652"/>
        <v>186921</v>
      </c>
      <c r="O429" s="477"/>
      <c r="P429" s="477"/>
      <c r="Q429" s="477">
        <f t="shared" si="694"/>
        <v>0</v>
      </c>
      <c r="R429" s="477">
        <f t="shared" si="695"/>
        <v>186921</v>
      </c>
      <c r="S429" s="477">
        <f t="shared" si="696"/>
        <v>-186921</v>
      </c>
      <c r="V429" s="476">
        <f t="shared" si="656"/>
        <v>0</v>
      </c>
      <c r="W429" s="476">
        <f t="shared" si="657"/>
        <v>186921</v>
      </c>
      <c r="X429" s="476">
        <f t="shared" si="658"/>
        <v>0</v>
      </c>
      <c r="Y429" s="476">
        <f t="shared" si="659"/>
        <v>0</v>
      </c>
      <c r="Z429" s="476">
        <f t="shared" si="660"/>
        <v>0</v>
      </c>
      <c r="AA429" s="476">
        <f t="shared" si="661"/>
        <v>0</v>
      </c>
      <c r="AB429" s="476">
        <f t="shared" si="662"/>
        <v>0</v>
      </c>
      <c r="AC429" s="476">
        <f t="shared" si="663"/>
        <v>0</v>
      </c>
      <c r="AD429" s="476">
        <f t="shared" si="664"/>
        <v>0</v>
      </c>
      <c r="AE429" s="476">
        <f t="shared" si="665"/>
        <v>0</v>
      </c>
      <c r="AF429" s="476">
        <f t="shared" si="666"/>
        <v>0</v>
      </c>
      <c r="AG429" s="476">
        <f t="shared" si="667"/>
        <v>0</v>
      </c>
      <c r="AH429" s="476">
        <f t="shared" si="668"/>
        <v>0</v>
      </c>
      <c r="AI429" s="476">
        <f t="shared" si="669"/>
        <v>0</v>
      </c>
      <c r="AJ429" s="476">
        <f t="shared" si="670"/>
        <v>0</v>
      </c>
      <c r="AK429" s="476">
        <f t="shared" si="671"/>
        <v>0</v>
      </c>
      <c r="AL429" s="476">
        <f t="shared" si="672"/>
        <v>0</v>
      </c>
      <c r="AM429" s="476">
        <f t="shared" si="673"/>
        <v>0</v>
      </c>
      <c r="AN429" s="476">
        <f t="shared" si="674"/>
        <v>0</v>
      </c>
      <c r="AO429" s="476">
        <f t="shared" si="675"/>
        <v>0</v>
      </c>
      <c r="AP429" s="476">
        <f t="shared" si="676"/>
        <v>0</v>
      </c>
      <c r="AQ429" s="476">
        <f t="shared" si="677"/>
        <v>0</v>
      </c>
      <c r="AR429" s="476">
        <f t="shared" si="678"/>
        <v>0</v>
      </c>
      <c r="AS429" s="476">
        <f t="shared" si="679"/>
        <v>0</v>
      </c>
      <c r="AT429" s="476">
        <f t="shared" si="680"/>
        <v>0</v>
      </c>
      <c r="AU429" s="476">
        <f t="shared" si="681"/>
        <v>0</v>
      </c>
      <c r="AV429" s="476">
        <f t="shared" si="682"/>
        <v>0</v>
      </c>
      <c r="AW429" s="476">
        <f t="shared" si="683"/>
        <v>0</v>
      </c>
      <c r="AX429" s="476">
        <f t="shared" si="684"/>
        <v>0</v>
      </c>
      <c r="AY429" s="476">
        <f t="shared" si="685"/>
        <v>0</v>
      </c>
      <c r="AZ429" s="476">
        <f t="shared" si="686"/>
        <v>0</v>
      </c>
      <c r="BA429" s="476">
        <f t="shared" si="687"/>
        <v>0</v>
      </c>
      <c r="BB429" s="476">
        <f t="shared" si="688"/>
        <v>0</v>
      </c>
      <c r="BC429" s="476">
        <f t="shared" si="689"/>
        <v>0</v>
      </c>
      <c r="BD429" s="476">
        <f t="shared" si="690"/>
        <v>0</v>
      </c>
      <c r="BE429" s="476">
        <f t="shared" si="691"/>
        <v>0</v>
      </c>
      <c r="BF429" s="476">
        <f t="shared" si="692"/>
        <v>0</v>
      </c>
      <c r="BG429" s="476">
        <f t="shared" si="693"/>
        <v>0</v>
      </c>
    </row>
    <row r="430" spans="1:59" ht="16.5" customHeight="1">
      <c r="A430" s="585" t="s">
        <v>725</v>
      </c>
      <c r="B430" s="585" t="s">
        <v>1079</v>
      </c>
      <c r="C430" s="584" t="s">
        <v>1884</v>
      </c>
      <c r="D430" s="413" t="s">
        <v>508</v>
      </c>
      <c r="E430" s="412" t="s">
        <v>330</v>
      </c>
      <c r="F430" s="413" t="s">
        <v>330</v>
      </c>
      <c r="G430" s="412" t="s">
        <v>330</v>
      </c>
      <c r="H430" s="412" t="s">
        <v>1020</v>
      </c>
      <c r="I430" s="477">
        <v>918</v>
      </c>
      <c r="J430" s="477">
        <v>0</v>
      </c>
      <c r="K430" s="477"/>
      <c r="L430" s="477"/>
      <c r="M430" s="477">
        <f t="shared" si="651"/>
        <v>918</v>
      </c>
      <c r="N430" s="477">
        <f t="shared" si="652"/>
        <v>0</v>
      </c>
      <c r="O430" s="477"/>
      <c r="P430" s="477"/>
      <c r="Q430" s="477">
        <f t="shared" si="694"/>
        <v>918</v>
      </c>
      <c r="R430" s="477">
        <f t="shared" si="695"/>
        <v>0</v>
      </c>
      <c r="S430" s="477">
        <f t="shared" si="696"/>
        <v>918</v>
      </c>
      <c r="V430" s="476">
        <f t="shared" si="656"/>
        <v>0</v>
      </c>
      <c r="W430" s="476">
        <f t="shared" si="657"/>
        <v>0</v>
      </c>
      <c r="X430" s="476">
        <f t="shared" si="658"/>
        <v>0</v>
      </c>
      <c r="Y430" s="476">
        <f t="shared" si="659"/>
        <v>0</v>
      </c>
      <c r="Z430" s="476">
        <f t="shared" si="660"/>
        <v>918</v>
      </c>
      <c r="AA430" s="476">
        <f t="shared" si="661"/>
        <v>0</v>
      </c>
      <c r="AB430" s="476">
        <f t="shared" si="662"/>
        <v>0</v>
      </c>
      <c r="AC430" s="476">
        <f t="shared" si="663"/>
        <v>0</v>
      </c>
      <c r="AD430" s="476">
        <f t="shared" si="664"/>
        <v>0</v>
      </c>
      <c r="AE430" s="476">
        <f t="shared" si="665"/>
        <v>0</v>
      </c>
      <c r="AF430" s="476">
        <f t="shared" si="666"/>
        <v>0</v>
      </c>
      <c r="AG430" s="476">
        <f t="shared" si="667"/>
        <v>0</v>
      </c>
      <c r="AH430" s="476">
        <f t="shared" si="668"/>
        <v>0</v>
      </c>
      <c r="AI430" s="476">
        <f t="shared" si="669"/>
        <v>0</v>
      </c>
      <c r="AJ430" s="476">
        <f t="shared" si="670"/>
        <v>0</v>
      </c>
      <c r="AK430" s="476">
        <f t="shared" si="671"/>
        <v>0</v>
      </c>
      <c r="AL430" s="476">
        <f t="shared" si="672"/>
        <v>0</v>
      </c>
      <c r="AM430" s="476">
        <f t="shared" si="673"/>
        <v>0</v>
      </c>
      <c r="AN430" s="476">
        <f t="shared" si="674"/>
        <v>0</v>
      </c>
      <c r="AO430" s="476">
        <f t="shared" si="675"/>
        <v>0</v>
      </c>
      <c r="AP430" s="476">
        <f t="shared" si="676"/>
        <v>0</v>
      </c>
      <c r="AQ430" s="476">
        <f t="shared" si="677"/>
        <v>0</v>
      </c>
      <c r="AR430" s="476">
        <f t="shared" si="678"/>
        <v>0</v>
      </c>
      <c r="AS430" s="476">
        <f t="shared" si="679"/>
        <v>0</v>
      </c>
      <c r="AT430" s="476">
        <f t="shared" si="680"/>
        <v>0</v>
      </c>
      <c r="AU430" s="476">
        <f t="shared" si="681"/>
        <v>0</v>
      </c>
      <c r="AV430" s="476">
        <f t="shared" si="682"/>
        <v>0</v>
      </c>
      <c r="AW430" s="476">
        <f t="shared" si="683"/>
        <v>0</v>
      </c>
      <c r="AX430" s="476">
        <f t="shared" si="684"/>
        <v>0</v>
      </c>
      <c r="AY430" s="476">
        <f t="shared" si="685"/>
        <v>0</v>
      </c>
      <c r="AZ430" s="476">
        <f t="shared" si="686"/>
        <v>0</v>
      </c>
      <c r="BA430" s="476">
        <f t="shared" si="687"/>
        <v>0</v>
      </c>
      <c r="BB430" s="476">
        <f t="shared" si="688"/>
        <v>0</v>
      </c>
      <c r="BC430" s="476">
        <f t="shared" si="689"/>
        <v>0</v>
      </c>
      <c r="BD430" s="476">
        <f t="shared" si="690"/>
        <v>0</v>
      </c>
      <c r="BE430" s="476">
        <f t="shared" si="691"/>
        <v>0</v>
      </c>
      <c r="BF430" s="476">
        <f t="shared" si="692"/>
        <v>0</v>
      </c>
      <c r="BG430" s="476">
        <f t="shared" si="693"/>
        <v>0</v>
      </c>
    </row>
    <row r="431" spans="1:59" ht="16.5" customHeight="1">
      <c r="A431" s="585" t="s">
        <v>727</v>
      </c>
      <c r="B431" s="585" t="s">
        <v>1080</v>
      </c>
      <c r="C431" s="584" t="s">
        <v>1885</v>
      </c>
      <c r="D431" s="413" t="s">
        <v>508</v>
      </c>
      <c r="E431" s="412" t="s">
        <v>330</v>
      </c>
      <c r="F431" s="413" t="s">
        <v>330</v>
      </c>
      <c r="G431" s="412" t="s">
        <v>330</v>
      </c>
      <c r="H431" s="412" t="s">
        <v>974</v>
      </c>
      <c r="I431" s="477">
        <v>2901</v>
      </c>
      <c r="J431" s="477">
        <v>0</v>
      </c>
      <c r="K431" s="477"/>
      <c r="L431" s="477"/>
      <c r="M431" s="477">
        <f t="shared" si="651"/>
        <v>2901</v>
      </c>
      <c r="N431" s="477">
        <f t="shared" si="652"/>
        <v>0</v>
      </c>
      <c r="O431" s="477"/>
      <c r="P431" s="477"/>
      <c r="Q431" s="477">
        <f t="shared" si="694"/>
        <v>2901</v>
      </c>
      <c r="R431" s="477">
        <f t="shared" si="695"/>
        <v>0</v>
      </c>
      <c r="S431" s="477">
        <f t="shared" si="696"/>
        <v>2901</v>
      </c>
      <c r="V431" s="476">
        <f t="shared" ref="V431:V466" si="697">IF($V$8=$H431,$Q431,0)</f>
        <v>2901</v>
      </c>
      <c r="W431" s="476">
        <f t="shared" ref="W431:W466" si="698">IF($V$8=$H431,$R431,0)</f>
        <v>0</v>
      </c>
      <c r="X431" s="476">
        <f t="shared" ref="X431:X466" si="699">IF($X$8=$H431,$Q431,0)</f>
        <v>0</v>
      </c>
      <c r="Y431" s="476">
        <f t="shared" ref="Y431:Y466" si="700">IF($X$8=$H431,$R431,0)</f>
        <v>0</v>
      </c>
      <c r="Z431" s="476">
        <f t="shared" ref="Z431:Z466" si="701">IF($Z$8=$H431,$Q431,0)</f>
        <v>0</v>
      </c>
      <c r="AA431" s="476">
        <f t="shared" ref="AA431:AA466" si="702">IF($Z$8=$H431,$R431,0)</f>
        <v>0</v>
      </c>
      <c r="AB431" s="476">
        <f t="shared" ref="AB431:AB466" si="703">IF($AB$8=$H431,$Q431,0)</f>
        <v>0</v>
      </c>
      <c r="AC431" s="476">
        <f t="shared" ref="AC431:AC466" si="704">IF($AB$8=$H431,$R431,0)</f>
        <v>0</v>
      </c>
      <c r="AD431" s="476">
        <f t="shared" ref="AD431:AD466" si="705">IF($AD$8=$H431,$Q431,0)</f>
        <v>0</v>
      </c>
      <c r="AE431" s="476">
        <f t="shared" ref="AE431:AE466" si="706">IF($AD$8=$H431,$R431,0)</f>
        <v>0</v>
      </c>
      <c r="AF431" s="476">
        <f t="shared" ref="AF431:AF466" si="707">IF($AF$8=$H431,$Q431,0)</f>
        <v>0</v>
      </c>
      <c r="AG431" s="476">
        <f t="shared" ref="AG431:AG466" si="708">IF($AF$8=$H431,$R431,0)</f>
        <v>0</v>
      </c>
      <c r="AH431" s="476">
        <f t="shared" ref="AH431:AH466" si="709">IF($AH$8=$H431,$Q431,0)</f>
        <v>0</v>
      </c>
      <c r="AI431" s="476">
        <f t="shared" ref="AI431:AI466" si="710">IF($AH$8=$H431,$R431,0)</f>
        <v>0</v>
      </c>
      <c r="AJ431" s="476">
        <f t="shared" ref="AJ431:AJ466" si="711">IF($AJ$8=$H431,$Q431,0)</f>
        <v>0</v>
      </c>
      <c r="AK431" s="476">
        <f t="shared" ref="AK431:AK466" si="712">IF($AJ$8=$H431,$R431,0)</f>
        <v>0</v>
      </c>
      <c r="AL431" s="476">
        <f t="shared" ref="AL431:AL466" si="713">IF($AL$8=$H431,$Q431,0)</f>
        <v>0</v>
      </c>
      <c r="AM431" s="476">
        <f t="shared" ref="AM431:AM466" si="714">IF($AL$8=$H431,$R431,0)</f>
        <v>0</v>
      </c>
      <c r="AN431" s="476">
        <f t="shared" ref="AN431:AN466" si="715">IF($AN$8=$H431,$Q431,0)</f>
        <v>0</v>
      </c>
      <c r="AO431" s="476">
        <f t="shared" ref="AO431:AO466" si="716">IF($AN$8=$H431,$R431,0)</f>
        <v>0</v>
      </c>
      <c r="AP431" s="476">
        <f t="shared" ref="AP431:AP466" si="717">IF($AP$8=$H431,$Q431,0)</f>
        <v>0</v>
      </c>
      <c r="AQ431" s="476">
        <f t="shared" ref="AQ431:AQ466" si="718">IF($AP$8=$H431,$R431,0)</f>
        <v>0</v>
      </c>
      <c r="AR431" s="476">
        <f t="shared" ref="AR431:AR466" si="719">IF($AR$8=$H431,$Q431,0)</f>
        <v>0</v>
      </c>
      <c r="AS431" s="476">
        <f t="shared" ref="AS431:AS466" si="720">IF($AR$8=$H431,$R431,0)</f>
        <v>0</v>
      </c>
      <c r="AT431" s="476">
        <f t="shared" ref="AT431:AT466" si="721">IF($AT$8=$H431,$Q431,0)</f>
        <v>0</v>
      </c>
      <c r="AU431" s="476">
        <f t="shared" ref="AU431:AU466" si="722">IF($AT$8=$H431,$R431,0)</f>
        <v>0</v>
      </c>
      <c r="AV431" s="476">
        <f t="shared" ref="AV431:AV466" si="723">IF($AV$8=$H431,$Q431,0)</f>
        <v>0</v>
      </c>
      <c r="AW431" s="476">
        <f t="shared" ref="AW431:AW466" si="724">IF($AV$8=$H431,$R431,0)</f>
        <v>0</v>
      </c>
      <c r="AX431" s="476">
        <f t="shared" ref="AX431:AX466" si="725">IF($AX$8=$H431,$Q431,0)</f>
        <v>0</v>
      </c>
      <c r="AY431" s="476">
        <f t="shared" ref="AY431:AY466" si="726">IF($AX$8=$H431,$R431,0)</f>
        <v>0</v>
      </c>
      <c r="AZ431" s="476">
        <f t="shared" ref="AZ431:AZ466" si="727">IF($AZ$8=$H431,$Q431,0)</f>
        <v>0</v>
      </c>
      <c r="BA431" s="476">
        <f t="shared" ref="BA431:BA466" si="728">IF($AZ$8=$H431,$R431,0)</f>
        <v>0</v>
      </c>
      <c r="BB431" s="476">
        <f t="shared" ref="BB431:BB466" si="729">IF($BB$8=$H431,$Q431,0)</f>
        <v>0</v>
      </c>
      <c r="BC431" s="476">
        <f t="shared" ref="BC431:BC466" si="730">IF($BB$8=$H431,$R431,0)</f>
        <v>0</v>
      </c>
      <c r="BD431" s="476">
        <f t="shared" ref="BD431:BD466" si="731">IF($BD$8=$H431,$Q431,0)</f>
        <v>0</v>
      </c>
      <c r="BE431" s="476">
        <f t="shared" ref="BE431:BE466" si="732">IF($BD$8=$H431,$R431,0)</f>
        <v>0</v>
      </c>
      <c r="BF431" s="476">
        <f t="shared" ref="BF431:BF466" si="733">IF($BF$8=$H431,$Q431,0)</f>
        <v>0</v>
      </c>
      <c r="BG431" s="476">
        <f t="shared" ref="BG431:BG466" si="734">IF($BF$8=$H431,$R431,0)</f>
        <v>0</v>
      </c>
    </row>
    <row r="432" spans="1:59" ht="16.5" customHeight="1">
      <c r="A432" s="585" t="s">
        <v>727</v>
      </c>
      <c r="B432" s="585" t="s">
        <v>1080</v>
      </c>
      <c r="C432" s="584" t="s">
        <v>1886</v>
      </c>
      <c r="D432" s="413" t="s">
        <v>508</v>
      </c>
      <c r="E432" s="412" t="s">
        <v>330</v>
      </c>
      <c r="F432" s="413" t="s">
        <v>330</v>
      </c>
      <c r="G432" s="412" t="s">
        <v>330</v>
      </c>
      <c r="H432" s="412" t="s">
        <v>1020</v>
      </c>
      <c r="I432" s="477">
        <v>6717</v>
      </c>
      <c r="J432" s="477">
        <v>0</v>
      </c>
      <c r="K432" s="477"/>
      <c r="L432" s="477"/>
      <c r="M432" s="477">
        <f t="shared" si="651"/>
        <v>6717</v>
      </c>
      <c r="N432" s="477">
        <f t="shared" si="652"/>
        <v>0</v>
      </c>
      <c r="O432" s="477"/>
      <c r="P432" s="477"/>
      <c r="Q432" s="477">
        <f t="shared" si="694"/>
        <v>6717</v>
      </c>
      <c r="R432" s="477">
        <f t="shared" si="695"/>
        <v>0</v>
      </c>
      <c r="S432" s="477">
        <f t="shared" si="696"/>
        <v>6717</v>
      </c>
      <c r="V432" s="476">
        <f t="shared" si="697"/>
        <v>0</v>
      </c>
      <c r="W432" s="476">
        <f t="shared" si="698"/>
        <v>0</v>
      </c>
      <c r="X432" s="476">
        <f t="shared" si="699"/>
        <v>0</v>
      </c>
      <c r="Y432" s="476">
        <f t="shared" si="700"/>
        <v>0</v>
      </c>
      <c r="Z432" s="476">
        <f t="shared" si="701"/>
        <v>6717</v>
      </c>
      <c r="AA432" s="476">
        <f t="shared" si="702"/>
        <v>0</v>
      </c>
      <c r="AB432" s="476">
        <f t="shared" si="703"/>
        <v>0</v>
      </c>
      <c r="AC432" s="476">
        <f t="shared" si="704"/>
        <v>0</v>
      </c>
      <c r="AD432" s="476">
        <f t="shared" si="705"/>
        <v>0</v>
      </c>
      <c r="AE432" s="476">
        <f t="shared" si="706"/>
        <v>0</v>
      </c>
      <c r="AF432" s="476">
        <f t="shared" si="707"/>
        <v>0</v>
      </c>
      <c r="AG432" s="476">
        <f t="shared" si="708"/>
        <v>0</v>
      </c>
      <c r="AH432" s="476">
        <f t="shared" si="709"/>
        <v>0</v>
      </c>
      <c r="AI432" s="476">
        <f t="shared" si="710"/>
        <v>0</v>
      </c>
      <c r="AJ432" s="476">
        <f t="shared" si="711"/>
        <v>0</v>
      </c>
      <c r="AK432" s="476">
        <f t="shared" si="712"/>
        <v>0</v>
      </c>
      <c r="AL432" s="476">
        <f t="shared" si="713"/>
        <v>0</v>
      </c>
      <c r="AM432" s="476">
        <f t="shared" si="714"/>
        <v>0</v>
      </c>
      <c r="AN432" s="476">
        <f t="shared" si="715"/>
        <v>0</v>
      </c>
      <c r="AO432" s="476">
        <f t="shared" si="716"/>
        <v>0</v>
      </c>
      <c r="AP432" s="476">
        <f t="shared" si="717"/>
        <v>0</v>
      </c>
      <c r="AQ432" s="476">
        <f t="shared" si="718"/>
        <v>0</v>
      </c>
      <c r="AR432" s="476">
        <f t="shared" si="719"/>
        <v>0</v>
      </c>
      <c r="AS432" s="476">
        <f t="shared" si="720"/>
        <v>0</v>
      </c>
      <c r="AT432" s="476">
        <f t="shared" si="721"/>
        <v>0</v>
      </c>
      <c r="AU432" s="476">
        <f t="shared" si="722"/>
        <v>0</v>
      </c>
      <c r="AV432" s="476">
        <f t="shared" si="723"/>
        <v>0</v>
      </c>
      <c r="AW432" s="476">
        <f t="shared" si="724"/>
        <v>0</v>
      </c>
      <c r="AX432" s="476">
        <f t="shared" si="725"/>
        <v>0</v>
      </c>
      <c r="AY432" s="476">
        <f t="shared" si="726"/>
        <v>0</v>
      </c>
      <c r="AZ432" s="476">
        <f t="shared" si="727"/>
        <v>0</v>
      </c>
      <c r="BA432" s="476">
        <f t="shared" si="728"/>
        <v>0</v>
      </c>
      <c r="BB432" s="476">
        <f t="shared" si="729"/>
        <v>0</v>
      </c>
      <c r="BC432" s="476">
        <f t="shared" si="730"/>
        <v>0</v>
      </c>
      <c r="BD432" s="476">
        <f t="shared" si="731"/>
        <v>0</v>
      </c>
      <c r="BE432" s="476">
        <f t="shared" si="732"/>
        <v>0</v>
      </c>
      <c r="BF432" s="476">
        <f t="shared" si="733"/>
        <v>0</v>
      </c>
      <c r="BG432" s="476">
        <f t="shared" si="734"/>
        <v>0</v>
      </c>
    </row>
    <row r="433" spans="1:59" ht="16.5" customHeight="1">
      <c r="A433" s="585" t="s">
        <v>730</v>
      </c>
      <c r="B433" s="585" t="s">
        <v>1081</v>
      </c>
      <c r="C433" s="584" t="s">
        <v>1887</v>
      </c>
      <c r="D433" s="413" t="s">
        <v>508</v>
      </c>
      <c r="E433" s="412" t="s">
        <v>330</v>
      </c>
      <c r="F433" s="413" t="s">
        <v>330</v>
      </c>
      <c r="G433" s="412" t="s">
        <v>330</v>
      </c>
      <c r="H433" s="412" t="s">
        <v>1014</v>
      </c>
      <c r="I433" s="477">
        <v>250000</v>
      </c>
      <c r="J433" s="477">
        <v>0</v>
      </c>
      <c r="K433" s="477"/>
      <c r="L433" s="477"/>
      <c r="M433" s="477">
        <f t="shared" si="651"/>
        <v>250000</v>
      </c>
      <c r="N433" s="477">
        <f t="shared" si="652"/>
        <v>0</v>
      </c>
      <c r="O433" s="477"/>
      <c r="P433" s="477"/>
      <c r="Q433" s="477">
        <f t="shared" si="694"/>
        <v>250000</v>
      </c>
      <c r="R433" s="477">
        <f t="shared" si="695"/>
        <v>0</v>
      </c>
      <c r="S433" s="477">
        <f t="shared" si="696"/>
        <v>250000</v>
      </c>
      <c r="V433" s="476">
        <f t="shared" si="697"/>
        <v>0</v>
      </c>
      <c r="W433" s="476">
        <f t="shared" si="698"/>
        <v>0</v>
      </c>
      <c r="X433" s="476">
        <f t="shared" si="699"/>
        <v>0</v>
      </c>
      <c r="Y433" s="476">
        <f t="shared" si="700"/>
        <v>0</v>
      </c>
      <c r="Z433" s="476">
        <f t="shared" si="701"/>
        <v>0</v>
      </c>
      <c r="AA433" s="476">
        <f t="shared" si="702"/>
        <v>0</v>
      </c>
      <c r="AB433" s="476">
        <f t="shared" si="703"/>
        <v>0</v>
      </c>
      <c r="AC433" s="476">
        <f t="shared" si="704"/>
        <v>0</v>
      </c>
      <c r="AD433" s="476">
        <f t="shared" si="705"/>
        <v>0</v>
      </c>
      <c r="AE433" s="476">
        <f t="shared" si="706"/>
        <v>0</v>
      </c>
      <c r="AF433" s="476">
        <f t="shared" si="707"/>
        <v>0</v>
      </c>
      <c r="AG433" s="476">
        <f t="shared" si="708"/>
        <v>0</v>
      </c>
      <c r="AH433" s="476">
        <f t="shared" si="709"/>
        <v>0</v>
      </c>
      <c r="AI433" s="476">
        <f t="shared" si="710"/>
        <v>0</v>
      </c>
      <c r="AJ433" s="476">
        <f t="shared" si="711"/>
        <v>0</v>
      </c>
      <c r="AK433" s="476">
        <f t="shared" si="712"/>
        <v>0</v>
      </c>
      <c r="AL433" s="476">
        <f t="shared" si="713"/>
        <v>0</v>
      </c>
      <c r="AM433" s="476">
        <f t="shared" si="714"/>
        <v>0</v>
      </c>
      <c r="AN433" s="476">
        <f t="shared" si="715"/>
        <v>0</v>
      </c>
      <c r="AO433" s="476">
        <f t="shared" si="716"/>
        <v>0</v>
      </c>
      <c r="AP433" s="476">
        <f t="shared" si="717"/>
        <v>250000</v>
      </c>
      <c r="AQ433" s="476">
        <f t="shared" si="718"/>
        <v>0</v>
      </c>
      <c r="AR433" s="476">
        <f t="shared" si="719"/>
        <v>0</v>
      </c>
      <c r="AS433" s="476">
        <f t="shared" si="720"/>
        <v>0</v>
      </c>
      <c r="AT433" s="476">
        <f t="shared" si="721"/>
        <v>0</v>
      </c>
      <c r="AU433" s="476">
        <f t="shared" si="722"/>
        <v>0</v>
      </c>
      <c r="AV433" s="476">
        <f t="shared" si="723"/>
        <v>0</v>
      </c>
      <c r="AW433" s="476">
        <f t="shared" si="724"/>
        <v>0</v>
      </c>
      <c r="AX433" s="476">
        <f t="shared" si="725"/>
        <v>0</v>
      </c>
      <c r="AY433" s="476">
        <f t="shared" si="726"/>
        <v>0</v>
      </c>
      <c r="AZ433" s="476">
        <f t="shared" si="727"/>
        <v>0</v>
      </c>
      <c r="BA433" s="476">
        <f t="shared" si="728"/>
        <v>0</v>
      </c>
      <c r="BB433" s="476">
        <f t="shared" si="729"/>
        <v>0</v>
      </c>
      <c r="BC433" s="476">
        <f t="shared" si="730"/>
        <v>0</v>
      </c>
      <c r="BD433" s="476">
        <f t="shared" si="731"/>
        <v>0</v>
      </c>
      <c r="BE433" s="476">
        <f t="shared" si="732"/>
        <v>0</v>
      </c>
      <c r="BF433" s="476">
        <f t="shared" si="733"/>
        <v>0</v>
      </c>
      <c r="BG433" s="476">
        <f t="shared" si="734"/>
        <v>0</v>
      </c>
    </row>
    <row r="434" spans="1:59" ht="16.5" customHeight="1">
      <c r="A434" s="585" t="s">
        <v>730</v>
      </c>
      <c r="B434" s="585" t="s">
        <v>1081</v>
      </c>
      <c r="C434" s="584" t="s">
        <v>1888</v>
      </c>
      <c r="D434" s="413" t="s">
        <v>508</v>
      </c>
      <c r="E434" s="412" t="s">
        <v>330</v>
      </c>
      <c r="F434" s="413" t="s">
        <v>330</v>
      </c>
      <c r="G434" s="412" t="s">
        <v>330</v>
      </c>
      <c r="H434" s="412" t="s">
        <v>974</v>
      </c>
      <c r="I434" s="477">
        <v>0</v>
      </c>
      <c r="J434" s="477">
        <v>444056</v>
      </c>
      <c r="K434" s="477"/>
      <c r="L434" s="477"/>
      <c r="M434" s="477">
        <f t="shared" si="651"/>
        <v>0</v>
      </c>
      <c r="N434" s="477">
        <f t="shared" si="652"/>
        <v>444056</v>
      </c>
      <c r="O434" s="477"/>
      <c r="P434" s="477"/>
      <c r="Q434" s="477">
        <f t="shared" si="694"/>
        <v>0</v>
      </c>
      <c r="R434" s="477">
        <f t="shared" si="695"/>
        <v>444056</v>
      </c>
      <c r="S434" s="477">
        <f t="shared" si="696"/>
        <v>-444056</v>
      </c>
      <c r="V434" s="476">
        <f t="shared" si="697"/>
        <v>0</v>
      </c>
      <c r="W434" s="476">
        <f t="shared" si="698"/>
        <v>444056</v>
      </c>
      <c r="X434" s="476">
        <f t="shared" si="699"/>
        <v>0</v>
      </c>
      <c r="Y434" s="476">
        <f t="shared" si="700"/>
        <v>0</v>
      </c>
      <c r="Z434" s="476">
        <f t="shared" si="701"/>
        <v>0</v>
      </c>
      <c r="AA434" s="476">
        <f t="shared" si="702"/>
        <v>0</v>
      </c>
      <c r="AB434" s="476">
        <f t="shared" si="703"/>
        <v>0</v>
      </c>
      <c r="AC434" s="476">
        <f t="shared" si="704"/>
        <v>0</v>
      </c>
      <c r="AD434" s="476">
        <f t="shared" si="705"/>
        <v>0</v>
      </c>
      <c r="AE434" s="476">
        <f t="shared" si="706"/>
        <v>0</v>
      </c>
      <c r="AF434" s="476">
        <f t="shared" si="707"/>
        <v>0</v>
      </c>
      <c r="AG434" s="476">
        <f t="shared" si="708"/>
        <v>0</v>
      </c>
      <c r="AH434" s="476">
        <f t="shared" si="709"/>
        <v>0</v>
      </c>
      <c r="AI434" s="476">
        <f t="shared" si="710"/>
        <v>0</v>
      </c>
      <c r="AJ434" s="476">
        <f t="shared" si="711"/>
        <v>0</v>
      </c>
      <c r="AK434" s="476">
        <f t="shared" si="712"/>
        <v>0</v>
      </c>
      <c r="AL434" s="476">
        <f t="shared" si="713"/>
        <v>0</v>
      </c>
      <c r="AM434" s="476">
        <f t="shared" si="714"/>
        <v>0</v>
      </c>
      <c r="AN434" s="476">
        <f t="shared" si="715"/>
        <v>0</v>
      </c>
      <c r="AO434" s="476">
        <f t="shared" si="716"/>
        <v>0</v>
      </c>
      <c r="AP434" s="476">
        <f t="shared" si="717"/>
        <v>0</v>
      </c>
      <c r="AQ434" s="476">
        <f t="shared" si="718"/>
        <v>0</v>
      </c>
      <c r="AR434" s="476">
        <f t="shared" si="719"/>
        <v>0</v>
      </c>
      <c r="AS434" s="476">
        <f t="shared" si="720"/>
        <v>0</v>
      </c>
      <c r="AT434" s="476">
        <f t="shared" si="721"/>
        <v>0</v>
      </c>
      <c r="AU434" s="476">
        <f t="shared" si="722"/>
        <v>0</v>
      </c>
      <c r="AV434" s="476">
        <f t="shared" si="723"/>
        <v>0</v>
      </c>
      <c r="AW434" s="476">
        <f t="shared" si="724"/>
        <v>0</v>
      </c>
      <c r="AX434" s="476">
        <f t="shared" si="725"/>
        <v>0</v>
      </c>
      <c r="AY434" s="476">
        <f t="shared" si="726"/>
        <v>0</v>
      </c>
      <c r="AZ434" s="476">
        <f t="shared" si="727"/>
        <v>0</v>
      </c>
      <c r="BA434" s="476">
        <f t="shared" si="728"/>
        <v>0</v>
      </c>
      <c r="BB434" s="476">
        <f t="shared" si="729"/>
        <v>0</v>
      </c>
      <c r="BC434" s="476">
        <f t="shared" si="730"/>
        <v>0</v>
      </c>
      <c r="BD434" s="476">
        <f t="shared" si="731"/>
        <v>0</v>
      </c>
      <c r="BE434" s="476">
        <f t="shared" si="732"/>
        <v>0</v>
      </c>
      <c r="BF434" s="476">
        <f t="shared" si="733"/>
        <v>0</v>
      </c>
      <c r="BG434" s="476">
        <f t="shared" si="734"/>
        <v>0</v>
      </c>
    </row>
    <row r="435" spans="1:59" ht="16.5" customHeight="1">
      <c r="A435" s="585" t="s">
        <v>730</v>
      </c>
      <c r="B435" s="585" t="s">
        <v>1081</v>
      </c>
      <c r="C435" s="584" t="s">
        <v>1889</v>
      </c>
      <c r="D435" s="413" t="s">
        <v>508</v>
      </c>
      <c r="E435" s="412" t="s">
        <v>330</v>
      </c>
      <c r="F435" s="413" t="s">
        <v>330</v>
      </c>
      <c r="G435" s="412" t="s">
        <v>330</v>
      </c>
      <c r="H435" s="412" t="s">
        <v>1021</v>
      </c>
      <c r="I435" s="477">
        <v>0</v>
      </c>
      <c r="J435" s="477">
        <v>3076</v>
      </c>
      <c r="K435" s="477"/>
      <c r="L435" s="477"/>
      <c r="M435" s="477">
        <f t="shared" si="651"/>
        <v>0</v>
      </c>
      <c r="N435" s="477">
        <f t="shared" si="652"/>
        <v>3076</v>
      </c>
      <c r="O435" s="477"/>
      <c r="P435" s="477"/>
      <c r="Q435" s="477">
        <f t="shared" si="694"/>
        <v>0</v>
      </c>
      <c r="R435" s="477">
        <f t="shared" si="695"/>
        <v>3076</v>
      </c>
      <c r="S435" s="477">
        <f t="shared" si="696"/>
        <v>-3076</v>
      </c>
      <c r="V435" s="476">
        <f t="shared" si="697"/>
        <v>0</v>
      </c>
      <c r="W435" s="476">
        <f t="shared" si="698"/>
        <v>0</v>
      </c>
      <c r="X435" s="476">
        <f t="shared" si="699"/>
        <v>0</v>
      </c>
      <c r="Y435" s="476">
        <f t="shared" si="700"/>
        <v>0</v>
      </c>
      <c r="Z435" s="476">
        <f t="shared" si="701"/>
        <v>0</v>
      </c>
      <c r="AA435" s="476">
        <f t="shared" si="702"/>
        <v>0</v>
      </c>
      <c r="AB435" s="476">
        <f t="shared" si="703"/>
        <v>0</v>
      </c>
      <c r="AC435" s="476">
        <f t="shared" si="704"/>
        <v>0</v>
      </c>
      <c r="AD435" s="476">
        <f t="shared" si="705"/>
        <v>0</v>
      </c>
      <c r="AE435" s="476">
        <f t="shared" si="706"/>
        <v>0</v>
      </c>
      <c r="AF435" s="476">
        <f t="shared" si="707"/>
        <v>0</v>
      </c>
      <c r="AG435" s="476">
        <f t="shared" si="708"/>
        <v>3076</v>
      </c>
      <c r="AH435" s="476">
        <f t="shared" si="709"/>
        <v>0</v>
      </c>
      <c r="AI435" s="476">
        <f t="shared" si="710"/>
        <v>0</v>
      </c>
      <c r="AJ435" s="476">
        <f t="shared" si="711"/>
        <v>0</v>
      </c>
      <c r="AK435" s="476">
        <f t="shared" si="712"/>
        <v>0</v>
      </c>
      <c r="AL435" s="476">
        <f t="shared" si="713"/>
        <v>0</v>
      </c>
      <c r="AM435" s="476">
        <f t="shared" si="714"/>
        <v>0</v>
      </c>
      <c r="AN435" s="476">
        <f t="shared" si="715"/>
        <v>0</v>
      </c>
      <c r="AO435" s="476">
        <f t="shared" si="716"/>
        <v>0</v>
      </c>
      <c r="AP435" s="476">
        <f t="shared" si="717"/>
        <v>0</v>
      </c>
      <c r="AQ435" s="476">
        <f t="shared" si="718"/>
        <v>0</v>
      </c>
      <c r="AR435" s="476">
        <f t="shared" si="719"/>
        <v>0</v>
      </c>
      <c r="AS435" s="476">
        <f t="shared" si="720"/>
        <v>0</v>
      </c>
      <c r="AT435" s="476">
        <f t="shared" si="721"/>
        <v>0</v>
      </c>
      <c r="AU435" s="476">
        <f t="shared" si="722"/>
        <v>0</v>
      </c>
      <c r="AV435" s="476">
        <f t="shared" si="723"/>
        <v>0</v>
      </c>
      <c r="AW435" s="476">
        <f t="shared" si="724"/>
        <v>0</v>
      </c>
      <c r="AX435" s="476">
        <f t="shared" si="725"/>
        <v>0</v>
      </c>
      <c r="AY435" s="476">
        <f t="shared" si="726"/>
        <v>0</v>
      </c>
      <c r="AZ435" s="476">
        <f t="shared" si="727"/>
        <v>0</v>
      </c>
      <c r="BA435" s="476">
        <f t="shared" si="728"/>
        <v>0</v>
      </c>
      <c r="BB435" s="476">
        <f t="shared" si="729"/>
        <v>0</v>
      </c>
      <c r="BC435" s="476">
        <f t="shared" si="730"/>
        <v>0</v>
      </c>
      <c r="BD435" s="476">
        <f t="shared" si="731"/>
        <v>0</v>
      </c>
      <c r="BE435" s="476">
        <f t="shared" si="732"/>
        <v>0</v>
      </c>
      <c r="BF435" s="476">
        <f t="shared" si="733"/>
        <v>0</v>
      </c>
      <c r="BG435" s="476">
        <f t="shared" si="734"/>
        <v>0</v>
      </c>
    </row>
    <row r="436" spans="1:59" ht="16.5" customHeight="1">
      <c r="A436" s="585" t="s">
        <v>730</v>
      </c>
      <c r="B436" s="585" t="s">
        <v>1081</v>
      </c>
      <c r="C436" s="584" t="s">
        <v>1890</v>
      </c>
      <c r="D436" s="413" t="s">
        <v>508</v>
      </c>
      <c r="E436" s="412" t="s">
        <v>330</v>
      </c>
      <c r="F436" s="413" t="s">
        <v>330</v>
      </c>
      <c r="G436" s="412" t="s">
        <v>330</v>
      </c>
      <c r="H436" s="412" t="s">
        <v>1027</v>
      </c>
      <c r="I436" s="477">
        <v>80000</v>
      </c>
      <c r="J436" s="477">
        <v>0</v>
      </c>
      <c r="K436" s="477"/>
      <c r="L436" s="477"/>
      <c r="M436" s="477">
        <f t="shared" si="651"/>
        <v>80000</v>
      </c>
      <c r="N436" s="477">
        <f t="shared" si="652"/>
        <v>0</v>
      </c>
      <c r="O436" s="477"/>
      <c r="P436" s="477"/>
      <c r="Q436" s="477">
        <f t="shared" si="694"/>
        <v>80000</v>
      </c>
      <c r="R436" s="477">
        <f t="shared" si="695"/>
        <v>0</v>
      </c>
      <c r="S436" s="477">
        <f t="shared" si="696"/>
        <v>80000</v>
      </c>
      <c r="V436" s="476">
        <f t="shared" si="697"/>
        <v>0</v>
      </c>
      <c r="W436" s="476">
        <f t="shared" si="698"/>
        <v>0</v>
      </c>
      <c r="X436" s="476">
        <f t="shared" si="699"/>
        <v>0</v>
      </c>
      <c r="Y436" s="476">
        <f t="shared" si="700"/>
        <v>0</v>
      </c>
      <c r="Z436" s="476">
        <f t="shared" si="701"/>
        <v>0</v>
      </c>
      <c r="AA436" s="476">
        <f t="shared" si="702"/>
        <v>0</v>
      </c>
      <c r="AB436" s="476">
        <f t="shared" si="703"/>
        <v>0</v>
      </c>
      <c r="AC436" s="476">
        <f t="shared" si="704"/>
        <v>0</v>
      </c>
      <c r="AD436" s="476">
        <f t="shared" si="705"/>
        <v>0</v>
      </c>
      <c r="AE436" s="476">
        <f t="shared" si="706"/>
        <v>0</v>
      </c>
      <c r="AF436" s="476">
        <f t="shared" si="707"/>
        <v>0</v>
      </c>
      <c r="AG436" s="476">
        <f t="shared" si="708"/>
        <v>0</v>
      </c>
      <c r="AH436" s="476">
        <f t="shared" si="709"/>
        <v>0</v>
      </c>
      <c r="AI436" s="476">
        <f t="shared" si="710"/>
        <v>0</v>
      </c>
      <c r="AJ436" s="476">
        <f t="shared" si="711"/>
        <v>0</v>
      </c>
      <c r="AK436" s="476">
        <f t="shared" si="712"/>
        <v>0</v>
      </c>
      <c r="AL436" s="476">
        <f t="shared" si="713"/>
        <v>0</v>
      </c>
      <c r="AM436" s="476">
        <f t="shared" si="714"/>
        <v>0</v>
      </c>
      <c r="AN436" s="476">
        <f t="shared" si="715"/>
        <v>0</v>
      </c>
      <c r="AO436" s="476">
        <f t="shared" si="716"/>
        <v>0</v>
      </c>
      <c r="AP436" s="476">
        <f t="shared" si="717"/>
        <v>0</v>
      </c>
      <c r="AQ436" s="476">
        <f t="shared" si="718"/>
        <v>0</v>
      </c>
      <c r="AR436" s="476">
        <f t="shared" si="719"/>
        <v>80000</v>
      </c>
      <c r="AS436" s="476">
        <f t="shared" si="720"/>
        <v>0</v>
      </c>
      <c r="AT436" s="476">
        <f t="shared" si="721"/>
        <v>0</v>
      </c>
      <c r="AU436" s="476">
        <f t="shared" si="722"/>
        <v>0</v>
      </c>
      <c r="AV436" s="476">
        <f t="shared" si="723"/>
        <v>0</v>
      </c>
      <c r="AW436" s="476">
        <f t="shared" si="724"/>
        <v>0</v>
      </c>
      <c r="AX436" s="476">
        <f t="shared" si="725"/>
        <v>0</v>
      </c>
      <c r="AY436" s="476">
        <f t="shared" si="726"/>
        <v>0</v>
      </c>
      <c r="AZ436" s="476">
        <f t="shared" si="727"/>
        <v>0</v>
      </c>
      <c r="BA436" s="476">
        <f t="shared" si="728"/>
        <v>0</v>
      </c>
      <c r="BB436" s="476">
        <f t="shared" si="729"/>
        <v>0</v>
      </c>
      <c r="BC436" s="476">
        <f t="shared" si="730"/>
        <v>0</v>
      </c>
      <c r="BD436" s="476">
        <f t="shared" si="731"/>
        <v>0</v>
      </c>
      <c r="BE436" s="476">
        <f t="shared" si="732"/>
        <v>0</v>
      </c>
      <c r="BF436" s="476">
        <f t="shared" si="733"/>
        <v>0</v>
      </c>
      <c r="BG436" s="476">
        <f t="shared" si="734"/>
        <v>0</v>
      </c>
    </row>
    <row r="437" spans="1:59" ht="16.5" customHeight="1">
      <c r="A437" s="585" t="s">
        <v>1082</v>
      </c>
      <c r="B437" s="585" t="s">
        <v>1083</v>
      </c>
      <c r="C437" s="584" t="s">
        <v>1891</v>
      </c>
      <c r="D437" s="413" t="s">
        <v>508</v>
      </c>
      <c r="E437" s="412" t="s">
        <v>330</v>
      </c>
      <c r="F437" s="413" t="s">
        <v>330</v>
      </c>
      <c r="G437" s="412" t="s">
        <v>330</v>
      </c>
      <c r="H437" s="412" t="s">
        <v>974</v>
      </c>
      <c r="I437" s="477">
        <v>886184</v>
      </c>
      <c r="J437" s="477">
        <v>1382523</v>
      </c>
      <c r="K437" s="477"/>
      <c r="L437" s="477"/>
      <c r="M437" s="477">
        <f t="shared" si="651"/>
        <v>886184</v>
      </c>
      <c r="N437" s="477">
        <f t="shared" si="652"/>
        <v>1382523</v>
      </c>
      <c r="O437" s="477"/>
      <c r="P437" s="477"/>
      <c r="Q437" s="477">
        <f t="shared" si="694"/>
        <v>886184</v>
      </c>
      <c r="R437" s="477">
        <f t="shared" si="695"/>
        <v>1382523</v>
      </c>
      <c r="S437" s="477">
        <f t="shared" si="696"/>
        <v>-496339</v>
      </c>
      <c r="V437" s="476">
        <f t="shared" si="697"/>
        <v>886184</v>
      </c>
      <c r="W437" s="476">
        <f t="shared" si="698"/>
        <v>1382523</v>
      </c>
      <c r="X437" s="476">
        <f t="shared" si="699"/>
        <v>0</v>
      </c>
      <c r="Y437" s="476">
        <f t="shared" si="700"/>
        <v>0</v>
      </c>
      <c r="Z437" s="476">
        <f t="shared" si="701"/>
        <v>0</v>
      </c>
      <c r="AA437" s="476">
        <f t="shared" si="702"/>
        <v>0</v>
      </c>
      <c r="AB437" s="476">
        <f t="shared" si="703"/>
        <v>0</v>
      </c>
      <c r="AC437" s="476">
        <f t="shared" si="704"/>
        <v>0</v>
      </c>
      <c r="AD437" s="476">
        <f t="shared" si="705"/>
        <v>0</v>
      </c>
      <c r="AE437" s="476">
        <f t="shared" si="706"/>
        <v>0</v>
      </c>
      <c r="AF437" s="476">
        <f t="shared" si="707"/>
        <v>0</v>
      </c>
      <c r="AG437" s="476">
        <f t="shared" si="708"/>
        <v>0</v>
      </c>
      <c r="AH437" s="476">
        <f t="shared" si="709"/>
        <v>0</v>
      </c>
      <c r="AI437" s="476">
        <f t="shared" si="710"/>
        <v>0</v>
      </c>
      <c r="AJ437" s="476">
        <f t="shared" si="711"/>
        <v>0</v>
      </c>
      <c r="AK437" s="476">
        <f t="shared" si="712"/>
        <v>0</v>
      </c>
      <c r="AL437" s="476">
        <f t="shared" si="713"/>
        <v>0</v>
      </c>
      <c r="AM437" s="476">
        <f t="shared" si="714"/>
        <v>0</v>
      </c>
      <c r="AN437" s="476">
        <f t="shared" si="715"/>
        <v>0</v>
      </c>
      <c r="AO437" s="476">
        <f t="shared" si="716"/>
        <v>0</v>
      </c>
      <c r="AP437" s="476">
        <f t="shared" si="717"/>
        <v>0</v>
      </c>
      <c r="AQ437" s="476">
        <f t="shared" si="718"/>
        <v>0</v>
      </c>
      <c r="AR437" s="476">
        <f t="shared" si="719"/>
        <v>0</v>
      </c>
      <c r="AS437" s="476">
        <f t="shared" si="720"/>
        <v>0</v>
      </c>
      <c r="AT437" s="476">
        <f t="shared" si="721"/>
        <v>0</v>
      </c>
      <c r="AU437" s="476">
        <f t="shared" si="722"/>
        <v>0</v>
      </c>
      <c r="AV437" s="476">
        <f t="shared" si="723"/>
        <v>0</v>
      </c>
      <c r="AW437" s="476">
        <f t="shared" si="724"/>
        <v>0</v>
      </c>
      <c r="AX437" s="476">
        <f t="shared" si="725"/>
        <v>0</v>
      </c>
      <c r="AY437" s="476">
        <f t="shared" si="726"/>
        <v>0</v>
      </c>
      <c r="AZ437" s="476">
        <f t="shared" si="727"/>
        <v>0</v>
      </c>
      <c r="BA437" s="476">
        <f t="shared" si="728"/>
        <v>0</v>
      </c>
      <c r="BB437" s="476">
        <f t="shared" si="729"/>
        <v>0</v>
      </c>
      <c r="BC437" s="476">
        <f t="shared" si="730"/>
        <v>0</v>
      </c>
      <c r="BD437" s="476">
        <f t="shared" si="731"/>
        <v>0</v>
      </c>
      <c r="BE437" s="476">
        <f t="shared" si="732"/>
        <v>0</v>
      </c>
      <c r="BF437" s="476">
        <f t="shared" si="733"/>
        <v>0</v>
      </c>
      <c r="BG437" s="476">
        <f t="shared" si="734"/>
        <v>0</v>
      </c>
    </row>
    <row r="438" spans="1:59" ht="16.5" customHeight="1">
      <c r="A438" s="585" t="s">
        <v>733</v>
      </c>
      <c r="B438" s="585" t="s">
        <v>1084</v>
      </c>
      <c r="C438" s="584" t="s">
        <v>1892</v>
      </c>
      <c r="D438" s="413" t="s">
        <v>508</v>
      </c>
      <c r="E438" s="412" t="s">
        <v>330</v>
      </c>
      <c r="F438" s="413" t="s">
        <v>330</v>
      </c>
      <c r="G438" s="412" t="s">
        <v>330</v>
      </c>
      <c r="H438" s="412" t="s">
        <v>1014</v>
      </c>
      <c r="I438" s="477">
        <v>0</v>
      </c>
      <c r="J438" s="477">
        <v>210640</v>
      </c>
      <c r="K438" s="477"/>
      <c r="L438" s="477"/>
      <c r="M438" s="477">
        <f t="shared" si="651"/>
        <v>0</v>
      </c>
      <c r="N438" s="477">
        <f t="shared" si="652"/>
        <v>210640</v>
      </c>
      <c r="O438" s="477"/>
      <c r="P438" s="477"/>
      <c r="Q438" s="477">
        <f t="shared" si="694"/>
        <v>0</v>
      </c>
      <c r="R438" s="477">
        <f t="shared" si="695"/>
        <v>210640</v>
      </c>
      <c r="S438" s="477">
        <f t="shared" si="696"/>
        <v>-210640</v>
      </c>
      <c r="V438" s="476">
        <f t="shared" si="697"/>
        <v>0</v>
      </c>
      <c r="W438" s="476">
        <f t="shared" si="698"/>
        <v>0</v>
      </c>
      <c r="X438" s="476">
        <f t="shared" si="699"/>
        <v>0</v>
      </c>
      <c r="Y438" s="476">
        <f t="shared" si="700"/>
        <v>0</v>
      </c>
      <c r="Z438" s="476">
        <f t="shared" si="701"/>
        <v>0</v>
      </c>
      <c r="AA438" s="476">
        <f t="shared" si="702"/>
        <v>0</v>
      </c>
      <c r="AB438" s="476">
        <f t="shared" si="703"/>
        <v>0</v>
      </c>
      <c r="AC438" s="476">
        <f t="shared" si="704"/>
        <v>0</v>
      </c>
      <c r="AD438" s="476">
        <f t="shared" si="705"/>
        <v>0</v>
      </c>
      <c r="AE438" s="476">
        <f t="shared" si="706"/>
        <v>0</v>
      </c>
      <c r="AF438" s="476">
        <f t="shared" si="707"/>
        <v>0</v>
      </c>
      <c r="AG438" s="476">
        <f t="shared" si="708"/>
        <v>0</v>
      </c>
      <c r="AH438" s="476">
        <f t="shared" si="709"/>
        <v>0</v>
      </c>
      <c r="AI438" s="476">
        <f t="shared" si="710"/>
        <v>0</v>
      </c>
      <c r="AJ438" s="476">
        <f t="shared" si="711"/>
        <v>0</v>
      </c>
      <c r="AK438" s="476">
        <f t="shared" si="712"/>
        <v>0</v>
      </c>
      <c r="AL438" s="476">
        <f t="shared" si="713"/>
        <v>0</v>
      </c>
      <c r="AM438" s="476">
        <f t="shared" si="714"/>
        <v>0</v>
      </c>
      <c r="AN438" s="476">
        <f t="shared" si="715"/>
        <v>0</v>
      </c>
      <c r="AO438" s="476">
        <f t="shared" si="716"/>
        <v>0</v>
      </c>
      <c r="AP438" s="476">
        <f t="shared" si="717"/>
        <v>0</v>
      </c>
      <c r="AQ438" s="476">
        <f t="shared" si="718"/>
        <v>210640</v>
      </c>
      <c r="AR438" s="476">
        <f t="shared" si="719"/>
        <v>0</v>
      </c>
      <c r="AS438" s="476">
        <f t="shared" si="720"/>
        <v>0</v>
      </c>
      <c r="AT438" s="476">
        <f t="shared" si="721"/>
        <v>0</v>
      </c>
      <c r="AU438" s="476">
        <f t="shared" si="722"/>
        <v>0</v>
      </c>
      <c r="AV438" s="476">
        <f t="shared" si="723"/>
        <v>0</v>
      </c>
      <c r="AW438" s="476">
        <f t="shared" si="724"/>
        <v>0</v>
      </c>
      <c r="AX438" s="476">
        <f t="shared" si="725"/>
        <v>0</v>
      </c>
      <c r="AY438" s="476">
        <f t="shared" si="726"/>
        <v>0</v>
      </c>
      <c r="AZ438" s="476">
        <f t="shared" si="727"/>
        <v>0</v>
      </c>
      <c r="BA438" s="476">
        <f t="shared" si="728"/>
        <v>0</v>
      </c>
      <c r="BB438" s="476">
        <f t="shared" si="729"/>
        <v>0</v>
      </c>
      <c r="BC438" s="476">
        <f t="shared" si="730"/>
        <v>0</v>
      </c>
      <c r="BD438" s="476">
        <f t="shared" si="731"/>
        <v>0</v>
      </c>
      <c r="BE438" s="476">
        <f t="shared" si="732"/>
        <v>0</v>
      </c>
      <c r="BF438" s="476">
        <f t="shared" si="733"/>
        <v>0</v>
      </c>
      <c r="BG438" s="476">
        <f t="shared" si="734"/>
        <v>0</v>
      </c>
    </row>
    <row r="439" spans="1:59" ht="16.5" customHeight="1">
      <c r="A439" s="585" t="s">
        <v>733</v>
      </c>
      <c r="B439" s="585" t="s">
        <v>1084</v>
      </c>
      <c r="C439" s="584" t="s">
        <v>1893</v>
      </c>
      <c r="D439" s="413" t="s">
        <v>508</v>
      </c>
      <c r="E439" s="412" t="s">
        <v>330</v>
      </c>
      <c r="F439" s="412" t="s">
        <v>330</v>
      </c>
      <c r="G439" s="412" t="s">
        <v>330</v>
      </c>
      <c r="H439" s="412" t="s">
        <v>974</v>
      </c>
      <c r="I439" s="477">
        <v>0</v>
      </c>
      <c r="J439" s="477">
        <v>184347</v>
      </c>
      <c r="K439" s="477"/>
      <c r="L439" s="477"/>
      <c r="M439" s="477">
        <f t="shared" si="651"/>
        <v>0</v>
      </c>
      <c r="N439" s="477">
        <f t="shared" si="652"/>
        <v>184347</v>
      </c>
      <c r="O439" s="477"/>
      <c r="P439" s="477"/>
      <c r="Q439" s="477">
        <f t="shared" si="694"/>
        <v>0</v>
      </c>
      <c r="R439" s="477">
        <f t="shared" si="695"/>
        <v>184347</v>
      </c>
      <c r="S439" s="477">
        <f t="shared" si="696"/>
        <v>-184347</v>
      </c>
      <c r="V439" s="476">
        <f t="shared" si="697"/>
        <v>0</v>
      </c>
      <c r="W439" s="476">
        <f t="shared" si="698"/>
        <v>184347</v>
      </c>
      <c r="X439" s="476">
        <f t="shared" si="699"/>
        <v>0</v>
      </c>
      <c r="Y439" s="476">
        <f t="shared" si="700"/>
        <v>0</v>
      </c>
      <c r="Z439" s="476">
        <f t="shared" si="701"/>
        <v>0</v>
      </c>
      <c r="AA439" s="476">
        <f t="shared" si="702"/>
        <v>0</v>
      </c>
      <c r="AB439" s="476">
        <f t="shared" si="703"/>
        <v>0</v>
      </c>
      <c r="AC439" s="476">
        <f t="shared" si="704"/>
        <v>0</v>
      </c>
      <c r="AD439" s="476">
        <f t="shared" si="705"/>
        <v>0</v>
      </c>
      <c r="AE439" s="476">
        <f t="shared" si="706"/>
        <v>0</v>
      </c>
      <c r="AF439" s="476">
        <f t="shared" si="707"/>
        <v>0</v>
      </c>
      <c r="AG439" s="476">
        <f t="shared" si="708"/>
        <v>0</v>
      </c>
      <c r="AH439" s="476">
        <f t="shared" si="709"/>
        <v>0</v>
      </c>
      <c r="AI439" s="476">
        <f t="shared" si="710"/>
        <v>0</v>
      </c>
      <c r="AJ439" s="476">
        <f t="shared" si="711"/>
        <v>0</v>
      </c>
      <c r="AK439" s="476">
        <f t="shared" si="712"/>
        <v>0</v>
      </c>
      <c r="AL439" s="476">
        <f t="shared" si="713"/>
        <v>0</v>
      </c>
      <c r="AM439" s="476">
        <f t="shared" si="714"/>
        <v>0</v>
      </c>
      <c r="AN439" s="476">
        <f t="shared" si="715"/>
        <v>0</v>
      </c>
      <c r="AO439" s="476">
        <f t="shared" si="716"/>
        <v>0</v>
      </c>
      <c r="AP439" s="476">
        <f t="shared" si="717"/>
        <v>0</v>
      </c>
      <c r="AQ439" s="476">
        <f t="shared" si="718"/>
        <v>0</v>
      </c>
      <c r="AR439" s="476">
        <f t="shared" si="719"/>
        <v>0</v>
      </c>
      <c r="AS439" s="476">
        <f t="shared" si="720"/>
        <v>0</v>
      </c>
      <c r="AT439" s="476">
        <f t="shared" si="721"/>
        <v>0</v>
      </c>
      <c r="AU439" s="476">
        <f t="shared" si="722"/>
        <v>0</v>
      </c>
      <c r="AV439" s="476">
        <f t="shared" si="723"/>
        <v>0</v>
      </c>
      <c r="AW439" s="476">
        <f t="shared" si="724"/>
        <v>0</v>
      </c>
      <c r="AX439" s="476">
        <f t="shared" si="725"/>
        <v>0</v>
      </c>
      <c r="AY439" s="476">
        <f t="shared" si="726"/>
        <v>0</v>
      </c>
      <c r="AZ439" s="476">
        <f t="shared" si="727"/>
        <v>0</v>
      </c>
      <c r="BA439" s="476">
        <f t="shared" si="728"/>
        <v>0</v>
      </c>
      <c r="BB439" s="476">
        <f t="shared" si="729"/>
        <v>0</v>
      </c>
      <c r="BC439" s="476">
        <f t="shared" si="730"/>
        <v>0</v>
      </c>
      <c r="BD439" s="476">
        <f t="shared" si="731"/>
        <v>0</v>
      </c>
      <c r="BE439" s="476">
        <f t="shared" si="732"/>
        <v>0</v>
      </c>
      <c r="BF439" s="476">
        <f t="shared" si="733"/>
        <v>0</v>
      </c>
      <c r="BG439" s="476">
        <f t="shared" si="734"/>
        <v>0</v>
      </c>
    </row>
    <row r="440" spans="1:59" ht="16.5" customHeight="1">
      <c r="A440" s="585" t="s">
        <v>741</v>
      </c>
      <c r="B440" s="585" t="s">
        <v>1085</v>
      </c>
      <c r="C440" s="584" t="s">
        <v>1894</v>
      </c>
      <c r="D440" s="413" t="s">
        <v>508</v>
      </c>
      <c r="E440" s="412" t="s">
        <v>330</v>
      </c>
      <c r="F440" s="413" t="s">
        <v>330</v>
      </c>
      <c r="G440" s="412" t="s">
        <v>330</v>
      </c>
      <c r="H440" s="412" t="s">
        <v>974</v>
      </c>
      <c r="I440" s="477">
        <v>65268</v>
      </c>
      <c r="J440" s="477">
        <v>0</v>
      </c>
      <c r="K440" s="477"/>
      <c r="L440" s="477"/>
      <c r="M440" s="477">
        <f t="shared" si="651"/>
        <v>65268</v>
      </c>
      <c r="N440" s="477">
        <f t="shared" si="652"/>
        <v>0</v>
      </c>
      <c r="O440" s="477"/>
      <c r="P440" s="477"/>
      <c r="Q440" s="477">
        <f t="shared" si="694"/>
        <v>65268</v>
      </c>
      <c r="R440" s="477">
        <f t="shared" si="695"/>
        <v>0</v>
      </c>
      <c r="S440" s="477">
        <f t="shared" si="696"/>
        <v>65268</v>
      </c>
      <c r="V440" s="476">
        <f t="shared" si="697"/>
        <v>65268</v>
      </c>
      <c r="W440" s="476">
        <f t="shared" si="698"/>
        <v>0</v>
      </c>
      <c r="X440" s="476">
        <f t="shared" si="699"/>
        <v>0</v>
      </c>
      <c r="Y440" s="476">
        <f t="shared" si="700"/>
        <v>0</v>
      </c>
      <c r="Z440" s="476">
        <f t="shared" si="701"/>
        <v>0</v>
      </c>
      <c r="AA440" s="476">
        <f t="shared" si="702"/>
        <v>0</v>
      </c>
      <c r="AB440" s="476">
        <f t="shared" si="703"/>
        <v>0</v>
      </c>
      <c r="AC440" s="476">
        <f t="shared" si="704"/>
        <v>0</v>
      </c>
      <c r="AD440" s="476">
        <f t="shared" si="705"/>
        <v>0</v>
      </c>
      <c r="AE440" s="476">
        <f t="shared" si="706"/>
        <v>0</v>
      </c>
      <c r="AF440" s="476">
        <f t="shared" si="707"/>
        <v>0</v>
      </c>
      <c r="AG440" s="476">
        <f t="shared" si="708"/>
        <v>0</v>
      </c>
      <c r="AH440" s="476">
        <f t="shared" si="709"/>
        <v>0</v>
      </c>
      <c r="AI440" s="476">
        <f t="shared" si="710"/>
        <v>0</v>
      </c>
      <c r="AJ440" s="476">
        <f t="shared" si="711"/>
        <v>0</v>
      </c>
      <c r="AK440" s="476">
        <f t="shared" si="712"/>
        <v>0</v>
      </c>
      <c r="AL440" s="476">
        <f t="shared" si="713"/>
        <v>0</v>
      </c>
      <c r="AM440" s="476">
        <f t="shared" si="714"/>
        <v>0</v>
      </c>
      <c r="AN440" s="476">
        <f t="shared" si="715"/>
        <v>0</v>
      </c>
      <c r="AO440" s="476">
        <f t="shared" si="716"/>
        <v>0</v>
      </c>
      <c r="AP440" s="476">
        <f t="shared" si="717"/>
        <v>0</v>
      </c>
      <c r="AQ440" s="476">
        <f t="shared" si="718"/>
        <v>0</v>
      </c>
      <c r="AR440" s="476">
        <f t="shared" si="719"/>
        <v>0</v>
      </c>
      <c r="AS440" s="476">
        <f t="shared" si="720"/>
        <v>0</v>
      </c>
      <c r="AT440" s="476">
        <f t="shared" si="721"/>
        <v>0</v>
      </c>
      <c r="AU440" s="476">
        <f t="shared" si="722"/>
        <v>0</v>
      </c>
      <c r="AV440" s="476">
        <f t="shared" si="723"/>
        <v>0</v>
      </c>
      <c r="AW440" s="476">
        <f t="shared" si="724"/>
        <v>0</v>
      </c>
      <c r="AX440" s="476">
        <f t="shared" si="725"/>
        <v>0</v>
      </c>
      <c r="AY440" s="476">
        <f t="shared" si="726"/>
        <v>0</v>
      </c>
      <c r="AZ440" s="476">
        <f t="shared" si="727"/>
        <v>0</v>
      </c>
      <c r="BA440" s="476">
        <f t="shared" si="728"/>
        <v>0</v>
      </c>
      <c r="BB440" s="476">
        <f t="shared" si="729"/>
        <v>0</v>
      </c>
      <c r="BC440" s="476">
        <f t="shared" si="730"/>
        <v>0</v>
      </c>
      <c r="BD440" s="476">
        <f t="shared" si="731"/>
        <v>0</v>
      </c>
      <c r="BE440" s="476">
        <f t="shared" si="732"/>
        <v>0</v>
      </c>
      <c r="BF440" s="476">
        <f t="shared" si="733"/>
        <v>0</v>
      </c>
      <c r="BG440" s="476">
        <f t="shared" si="734"/>
        <v>0</v>
      </c>
    </row>
    <row r="441" spans="1:59" ht="16.5" customHeight="1">
      <c r="A441" s="585" t="s">
        <v>742</v>
      </c>
      <c r="B441" s="585" t="s">
        <v>1086</v>
      </c>
      <c r="C441" s="584" t="s">
        <v>1895</v>
      </c>
      <c r="D441" s="413" t="s">
        <v>508</v>
      </c>
      <c r="E441" s="412" t="s">
        <v>330</v>
      </c>
      <c r="F441" s="413" t="s">
        <v>330</v>
      </c>
      <c r="G441" s="412" t="s">
        <v>330</v>
      </c>
      <c r="H441" s="412" t="s">
        <v>974</v>
      </c>
      <c r="I441" s="477">
        <v>124685</v>
      </c>
      <c r="J441" s="477">
        <v>0</v>
      </c>
      <c r="K441" s="477"/>
      <c r="L441" s="477"/>
      <c r="M441" s="477">
        <f t="shared" si="651"/>
        <v>124685</v>
      </c>
      <c r="N441" s="477">
        <f t="shared" si="652"/>
        <v>0</v>
      </c>
      <c r="O441" s="477"/>
      <c r="P441" s="477"/>
      <c r="Q441" s="477">
        <f t="shared" si="694"/>
        <v>124685</v>
      </c>
      <c r="R441" s="477">
        <f t="shared" si="695"/>
        <v>0</v>
      </c>
      <c r="S441" s="477">
        <f t="shared" si="696"/>
        <v>124685</v>
      </c>
      <c r="V441" s="476">
        <f t="shared" si="697"/>
        <v>124685</v>
      </c>
      <c r="W441" s="476">
        <f t="shared" si="698"/>
        <v>0</v>
      </c>
      <c r="X441" s="476">
        <f t="shared" si="699"/>
        <v>0</v>
      </c>
      <c r="Y441" s="476">
        <f t="shared" si="700"/>
        <v>0</v>
      </c>
      <c r="Z441" s="476">
        <f t="shared" si="701"/>
        <v>0</v>
      </c>
      <c r="AA441" s="476">
        <f t="shared" si="702"/>
        <v>0</v>
      </c>
      <c r="AB441" s="476">
        <f t="shared" si="703"/>
        <v>0</v>
      </c>
      <c r="AC441" s="476">
        <f t="shared" si="704"/>
        <v>0</v>
      </c>
      <c r="AD441" s="476">
        <f t="shared" si="705"/>
        <v>0</v>
      </c>
      <c r="AE441" s="476">
        <f t="shared" si="706"/>
        <v>0</v>
      </c>
      <c r="AF441" s="476">
        <f t="shared" si="707"/>
        <v>0</v>
      </c>
      <c r="AG441" s="476">
        <f t="shared" si="708"/>
        <v>0</v>
      </c>
      <c r="AH441" s="476">
        <f t="shared" si="709"/>
        <v>0</v>
      </c>
      <c r="AI441" s="476">
        <f t="shared" si="710"/>
        <v>0</v>
      </c>
      <c r="AJ441" s="476">
        <f t="shared" si="711"/>
        <v>0</v>
      </c>
      <c r="AK441" s="476">
        <f t="shared" si="712"/>
        <v>0</v>
      </c>
      <c r="AL441" s="476">
        <f t="shared" si="713"/>
        <v>0</v>
      </c>
      <c r="AM441" s="476">
        <f t="shared" si="714"/>
        <v>0</v>
      </c>
      <c r="AN441" s="476">
        <f t="shared" si="715"/>
        <v>0</v>
      </c>
      <c r="AO441" s="476">
        <f t="shared" si="716"/>
        <v>0</v>
      </c>
      <c r="AP441" s="476">
        <f t="shared" si="717"/>
        <v>0</v>
      </c>
      <c r="AQ441" s="476">
        <f t="shared" si="718"/>
        <v>0</v>
      </c>
      <c r="AR441" s="476">
        <f t="shared" si="719"/>
        <v>0</v>
      </c>
      <c r="AS441" s="476">
        <f t="shared" si="720"/>
        <v>0</v>
      </c>
      <c r="AT441" s="476">
        <f t="shared" si="721"/>
        <v>0</v>
      </c>
      <c r="AU441" s="476">
        <f t="shared" si="722"/>
        <v>0</v>
      </c>
      <c r="AV441" s="476">
        <f t="shared" si="723"/>
        <v>0</v>
      </c>
      <c r="AW441" s="476">
        <f t="shared" si="724"/>
        <v>0</v>
      </c>
      <c r="AX441" s="476">
        <f t="shared" si="725"/>
        <v>0</v>
      </c>
      <c r="AY441" s="476">
        <f t="shared" si="726"/>
        <v>0</v>
      </c>
      <c r="AZ441" s="476">
        <f t="shared" si="727"/>
        <v>0</v>
      </c>
      <c r="BA441" s="476">
        <f t="shared" si="728"/>
        <v>0</v>
      </c>
      <c r="BB441" s="476">
        <f t="shared" si="729"/>
        <v>0</v>
      </c>
      <c r="BC441" s="476">
        <f t="shared" si="730"/>
        <v>0</v>
      </c>
      <c r="BD441" s="476">
        <f t="shared" si="731"/>
        <v>0</v>
      </c>
      <c r="BE441" s="476">
        <f t="shared" si="732"/>
        <v>0</v>
      </c>
      <c r="BF441" s="476">
        <f t="shared" si="733"/>
        <v>0</v>
      </c>
      <c r="BG441" s="476">
        <f t="shared" si="734"/>
        <v>0</v>
      </c>
    </row>
    <row r="442" spans="1:59" ht="16.5" customHeight="1">
      <c r="A442" s="585" t="s">
        <v>743</v>
      </c>
      <c r="B442" s="585" t="s">
        <v>1087</v>
      </c>
      <c r="C442" s="584" t="s">
        <v>1896</v>
      </c>
      <c r="D442" s="413" t="s">
        <v>508</v>
      </c>
      <c r="E442" s="412" t="s">
        <v>330</v>
      </c>
      <c r="F442" s="413" t="s">
        <v>330</v>
      </c>
      <c r="G442" s="412" t="s">
        <v>330</v>
      </c>
      <c r="H442" s="412" t="s">
        <v>1013</v>
      </c>
      <c r="I442" s="477">
        <v>2100</v>
      </c>
      <c r="J442" s="477">
        <v>0</v>
      </c>
      <c r="K442" s="477"/>
      <c r="L442" s="477"/>
      <c r="M442" s="477">
        <f t="shared" si="651"/>
        <v>2100</v>
      </c>
      <c r="N442" s="477">
        <f t="shared" si="652"/>
        <v>0</v>
      </c>
      <c r="O442" s="477"/>
      <c r="P442" s="477"/>
      <c r="Q442" s="477">
        <f t="shared" si="694"/>
        <v>2100</v>
      </c>
      <c r="R442" s="477">
        <f t="shared" si="695"/>
        <v>0</v>
      </c>
      <c r="S442" s="477">
        <f t="shared" si="696"/>
        <v>2100</v>
      </c>
      <c r="V442" s="476">
        <f t="shared" si="697"/>
        <v>0</v>
      </c>
      <c r="W442" s="476">
        <f t="shared" si="698"/>
        <v>0</v>
      </c>
      <c r="X442" s="476">
        <f t="shared" si="699"/>
        <v>0</v>
      </c>
      <c r="Y442" s="476">
        <f t="shared" si="700"/>
        <v>0</v>
      </c>
      <c r="Z442" s="476">
        <f t="shared" si="701"/>
        <v>0</v>
      </c>
      <c r="AA442" s="476">
        <f t="shared" si="702"/>
        <v>0</v>
      </c>
      <c r="AB442" s="476">
        <f t="shared" si="703"/>
        <v>0</v>
      </c>
      <c r="AC442" s="476">
        <f t="shared" si="704"/>
        <v>0</v>
      </c>
      <c r="AD442" s="476">
        <f t="shared" si="705"/>
        <v>0</v>
      </c>
      <c r="AE442" s="476">
        <f t="shared" si="706"/>
        <v>0</v>
      </c>
      <c r="AF442" s="476">
        <f t="shared" si="707"/>
        <v>0</v>
      </c>
      <c r="AG442" s="476">
        <f t="shared" si="708"/>
        <v>0</v>
      </c>
      <c r="AH442" s="476">
        <f t="shared" si="709"/>
        <v>0</v>
      </c>
      <c r="AI442" s="476">
        <f t="shared" si="710"/>
        <v>0</v>
      </c>
      <c r="AJ442" s="476">
        <f t="shared" si="711"/>
        <v>2100</v>
      </c>
      <c r="AK442" s="476">
        <f t="shared" si="712"/>
        <v>0</v>
      </c>
      <c r="AL442" s="476">
        <f t="shared" si="713"/>
        <v>0</v>
      </c>
      <c r="AM442" s="476">
        <f t="shared" si="714"/>
        <v>0</v>
      </c>
      <c r="AN442" s="476">
        <f t="shared" si="715"/>
        <v>0</v>
      </c>
      <c r="AO442" s="476">
        <f t="shared" si="716"/>
        <v>0</v>
      </c>
      <c r="AP442" s="476">
        <f t="shared" si="717"/>
        <v>0</v>
      </c>
      <c r="AQ442" s="476">
        <f t="shared" si="718"/>
        <v>0</v>
      </c>
      <c r="AR442" s="476">
        <f t="shared" si="719"/>
        <v>0</v>
      </c>
      <c r="AS442" s="476">
        <f t="shared" si="720"/>
        <v>0</v>
      </c>
      <c r="AT442" s="476">
        <f t="shared" si="721"/>
        <v>0</v>
      </c>
      <c r="AU442" s="476">
        <f t="shared" si="722"/>
        <v>0</v>
      </c>
      <c r="AV442" s="476">
        <f t="shared" si="723"/>
        <v>0</v>
      </c>
      <c r="AW442" s="476">
        <f t="shared" si="724"/>
        <v>0</v>
      </c>
      <c r="AX442" s="476">
        <f t="shared" si="725"/>
        <v>0</v>
      </c>
      <c r="AY442" s="476">
        <f t="shared" si="726"/>
        <v>0</v>
      </c>
      <c r="AZ442" s="476">
        <f t="shared" si="727"/>
        <v>0</v>
      </c>
      <c r="BA442" s="476">
        <f t="shared" si="728"/>
        <v>0</v>
      </c>
      <c r="BB442" s="476">
        <f t="shared" si="729"/>
        <v>0</v>
      </c>
      <c r="BC442" s="476">
        <f t="shared" si="730"/>
        <v>0</v>
      </c>
      <c r="BD442" s="476">
        <f t="shared" si="731"/>
        <v>0</v>
      </c>
      <c r="BE442" s="476">
        <f t="shared" si="732"/>
        <v>0</v>
      </c>
      <c r="BF442" s="476">
        <f t="shared" si="733"/>
        <v>0</v>
      </c>
      <c r="BG442" s="476">
        <f t="shared" si="734"/>
        <v>0</v>
      </c>
    </row>
    <row r="443" spans="1:59" ht="16.5" customHeight="1">
      <c r="A443" s="585" t="s">
        <v>743</v>
      </c>
      <c r="B443" s="585" t="s">
        <v>1087</v>
      </c>
      <c r="C443" s="584" t="s">
        <v>1897</v>
      </c>
      <c r="D443" s="413" t="s">
        <v>508</v>
      </c>
      <c r="E443" s="412" t="s">
        <v>330</v>
      </c>
      <c r="F443" s="413" t="s">
        <v>330</v>
      </c>
      <c r="G443" s="412" t="s">
        <v>330</v>
      </c>
      <c r="H443" s="412" t="s">
        <v>974</v>
      </c>
      <c r="I443" s="477">
        <v>0</v>
      </c>
      <c r="J443" s="477">
        <v>3956485</v>
      </c>
      <c r="K443" s="477"/>
      <c r="L443" s="477"/>
      <c r="M443" s="477">
        <f t="shared" si="651"/>
        <v>0</v>
      </c>
      <c r="N443" s="477">
        <f t="shared" si="652"/>
        <v>3956485</v>
      </c>
      <c r="O443" s="477"/>
      <c r="P443" s="477"/>
      <c r="Q443" s="477">
        <f t="shared" si="694"/>
        <v>0</v>
      </c>
      <c r="R443" s="477">
        <f t="shared" si="695"/>
        <v>3956485</v>
      </c>
      <c r="S443" s="477">
        <f t="shared" si="696"/>
        <v>-3956485</v>
      </c>
      <c r="V443" s="476">
        <f t="shared" si="697"/>
        <v>0</v>
      </c>
      <c r="W443" s="476">
        <f t="shared" si="698"/>
        <v>3956485</v>
      </c>
      <c r="X443" s="476">
        <f t="shared" si="699"/>
        <v>0</v>
      </c>
      <c r="Y443" s="476">
        <f t="shared" si="700"/>
        <v>0</v>
      </c>
      <c r="Z443" s="476">
        <f t="shared" si="701"/>
        <v>0</v>
      </c>
      <c r="AA443" s="476">
        <f t="shared" si="702"/>
        <v>0</v>
      </c>
      <c r="AB443" s="476">
        <f t="shared" si="703"/>
        <v>0</v>
      </c>
      <c r="AC443" s="476">
        <f t="shared" si="704"/>
        <v>0</v>
      </c>
      <c r="AD443" s="476">
        <f t="shared" si="705"/>
        <v>0</v>
      </c>
      <c r="AE443" s="476">
        <f t="shared" si="706"/>
        <v>0</v>
      </c>
      <c r="AF443" s="476">
        <f t="shared" si="707"/>
        <v>0</v>
      </c>
      <c r="AG443" s="476">
        <f t="shared" si="708"/>
        <v>0</v>
      </c>
      <c r="AH443" s="476">
        <f t="shared" si="709"/>
        <v>0</v>
      </c>
      <c r="AI443" s="476">
        <f t="shared" si="710"/>
        <v>0</v>
      </c>
      <c r="AJ443" s="476">
        <f t="shared" si="711"/>
        <v>0</v>
      </c>
      <c r="AK443" s="476">
        <f t="shared" si="712"/>
        <v>0</v>
      </c>
      <c r="AL443" s="476">
        <f t="shared" si="713"/>
        <v>0</v>
      </c>
      <c r="AM443" s="476">
        <f t="shared" si="714"/>
        <v>0</v>
      </c>
      <c r="AN443" s="476">
        <f t="shared" si="715"/>
        <v>0</v>
      </c>
      <c r="AO443" s="476">
        <f t="shared" si="716"/>
        <v>0</v>
      </c>
      <c r="AP443" s="476">
        <f t="shared" si="717"/>
        <v>0</v>
      </c>
      <c r="AQ443" s="476">
        <f t="shared" si="718"/>
        <v>0</v>
      </c>
      <c r="AR443" s="476">
        <f t="shared" si="719"/>
        <v>0</v>
      </c>
      <c r="AS443" s="476">
        <f t="shared" si="720"/>
        <v>0</v>
      </c>
      <c r="AT443" s="476">
        <f t="shared" si="721"/>
        <v>0</v>
      </c>
      <c r="AU443" s="476">
        <f t="shared" si="722"/>
        <v>0</v>
      </c>
      <c r="AV443" s="476">
        <f t="shared" si="723"/>
        <v>0</v>
      </c>
      <c r="AW443" s="476">
        <f t="shared" si="724"/>
        <v>0</v>
      </c>
      <c r="AX443" s="476">
        <f t="shared" si="725"/>
        <v>0</v>
      </c>
      <c r="AY443" s="476">
        <f t="shared" si="726"/>
        <v>0</v>
      </c>
      <c r="AZ443" s="476">
        <f t="shared" si="727"/>
        <v>0</v>
      </c>
      <c r="BA443" s="476">
        <f t="shared" si="728"/>
        <v>0</v>
      </c>
      <c r="BB443" s="476">
        <f t="shared" si="729"/>
        <v>0</v>
      </c>
      <c r="BC443" s="476">
        <f t="shared" si="730"/>
        <v>0</v>
      </c>
      <c r="BD443" s="476">
        <f t="shared" si="731"/>
        <v>0</v>
      </c>
      <c r="BE443" s="476">
        <f t="shared" si="732"/>
        <v>0</v>
      </c>
      <c r="BF443" s="476">
        <f t="shared" si="733"/>
        <v>0</v>
      </c>
      <c r="BG443" s="476">
        <f t="shared" si="734"/>
        <v>0</v>
      </c>
    </row>
    <row r="444" spans="1:59" ht="16.5" customHeight="1">
      <c r="A444" s="585" t="s">
        <v>743</v>
      </c>
      <c r="B444" s="585" t="s">
        <v>1087</v>
      </c>
      <c r="C444" s="584" t="s">
        <v>1898</v>
      </c>
      <c r="D444" s="413" t="s">
        <v>508</v>
      </c>
      <c r="E444" s="412" t="s">
        <v>330</v>
      </c>
      <c r="F444" s="412" t="s">
        <v>330</v>
      </c>
      <c r="G444" s="412" t="s">
        <v>330</v>
      </c>
      <c r="H444" s="412" t="s">
        <v>1025</v>
      </c>
      <c r="I444" s="477">
        <v>0</v>
      </c>
      <c r="J444" s="477">
        <v>978666</v>
      </c>
      <c r="K444" s="477"/>
      <c r="L444" s="477"/>
      <c r="M444" s="477">
        <f t="shared" si="651"/>
        <v>0</v>
      </c>
      <c r="N444" s="477">
        <f t="shared" si="652"/>
        <v>978666</v>
      </c>
      <c r="O444" s="477"/>
      <c r="P444" s="477"/>
      <c r="Q444" s="477">
        <f t="shared" si="694"/>
        <v>0</v>
      </c>
      <c r="R444" s="477">
        <f t="shared" si="695"/>
        <v>978666</v>
      </c>
      <c r="S444" s="477">
        <f t="shared" si="696"/>
        <v>-978666</v>
      </c>
      <c r="V444" s="476">
        <f t="shared" si="697"/>
        <v>0</v>
      </c>
      <c r="W444" s="476">
        <f t="shared" si="698"/>
        <v>0</v>
      </c>
      <c r="X444" s="476">
        <f t="shared" si="699"/>
        <v>0</v>
      </c>
      <c r="Y444" s="476">
        <f t="shared" si="700"/>
        <v>0</v>
      </c>
      <c r="Z444" s="476">
        <f t="shared" si="701"/>
        <v>0</v>
      </c>
      <c r="AA444" s="476">
        <f t="shared" si="702"/>
        <v>0</v>
      </c>
      <c r="AB444" s="476">
        <f t="shared" si="703"/>
        <v>0</v>
      </c>
      <c r="AC444" s="476">
        <f t="shared" si="704"/>
        <v>0</v>
      </c>
      <c r="AD444" s="476">
        <f t="shared" si="705"/>
        <v>0</v>
      </c>
      <c r="AE444" s="476">
        <f t="shared" si="706"/>
        <v>0</v>
      </c>
      <c r="AF444" s="476">
        <f t="shared" si="707"/>
        <v>0</v>
      </c>
      <c r="AG444" s="476">
        <f t="shared" si="708"/>
        <v>0</v>
      </c>
      <c r="AH444" s="476">
        <f t="shared" si="709"/>
        <v>0</v>
      </c>
      <c r="AI444" s="476">
        <f t="shared" si="710"/>
        <v>978666</v>
      </c>
      <c r="AJ444" s="476">
        <f t="shared" si="711"/>
        <v>0</v>
      </c>
      <c r="AK444" s="476">
        <f t="shared" si="712"/>
        <v>0</v>
      </c>
      <c r="AL444" s="476">
        <f t="shared" si="713"/>
        <v>0</v>
      </c>
      <c r="AM444" s="476">
        <f t="shared" si="714"/>
        <v>0</v>
      </c>
      <c r="AN444" s="476">
        <f t="shared" si="715"/>
        <v>0</v>
      </c>
      <c r="AO444" s="476">
        <f t="shared" si="716"/>
        <v>0</v>
      </c>
      <c r="AP444" s="476">
        <f t="shared" si="717"/>
        <v>0</v>
      </c>
      <c r="AQ444" s="476">
        <f t="shared" si="718"/>
        <v>0</v>
      </c>
      <c r="AR444" s="476">
        <f t="shared" si="719"/>
        <v>0</v>
      </c>
      <c r="AS444" s="476">
        <f t="shared" si="720"/>
        <v>0</v>
      </c>
      <c r="AT444" s="476">
        <f t="shared" si="721"/>
        <v>0</v>
      </c>
      <c r="AU444" s="476">
        <f t="shared" si="722"/>
        <v>0</v>
      </c>
      <c r="AV444" s="476">
        <f t="shared" si="723"/>
        <v>0</v>
      </c>
      <c r="AW444" s="476">
        <f t="shared" si="724"/>
        <v>0</v>
      </c>
      <c r="AX444" s="476">
        <f t="shared" si="725"/>
        <v>0</v>
      </c>
      <c r="AY444" s="476">
        <f t="shared" si="726"/>
        <v>0</v>
      </c>
      <c r="AZ444" s="476">
        <f t="shared" si="727"/>
        <v>0</v>
      </c>
      <c r="BA444" s="476">
        <f t="shared" si="728"/>
        <v>0</v>
      </c>
      <c r="BB444" s="476">
        <f t="shared" si="729"/>
        <v>0</v>
      </c>
      <c r="BC444" s="476">
        <f t="shared" si="730"/>
        <v>0</v>
      </c>
      <c r="BD444" s="476">
        <f t="shared" si="731"/>
        <v>0</v>
      </c>
      <c r="BE444" s="476">
        <f t="shared" si="732"/>
        <v>0</v>
      </c>
      <c r="BF444" s="476">
        <f t="shared" si="733"/>
        <v>0</v>
      </c>
      <c r="BG444" s="476">
        <f t="shared" si="734"/>
        <v>0</v>
      </c>
    </row>
    <row r="445" spans="1:59" ht="16.5" customHeight="1">
      <c r="A445" s="585" t="s">
        <v>744</v>
      </c>
      <c r="B445" s="585" t="s">
        <v>1088</v>
      </c>
      <c r="C445" s="584" t="s">
        <v>1899</v>
      </c>
      <c r="D445" s="413" t="s">
        <v>508</v>
      </c>
      <c r="E445" s="412" t="s">
        <v>330</v>
      </c>
      <c r="F445" s="413" t="s">
        <v>330</v>
      </c>
      <c r="G445" s="412" t="s">
        <v>330</v>
      </c>
      <c r="H445" s="412" t="s">
        <v>1013</v>
      </c>
      <c r="I445" s="477">
        <v>33907</v>
      </c>
      <c r="J445" s="477">
        <v>0</v>
      </c>
      <c r="K445" s="477"/>
      <c r="L445" s="477"/>
      <c r="M445" s="477">
        <f t="shared" si="651"/>
        <v>33907</v>
      </c>
      <c r="N445" s="477">
        <f t="shared" si="652"/>
        <v>0</v>
      </c>
      <c r="O445" s="477"/>
      <c r="P445" s="477"/>
      <c r="Q445" s="477">
        <f t="shared" si="694"/>
        <v>33907</v>
      </c>
      <c r="R445" s="477">
        <f t="shared" si="695"/>
        <v>0</v>
      </c>
      <c r="S445" s="477">
        <f t="shared" si="696"/>
        <v>33907</v>
      </c>
      <c r="V445" s="476">
        <f t="shared" si="697"/>
        <v>0</v>
      </c>
      <c r="W445" s="476">
        <f t="shared" si="698"/>
        <v>0</v>
      </c>
      <c r="X445" s="476">
        <f t="shared" si="699"/>
        <v>0</v>
      </c>
      <c r="Y445" s="476">
        <f t="shared" si="700"/>
        <v>0</v>
      </c>
      <c r="Z445" s="476">
        <f t="shared" si="701"/>
        <v>0</v>
      </c>
      <c r="AA445" s="476">
        <f t="shared" si="702"/>
        <v>0</v>
      </c>
      <c r="AB445" s="476">
        <f t="shared" si="703"/>
        <v>0</v>
      </c>
      <c r="AC445" s="476">
        <f t="shared" si="704"/>
        <v>0</v>
      </c>
      <c r="AD445" s="476">
        <f t="shared" si="705"/>
        <v>0</v>
      </c>
      <c r="AE445" s="476">
        <f t="shared" si="706"/>
        <v>0</v>
      </c>
      <c r="AF445" s="476">
        <f t="shared" si="707"/>
        <v>0</v>
      </c>
      <c r="AG445" s="476">
        <f t="shared" si="708"/>
        <v>0</v>
      </c>
      <c r="AH445" s="476">
        <f t="shared" si="709"/>
        <v>0</v>
      </c>
      <c r="AI445" s="476">
        <f t="shared" si="710"/>
        <v>0</v>
      </c>
      <c r="AJ445" s="476">
        <f t="shared" si="711"/>
        <v>33907</v>
      </c>
      <c r="AK445" s="476">
        <f t="shared" si="712"/>
        <v>0</v>
      </c>
      <c r="AL445" s="476">
        <f t="shared" si="713"/>
        <v>0</v>
      </c>
      <c r="AM445" s="476">
        <f t="shared" si="714"/>
        <v>0</v>
      </c>
      <c r="AN445" s="476">
        <f t="shared" si="715"/>
        <v>0</v>
      </c>
      <c r="AO445" s="476">
        <f t="shared" si="716"/>
        <v>0</v>
      </c>
      <c r="AP445" s="476">
        <f t="shared" si="717"/>
        <v>0</v>
      </c>
      <c r="AQ445" s="476">
        <f t="shared" si="718"/>
        <v>0</v>
      </c>
      <c r="AR445" s="476">
        <f t="shared" si="719"/>
        <v>0</v>
      </c>
      <c r="AS445" s="476">
        <f t="shared" si="720"/>
        <v>0</v>
      </c>
      <c r="AT445" s="476">
        <f t="shared" si="721"/>
        <v>0</v>
      </c>
      <c r="AU445" s="476">
        <f t="shared" si="722"/>
        <v>0</v>
      </c>
      <c r="AV445" s="476">
        <f t="shared" si="723"/>
        <v>0</v>
      </c>
      <c r="AW445" s="476">
        <f t="shared" si="724"/>
        <v>0</v>
      </c>
      <c r="AX445" s="476">
        <f t="shared" si="725"/>
        <v>0</v>
      </c>
      <c r="AY445" s="476">
        <f t="shared" si="726"/>
        <v>0</v>
      </c>
      <c r="AZ445" s="476">
        <f t="shared" si="727"/>
        <v>0</v>
      </c>
      <c r="BA445" s="476">
        <f t="shared" si="728"/>
        <v>0</v>
      </c>
      <c r="BB445" s="476">
        <f t="shared" si="729"/>
        <v>0</v>
      </c>
      <c r="BC445" s="476">
        <f t="shared" si="730"/>
        <v>0</v>
      </c>
      <c r="BD445" s="476">
        <f t="shared" si="731"/>
        <v>0</v>
      </c>
      <c r="BE445" s="476">
        <f t="shared" si="732"/>
        <v>0</v>
      </c>
      <c r="BF445" s="476">
        <f t="shared" si="733"/>
        <v>0</v>
      </c>
      <c r="BG445" s="476">
        <f t="shared" si="734"/>
        <v>0</v>
      </c>
    </row>
    <row r="446" spans="1:59" ht="16.5" customHeight="1">
      <c r="A446" s="585" t="s">
        <v>744</v>
      </c>
      <c r="B446" s="585" t="s">
        <v>1088</v>
      </c>
      <c r="C446" s="584" t="s">
        <v>1900</v>
      </c>
      <c r="D446" s="413" t="s">
        <v>508</v>
      </c>
      <c r="E446" s="412" t="s">
        <v>330</v>
      </c>
      <c r="F446" s="413" t="s">
        <v>330</v>
      </c>
      <c r="G446" s="412" t="s">
        <v>330</v>
      </c>
      <c r="H446" s="412" t="s">
        <v>1014</v>
      </c>
      <c r="I446" s="477">
        <v>0</v>
      </c>
      <c r="J446" s="477">
        <v>321121</v>
      </c>
      <c r="K446" s="477"/>
      <c r="L446" s="477"/>
      <c r="M446" s="477">
        <f t="shared" si="651"/>
        <v>0</v>
      </c>
      <c r="N446" s="477">
        <f t="shared" si="652"/>
        <v>321121</v>
      </c>
      <c r="O446" s="477"/>
      <c r="P446" s="477"/>
      <c r="Q446" s="477">
        <f t="shared" si="694"/>
        <v>0</v>
      </c>
      <c r="R446" s="477">
        <f t="shared" si="695"/>
        <v>321121</v>
      </c>
      <c r="S446" s="477">
        <f t="shared" si="696"/>
        <v>-321121</v>
      </c>
      <c r="V446" s="476">
        <f t="shared" si="697"/>
        <v>0</v>
      </c>
      <c r="W446" s="476">
        <f t="shared" si="698"/>
        <v>0</v>
      </c>
      <c r="X446" s="476">
        <f t="shared" si="699"/>
        <v>0</v>
      </c>
      <c r="Y446" s="476">
        <f t="shared" si="700"/>
        <v>0</v>
      </c>
      <c r="Z446" s="476">
        <f t="shared" si="701"/>
        <v>0</v>
      </c>
      <c r="AA446" s="476">
        <f t="shared" si="702"/>
        <v>0</v>
      </c>
      <c r="AB446" s="476">
        <f t="shared" si="703"/>
        <v>0</v>
      </c>
      <c r="AC446" s="476">
        <f t="shared" si="704"/>
        <v>0</v>
      </c>
      <c r="AD446" s="476">
        <f t="shared" si="705"/>
        <v>0</v>
      </c>
      <c r="AE446" s="476">
        <f t="shared" si="706"/>
        <v>0</v>
      </c>
      <c r="AF446" s="476">
        <f t="shared" si="707"/>
        <v>0</v>
      </c>
      <c r="AG446" s="476">
        <f t="shared" si="708"/>
        <v>0</v>
      </c>
      <c r="AH446" s="476">
        <f t="shared" si="709"/>
        <v>0</v>
      </c>
      <c r="AI446" s="476">
        <f t="shared" si="710"/>
        <v>0</v>
      </c>
      <c r="AJ446" s="476">
        <f t="shared" si="711"/>
        <v>0</v>
      </c>
      <c r="AK446" s="476">
        <f t="shared" si="712"/>
        <v>0</v>
      </c>
      <c r="AL446" s="476">
        <f t="shared" si="713"/>
        <v>0</v>
      </c>
      <c r="AM446" s="476">
        <f t="shared" si="714"/>
        <v>0</v>
      </c>
      <c r="AN446" s="476">
        <f t="shared" si="715"/>
        <v>0</v>
      </c>
      <c r="AO446" s="476">
        <f t="shared" si="716"/>
        <v>0</v>
      </c>
      <c r="AP446" s="476">
        <f t="shared" si="717"/>
        <v>0</v>
      </c>
      <c r="AQ446" s="476">
        <f t="shared" si="718"/>
        <v>321121</v>
      </c>
      <c r="AR446" s="476">
        <f t="shared" si="719"/>
        <v>0</v>
      </c>
      <c r="AS446" s="476">
        <f t="shared" si="720"/>
        <v>0</v>
      </c>
      <c r="AT446" s="476">
        <f t="shared" si="721"/>
        <v>0</v>
      </c>
      <c r="AU446" s="476">
        <f t="shared" si="722"/>
        <v>0</v>
      </c>
      <c r="AV446" s="476">
        <f t="shared" si="723"/>
        <v>0</v>
      </c>
      <c r="AW446" s="476">
        <f t="shared" si="724"/>
        <v>0</v>
      </c>
      <c r="AX446" s="476">
        <f t="shared" si="725"/>
        <v>0</v>
      </c>
      <c r="AY446" s="476">
        <f t="shared" si="726"/>
        <v>0</v>
      </c>
      <c r="AZ446" s="476">
        <f t="shared" si="727"/>
        <v>0</v>
      </c>
      <c r="BA446" s="476">
        <f t="shared" si="728"/>
        <v>0</v>
      </c>
      <c r="BB446" s="476">
        <f t="shared" si="729"/>
        <v>0</v>
      </c>
      <c r="BC446" s="476">
        <f t="shared" si="730"/>
        <v>0</v>
      </c>
      <c r="BD446" s="476">
        <f t="shared" si="731"/>
        <v>0</v>
      </c>
      <c r="BE446" s="476">
        <f t="shared" si="732"/>
        <v>0</v>
      </c>
      <c r="BF446" s="476">
        <f t="shared" si="733"/>
        <v>0</v>
      </c>
      <c r="BG446" s="476">
        <f t="shared" si="734"/>
        <v>0</v>
      </c>
    </row>
    <row r="447" spans="1:59" ht="16.5" customHeight="1">
      <c r="A447" s="585" t="s">
        <v>744</v>
      </c>
      <c r="B447" s="585" t="s">
        <v>1088</v>
      </c>
      <c r="C447" s="584" t="s">
        <v>1901</v>
      </c>
      <c r="D447" s="413" t="s">
        <v>508</v>
      </c>
      <c r="E447" s="412" t="s">
        <v>330</v>
      </c>
      <c r="F447" s="413" t="s">
        <v>330</v>
      </c>
      <c r="G447" s="412" t="s">
        <v>330</v>
      </c>
      <c r="H447" s="412" t="s">
        <v>974</v>
      </c>
      <c r="I447" s="477">
        <v>0</v>
      </c>
      <c r="J447" s="477">
        <v>893859</v>
      </c>
      <c r="K447" s="477"/>
      <c r="L447" s="477"/>
      <c r="M447" s="477">
        <f t="shared" si="651"/>
        <v>0</v>
      </c>
      <c r="N447" s="477">
        <f t="shared" si="652"/>
        <v>893859</v>
      </c>
      <c r="O447" s="477"/>
      <c r="P447" s="477"/>
      <c r="Q447" s="477">
        <f t="shared" si="694"/>
        <v>0</v>
      </c>
      <c r="R447" s="477">
        <f t="shared" si="695"/>
        <v>893859</v>
      </c>
      <c r="S447" s="477">
        <f t="shared" si="696"/>
        <v>-893859</v>
      </c>
      <c r="V447" s="476">
        <f t="shared" si="697"/>
        <v>0</v>
      </c>
      <c r="W447" s="476">
        <f t="shared" si="698"/>
        <v>893859</v>
      </c>
      <c r="X447" s="476">
        <f t="shared" si="699"/>
        <v>0</v>
      </c>
      <c r="Y447" s="476">
        <f t="shared" si="700"/>
        <v>0</v>
      </c>
      <c r="Z447" s="476">
        <f t="shared" si="701"/>
        <v>0</v>
      </c>
      <c r="AA447" s="476">
        <f t="shared" si="702"/>
        <v>0</v>
      </c>
      <c r="AB447" s="476">
        <f t="shared" si="703"/>
        <v>0</v>
      </c>
      <c r="AC447" s="476">
        <f t="shared" si="704"/>
        <v>0</v>
      </c>
      <c r="AD447" s="476">
        <f t="shared" si="705"/>
        <v>0</v>
      </c>
      <c r="AE447" s="476">
        <f t="shared" si="706"/>
        <v>0</v>
      </c>
      <c r="AF447" s="476">
        <f t="shared" si="707"/>
        <v>0</v>
      </c>
      <c r="AG447" s="476">
        <f t="shared" si="708"/>
        <v>0</v>
      </c>
      <c r="AH447" s="476">
        <f t="shared" si="709"/>
        <v>0</v>
      </c>
      <c r="AI447" s="476">
        <f t="shared" si="710"/>
        <v>0</v>
      </c>
      <c r="AJ447" s="476">
        <f t="shared" si="711"/>
        <v>0</v>
      </c>
      <c r="AK447" s="476">
        <f t="shared" si="712"/>
        <v>0</v>
      </c>
      <c r="AL447" s="476">
        <f t="shared" si="713"/>
        <v>0</v>
      </c>
      <c r="AM447" s="476">
        <f t="shared" si="714"/>
        <v>0</v>
      </c>
      <c r="AN447" s="476">
        <f t="shared" si="715"/>
        <v>0</v>
      </c>
      <c r="AO447" s="476">
        <f t="shared" si="716"/>
        <v>0</v>
      </c>
      <c r="AP447" s="476">
        <f t="shared" si="717"/>
        <v>0</v>
      </c>
      <c r="AQ447" s="476">
        <f t="shared" si="718"/>
        <v>0</v>
      </c>
      <c r="AR447" s="476">
        <f t="shared" si="719"/>
        <v>0</v>
      </c>
      <c r="AS447" s="476">
        <f t="shared" si="720"/>
        <v>0</v>
      </c>
      <c r="AT447" s="476">
        <f t="shared" si="721"/>
        <v>0</v>
      </c>
      <c r="AU447" s="476">
        <f t="shared" si="722"/>
        <v>0</v>
      </c>
      <c r="AV447" s="476">
        <f t="shared" si="723"/>
        <v>0</v>
      </c>
      <c r="AW447" s="476">
        <f t="shared" si="724"/>
        <v>0</v>
      </c>
      <c r="AX447" s="476">
        <f t="shared" si="725"/>
        <v>0</v>
      </c>
      <c r="AY447" s="476">
        <f t="shared" si="726"/>
        <v>0</v>
      </c>
      <c r="AZ447" s="476">
        <f t="shared" si="727"/>
        <v>0</v>
      </c>
      <c r="BA447" s="476">
        <f t="shared" si="728"/>
        <v>0</v>
      </c>
      <c r="BB447" s="476">
        <f t="shared" si="729"/>
        <v>0</v>
      </c>
      <c r="BC447" s="476">
        <f t="shared" si="730"/>
        <v>0</v>
      </c>
      <c r="BD447" s="476">
        <f t="shared" si="731"/>
        <v>0</v>
      </c>
      <c r="BE447" s="476">
        <f t="shared" si="732"/>
        <v>0</v>
      </c>
      <c r="BF447" s="476">
        <f t="shared" si="733"/>
        <v>0</v>
      </c>
      <c r="BG447" s="476">
        <f t="shared" si="734"/>
        <v>0</v>
      </c>
    </row>
    <row r="448" spans="1:59" ht="16.5" customHeight="1">
      <c r="A448" s="585" t="s">
        <v>744</v>
      </c>
      <c r="B448" s="585" t="s">
        <v>1088</v>
      </c>
      <c r="C448" s="584" t="s">
        <v>1902</v>
      </c>
      <c r="D448" s="413" t="s">
        <v>508</v>
      </c>
      <c r="E448" s="412" t="s">
        <v>330</v>
      </c>
      <c r="F448" s="413" t="s">
        <v>330</v>
      </c>
      <c r="G448" s="412" t="s">
        <v>330</v>
      </c>
      <c r="H448" s="412" t="s">
        <v>1012</v>
      </c>
      <c r="I448" s="477">
        <v>20000</v>
      </c>
      <c r="J448" s="477">
        <v>0</v>
      </c>
      <c r="K448" s="477"/>
      <c r="L448" s="477"/>
      <c r="M448" s="477">
        <f t="shared" si="651"/>
        <v>20000</v>
      </c>
      <c r="N448" s="477">
        <f t="shared" si="652"/>
        <v>0</v>
      </c>
      <c r="O448" s="477"/>
      <c r="P448" s="477"/>
      <c r="Q448" s="477">
        <f t="shared" si="694"/>
        <v>20000</v>
      </c>
      <c r="R448" s="477">
        <f t="shared" si="695"/>
        <v>0</v>
      </c>
      <c r="S448" s="477">
        <f t="shared" si="696"/>
        <v>20000</v>
      </c>
      <c r="V448" s="476">
        <f t="shared" si="697"/>
        <v>0</v>
      </c>
      <c r="W448" s="476">
        <f t="shared" si="698"/>
        <v>0</v>
      </c>
      <c r="X448" s="476">
        <f t="shared" si="699"/>
        <v>0</v>
      </c>
      <c r="Y448" s="476">
        <f t="shared" si="700"/>
        <v>0</v>
      </c>
      <c r="Z448" s="476">
        <f t="shared" si="701"/>
        <v>0</v>
      </c>
      <c r="AA448" s="476">
        <f t="shared" si="702"/>
        <v>0</v>
      </c>
      <c r="AB448" s="476">
        <f t="shared" si="703"/>
        <v>20000</v>
      </c>
      <c r="AC448" s="476">
        <f t="shared" si="704"/>
        <v>0</v>
      </c>
      <c r="AD448" s="476">
        <f t="shared" si="705"/>
        <v>0</v>
      </c>
      <c r="AE448" s="476">
        <f t="shared" si="706"/>
        <v>0</v>
      </c>
      <c r="AF448" s="476">
        <f t="shared" si="707"/>
        <v>0</v>
      </c>
      <c r="AG448" s="476">
        <f t="shared" si="708"/>
        <v>0</v>
      </c>
      <c r="AH448" s="476">
        <f t="shared" si="709"/>
        <v>0</v>
      </c>
      <c r="AI448" s="476">
        <f t="shared" si="710"/>
        <v>0</v>
      </c>
      <c r="AJ448" s="476">
        <f t="shared" si="711"/>
        <v>0</v>
      </c>
      <c r="AK448" s="476">
        <f t="shared" si="712"/>
        <v>0</v>
      </c>
      <c r="AL448" s="476">
        <f t="shared" si="713"/>
        <v>0</v>
      </c>
      <c r="AM448" s="476">
        <f t="shared" si="714"/>
        <v>0</v>
      </c>
      <c r="AN448" s="476">
        <f t="shared" si="715"/>
        <v>0</v>
      </c>
      <c r="AO448" s="476">
        <f t="shared" si="716"/>
        <v>0</v>
      </c>
      <c r="AP448" s="476">
        <f t="shared" si="717"/>
        <v>0</v>
      </c>
      <c r="AQ448" s="476">
        <f t="shared" si="718"/>
        <v>0</v>
      </c>
      <c r="AR448" s="476">
        <f t="shared" si="719"/>
        <v>0</v>
      </c>
      <c r="AS448" s="476">
        <f t="shared" si="720"/>
        <v>0</v>
      </c>
      <c r="AT448" s="476">
        <f t="shared" si="721"/>
        <v>0</v>
      </c>
      <c r="AU448" s="476">
        <f t="shared" si="722"/>
        <v>0</v>
      </c>
      <c r="AV448" s="476">
        <f t="shared" si="723"/>
        <v>0</v>
      </c>
      <c r="AW448" s="476">
        <f t="shared" si="724"/>
        <v>0</v>
      </c>
      <c r="AX448" s="476">
        <f t="shared" si="725"/>
        <v>0</v>
      </c>
      <c r="AY448" s="476">
        <f t="shared" si="726"/>
        <v>0</v>
      </c>
      <c r="AZ448" s="476">
        <f t="shared" si="727"/>
        <v>0</v>
      </c>
      <c r="BA448" s="476">
        <f t="shared" si="728"/>
        <v>0</v>
      </c>
      <c r="BB448" s="476">
        <f t="shared" si="729"/>
        <v>0</v>
      </c>
      <c r="BC448" s="476">
        <f t="shared" si="730"/>
        <v>0</v>
      </c>
      <c r="BD448" s="476">
        <f t="shared" si="731"/>
        <v>0</v>
      </c>
      <c r="BE448" s="476">
        <f t="shared" si="732"/>
        <v>0</v>
      </c>
      <c r="BF448" s="476">
        <f t="shared" si="733"/>
        <v>0</v>
      </c>
      <c r="BG448" s="476">
        <f t="shared" si="734"/>
        <v>0</v>
      </c>
    </row>
    <row r="449" spans="1:59" ht="16.5" customHeight="1">
      <c r="A449" s="585" t="s">
        <v>744</v>
      </c>
      <c r="B449" s="585" t="s">
        <v>1088</v>
      </c>
      <c r="C449" s="584" t="s">
        <v>1903</v>
      </c>
      <c r="D449" s="413" t="s">
        <v>508</v>
      </c>
      <c r="E449" s="412" t="s">
        <v>330</v>
      </c>
      <c r="F449" s="413" t="s">
        <v>330</v>
      </c>
      <c r="G449" s="412" t="s">
        <v>330</v>
      </c>
      <c r="H449" s="412" t="s">
        <v>1055</v>
      </c>
      <c r="I449" s="477">
        <v>978666</v>
      </c>
      <c r="J449" s="477">
        <v>0</v>
      </c>
      <c r="K449" s="477"/>
      <c r="L449" s="477"/>
      <c r="M449" s="477">
        <f t="shared" si="651"/>
        <v>978666</v>
      </c>
      <c r="N449" s="477">
        <f t="shared" si="652"/>
        <v>0</v>
      </c>
      <c r="O449" s="477"/>
      <c r="P449" s="477"/>
      <c r="Q449" s="477">
        <f t="shared" si="694"/>
        <v>978666</v>
      </c>
      <c r="R449" s="477">
        <f t="shared" si="695"/>
        <v>0</v>
      </c>
      <c r="S449" s="477">
        <f t="shared" si="696"/>
        <v>978666</v>
      </c>
      <c r="V449" s="476">
        <f t="shared" si="697"/>
        <v>0</v>
      </c>
      <c r="W449" s="476">
        <f t="shared" si="698"/>
        <v>0</v>
      </c>
      <c r="X449" s="476">
        <f t="shared" si="699"/>
        <v>0</v>
      </c>
      <c r="Y449" s="476">
        <f t="shared" si="700"/>
        <v>0</v>
      </c>
      <c r="Z449" s="476">
        <f t="shared" si="701"/>
        <v>0</v>
      </c>
      <c r="AA449" s="476">
        <f t="shared" si="702"/>
        <v>0</v>
      </c>
      <c r="AB449" s="476">
        <f t="shared" si="703"/>
        <v>0</v>
      </c>
      <c r="AC449" s="476">
        <f t="shared" si="704"/>
        <v>0</v>
      </c>
      <c r="AD449" s="476">
        <f t="shared" si="705"/>
        <v>0</v>
      </c>
      <c r="AE449" s="476">
        <f t="shared" si="706"/>
        <v>0</v>
      </c>
      <c r="AF449" s="476">
        <f t="shared" si="707"/>
        <v>0</v>
      </c>
      <c r="AG449" s="476">
        <f t="shared" si="708"/>
        <v>0</v>
      </c>
      <c r="AH449" s="476">
        <f t="shared" si="709"/>
        <v>0</v>
      </c>
      <c r="AI449" s="476">
        <f t="shared" si="710"/>
        <v>0</v>
      </c>
      <c r="AJ449" s="476">
        <f t="shared" si="711"/>
        <v>0</v>
      </c>
      <c r="AK449" s="476">
        <f t="shared" si="712"/>
        <v>0</v>
      </c>
      <c r="AL449" s="476">
        <f t="shared" si="713"/>
        <v>0</v>
      </c>
      <c r="AM449" s="476">
        <f t="shared" si="714"/>
        <v>0</v>
      </c>
      <c r="AN449" s="476">
        <f t="shared" si="715"/>
        <v>0</v>
      </c>
      <c r="AO449" s="476">
        <f t="shared" si="716"/>
        <v>0</v>
      </c>
      <c r="AP449" s="476">
        <f t="shared" si="717"/>
        <v>0</v>
      </c>
      <c r="AQ449" s="476">
        <f t="shared" si="718"/>
        <v>0</v>
      </c>
      <c r="AR449" s="476">
        <f t="shared" si="719"/>
        <v>0</v>
      </c>
      <c r="AS449" s="476">
        <f t="shared" si="720"/>
        <v>0</v>
      </c>
      <c r="AT449" s="476">
        <f t="shared" si="721"/>
        <v>0</v>
      </c>
      <c r="AU449" s="476">
        <f t="shared" si="722"/>
        <v>0</v>
      </c>
      <c r="AV449" s="476">
        <f t="shared" si="723"/>
        <v>0</v>
      </c>
      <c r="AW449" s="476">
        <f t="shared" si="724"/>
        <v>0</v>
      </c>
      <c r="AX449" s="476">
        <f t="shared" si="725"/>
        <v>0</v>
      </c>
      <c r="AY449" s="476">
        <f t="shared" si="726"/>
        <v>0</v>
      </c>
      <c r="AZ449" s="476">
        <f t="shared" si="727"/>
        <v>0</v>
      </c>
      <c r="BA449" s="476">
        <f t="shared" si="728"/>
        <v>0</v>
      </c>
      <c r="BB449" s="476">
        <f t="shared" si="729"/>
        <v>978666</v>
      </c>
      <c r="BC449" s="476">
        <f t="shared" si="730"/>
        <v>0</v>
      </c>
      <c r="BD449" s="476">
        <f t="shared" si="731"/>
        <v>0</v>
      </c>
      <c r="BE449" s="476">
        <f t="shared" si="732"/>
        <v>0</v>
      </c>
      <c r="BF449" s="476">
        <f t="shared" si="733"/>
        <v>0</v>
      </c>
      <c r="BG449" s="476">
        <f t="shared" si="734"/>
        <v>0</v>
      </c>
    </row>
    <row r="450" spans="1:59" ht="16.5" customHeight="1">
      <c r="A450" s="585" t="s">
        <v>745</v>
      </c>
      <c r="B450" s="585" t="s">
        <v>1089</v>
      </c>
      <c r="C450" s="584" t="s">
        <v>1904</v>
      </c>
      <c r="D450" s="413" t="s">
        <v>508</v>
      </c>
      <c r="E450" s="412" t="s">
        <v>330</v>
      </c>
      <c r="F450" s="413" t="s">
        <v>330</v>
      </c>
      <c r="G450" s="412" t="s">
        <v>330</v>
      </c>
      <c r="H450" s="412" t="s">
        <v>974</v>
      </c>
      <c r="I450" s="477">
        <v>22000</v>
      </c>
      <c r="J450" s="477">
        <v>0</v>
      </c>
      <c r="K450" s="477"/>
      <c r="L450" s="477"/>
      <c r="M450" s="477">
        <f t="shared" si="651"/>
        <v>22000</v>
      </c>
      <c r="N450" s="477">
        <f t="shared" si="652"/>
        <v>0</v>
      </c>
      <c r="O450" s="477"/>
      <c r="P450" s="477"/>
      <c r="Q450" s="477">
        <f t="shared" si="694"/>
        <v>22000</v>
      </c>
      <c r="R450" s="477">
        <f t="shared" si="695"/>
        <v>0</v>
      </c>
      <c r="S450" s="477">
        <f t="shared" si="696"/>
        <v>22000</v>
      </c>
      <c r="V450" s="476">
        <f t="shared" si="697"/>
        <v>22000</v>
      </c>
      <c r="W450" s="476">
        <f t="shared" si="698"/>
        <v>0</v>
      </c>
      <c r="X450" s="476">
        <f t="shared" si="699"/>
        <v>0</v>
      </c>
      <c r="Y450" s="476">
        <f t="shared" si="700"/>
        <v>0</v>
      </c>
      <c r="Z450" s="476">
        <f t="shared" si="701"/>
        <v>0</v>
      </c>
      <c r="AA450" s="476">
        <f t="shared" si="702"/>
        <v>0</v>
      </c>
      <c r="AB450" s="476">
        <f t="shared" si="703"/>
        <v>0</v>
      </c>
      <c r="AC450" s="476">
        <f t="shared" si="704"/>
        <v>0</v>
      </c>
      <c r="AD450" s="476">
        <f t="shared" si="705"/>
        <v>0</v>
      </c>
      <c r="AE450" s="476">
        <f t="shared" si="706"/>
        <v>0</v>
      </c>
      <c r="AF450" s="476">
        <f t="shared" si="707"/>
        <v>0</v>
      </c>
      <c r="AG450" s="476">
        <f t="shared" si="708"/>
        <v>0</v>
      </c>
      <c r="AH450" s="476">
        <f t="shared" si="709"/>
        <v>0</v>
      </c>
      <c r="AI450" s="476">
        <f t="shared" si="710"/>
        <v>0</v>
      </c>
      <c r="AJ450" s="476">
        <f t="shared" si="711"/>
        <v>0</v>
      </c>
      <c r="AK450" s="476">
        <f t="shared" si="712"/>
        <v>0</v>
      </c>
      <c r="AL450" s="476">
        <f t="shared" si="713"/>
        <v>0</v>
      </c>
      <c r="AM450" s="476">
        <f t="shared" si="714"/>
        <v>0</v>
      </c>
      <c r="AN450" s="476">
        <f t="shared" si="715"/>
        <v>0</v>
      </c>
      <c r="AO450" s="476">
        <f t="shared" si="716"/>
        <v>0</v>
      </c>
      <c r="AP450" s="476">
        <f t="shared" si="717"/>
        <v>0</v>
      </c>
      <c r="AQ450" s="476">
        <f t="shared" si="718"/>
        <v>0</v>
      </c>
      <c r="AR450" s="476">
        <f t="shared" si="719"/>
        <v>0</v>
      </c>
      <c r="AS450" s="476">
        <f t="shared" si="720"/>
        <v>0</v>
      </c>
      <c r="AT450" s="476">
        <f t="shared" si="721"/>
        <v>0</v>
      </c>
      <c r="AU450" s="476">
        <f t="shared" si="722"/>
        <v>0</v>
      </c>
      <c r="AV450" s="476">
        <f t="shared" si="723"/>
        <v>0</v>
      </c>
      <c r="AW450" s="476">
        <f t="shared" si="724"/>
        <v>0</v>
      </c>
      <c r="AX450" s="476">
        <f t="shared" si="725"/>
        <v>0</v>
      </c>
      <c r="AY450" s="476">
        <f t="shared" si="726"/>
        <v>0</v>
      </c>
      <c r="AZ450" s="476">
        <f t="shared" si="727"/>
        <v>0</v>
      </c>
      <c r="BA450" s="476">
        <f t="shared" si="728"/>
        <v>0</v>
      </c>
      <c r="BB450" s="476">
        <f t="shared" si="729"/>
        <v>0</v>
      </c>
      <c r="BC450" s="476">
        <f t="shared" si="730"/>
        <v>0</v>
      </c>
      <c r="BD450" s="476">
        <f t="shared" si="731"/>
        <v>0</v>
      </c>
      <c r="BE450" s="476">
        <f t="shared" si="732"/>
        <v>0</v>
      </c>
      <c r="BF450" s="476">
        <f t="shared" si="733"/>
        <v>0</v>
      </c>
      <c r="BG450" s="476">
        <f t="shared" si="734"/>
        <v>0</v>
      </c>
    </row>
    <row r="451" spans="1:59" ht="16.5" customHeight="1">
      <c r="A451" s="585" t="s">
        <v>746</v>
      </c>
      <c r="B451" s="585" t="s">
        <v>1090</v>
      </c>
      <c r="C451" s="584" t="s">
        <v>1905</v>
      </c>
      <c r="D451" s="413" t="s">
        <v>508</v>
      </c>
      <c r="E451" s="412" t="s">
        <v>330</v>
      </c>
      <c r="F451" s="413" t="s">
        <v>330</v>
      </c>
      <c r="G451" s="412" t="s">
        <v>330</v>
      </c>
      <c r="H451" s="412" t="s">
        <v>974</v>
      </c>
      <c r="I451" s="477">
        <v>115</v>
      </c>
      <c r="J451" s="477">
        <v>0</v>
      </c>
      <c r="K451" s="477"/>
      <c r="L451" s="477"/>
      <c r="M451" s="477">
        <f t="shared" si="651"/>
        <v>115</v>
      </c>
      <c r="N451" s="477">
        <f t="shared" si="652"/>
        <v>0</v>
      </c>
      <c r="O451" s="477"/>
      <c r="P451" s="477"/>
      <c r="Q451" s="477">
        <f t="shared" si="694"/>
        <v>115</v>
      </c>
      <c r="R451" s="477">
        <f t="shared" si="695"/>
        <v>0</v>
      </c>
      <c r="S451" s="477">
        <f t="shared" si="696"/>
        <v>115</v>
      </c>
      <c r="V451" s="476">
        <f t="shared" si="697"/>
        <v>115</v>
      </c>
      <c r="W451" s="476">
        <f t="shared" si="698"/>
        <v>0</v>
      </c>
      <c r="X451" s="476">
        <f t="shared" si="699"/>
        <v>0</v>
      </c>
      <c r="Y451" s="476">
        <f t="shared" si="700"/>
        <v>0</v>
      </c>
      <c r="Z451" s="476">
        <f t="shared" si="701"/>
        <v>0</v>
      </c>
      <c r="AA451" s="476">
        <f t="shared" si="702"/>
        <v>0</v>
      </c>
      <c r="AB451" s="476">
        <f t="shared" si="703"/>
        <v>0</v>
      </c>
      <c r="AC451" s="476">
        <f t="shared" si="704"/>
        <v>0</v>
      </c>
      <c r="AD451" s="476">
        <f t="shared" si="705"/>
        <v>0</v>
      </c>
      <c r="AE451" s="476">
        <f t="shared" si="706"/>
        <v>0</v>
      </c>
      <c r="AF451" s="476">
        <f t="shared" si="707"/>
        <v>0</v>
      </c>
      <c r="AG451" s="476">
        <f t="shared" si="708"/>
        <v>0</v>
      </c>
      <c r="AH451" s="476">
        <f t="shared" si="709"/>
        <v>0</v>
      </c>
      <c r="AI451" s="476">
        <f t="shared" si="710"/>
        <v>0</v>
      </c>
      <c r="AJ451" s="476">
        <f t="shared" si="711"/>
        <v>0</v>
      </c>
      <c r="AK451" s="476">
        <f t="shared" si="712"/>
        <v>0</v>
      </c>
      <c r="AL451" s="476">
        <f t="shared" si="713"/>
        <v>0</v>
      </c>
      <c r="AM451" s="476">
        <f t="shared" si="714"/>
        <v>0</v>
      </c>
      <c r="AN451" s="476">
        <f t="shared" si="715"/>
        <v>0</v>
      </c>
      <c r="AO451" s="476">
        <f t="shared" si="716"/>
        <v>0</v>
      </c>
      <c r="AP451" s="476">
        <f t="shared" si="717"/>
        <v>0</v>
      </c>
      <c r="AQ451" s="476">
        <f t="shared" si="718"/>
        <v>0</v>
      </c>
      <c r="AR451" s="476">
        <f t="shared" si="719"/>
        <v>0</v>
      </c>
      <c r="AS451" s="476">
        <f t="shared" si="720"/>
        <v>0</v>
      </c>
      <c r="AT451" s="476">
        <f t="shared" si="721"/>
        <v>0</v>
      </c>
      <c r="AU451" s="476">
        <f t="shared" si="722"/>
        <v>0</v>
      </c>
      <c r="AV451" s="476">
        <f t="shared" si="723"/>
        <v>0</v>
      </c>
      <c r="AW451" s="476">
        <f t="shared" si="724"/>
        <v>0</v>
      </c>
      <c r="AX451" s="476">
        <f t="shared" si="725"/>
        <v>0</v>
      </c>
      <c r="AY451" s="476">
        <f t="shared" si="726"/>
        <v>0</v>
      </c>
      <c r="AZ451" s="476">
        <f t="shared" si="727"/>
        <v>0</v>
      </c>
      <c r="BA451" s="476">
        <f t="shared" si="728"/>
        <v>0</v>
      </c>
      <c r="BB451" s="476">
        <f t="shared" si="729"/>
        <v>0</v>
      </c>
      <c r="BC451" s="476">
        <f t="shared" si="730"/>
        <v>0</v>
      </c>
      <c r="BD451" s="476">
        <f t="shared" si="731"/>
        <v>0</v>
      </c>
      <c r="BE451" s="476">
        <f t="shared" si="732"/>
        <v>0</v>
      </c>
      <c r="BF451" s="476">
        <f t="shared" si="733"/>
        <v>0</v>
      </c>
      <c r="BG451" s="476">
        <f t="shared" si="734"/>
        <v>0</v>
      </c>
    </row>
    <row r="452" spans="1:59" ht="16.5" customHeight="1">
      <c r="A452" s="585" t="s">
        <v>747</v>
      </c>
      <c r="B452" s="585" t="s">
        <v>1091</v>
      </c>
      <c r="C452" s="584" t="s">
        <v>1906</v>
      </c>
      <c r="D452" s="413" t="s">
        <v>508</v>
      </c>
      <c r="E452" s="412" t="s">
        <v>330</v>
      </c>
      <c r="F452" s="413" t="s">
        <v>330</v>
      </c>
      <c r="G452" s="412" t="s">
        <v>330</v>
      </c>
      <c r="H452" s="412" t="s">
        <v>974</v>
      </c>
      <c r="I452" s="477">
        <v>15372</v>
      </c>
      <c r="J452" s="477">
        <v>0</v>
      </c>
      <c r="K452" s="477"/>
      <c r="L452" s="477"/>
      <c r="M452" s="477">
        <f t="shared" si="651"/>
        <v>15372</v>
      </c>
      <c r="N452" s="477">
        <f t="shared" si="652"/>
        <v>0</v>
      </c>
      <c r="O452" s="477"/>
      <c r="P452" s="477"/>
      <c r="Q452" s="477">
        <f t="shared" si="694"/>
        <v>15372</v>
      </c>
      <c r="R452" s="477">
        <f t="shared" si="695"/>
        <v>0</v>
      </c>
      <c r="S452" s="477">
        <f t="shared" si="696"/>
        <v>15372</v>
      </c>
      <c r="V452" s="476">
        <f t="shared" si="697"/>
        <v>15372</v>
      </c>
      <c r="W452" s="476">
        <f t="shared" si="698"/>
        <v>0</v>
      </c>
      <c r="X452" s="476">
        <f t="shared" si="699"/>
        <v>0</v>
      </c>
      <c r="Y452" s="476">
        <f t="shared" si="700"/>
        <v>0</v>
      </c>
      <c r="Z452" s="476">
        <f t="shared" si="701"/>
        <v>0</v>
      </c>
      <c r="AA452" s="476">
        <f t="shared" si="702"/>
        <v>0</v>
      </c>
      <c r="AB452" s="476">
        <f t="shared" si="703"/>
        <v>0</v>
      </c>
      <c r="AC452" s="476">
        <f t="shared" si="704"/>
        <v>0</v>
      </c>
      <c r="AD452" s="476">
        <f t="shared" si="705"/>
        <v>0</v>
      </c>
      <c r="AE452" s="476">
        <f t="shared" si="706"/>
        <v>0</v>
      </c>
      <c r="AF452" s="476">
        <f t="shared" si="707"/>
        <v>0</v>
      </c>
      <c r="AG452" s="476">
        <f t="shared" si="708"/>
        <v>0</v>
      </c>
      <c r="AH452" s="476">
        <f t="shared" si="709"/>
        <v>0</v>
      </c>
      <c r="AI452" s="476">
        <f t="shared" si="710"/>
        <v>0</v>
      </c>
      <c r="AJ452" s="476">
        <f t="shared" si="711"/>
        <v>0</v>
      </c>
      <c r="AK452" s="476">
        <f t="shared" si="712"/>
        <v>0</v>
      </c>
      <c r="AL452" s="476">
        <f t="shared" si="713"/>
        <v>0</v>
      </c>
      <c r="AM452" s="476">
        <f t="shared" si="714"/>
        <v>0</v>
      </c>
      <c r="AN452" s="476">
        <f t="shared" si="715"/>
        <v>0</v>
      </c>
      <c r="AO452" s="476">
        <f t="shared" si="716"/>
        <v>0</v>
      </c>
      <c r="AP452" s="476">
        <f t="shared" si="717"/>
        <v>0</v>
      </c>
      <c r="AQ452" s="476">
        <f t="shared" si="718"/>
        <v>0</v>
      </c>
      <c r="AR452" s="476">
        <f t="shared" si="719"/>
        <v>0</v>
      </c>
      <c r="AS452" s="476">
        <f t="shared" si="720"/>
        <v>0</v>
      </c>
      <c r="AT452" s="476">
        <f t="shared" si="721"/>
        <v>0</v>
      </c>
      <c r="AU452" s="476">
        <f t="shared" si="722"/>
        <v>0</v>
      </c>
      <c r="AV452" s="476">
        <f t="shared" si="723"/>
        <v>0</v>
      </c>
      <c r="AW452" s="476">
        <f t="shared" si="724"/>
        <v>0</v>
      </c>
      <c r="AX452" s="476">
        <f t="shared" si="725"/>
        <v>0</v>
      </c>
      <c r="AY452" s="476">
        <f t="shared" si="726"/>
        <v>0</v>
      </c>
      <c r="AZ452" s="476">
        <f t="shared" si="727"/>
        <v>0</v>
      </c>
      <c r="BA452" s="476">
        <f t="shared" si="728"/>
        <v>0</v>
      </c>
      <c r="BB452" s="476">
        <f t="shared" si="729"/>
        <v>0</v>
      </c>
      <c r="BC452" s="476">
        <f t="shared" si="730"/>
        <v>0</v>
      </c>
      <c r="BD452" s="476">
        <f t="shared" si="731"/>
        <v>0</v>
      </c>
      <c r="BE452" s="476">
        <f t="shared" si="732"/>
        <v>0</v>
      </c>
      <c r="BF452" s="476">
        <f t="shared" si="733"/>
        <v>0</v>
      </c>
      <c r="BG452" s="476">
        <f t="shared" si="734"/>
        <v>0</v>
      </c>
    </row>
    <row r="453" spans="1:59" ht="16.5" customHeight="1">
      <c r="A453" s="585" t="s">
        <v>748</v>
      </c>
      <c r="B453" s="585" t="s">
        <v>1092</v>
      </c>
      <c r="C453" s="584" t="s">
        <v>1907</v>
      </c>
      <c r="D453" s="413" t="s">
        <v>508</v>
      </c>
      <c r="E453" s="412" t="s">
        <v>330</v>
      </c>
      <c r="F453" s="413" t="s">
        <v>330</v>
      </c>
      <c r="G453" s="412" t="s">
        <v>330</v>
      </c>
      <c r="H453" s="412" t="s">
        <v>1014</v>
      </c>
      <c r="I453" s="477">
        <v>61500</v>
      </c>
      <c r="J453" s="477">
        <v>0</v>
      </c>
      <c r="K453" s="477"/>
      <c r="L453" s="477"/>
      <c r="M453" s="477">
        <f t="shared" si="651"/>
        <v>61500</v>
      </c>
      <c r="N453" s="477">
        <f t="shared" si="652"/>
        <v>0</v>
      </c>
      <c r="O453" s="477"/>
      <c r="P453" s="477"/>
      <c r="Q453" s="477">
        <f t="shared" si="694"/>
        <v>61500</v>
      </c>
      <c r="R453" s="477">
        <f t="shared" si="695"/>
        <v>0</v>
      </c>
      <c r="S453" s="477">
        <f t="shared" si="696"/>
        <v>61500</v>
      </c>
      <c r="V453" s="476">
        <f t="shared" si="697"/>
        <v>0</v>
      </c>
      <c r="W453" s="476">
        <f t="shared" si="698"/>
        <v>0</v>
      </c>
      <c r="X453" s="476">
        <f t="shared" si="699"/>
        <v>0</v>
      </c>
      <c r="Y453" s="476">
        <f t="shared" si="700"/>
        <v>0</v>
      </c>
      <c r="Z453" s="476">
        <f t="shared" si="701"/>
        <v>0</v>
      </c>
      <c r="AA453" s="476">
        <f t="shared" si="702"/>
        <v>0</v>
      </c>
      <c r="AB453" s="476">
        <f t="shared" si="703"/>
        <v>0</v>
      </c>
      <c r="AC453" s="476">
        <f t="shared" si="704"/>
        <v>0</v>
      </c>
      <c r="AD453" s="476">
        <f t="shared" si="705"/>
        <v>0</v>
      </c>
      <c r="AE453" s="476">
        <f t="shared" si="706"/>
        <v>0</v>
      </c>
      <c r="AF453" s="476">
        <f t="shared" si="707"/>
        <v>0</v>
      </c>
      <c r="AG453" s="476">
        <f t="shared" si="708"/>
        <v>0</v>
      </c>
      <c r="AH453" s="476">
        <f t="shared" si="709"/>
        <v>0</v>
      </c>
      <c r="AI453" s="476">
        <f t="shared" si="710"/>
        <v>0</v>
      </c>
      <c r="AJ453" s="476">
        <f t="shared" si="711"/>
        <v>0</v>
      </c>
      <c r="AK453" s="476">
        <f t="shared" si="712"/>
        <v>0</v>
      </c>
      <c r="AL453" s="476">
        <f t="shared" si="713"/>
        <v>0</v>
      </c>
      <c r="AM453" s="476">
        <f t="shared" si="714"/>
        <v>0</v>
      </c>
      <c r="AN453" s="476">
        <f t="shared" si="715"/>
        <v>0</v>
      </c>
      <c r="AO453" s="476">
        <f t="shared" si="716"/>
        <v>0</v>
      </c>
      <c r="AP453" s="476">
        <f t="shared" si="717"/>
        <v>61500</v>
      </c>
      <c r="AQ453" s="476">
        <f t="shared" si="718"/>
        <v>0</v>
      </c>
      <c r="AR453" s="476">
        <f t="shared" si="719"/>
        <v>0</v>
      </c>
      <c r="AS453" s="476">
        <f t="shared" si="720"/>
        <v>0</v>
      </c>
      <c r="AT453" s="476">
        <f t="shared" si="721"/>
        <v>0</v>
      </c>
      <c r="AU453" s="476">
        <f t="shared" si="722"/>
        <v>0</v>
      </c>
      <c r="AV453" s="476">
        <f t="shared" si="723"/>
        <v>0</v>
      </c>
      <c r="AW453" s="476">
        <f t="shared" si="724"/>
        <v>0</v>
      </c>
      <c r="AX453" s="476">
        <f t="shared" si="725"/>
        <v>0</v>
      </c>
      <c r="AY453" s="476">
        <f t="shared" si="726"/>
        <v>0</v>
      </c>
      <c r="AZ453" s="476">
        <f t="shared" si="727"/>
        <v>0</v>
      </c>
      <c r="BA453" s="476">
        <f t="shared" si="728"/>
        <v>0</v>
      </c>
      <c r="BB453" s="476">
        <f t="shared" si="729"/>
        <v>0</v>
      </c>
      <c r="BC453" s="476">
        <f t="shared" si="730"/>
        <v>0</v>
      </c>
      <c r="BD453" s="476">
        <f t="shared" si="731"/>
        <v>0</v>
      </c>
      <c r="BE453" s="476">
        <f t="shared" si="732"/>
        <v>0</v>
      </c>
      <c r="BF453" s="476">
        <f t="shared" si="733"/>
        <v>0</v>
      </c>
      <c r="BG453" s="476">
        <f t="shared" si="734"/>
        <v>0</v>
      </c>
    </row>
    <row r="454" spans="1:59" ht="16.5" customHeight="1">
      <c r="A454" s="585" t="s">
        <v>748</v>
      </c>
      <c r="B454" s="585" t="s">
        <v>1092</v>
      </c>
      <c r="C454" s="584" t="s">
        <v>1908</v>
      </c>
      <c r="D454" s="413" t="s">
        <v>508</v>
      </c>
      <c r="E454" s="412" t="s">
        <v>330</v>
      </c>
      <c r="F454" s="413" t="s">
        <v>330</v>
      </c>
      <c r="G454" s="412" t="s">
        <v>330</v>
      </c>
      <c r="H454" s="412" t="s">
        <v>974</v>
      </c>
      <c r="I454" s="477">
        <v>0</v>
      </c>
      <c r="J454" s="477">
        <v>8752996</v>
      </c>
      <c r="K454" s="477"/>
      <c r="L454" s="477"/>
      <c r="M454" s="477">
        <f t="shared" si="651"/>
        <v>0</v>
      </c>
      <c r="N454" s="477">
        <f t="shared" si="652"/>
        <v>8752996</v>
      </c>
      <c r="O454" s="477"/>
      <c r="P454" s="477"/>
      <c r="Q454" s="477">
        <f t="shared" si="694"/>
        <v>0</v>
      </c>
      <c r="R454" s="477">
        <f t="shared" si="695"/>
        <v>8752996</v>
      </c>
      <c r="S454" s="477">
        <f t="shared" si="696"/>
        <v>-8752996</v>
      </c>
      <c r="V454" s="476">
        <f t="shared" si="697"/>
        <v>0</v>
      </c>
      <c r="W454" s="476">
        <f t="shared" si="698"/>
        <v>8752996</v>
      </c>
      <c r="X454" s="476">
        <f t="shared" si="699"/>
        <v>0</v>
      </c>
      <c r="Y454" s="476">
        <f t="shared" si="700"/>
        <v>0</v>
      </c>
      <c r="Z454" s="476">
        <f t="shared" si="701"/>
        <v>0</v>
      </c>
      <c r="AA454" s="476">
        <f t="shared" si="702"/>
        <v>0</v>
      </c>
      <c r="AB454" s="476">
        <f t="shared" si="703"/>
        <v>0</v>
      </c>
      <c r="AC454" s="476">
        <f t="shared" si="704"/>
        <v>0</v>
      </c>
      <c r="AD454" s="476">
        <f t="shared" si="705"/>
        <v>0</v>
      </c>
      <c r="AE454" s="476">
        <f t="shared" si="706"/>
        <v>0</v>
      </c>
      <c r="AF454" s="476">
        <f t="shared" si="707"/>
        <v>0</v>
      </c>
      <c r="AG454" s="476">
        <f t="shared" si="708"/>
        <v>0</v>
      </c>
      <c r="AH454" s="476">
        <f t="shared" si="709"/>
        <v>0</v>
      </c>
      <c r="AI454" s="476">
        <f t="shared" si="710"/>
        <v>0</v>
      </c>
      <c r="AJ454" s="476">
        <f t="shared" si="711"/>
        <v>0</v>
      </c>
      <c r="AK454" s="476">
        <f t="shared" si="712"/>
        <v>0</v>
      </c>
      <c r="AL454" s="476">
        <f t="shared" si="713"/>
        <v>0</v>
      </c>
      <c r="AM454" s="476">
        <f t="shared" si="714"/>
        <v>0</v>
      </c>
      <c r="AN454" s="476">
        <f t="shared" si="715"/>
        <v>0</v>
      </c>
      <c r="AO454" s="476">
        <f t="shared" si="716"/>
        <v>0</v>
      </c>
      <c r="AP454" s="476">
        <f t="shared" si="717"/>
        <v>0</v>
      </c>
      <c r="AQ454" s="476">
        <f t="shared" si="718"/>
        <v>0</v>
      </c>
      <c r="AR454" s="476">
        <f t="shared" si="719"/>
        <v>0</v>
      </c>
      <c r="AS454" s="476">
        <f t="shared" si="720"/>
        <v>0</v>
      </c>
      <c r="AT454" s="476">
        <f t="shared" si="721"/>
        <v>0</v>
      </c>
      <c r="AU454" s="476">
        <f t="shared" si="722"/>
        <v>0</v>
      </c>
      <c r="AV454" s="476">
        <f t="shared" si="723"/>
        <v>0</v>
      </c>
      <c r="AW454" s="476">
        <f t="shared" si="724"/>
        <v>0</v>
      </c>
      <c r="AX454" s="476">
        <f t="shared" si="725"/>
        <v>0</v>
      </c>
      <c r="AY454" s="476">
        <f t="shared" si="726"/>
        <v>0</v>
      </c>
      <c r="AZ454" s="476">
        <f t="shared" si="727"/>
        <v>0</v>
      </c>
      <c r="BA454" s="476">
        <f t="shared" si="728"/>
        <v>0</v>
      </c>
      <c r="BB454" s="476">
        <f t="shared" si="729"/>
        <v>0</v>
      </c>
      <c r="BC454" s="476">
        <f t="shared" si="730"/>
        <v>0</v>
      </c>
      <c r="BD454" s="476">
        <f t="shared" si="731"/>
        <v>0</v>
      </c>
      <c r="BE454" s="476">
        <f t="shared" si="732"/>
        <v>0</v>
      </c>
      <c r="BF454" s="476">
        <f t="shared" si="733"/>
        <v>0</v>
      </c>
      <c r="BG454" s="476">
        <f t="shared" si="734"/>
        <v>0</v>
      </c>
    </row>
    <row r="455" spans="1:59" ht="16.5" customHeight="1">
      <c r="A455" s="585" t="s">
        <v>748</v>
      </c>
      <c r="B455" s="585" t="s">
        <v>1092</v>
      </c>
      <c r="C455" s="584" t="s">
        <v>1909</v>
      </c>
      <c r="D455" s="413" t="s">
        <v>508</v>
      </c>
      <c r="E455" s="412" t="s">
        <v>330</v>
      </c>
      <c r="F455" s="413" t="s">
        <v>330</v>
      </c>
      <c r="G455" s="412" t="s">
        <v>330</v>
      </c>
      <c r="H455" s="412" t="s">
        <v>1019</v>
      </c>
      <c r="I455" s="477">
        <v>0</v>
      </c>
      <c r="J455" s="477">
        <v>339296</v>
      </c>
      <c r="K455" s="477"/>
      <c r="L455" s="477"/>
      <c r="M455" s="477">
        <f t="shared" si="651"/>
        <v>0</v>
      </c>
      <c r="N455" s="477">
        <f t="shared" si="652"/>
        <v>339296</v>
      </c>
      <c r="O455" s="477"/>
      <c r="P455" s="477"/>
      <c r="Q455" s="477">
        <f t="shared" si="694"/>
        <v>0</v>
      </c>
      <c r="R455" s="477">
        <f t="shared" si="695"/>
        <v>339296</v>
      </c>
      <c r="S455" s="477">
        <f t="shared" si="696"/>
        <v>-339296</v>
      </c>
      <c r="V455" s="476">
        <f t="shared" si="697"/>
        <v>0</v>
      </c>
      <c r="W455" s="476">
        <f t="shared" si="698"/>
        <v>0</v>
      </c>
      <c r="X455" s="476">
        <f t="shared" si="699"/>
        <v>0</v>
      </c>
      <c r="Y455" s="476">
        <f t="shared" si="700"/>
        <v>0</v>
      </c>
      <c r="Z455" s="476">
        <f t="shared" si="701"/>
        <v>0</v>
      </c>
      <c r="AA455" s="476">
        <f t="shared" si="702"/>
        <v>0</v>
      </c>
      <c r="AB455" s="476">
        <f t="shared" si="703"/>
        <v>0</v>
      </c>
      <c r="AC455" s="476">
        <f t="shared" si="704"/>
        <v>0</v>
      </c>
      <c r="AD455" s="476">
        <f t="shared" si="705"/>
        <v>0</v>
      </c>
      <c r="AE455" s="476">
        <f t="shared" si="706"/>
        <v>339296</v>
      </c>
      <c r="AF455" s="476">
        <f t="shared" si="707"/>
        <v>0</v>
      </c>
      <c r="AG455" s="476">
        <f t="shared" si="708"/>
        <v>0</v>
      </c>
      <c r="AH455" s="476">
        <f t="shared" si="709"/>
        <v>0</v>
      </c>
      <c r="AI455" s="476">
        <f t="shared" si="710"/>
        <v>0</v>
      </c>
      <c r="AJ455" s="476">
        <f t="shared" si="711"/>
        <v>0</v>
      </c>
      <c r="AK455" s="476">
        <f t="shared" si="712"/>
        <v>0</v>
      </c>
      <c r="AL455" s="476">
        <f t="shared" si="713"/>
        <v>0</v>
      </c>
      <c r="AM455" s="476">
        <f t="shared" si="714"/>
        <v>0</v>
      </c>
      <c r="AN455" s="476">
        <f t="shared" si="715"/>
        <v>0</v>
      </c>
      <c r="AO455" s="476">
        <f t="shared" si="716"/>
        <v>0</v>
      </c>
      <c r="AP455" s="476">
        <f t="shared" si="717"/>
        <v>0</v>
      </c>
      <c r="AQ455" s="476">
        <f t="shared" si="718"/>
        <v>0</v>
      </c>
      <c r="AR455" s="476">
        <f t="shared" si="719"/>
        <v>0</v>
      </c>
      <c r="AS455" s="476">
        <f t="shared" si="720"/>
        <v>0</v>
      </c>
      <c r="AT455" s="476">
        <f t="shared" si="721"/>
        <v>0</v>
      </c>
      <c r="AU455" s="476">
        <f t="shared" si="722"/>
        <v>0</v>
      </c>
      <c r="AV455" s="476">
        <f t="shared" si="723"/>
        <v>0</v>
      </c>
      <c r="AW455" s="476">
        <f t="shared" si="724"/>
        <v>0</v>
      </c>
      <c r="AX455" s="476">
        <f t="shared" si="725"/>
        <v>0</v>
      </c>
      <c r="AY455" s="476">
        <f t="shared" si="726"/>
        <v>0</v>
      </c>
      <c r="AZ455" s="476">
        <f t="shared" si="727"/>
        <v>0</v>
      </c>
      <c r="BA455" s="476">
        <f t="shared" si="728"/>
        <v>0</v>
      </c>
      <c r="BB455" s="476">
        <f t="shared" si="729"/>
        <v>0</v>
      </c>
      <c r="BC455" s="476">
        <f t="shared" si="730"/>
        <v>0</v>
      </c>
      <c r="BD455" s="476">
        <f t="shared" si="731"/>
        <v>0</v>
      </c>
      <c r="BE455" s="476">
        <f t="shared" si="732"/>
        <v>0</v>
      </c>
      <c r="BF455" s="476">
        <f t="shared" si="733"/>
        <v>0</v>
      </c>
      <c r="BG455" s="476">
        <f t="shared" si="734"/>
        <v>0</v>
      </c>
    </row>
    <row r="456" spans="1:59" ht="16.5" customHeight="1">
      <c r="A456" s="585" t="s">
        <v>748</v>
      </c>
      <c r="B456" s="585" t="s">
        <v>1092</v>
      </c>
      <c r="C456" s="584" t="s">
        <v>1910</v>
      </c>
      <c r="D456" s="413" t="s">
        <v>508</v>
      </c>
      <c r="E456" s="412" t="s">
        <v>330</v>
      </c>
      <c r="F456" s="413" t="s">
        <v>330</v>
      </c>
      <c r="G456" s="412" t="s">
        <v>330</v>
      </c>
      <c r="H456" s="412" t="s">
        <v>1027</v>
      </c>
      <c r="I456" s="477">
        <v>0</v>
      </c>
      <c r="J456" s="477">
        <v>111000</v>
      </c>
      <c r="K456" s="477"/>
      <c r="L456" s="477"/>
      <c r="M456" s="477">
        <f t="shared" si="651"/>
        <v>0</v>
      </c>
      <c r="N456" s="477">
        <f t="shared" si="652"/>
        <v>111000</v>
      </c>
      <c r="O456" s="477"/>
      <c r="P456" s="477"/>
      <c r="Q456" s="477">
        <f t="shared" si="694"/>
        <v>0</v>
      </c>
      <c r="R456" s="477">
        <f t="shared" si="695"/>
        <v>111000</v>
      </c>
      <c r="S456" s="477">
        <f t="shared" si="696"/>
        <v>-111000</v>
      </c>
      <c r="V456" s="476">
        <f t="shared" si="697"/>
        <v>0</v>
      </c>
      <c r="W456" s="476">
        <f t="shared" si="698"/>
        <v>0</v>
      </c>
      <c r="X456" s="476">
        <f t="shared" si="699"/>
        <v>0</v>
      </c>
      <c r="Y456" s="476">
        <f t="shared" si="700"/>
        <v>0</v>
      </c>
      <c r="Z456" s="476">
        <f t="shared" si="701"/>
        <v>0</v>
      </c>
      <c r="AA456" s="476">
        <f t="shared" si="702"/>
        <v>0</v>
      </c>
      <c r="AB456" s="476">
        <f t="shared" si="703"/>
        <v>0</v>
      </c>
      <c r="AC456" s="476">
        <f t="shared" si="704"/>
        <v>0</v>
      </c>
      <c r="AD456" s="476">
        <f t="shared" si="705"/>
        <v>0</v>
      </c>
      <c r="AE456" s="476">
        <f t="shared" si="706"/>
        <v>0</v>
      </c>
      <c r="AF456" s="476">
        <f t="shared" si="707"/>
        <v>0</v>
      </c>
      <c r="AG456" s="476">
        <f t="shared" si="708"/>
        <v>0</v>
      </c>
      <c r="AH456" s="476">
        <f t="shared" si="709"/>
        <v>0</v>
      </c>
      <c r="AI456" s="476">
        <f t="shared" si="710"/>
        <v>0</v>
      </c>
      <c r="AJ456" s="476">
        <f t="shared" si="711"/>
        <v>0</v>
      </c>
      <c r="AK456" s="476">
        <f t="shared" si="712"/>
        <v>0</v>
      </c>
      <c r="AL456" s="476">
        <f t="shared" si="713"/>
        <v>0</v>
      </c>
      <c r="AM456" s="476">
        <f t="shared" si="714"/>
        <v>0</v>
      </c>
      <c r="AN456" s="476">
        <f t="shared" si="715"/>
        <v>0</v>
      </c>
      <c r="AO456" s="476">
        <f t="shared" si="716"/>
        <v>0</v>
      </c>
      <c r="AP456" s="476">
        <f t="shared" si="717"/>
        <v>0</v>
      </c>
      <c r="AQ456" s="476">
        <f t="shared" si="718"/>
        <v>0</v>
      </c>
      <c r="AR456" s="476">
        <f t="shared" si="719"/>
        <v>0</v>
      </c>
      <c r="AS456" s="476">
        <f t="shared" si="720"/>
        <v>111000</v>
      </c>
      <c r="AT456" s="476">
        <f t="shared" si="721"/>
        <v>0</v>
      </c>
      <c r="AU456" s="476">
        <f t="shared" si="722"/>
        <v>0</v>
      </c>
      <c r="AV456" s="476">
        <f t="shared" si="723"/>
        <v>0</v>
      </c>
      <c r="AW456" s="476">
        <f t="shared" si="724"/>
        <v>0</v>
      </c>
      <c r="AX456" s="476">
        <f t="shared" si="725"/>
        <v>0</v>
      </c>
      <c r="AY456" s="476">
        <f t="shared" si="726"/>
        <v>0</v>
      </c>
      <c r="AZ456" s="476">
        <f t="shared" si="727"/>
        <v>0</v>
      </c>
      <c r="BA456" s="476">
        <f t="shared" si="728"/>
        <v>0</v>
      </c>
      <c r="BB456" s="476">
        <f t="shared" si="729"/>
        <v>0</v>
      </c>
      <c r="BC456" s="476">
        <f t="shared" si="730"/>
        <v>0</v>
      </c>
      <c r="BD456" s="476">
        <f t="shared" si="731"/>
        <v>0</v>
      </c>
      <c r="BE456" s="476">
        <f t="shared" si="732"/>
        <v>0</v>
      </c>
      <c r="BF456" s="476">
        <f t="shared" si="733"/>
        <v>0</v>
      </c>
      <c r="BG456" s="476">
        <f t="shared" si="734"/>
        <v>0</v>
      </c>
    </row>
    <row r="457" spans="1:59" ht="16.5" customHeight="1">
      <c r="A457" s="585" t="s">
        <v>749</v>
      </c>
      <c r="B457" s="585" t="s">
        <v>1093</v>
      </c>
      <c r="C457" s="584" t="s">
        <v>1911</v>
      </c>
      <c r="D457" s="413" t="s">
        <v>508</v>
      </c>
      <c r="E457" s="412" t="s">
        <v>330</v>
      </c>
      <c r="F457" s="413" t="s">
        <v>330</v>
      </c>
      <c r="G457" s="412" t="s">
        <v>330</v>
      </c>
      <c r="H457" s="412" t="s">
        <v>974</v>
      </c>
      <c r="I457" s="477">
        <v>12822</v>
      </c>
      <c r="J457" s="477">
        <v>1264793</v>
      </c>
      <c r="K457" s="477"/>
      <c r="L457" s="477"/>
      <c r="M457" s="477">
        <f t="shared" si="651"/>
        <v>12822</v>
      </c>
      <c r="N457" s="477">
        <f t="shared" si="652"/>
        <v>1264793</v>
      </c>
      <c r="O457" s="477"/>
      <c r="P457" s="477"/>
      <c r="Q457" s="477">
        <f t="shared" si="694"/>
        <v>12822</v>
      </c>
      <c r="R457" s="477">
        <f t="shared" si="695"/>
        <v>1264793</v>
      </c>
      <c r="S457" s="477">
        <f t="shared" si="696"/>
        <v>-1251971</v>
      </c>
      <c r="V457" s="476">
        <f t="shared" si="697"/>
        <v>12822</v>
      </c>
      <c r="W457" s="476">
        <f t="shared" si="698"/>
        <v>1264793</v>
      </c>
      <c r="X457" s="476">
        <f t="shared" si="699"/>
        <v>0</v>
      </c>
      <c r="Y457" s="476">
        <f t="shared" si="700"/>
        <v>0</v>
      </c>
      <c r="Z457" s="476">
        <f t="shared" si="701"/>
        <v>0</v>
      </c>
      <c r="AA457" s="476">
        <f t="shared" si="702"/>
        <v>0</v>
      </c>
      <c r="AB457" s="476">
        <f t="shared" si="703"/>
        <v>0</v>
      </c>
      <c r="AC457" s="476">
        <f t="shared" si="704"/>
        <v>0</v>
      </c>
      <c r="AD457" s="476">
        <f t="shared" si="705"/>
        <v>0</v>
      </c>
      <c r="AE457" s="476">
        <f t="shared" si="706"/>
        <v>0</v>
      </c>
      <c r="AF457" s="476">
        <f t="shared" si="707"/>
        <v>0</v>
      </c>
      <c r="AG457" s="476">
        <f t="shared" si="708"/>
        <v>0</v>
      </c>
      <c r="AH457" s="476">
        <f t="shared" si="709"/>
        <v>0</v>
      </c>
      <c r="AI457" s="476">
        <f t="shared" si="710"/>
        <v>0</v>
      </c>
      <c r="AJ457" s="476">
        <f t="shared" si="711"/>
        <v>0</v>
      </c>
      <c r="AK457" s="476">
        <f t="shared" si="712"/>
        <v>0</v>
      </c>
      <c r="AL457" s="476">
        <f t="shared" si="713"/>
        <v>0</v>
      </c>
      <c r="AM457" s="476">
        <f t="shared" si="714"/>
        <v>0</v>
      </c>
      <c r="AN457" s="476">
        <f t="shared" si="715"/>
        <v>0</v>
      </c>
      <c r="AO457" s="476">
        <f t="shared" si="716"/>
        <v>0</v>
      </c>
      <c r="AP457" s="476">
        <f t="shared" si="717"/>
        <v>0</v>
      </c>
      <c r="AQ457" s="476">
        <f t="shared" si="718"/>
        <v>0</v>
      </c>
      <c r="AR457" s="476">
        <f t="shared" si="719"/>
        <v>0</v>
      </c>
      <c r="AS457" s="476">
        <f t="shared" si="720"/>
        <v>0</v>
      </c>
      <c r="AT457" s="476">
        <f t="shared" si="721"/>
        <v>0</v>
      </c>
      <c r="AU457" s="476">
        <f t="shared" si="722"/>
        <v>0</v>
      </c>
      <c r="AV457" s="476">
        <f t="shared" si="723"/>
        <v>0</v>
      </c>
      <c r="AW457" s="476">
        <f t="shared" si="724"/>
        <v>0</v>
      </c>
      <c r="AX457" s="476">
        <f t="shared" si="725"/>
        <v>0</v>
      </c>
      <c r="AY457" s="476">
        <f t="shared" si="726"/>
        <v>0</v>
      </c>
      <c r="AZ457" s="476">
        <f t="shared" si="727"/>
        <v>0</v>
      </c>
      <c r="BA457" s="476">
        <f t="shared" si="728"/>
        <v>0</v>
      </c>
      <c r="BB457" s="476">
        <f t="shared" si="729"/>
        <v>0</v>
      </c>
      <c r="BC457" s="476">
        <f t="shared" si="730"/>
        <v>0</v>
      </c>
      <c r="BD457" s="476">
        <f t="shared" si="731"/>
        <v>0</v>
      </c>
      <c r="BE457" s="476">
        <f t="shared" si="732"/>
        <v>0</v>
      </c>
      <c r="BF457" s="476">
        <f t="shared" si="733"/>
        <v>0</v>
      </c>
      <c r="BG457" s="476">
        <f t="shared" si="734"/>
        <v>0</v>
      </c>
    </row>
    <row r="458" spans="1:59" ht="16.5" customHeight="1">
      <c r="A458" s="585" t="s">
        <v>750</v>
      </c>
      <c r="B458" s="585" t="s">
        <v>1094</v>
      </c>
      <c r="C458" s="584" t="s">
        <v>1912</v>
      </c>
      <c r="D458" s="413" t="s">
        <v>508</v>
      </c>
      <c r="E458" s="412" t="s">
        <v>330</v>
      </c>
      <c r="F458" s="413" t="s">
        <v>330</v>
      </c>
      <c r="G458" s="412" t="s">
        <v>330</v>
      </c>
      <c r="H458" s="412" t="s">
        <v>974</v>
      </c>
      <c r="I458" s="477">
        <v>427177</v>
      </c>
      <c r="J458" s="477">
        <v>0</v>
      </c>
      <c r="K458" s="477"/>
      <c r="L458" s="477"/>
      <c r="M458" s="477">
        <f t="shared" ref="M458:M522" si="735">+I458+K458</f>
        <v>427177</v>
      </c>
      <c r="N458" s="477">
        <f t="shared" ref="N458:N522" si="736">+J458+L458</f>
        <v>0</v>
      </c>
      <c r="O458" s="477"/>
      <c r="P458" s="477"/>
      <c r="Q458" s="477">
        <f t="shared" si="694"/>
        <v>427177</v>
      </c>
      <c r="R458" s="477">
        <f t="shared" si="695"/>
        <v>0</v>
      </c>
      <c r="S458" s="477">
        <f t="shared" si="696"/>
        <v>427177</v>
      </c>
      <c r="V458" s="476">
        <f t="shared" si="697"/>
        <v>427177</v>
      </c>
      <c r="W458" s="476">
        <f t="shared" si="698"/>
        <v>0</v>
      </c>
      <c r="X458" s="476">
        <f t="shared" si="699"/>
        <v>0</v>
      </c>
      <c r="Y458" s="476">
        <f t="shared" si="700"/>
        <v>0</v>
      </c>
      <c r="Z458" s="476">
        <f t="shared" si="701"/>
        <v>0</v>
      </c>
      <c r="AA458" s="476">
        <f t="shared" si="702"/>
        <v>0</v>
      </c>
      <c r="AB458" s="476">
        <f t="shared" si="703"/>
        <v>0</v>
      </c>
      <c r="AC458" s="476">
        <f t="shared" si="704"/>
        <v>0</v>
      </c>
      <c r="AD458" s="476">
        <f t="shared" si="705"/>
        <v>0</v>
      </c>
      <c r="AE458" s="476">
        <f t="shared" si="706"/>
        <v>0</v>
      </c>
      <c r="AF458" s="476">
        <f t="shared" si="707"/>
        <v>0</v>
      </c>
      <c r="AG458" s="476">
        <f t="shared" si="708"/>
        <v>0</v>
      </c>
      <c r="AH458" s="476">
        <f t="shared" si="709"/>
        <v>0</v>
      </c>
      <c r="AI458" s="476">
        <f t="shared" si="710"/>
        <v>0</v>
      </c>
      <c r="AJ458" s="476">
        <f t="shared" si="711"/>
        <v>0</v>
      </c>
      <c r="AK458" s="476">
        <f t="shared" si="712"/>
        <v>0</v>
      </c>
      <c r="AL458" s="476">
        <f t="shared" si="713"/>
        <v>0</v>
      </c>
      <c r="AM458" s="476">
        <f t="shared" si="714"/>
        <v>0</v>
      </c>
      <c r="AN458" s="476">
        <f t="shared" si="715"/>
        <v>0</v>
      </c>
      <c r="AO458" s="476">
        <f t="shared" si="716"/>
        <v>0</v>
      </c>
      <c r="AP458" s="476">
        <f t="shared" si="717"/>
        <v>0</v>
      </c>
      <c r="AQ458" s="476">
        <f t="shared" si="718"/>
        <v>0</v>
      </c>
      <c r="AR458" s="476">
        <f t="shared" si="719"/>
        <v>0</v>
      </c>
      <c r="AS458" s="476">
        <f t="shared" si="720"/>
        <v>0</v>
      </c>
      <c r="AT458" s="476">
        <f t="shared" si="721"/>
        <v>0</v>
      </c>
      <c r="AU458" s="476">
        <f t="shared" si="722"/>
        <v>0</v>
      </c>
      <c r="AV458" s="476">
        <f t="shared" si="723"/>
        <v>0</v>
      </c>
      <c r="AW458" s="476">
        <f t="shared" si="724"/>
        <v>0</v>
      </c>
      <c r="AX458" s="476">
        <f t="shared" si="725"/>
        <v>0</v>
      </c>
      <c r="AY458" s="476">
        <f t="shared" si="726"/>
        <v>0</v>
      </c>
      <c r="AZ458" s="476">
        <f t="shared" si="727"/>
        <v>0</v>
      </c>
      <c r="BA458" s="476">
        <f t="shared" si="728"/>
        <v>0</v>
      </c>
      <c r="BB458" s="476">
        <f t="shared" si="729"/>
        <v>0</v>
      </c>
      <c r="BC458" s="476">
        <f t="shared" si="730"/>
        <v>0</v>
      </c>
      <c r="BD458" s="476">
        <f t="shared" si="731"/>
        <v>0</v>
      </c>
      <c r="BE458" s="476">
        <f t="shared" si="732"/>
        <v>0</v>
      </c>
      <c r="BF458" s="476">
        <f t="shared" si="733"/>
        <v>0</v>
      </c>
      <c r="BG458" s="476">
        <f t="shared" si="734"/>
        <v>0</v>
      </c>
    </row>
    <row r="459" spans="1:59" ht="16.5" customHeight="1">
      <c r="A459" s="585" t="s">
        <v>750</v>
      </c>
      <c r="B459" s="585" t="s">
        <v>1094</v>
      </c>
      <c r="C459" s="584" t="s">
        <v>1913</v>
      </c>
      <c r="D459" s="413" t="s">
        <v>508</v>
      </c>
      <c r="E459" s="412" t="s">
        <v>330</v>
      </c>
      <c r="F459" s="413" t="s">
        <v>330</v>
      </c>
      <c r="G459" s="412" t="s">
        <v>330</v>
      </c>
      <c r="H459" s="412" t="s">
        <v>1027</v>
      </c>
      <c r="I459" s="477">
        <v>23519</v>
      </c>
      <c r="J459" s="477">
        <v>0</v>
      </c>
      <c r="K459" s="477"/>
      <c r="L459" s="477"/>
      <c r="M459" s="477">
        <f t="shared" si="735"/>
        <v>23519</v>
      </c>
      <c r="N459" s="477">
        <f t="shared" si="736"/>
        <v>0</v>
      </c>
      <c r="O459" s="477"/>
      <c r="P459" s="477"/>
      <c r="Q459" s="477">
        <f t="shared" si="694"/>
        <v>23519</v>
      </c>
      <c r="R459" s="477">
        <f t="shared" si="695"/>
        <v>0</v>
      </c>
      <c r="S459" s="477">
        <f t="shared" si="696"/>
        <v>23519</v>
      </c>
      <c r="V459" s="476">
        <f t="shared" si="697"/>
        <v>0</v>
      </c>
      <c r="W459" s="476">
        <f t="shared" si="698"/>
        <v>0</v>
      </c>
      <c r="X459" s="476">
        <f t="shared" si="699"/>
        <v>0</v>
      </c>
      <c r="Y459" s="476">
        <f t="shared" si="700"/>
        <v>0</v>
      </c>
      <c r="Z459" s="476">
        <f t="shared" si="701"/>
        <v>0</v>
      </c>
      <c r="AA459" s="476">
        <f t="shared" si="702"/>
        <v>0</v>
      </c>
      <c r="AB459" s="476">
        <f t="shared" si="703"/>
        <v>0</v>
      </c>
      <c r="AC459" s="476">
        <f t="shared" si="704"/>
        <v>0</v>
      </c>
      <c r="AD459" s="476">
        <f t="shared" si="705"/>
        <v>0</v>
      </c>
      <c r="AE459" s="476">
        <f t="shared" si="706"/>
        <v>0</v>
      </c>
      <c r="AF459" s="476">
        <f t="shared" si="707"/>
        <v>0</v>
      </c>
      <c r="AG459" s="476">
        <f t="shared" si="708"/>
        <v>0</v>
      </c>
      <c r="AH459" s="476">
        <f t="shared" si="709"/>
        <v>0</v>
      </c>
      <c r="AI459" s="476">
        <f t="shared" si="710"/>
        <v>0</v>
      </c>
      <c r="AJ459" s="476">
        <f t="shared" si="711"/>
        <v>0</v>
      </c>
      <c r="AK459" s="476">
        <f t="shared" si="712"/>
        <v>0</v>
      </c>
      <c r="AL459" s="476">
        <f t="shared" si="713"/>
        <v>0</v>
      </c>
      <c r="AM459" s="476">
        <f t="shared" si="714"/>
        <v>0</v>
      </c>
      <c r="AN459" s="476">
        <f t="shared" si="715"/>
        <v>0</v>
      </c>
      <c r="AO459" s="476">
        <f t="shared" si="716"/>
        <v>0</v>
      </c>
      <c r="AP459" s="476">
        <f t="shared" si="717"/>
        <v>0</v>
      </c>
      <c r="AQ459" s="476">
        <f t="shared" si="718"/>
        <v>0</v>
      </c>
      <c r="AR459" s="476">
        <f t="shared" si="719"/>
        <v>23519</v>
      </c>
      <c r="AS459" s="476">
        <f t="shared" si="720"/>
        <v>0</v>
      </c>
      <c r="AT459" s="476">
        <f t="shared" si="721"/>
        <v>0</v>
      </c>
      <c r="AU459" s="476">
        <f t="shared" si="722"/>
        <v>0</v>
      </c>
      <c r="AV459" s="476">
        <f t="shared" si="723"/>
        <v>0</v>
      </c>
      <c r="AW459" s="476">
        <f t="shared" si="724"/>
        <v>0</v>
      </c>
      <c r="AX459" s="476">
        <f t="shared" si="725"/>
        <v>0</v>
      </c>
      <c r="AY459" s="476">
        <f t="shared" si="726"/>
        <v>0</v>
      </c>
      <c r="AZ459" s="476">
        <f t="shared" si="727"/>
        <v>0</v>
      </c>
      <c r="BA459" s="476">
        <f t="shared" si="728"/>
        <v>0</v>
      </c>
      <c r="BB459" s="476">
        <f t="shared" si="729"/>
        <v>0</v>
      </c>
      <c r="BC459" s="476">
        <f t="shared" si="730"/>
        <v>0</v>
      </c>
      <c r="BD459" s="476">
        <f t="shared" si="731"/>
        <v>0</v>
      </c>
      <c r="BE459" s="476">
        <f t="shared" si="732"/>
        <v>0</v>
      </c>
      <c r="BF459" s="476">
        <f t="shared" si="733"/>
        <v>0</v>
      </c>
      <c r="BG459" s="476">
        <f t="shared" si="734"/>
        <v>0</v>
      </c>
    </row>
    <row r="460" spans="1:59" ht="16.5" customHeight="1">
      <c r="A460" s="585" t="s">
        <v>751</v>
      </c>
      <c r="B460" s="585" t="s">
        <v>1095</v>
      </c>
      <c r="C460" s="584" t="s">
        <v>1914</v>
      </c>
      <c r="D460" s="413" t="s">
        <v>508</v>
      </c>
      <c r="E460" s="412" t="s">
        <v>330</v>
      </c>
      <c r="F460" s="413" t="s">
        <v>330</v>
      </c>
      <c r="G460" s="412" t="s">
        <v>330</v>
      </c>
      <c r="H460" s="412" t="s">
        <v>974</v>
      </c>
      <c r="I460" s="477">
        <v>35108</v>
      </c>
      <c r="J460" s="477">
        <v>0</v>
      </c>
      <c r="K460" s="477"/>
      <c r="L460" s="477"/>
      <c r="M460" s="477">
        <f t="shared" si="735"/>
        <v>35108</v>
      </c>
      <c r="N460" s="477">
        <f t="shared" si="736"/>
        <v>0</v>
      </c>
      <c r="O460" s="477"/>
      <c r="P460" s="477"/>
      <c r="Q460" s="477">
        <f t="shared" si="694"/>
        <v>35108</v>
      </c>
      <c r="R460" s="477">
        <f t="shared" si="695"/>
        <v>0</v>
      </c>
      <c r="S460" s="477">
        <f t="shared" si="696"/>
        <v>35108</v>
      </c>
      <c r="V460" s="476">
        <f t="shared" si="697"/>
        <v>35108</v>
      </c>
      <c r="W460" s="476">
        <f t="shared" si="698"/>
        <v>0</v>
      </c>
      <c r="X460" s="476">
        <f t="shared" si="699"/>
        <v>0</v>
      </c>
      <c r="Y460" s="476">
        <f t="shared" si="700"/>
        <v>0</v>
      </c>
      <c r="Z460" s="476">
        <f t="shared" si="701"/>
        <v>0</v>
      </c>
      <c r="AA460" s="476">
        <f t="shared" si="702"/>
        <v>0</v>
      </c>
      <c r="AB460" s="476">
        <f t="shared" si="703"/>
        <v>0</v>
      </c>
      <c r="AC460" s="476">
        <f t="shared" si="704"/>
        <v>0</v>
      </c>
      <c r="AD460" s="476">
        <f t="shared" si="705"/>
        <v>0</v>
      </c>
      <c r="AE460" s="476">
        <f t="shared" si="706"/>
        <v>0</v>
      </c>
      <c r="AF460" s="476">
        <f t="shared" si="707"/>
        <v>0</v>
      </c>
      <c r="AG460" s="476">
        <f t="shared" si="708"/>
        <v>0</v>
      </c>
      <c r="AH460" s="476">
        <f t="shared" si="709"/>
        <v>0</v>
      </c>
      <c r="AI460" s="476">
        <f t="shared" si="710"/>
        <v>0</v>
      </c>
      <c r="AJ460" s="476">
        <f t="shared" si="711"/>
        <v>0</v>
      </c>
      <c r="AK460" s="476">
        <f t="shared" si="712"/>
        <v>0</v>
      </c>
      <c r="AL460" s="476">
        <f t="shared" si="713"/>
        <v>0</v>
      </c>
      <c r="AM460" s="476">
        <f t="shared" si="714"/>
        <v>0</v>
      </c>
      <c r="AN460" s="476">
        <f t="shared" si="715"/>
        <v>0</v>
      </c>
      <c r="AO460" s="476">
        <f t="shared" si="716"/>
        <v>0</v>
      </c>
      <c r="AP460" s="476">
        <f t="shared" si="717"/>
        <v>0</v>
      </c>
      <c r="AQ460" s="476">
        <f t="shared" si="718"/>
        <v>0</v>
      </c>
      <c r="AR460" s="476">
        <f t="shared" si="719"/>
        <v>0</v>
      </c>
      <c r="AS460" s="476">
        <f t="shared" si="720"/>
        <v>0</v>
      </c>
      <c r="AT460" s="476">
        <f t="shared" si="721"/>
        <v>0</v>
      </c>
      <c r="AU460" s="476">
        <f t="shared" si="722"/>
        <v>0</v>
      </c>
      <c r="AV460" s="476">
        <f t="shared" si="723"/>
        <v>0</v>
      </c>
      <c r="AW460" s="476">
        <f t="shared" si="724"/>
        <v>0</v>
      </c>
      <c r="AX460" s="476">
        <f t="shared" si="725"/>
        <v>0</v>
      </c>
      <c r="AY460" s="476">
        <f t="shared" si="726"/>
        <v>0</v>
      </c>
      <c r="AZ460" s="476">
        <f t="shared" si="727"/>
        <v>0</v>
      </c>
      <c r="BA460" s="476">
        <f t="shared" si="728"/>
        <v>0</v>
      </c>
      <c r="BB460" s="476">
        <f t="shared" si="729"/>
        <v>0</v>
      </c>
      <c r="BC460" s="476">
        <f t="shared" si="730"/>
        <v>0</v>
      </c>
      <c r="BD460" s="476">
        <f t="shared" si="731"/>
        <v>0</v>
      </c>
      <c r="BE460" s="476">
        <f t="shared" si="732"/>
        <v>0</v>
      </c>
      <c r="BF460" s="476">
        <f t="shared" si="733"/>
        <v>0</v>
      </c>
      <c r="BG460" s="476">
        <f t="shared" si="734"/>
        <v>0</v>
      </c>
    </row>
    <row r="461" spans="1:59" ht="16.5" customHeight="1">
      <c r="A461" s="585" t="s">
        <v>752</v>
      </c>
      <c r="B461" s="585" t="s">
        <v>1096</v>
      </c>
      <c r="C461" s="584" t="s">
        <v>1915</v>
      </c>
      <c r="D461" s="413" t="s">
        <v>508</v>
      </c>
      <c r="E461" s="412" t="s">
        <v>330</v>
      </c>
      <c r="F461" s="413" t="s">
        <v>330</v>
      </c>
      <c r="G461" s="412" t="s">
        <v>330</v>
      </c>
      <c r="H461" s="412" t="s">
        <v>974</v>
      </c>
      <c r="I461" s="477">
        <v>28375</v>
      </c>
      <c r="J461" s="477">
        <v>0</v>
      </c>
      <c r="K461" s="477"/>
      <c r="L461" s="477"/>
      <c r="M461" s="477">
        <f t="shared" si="735"/>
        <v>28375</v>
      </c>
      <c r="N461" s="477">
        <f t="shared" si="736"/>
        <v>0</v>
      </c>
      <c r="O461" s="477"/>
      <c r="P461" s="477"/>
      <c r="Q461" s="477">
        <f t="shared" si="694"/>
        <v>28375</v>
      </c>
      <c r="R461" s="477">
        <f t="shared" si="695"/>
        <v>0</v>
      </c>
      <c r="S461" s="477">
        <f t="shared" si="696"/>
        <v>28375</v>
      </c>
      <c r="V461" s="476">
        <f t="shared" si="697"/>
        <v>28375</v>
      </c>
      <c r="W461" s="476">
        <f t="shared" si="698"/>
        <v>0</v>
      </c>
      <c r="X461" s="476">
        <f t="shared" si="699"/>
        <v>0</v>
      </c>
      <c r="Y461" s="476">
        <f t="shared" si="700"/>
        <v>0</v>
      </c>
      <c r="Z461" s="476">
        <f t="shared" si="701"/>
        <v>0</v>
      </c>
      <c r="AA461" s="476">
        <f t="shared" si="702"/>
        <v>0</v>
      </c>
      <c r="AB461" s="476">
        <f t="shared" si="703"/>
        <v>0</v>
      </c>
      <c r="AC461" s="476">
        <f t="shared" si="704"/>
        <v>0</v>
      </c>
      <c r="AD461" s="476">
        <f t="shared" si="705"/>
        <v>0</v>
      </c>
      <c r="AE461" s="476">
        <f t="shared" si="706"/>
        <v>0</v>
      </c>
      <c r="AF461" s="476">
        <f t="shared" si="707"/>
        <v>0</v>
      </c>
      <c r="AG461" s="476">
        <f t="shared" si="708"/>
        <v>0</v>
      </c>
      <c r="AH461" s="476">
        <f t="shared" si="709"/>
        <v>0</v>
      </c>
      <c r="AI461" s="476">
        <f t="shared" si="710"/>
        <v>0</v>
      </c>
      <c r="AJ461" s="476">
        <f t="shared" si="711"/>
        <v>0</v>
      </c>
      <c r="AK461" s="476">
        <f t="shared" si="712"/>
        <v>0</v>
      </c>
      <c r="AL461" s="476">
        <f t="shared" si="713"/>
        <v>0</v>
      </c>
      <c r="AM461" s="476">
        <f t="shared" si="714"/>
        <v>0</v>
      </c>
      <c r="AN461" s="476">
        <f t="shared" si="715"/>
        <v>0</v>
      </c>
      <c r="AO461" s="476">
        <f t="shared" si="716"/>
        <v>0</v>
      </c>
      <c r="AP461" s="476">
        <f t="shared" si="717"/>
        <v>0</v>
      </c>
      <c r="AQ461" s="476">
        <f t="shared" si="718"/>
        <v>0</v>
      </c>
      <c r="AR461" s="476">
        <f t="shared" si="719"/>
        <v>0</v>
      </c>
      <c r="AS461" s="476">
        <f t="shared" si="720"/>
        <v>0</v>
      </c>
      <c r="AT461" s="476">
        <f t="shared" si="721"/>
        <v>0</v>
      </c>
      <c r="AU461" s="476">
        <f t="shared" si="722"/>
        <v>0</v>
      </c>
      <c r="AV461" s="476">
        <f t="shared" si="723"/>
        <v>0</v>
      </c>
      <c r="AW461" s="476">
        <f t="shared" si="724"/>
        <v>0</v>
      </c>
      <c r="AX461" s="476">
        <f t="shared" si="725"/>
        <v>0</v>
      </c>
      <c r="AY461" s="476">
        <f t="shared" si="726"/>
        <v>0</v>
      </c>
      <c r="AZ461" s="476">
        <f t="shared" si="727"/>
        <v>0</v>
      </c>
      <c r="BA461" s="476">
        <f t="shared" si="728"/>
        <v>0</v>
      </c>
      <c r="BB461" s="476">
        <f t="shared" si="729"/>
        <v>0</v>
      </c>
      <c r="BC461" s="476">
        <f t="shared" si="730"/>
        <v>0</v>
      </c>
      <c r="BD461" s="476">
        <f t="shared" si="731"/>
        <v>0</v>
      </c>
      <c r="BE461" s="476">
        <f t="shared" si="732"/>
        <v>0</v>
      </c>
      <c r="BF461" s="476">
        <f t="shared" si="733"/>
        <v>0</v>
      </c>
      <c r="BG461" s="476">
        <f t="shared" si="734"/>
        <v>0</v>
      </c>
    </row>
    <row r="462" spans="1:59" ht="16.5" customHeight="1">
      <c r="A462" s="585" t="s">
        <v>753</v>
      </c>
      <c r="B462" s="585" t="s">
        <v>1097</v>
      </c>
      <c r="C462" s="584" t="s">
        <v>1916</v>
      </c>
      <c r="D462" s="413" t="s">
        <v>508</v>
      </c>
      <c r="E462" s="412" t="s">
        <v>330</v>
      </c>
      <c r="F462" s="413" t="s">
        <v>330</v>
      </c>
      <c r="G462" s="412" t="s">
        <v>330</v>
      </c>
      <c r="H462" s="412" t="s">
        <v>1014</v>
      </c>
      <c r="I462" s="477">
        <v>50000</v>
      </c>
      <c r="J462" s="477">
        <v>0</v>
      </c>
      <c r="K462" s="477"/>
      <c r="L462" s="477"/>
      <c r="M462" s="477">
        <f t="shared" si="735"/>
        <v>50000</v>
      </c>
      <c r="N462" s="477">
        <f t="shared" si="736"/>
        <v>0</v>
      </c>
      <c r="O462" s="477"/>
      <c r="P462" s="477"/>
      <c r="Q462" s="477">
        <f t="shared" si="694"/>
        <v>50000</v>
      </c>
      <c r="R462" s="477">
        <f t="shared" si="695"/>
        <v>0</v>
      </c>
      <c r="S462" s="477">
        <f t="shared" si="696"/>
        <v>50000</v>
      </c>
      <c r="V462" s="476">
        <f t="shared" si="697"/>
        <v>0</v>
      </c>
      <c r="W462" s="476">
        <f t="shared" si="698"/>
        <v>0</v>
      </c>
      <c r="X462" s="476">
        <f t="shared" si="699"/>
        <v>0</v>
      </c>
      <c r="Y462" s="476">
        <f t="shared" si="700"/>
        <v>0</v>
      </c>
      <c r="Z462" s="476">
        <f t="shared" si="701"/>
        <v>0</v>
      </c>
      <c r="AA462" s="476">
        <f t="shared" si="702"/>
        <v>0</v>
      </c>
      <c r="AB462" s="476">
        <f t="shared" si="703"/>
        <v>0</v>
      </c>
      <c r="AC462" s="476">
        <f t="shared" si="704"/>
        <v>0</v>
      </c>
      <c r="AD462" s="476">
        <f t="shared" si="705"/>
        <v>0</v>
      </c>
      <c r="AE462" s="476">
        <f t="shared" si="706"/>
        <v>0</v>
      </c>
      <c r="AF462" s="476">
        <f t="shared" si="707"/>
        <v>0</v>
      </c>
      <c r="AG462" s="476">
        <f t="shared" si="708"/>
        <v>0</v>
      </c>
      <c r="AH462" s="476">
        <f t="shared" si="709"/>
        <v>0</v>
      </c>
      <c r="AI462" s="476">
        <f t="shared" si="710"/>
        <v>0</v>
      </c>
      <c r="AJ462" s="476">
        <f t="shared" si="711"/>
        <v>0</v>
      </c>
      <c r="AK462" s="476">
        <f t="shared" si="712"/>
        <v>0</v>
      </c>
      <c r="AL462" s="476">
        <f t="shared" si="713"/>
        <v>0</v>
      </c>
      <c r="AM462" s="476">
        <f t="shared" si="714"/>
        <v>0</v>
      </c>
      <c r="AN462" s="476">
        <f t="shared" si="715"/>
        <v>0</v>
      </c>
      <c r="AO462" s="476">
        <f t="shared" si="716"/>
        <v>0</v>
      </c>
      <c r="AP462" s="476">
        <f t="shared" si="717"/>
        <v>50000</v>
      </c>
      <c r="AQ462" s="476">
        <f t="shared" si="718"/>
        <v>0</v>
      </c>
      <c r="AR462" s="476">
        <f t="shared" si="719"/>
        <v>0</v>
      </c>
      <c r="AS462" s="476">
        <f t="shared" si="720"/>
        <v>0</v>
      </c>
      <c r="AT462" s="476">
        <f t="shared" si="721"/>
        <v>0</v>
      </c>
      <c r="AU462" s="476">
        <f t="shared" si="722"/>
        <v>0</v>
      </c>
      <c r="AV462" s="476">
        <f t="shared" si="723"/>
        <v>0</v>
      </c>
      <c r="AW462" s="476">
        <f t="shared" si="724"/>
        <v>0</v>
      </c>
      <c r="AX462" s="476">
        <f t="shared" si="725"/>
        <v>0</v>
      </c>
      <c r="AY462" s="476">
        <f t="shared" si="726"/>
        <v>0</v>
      </c>
      <c r="AZ462" s="476">
        <f t="shared" si="727"/>
        <v>0</v>
      </c>
      <c r="BA462" s="476">
        <f t="shared" si="728"/>
        <v>0</v>
      </c>
      <c r="BB462" s="476">
        <f t="shared" si="729"/>
        <v>0</v>
      </c>
      <c r="BC462" s="476">
        <f t="shared" si="730"/>
        <v>0</v>
      </c>
      <c r="BD462" s="476">
        <f t="shared" si="731"/>
        <v>0</v>
      </c>
      <c r="BE462" s="476">
        <f t="shared" si="732"/>
        <v>0</v>
      </c>
      <c r="BF462" s="476">
        <f t="shared" si="733"/>
        <v>0</v>
      </c>
      <c r="BG462" s="476">
        <f t="shared" si="734"/>
        <v>0</v>
      </c>
    </row>
    <row r="463" spans="1:59" ht="16.5" customHeight="1">
      <c r="A463" s="585" t="s">
        <v>753</v>
      </c>
      <c r="B463" s="585" t="s">
        <v>1097</v>
      </c>
      <c r="C463" s="584" t="s">
        <v>1917</v>
      </c>
      <c r="D463" s="413" t="s">
        <v>508</v>
      </c>
      <c r="E463" s="412" t="s">
        <v>330</v>
      </c>
      <c r="F463" s="413" t="s">
        <v>330</v>
      </c>
      <c r="G463" s="412" t="s">
        <v>330</v>
      </c>
      <c r="H463" s="412" t="s">
        <v>974</v>
      </c>
      <c r="I463" s="477">
        <v>0</v>
      </c>
      <c r="J463" s="477">
        <v>389314</v>
      </c>
      <c r="K463" s="477"/>
      <c r="L463" s="477"/>
      <c r="M463" s="477">
        <f t="shared" si="735"/>
        <v>0</v>
      </c>
      <c r="N463" s="477">
        <f t="shared" si="736"/>
        <v>389314</v>
      </c>
      <c r="O463" s="477"/>
      <c r="P463" s="477"/>
      <c r="Q463" s="477">
        <f t="shared" si="694"/>
        <v>0</v>
      </c>
      <c r="R463" s="477">
        <f t="shared" si="695"/>
        <v>389314</v>
      </c>
      <c r="S463" s="477">
        <f t="shared" si="696"/>
        <v>-389314</v>
      </c>
      <c r="V463" s="476">
        <f t="shared" si="697"/>
        <v>0</v>
      </c>
      <c r="W463" s="476">
        <f t="shared" si="698"/>
        <v>389314</v>
      </c>
      <c r="X463" s="476">
        <f t="shared" si="699"/>
        <v>0</v>
      </c>
      <c r="Y463" s="476">
        <f t="shared" si="700"/>
        <v>0</v>
      </c>
      <c r="Z463" s="476">
        <f t="shared" si="701"/>
        <v>0</v>
      </c>
      <c r="AA463" s="476">
        <f t="shared" si="702"/>
        <v>0</v>
      </c>
      <c r="AB463" s="476">
        <f t="shared" si="703"/>
        <v>0</v>
      </c>
      <c r="AC463" s="476">
        <f t="shared" si="704"/>
        <v>0</v>
      </c>
      <c r="AD463" s="476">
        <f t="shared" si="705"/>
        <v>0</v>
      </c>
      <c r="AE463" s="476">
        <f t="shared" si="706"/>
        <v>0</v>
      </c>
      <c r="AF463" s="476">
        <f t="shared" si="707"/>
        <v>0</v>
      </c>
      <c r="AG463" s="476">
        <f t="shared" si="708"/>
        <v>0</v>
      </c>
      <c r="AH463" s="476">
        <f t="shared" si="709"/>
        <v>0</v>
      </c>
      <c r="AI463" s="476">
        <f t="shared" si="710"/>
        <v>0</v>
      </c>
      <c r="AJ463" s="476">
        <f t="shared" si="711"/>
        <v>0</v>
      </c>
      <c r="AK463" s="476">
        <f t="shared" si="712"/>
        <v>0</v>
      </c>
      <c r="AL463" s="476">
        <f t="shared" si="713"/>
        <v>0</v>
      </c>
      <c r="AM463" s="476">
        <f t="shared" si="714"/>
        <v>0</v>
      </c>
      <c r="AN463" s="476">
        <f t="shared" si="715"/>
        <v>0</v>
      </c>
      <c r="AO463" s="476">
        <f t="shared" si="716"/>
        <v>0</v>
      </c>
      <c r="AP463" s="476">
        <f t="shared" si="717"/>
        <v>0</v>
      </c>
      <c r="AQ463" s="476">
        <f t="shared" si="718"/>
        <v>0</v>
      </c>
      <c r="AR463" s="476">
        <f t="shared" si="719"/>
        <v>0</v>
      </c>
      <c r="AS463" s="476">
        <f t="shared" si="720"/>
        <v>0</v>
      </c>
      <c r="AT463" s="476">
        <f t="shared" si="721"/>
        <v>0</v>
      </c>
      <c r="AU463" s="476">
        <f t="shared" si="722"/>
        <v>0</v>
      </c>
      <c r="AV463" s="476">
        <f t="shared" si="723"/>
        <v>0</v>
      </c>
      <c r="AW463" s="476">
        <f t="shared" si="724"/>
        <v>0</v>
      </c>
      <c r="AX463" s="476">
        <f t="shared" si="725"/>
        <v>0</v>
      </c>
      <c r="AY463" s="476">
        <f t="shared" si="726"/>
        <v>0</v>
      </c>
      <c r="AZ463" s="476">
        <f t="shared" si="727"/>
        <v>0</v>
      </c>
      <c r="BA463" s="476">
        <f t="shared" si="728"/>
        <v>0</v>
      </c>
      <c r="BB463" s="476">
        <f t="shared" si="729"/>
        <v>0</v>
      </c>
      <c r="BC463" s="476">
        <f t="shared" si="730"/>
        <v>0</v>
      </c>
      <c r="BD463" s="476">
        <f t="shared" si="731"/>
        <v>0</v>
      </c>
      <c r="BE463" s="476">
        <f t="shared" si="732"/>
        <v>0</v>
      </c>
      <c r="BF463" s="476">
        <f t="shared" si="733"/>
        <v>0</v>
      </c>
      <c r="BG463" s="476">
        <f t="shared" si="734"/>
        <v>0</v>
      </c>
    </row>
    <row r="464" spans="1:59" ht="16.5" customHeight="1">
      <c r="A464" s="585" t="s">
        <v>753</v>
      </c>
      <c r="B464" s="585" t="s">
        <v>1097</v>
      </c>
      <c r="C464" s="584" t="s">
        <v>1918</v>
      </c>
      <c r="D464" s="413" t="s">
        <v>508</v>
      </c>
      <c r="E464" s="412" t="s">
        <v>330</v>
      </c>
      <c r="F464" s="413" t="s">
        <v>330</v>
      </c>
      <c r="G464" s="412" t="s">
        <v>330</v>
      </c>
      <c r="H464" s="412" t="s">
        <v>1055</v>
      </c>
      <c r="I464" s="477">
        <v>0</v>
      </c>
      <c r="J464" s="477">
        <v>103519</v>
      </c>
      <c r="K464" s="477"/>
      <c r="L464" s="477"/>
      <c r="M464" s="477">
        <f t="shared" si="735"/>
        <v>0</v>
      </c>
      <c r="N464" s="477">
        <f t="shared" si="736"/>
        <v>103519</v>
      </c>
      <c r="O464" s="477"/>
      <c r="P464" s="477"/>
      <c r="Q464" s="477">
        <f t="shared" si="694"/>
        <v>0</v>
      </c>
      <c r="R464" s="477">
        <f t="shared" si="695"/>
        <v>103519</v>
      </c>
      <c r="S464" s="477">
        <f t="shared" si="696"/>
        <v>-103519</v>
      </c>
      <c r="V464" s="476">
        <f t="shared" si="697"/>
        <v>0</v>
      </c>
      <c r="W464" s="476">
        <f t="shared" si="698"/>
        <v>0</v>
      </c>
      <c r="X464" s="476">
        <f t="shared" si="699"/>
        <v>0</v>
      </c>
      <c r="Y464" s="476">
        <f t="shared" si="700"/>
        <v>0</v>
      </c>
      <c r="Z464" s="476">
        <f t="shared" si="701"/>
        <v>0</v>
      </c>
      <c r="AA464" s="476">
        <f t="shared" si="702"/>
        <v>0</v>
      </c>
      <c r="AB464" s="476">
        <f t="shared" si="703"/>
        <v>0</v>
      </c>
      <c r="AC464" s="476">
        <f t="shared" si="704"/>
        <v>0</v>
      </c>
      <c r="AD464" s="476">
        <f t="shared" si="705"/>
        <v>0</v>
      </c>
      <c r="AE464" s="476">
        <f t="shared" si="706"/>
        <v>0</v>
      </c>
      <c r="AF464" s="476">
        <f t="shared" si="707"/>
        <v>0</v>
      </c>
      <c r="AG464" s="476">
        <f t="shared" si="708"/>
        <v>0</v>
      </c>
      <c r="AH464" s="476">
        <f t="shared" si="709"/>
        <v>0</v>
      </c>
      <c r="AI464" s="476">
        <f t="shared" si="710"/>
        <v>0</v>
      </c>
      <c r="AJ464" s="476">
        <f t="shared" si="711"/>
        <v>0</v>
      </c>
      <c r="AK464" s="476">
        <f t="shared" si="712"/>
        <v>0</v>
      </c>
      <c r="AL464" s="476">
        <f t="shared" si="713"/>
        <v>0</v>
      </c>
      <c r="AM464" s="476">
        <f t="shared" si="714"/>
        <v>0</v>
      </c>
      <c r="AN464" s="476">
        <f t="shared" si="715"/>
        <v>0</v>
      </c>
      <c r="AO464" s="476">
        <f t="shared" si="716"/>
        <v>0</v>
      </c>
      <c r="AP464" s="476">
        <f t="shared" si="717"/>
        <v>0</v>
      </c>
      <c r="AQ464" s="476">
        <f t="shared" si="718"/>
        <v>0</v>
      </c>
      <c r="AR464" s="476">
        <f t="shared" si="719"/>
        <v>0</v>
      </c>
      <c r="AS464" s="476">
        <f t="shared" si="720"/>
        <v>0</v>
      </c>
      <c r="AT464" s="476">
        <f t="shared" si="721"/>
        <v>0</v>
      </c>
      <c r="AU464" s="476">
        <f t="shared" si="722"/>
        <v>0</v>
      </c>
      <c r="AV464" s="476">
        <f t="shared" si="723"/>
        <v>0</v>
      </c>
      <c r="AW464" s="476">
        <f t="shared" si="724"/>
        <v>0</v>
      </c>
      <c r="AX464" s="476">
        <f t="shared" si="725"/>
        <v>0</v>
      </c>
      <c r="AY464" s="476">
        <f t="shared" si="726"/>
        <v>0</v>
      </c>
      <c r="AZ464" s="476">
        <f t="shared" si="727"/>
        <v>0</v>
      </c>
      <c r="BA464" s="476">
        <f t="shared" si="728"/>
        <v>0</v>
      </c>
      <c r="BB464" s="476">
        <f t="shared" si="729"/>
        <v>0</v>
      </c>
      <c r="BC464" s="476">
        <f t="shared" si="730"/>
        <v>103519</v>
      </c>
      <c r="BD464" s="476">
        <f t="shared" si="731"/>
        <v>0</v>
      </c>
      <c r="BE464" s="476">
        <f t="shared" si="732"/>
        <v>0</v>
      </c>
      <c r="BF464" s="476">
        <f t="shared" si="733"/>
        <v>0</v>
      </c>
      <c r="BG464" s="476">
        <f t="shared" si="734"/>
        <v>0</v>
      </c>
    </row>
    <row r="465" spans="1:59" ht="16.5" customHeight="1">
      <c r="A465" s="585" t="s">
        <v>753</v>
      </c>
      <c r="B465" s="585" t="s">
        <v>1097</v>
      </c>
      <c r="C465" s="584" t="s">
        <v>1919</v>
      </c>
      <c r="D465" s="413" t="s">
        <v>508</v>
      </c>
      <c r="E465" s="412" t="s">
        <v>330</v>
      </c>
      <c r="F465" s="413" t="s">
        <v>330</v>
      </c>
      <c r="G465" s="412" t="s">
        <v>330</v>
      </c>
      <c r="H465" s="412" t="s">
        <v>1022</v>
      </c>
      <c r="I465" s="477">
        <v>111000</v>
      </c>
      <c r="J465" s="477">
        <v>0</v>
      </c>
      <c r="K465" s="477"/>
      <c r="L465" s="477"/>
      <c r="M465" s="477">
        <f t="shared" si="735"/>
        <v>111000</v>
      </c>
      <c r="N465" s="477">
        <f t="shared" si="736"/>
        <v>0</v>
      </c>
      <c r="O465" s="477"/>
      <c r="P465" s="477"/>
      <c r="Q465" s="477">
        <f t="shared" si="694"/>
        <v>111000</v>
      </c>
      <c r="R465" s="477">
        <f t="shared" si="695"/>
        <v>0</v>
      </c>
      <c r="S465" s="477">
        <f t="shared" si="696"/>
        <v>111000</v>
      </c>
      <c r="V465" s="476">
        <f t="shared" si="697"/>
        <v>0</v>
      </c>
      <c r="W465" s="476">
        <f t="shared" si="698"/>
        <v>0</v>
      </c>
      <c r="X465" s="476">
        <f t="shared" si="699"/>
        <v>0</v>
      </c>
      <c r="Y465" s="476">
        <f t="shared" si="700"/>
        <v>0</v>
      </c>
      <c r="Z465" s="476">
        <f t="shared" si="701"/>
        <v>0</v>
      </c>
      <c r="AA465" s="476">
        <f t="shared" si="702"/>
        <v>0</v>
      </c>
      <c r="AB465" s="476">
        <f t="shared" si="703"/>
        <v>0</v>
      </c>
      <c r="AC465" s="476">
        <f t="shared" si="704"/>
        <v>0</v>
      </c>
      <c r="AD465" s="476">
        <f t="shared" si="705"/>
        <v>0</v>
      </c>
      <c r="AE465" s="476">
        <f t="shared" si="706"/>
        <v>0</v>
      </c>
      <c r="AF465" s="476">
        <f t="shared" si="707"/>
        <v>0</v>
      </c>
      <c r="AG465" s="476">
        <f t="shared" si="708"/>
        <v>0</v>
      </c>
      <c r="AH465" s="476">
        <f t="shared" si="709"/>
        <v>0</v>
      </c>
      <c r="AI465" s="476">
        <f t="shared" si="710"/>
        <v>0</v>
      </c>
      <c r="AJ465" s="476">
        <f t="shared" si="711"/>
        <v>0</v>
      </c>
      <c r="AK465" s="476">
        <f t="shared" si="712"/>
        <v>0</v>
      </c>
      <c r="AL465" s="476">
        <f t="shared" si="713"/>
        <v>0</v>
      </c>
      <c r="AM465" s="476">
        <f t="shared" si="714"/>
        <v>0</v>
      </c>
      <c r="AN465" s="476">
        <f t="shared" si="715"/>
        <v>0</v>
      </c>
      <c r="AO465" s="476">
        <f t="shared" si="716"/>
        <v>0</v>
      </c>
      <c r="AP465" s="476">
        <f t="shared" si="717"/>
        <v>0</v>
      </c>
      <c r="AQ465" s="476">
        <f t="shared" si="718"/>
        <v>0</v>
      </c>
      <c r="AR465" s="476">
        <f t="shared" si="719"/>
        <v>0</v>
      </c>
      <c r="AS465" s="476">
        <f t="shared" si="720"/>
        <v>0</v>
      </c>
      <c r="AT465" s="476">
        <f t="shared" si="721"/>
        <v>0</v>
      </c>
      <c r="AU465" s="476">
        <f t="shared" si="722"/>
        <v>0</v>
      </c>
      <c r="AV465" s="476">
        <f t="shared" si="723"/>
        <v>111000</v>
      </c>
      <c r="AW465" s="476">
        <f t="shared" si="724"/>
        <v>0</v>
      </c>
      <c r="AX465" s="476">
        <f t="shared" si="725"/>
        <v>0</v>
      </c>
      <c r="AY465" s="476">
        <f t="shared" si="726"/>
        <v>0</v>
      </c>
      <c r="AZ465" s="476">
        <f t="shared" si="727"/>
        <v>0</v>
      </c>
      <c r="BA465" s="476">
        <f t="shared" si="728"/>
        <v>0</v>
      </c>
      <c r="BB465" s="476">
        <f t="shared" si="729"/>
        <v>0</v>
      </c>
      <c r="BC465" s="476">
        <f t="shared" si="730"/>
        <v>0</v>
      </c>
      <c r="BD465" s="476">
        <f t="shared" si="731"/>
        <v>0</v>
      </c>
      <c r="BE465" s="476">
        <f t="shared" si="732"/>
        <v>0</v>
      </c>
      <c r="BF465" s="476">
        <f t="shared" si="733"/>
        <v>0</v>
      </c>
      <c r="BG465" s="476">
        <f t="shared" si="734"/>
        <v>0</v>
      </c>
    </row>
    <row r="466" spans="1:59" ht="16.5" customHeight="1">
      <c r="A466" s="585" t="s">
        <v>754</v>
      </c>
      <c r="B466" s="585" t="s">
        <v>1098</v>
      </c>
      <c r="C466" s="584" t="s">
        <v>1920</v>
      </c>
      <c r="D466" s="413" t="s">
        <v>508</v>
      </c>
      <c r="E466" s="412" t="s">
        <v>330</v>
      </c>
      <c r="F466" s="413" t="s">
        <v>330</v>
      </c>
      <c r="G466" s="412" t="s">
        <v>330</v>
      </c>
      <c r="H466" s="412" t="s">
        <v>974</v>
      </c>
      <c r="I466" s="477">
        <v>0</v>
      </c>
      <c r="J466" s="477">
        <v>2662608</v>
      </c>
      <c r="K466" s="477"/>
      <c r="L466" s="477"/>
      <c r="M466" s="477">
        <f t="shared" si="735"/>
        <v>0</v>
      </c>
      <c r="N466" s="477">
        <f t="shared" si="736"/>
        <v>2662608</v>
      </c>
      <c r="O466" s="477"/>
      <c r="P466" s="477"/>
      <c r="Q466" s="477">
        <f t="shared" si="694"/>
        <v>0</v>
      </c>
      <c r="R466" s="477">
        <f t="shared" si="695"/>
        <v>2662608</v>
      </c>
      <c r="S466" s="477">
        <f t="shared" si="696"/>
        <v>-2662608</v>
      </c>
      <c r="V466" s="476">
        <f t="shared" si="697"/>
        <v>0</v>
      </c>
      <c r="W466" s="476">
        <f t="shared" si="698"/>
        <v>2662608</v>
      </c>
      <c r="X466" s="476">
        <f t="shared" si="699"/>
        <v>0</v>
      </c>
      <c r="Y466" s="476">
        <f t="shared" si="700"/>
        <v>0</v>
      </c>
      <c r="Z466" s="476">
        <f t="shared" si="701"/>
        <v>0</v>
      </c>
      <c r="AA466" s="476">
        <f t="shared" si="702"/>
        <v>0</v>
      </c>
      <c r="AB466" s="476">
        <f t="shared" si="703"/>
        <v>0</v>
      </c>
      <c r="AC466" s="476">
        <f t="shared" si="704"/>
        <v>0</v>
      </c>
      <c r="AD466" s="476">
        <f t="shared" si="705"/>
        <v>0</v>
      </c>
      <c r="AE466" s="476">
        <f t="shared" si="706"/>
        <v>0</v>
      </c>
      <c r="AF466" s="476">
        <f t="shared" si="707"/>
        <v>0</v>
      </c>
      <c r="AG466" s="476">
        <f t="shared" si="708"/>
        <v>0</v>
      </c>
      <c r="AH466" s="476">
        <f t="shared" si="709"/>
        <v>0</v>
      </c>
      <c r="AI466" s="476">
        <f t="shared" si="710"/>
        <v>0</v>
      </c>
      <c r="AJ466" s="476">
        <f t="shared" si="711"/>
        <v>0</v>
      </c>
      <c r="AK466" s="476">
        <f t="shared" si="712"/>
        <v>0</v>
      </c>
      <c r="AL466" s="476">
        <f t="shared" si="713"/>
        <v>0</v>
      </c>
      <c r="AM466" s="476">
        <f t="shared" si="714"/>
        <v>0</v>
      </c>
      <c r="AN466" s="476">
        <f t="shared" si="715"/>
        <v>0</v>
      </c>
      <c r="AO466" s="476">
        <f t="shared" si="716"/>
        <v>0</v>
      </c>
      <c r="AP466" s="476">
        <f t="shared" si="717"/>
        <v>0</v>
      </c>
      <c r="AQ466" s="476">
        <f t="shared" si="718"/>
        <v>0</v>
      </c>
      <c r="AR466" s="476">
        <f t="shared" si="719"/>
        <v>0</v>
      </c>
      <c r="AS466" s="476">
        <f t="shared" si="720"/>
        <v>0</v>
      </c>
      <c r="AT466" s="476">
        <f t="shared" si="721"/>
        <v>0</v>
      </c>
      <c r="AU466" s="476">
        <f t="shared" si="722"/>
        <v>0</v>
      </c>
      <c r="AV466" s="476">
        <f t="shared" si="723"/>
        <v>0</v>
      </c>
      <c r="AW466" s="476">
        <f t="shared" si="724"/>
        <v>0</v>
      </c>
      <c r="AX466" s="476">
        <f t="shared" si="725"/>
        <v>0</v>
      </c>
      <c r="AY466" s="476">
        <f t="shared" si="726"/>
        <v>0</v>
      </c>
      <c r="AZ466" s="476">
        <f t="shared" si="727"/>
        <v>0</v>
      </c>
      <c r="BA466" s="476">
        <f t="shared" si="728"/>
        <v>0</v>
      </c>
      <c r="BB466" s="476">
        <f t="shared" si="729"/>
        <v>0</v>
      </c>
      <c r="BC466" s="476">
        <f t="shared" si="730"/>
        <v>0</v>
      </c>
      <c r="BD466" s="476">
        <f t="shared" si="731"/>
        <v>0</v>
      </c>
      <c r="BE466" s="476">
        <f t="shared" si="732"/>
        <v>0</v>
      </c>
      <c r="BF466" s="476">
        <f t="shared" si="733"/>
        <v>0</v>
      </c>
      <c r="BG466" s="476">
        <f t="shared" si="734"/>
        <v>0</v>
      </c>
    </row>
    <row r="467" spans="1:59" ht="16.5" customHeight="1">
      <c r="A467" s="585" t="s">
        <v>755</v>
      </c>
      <c r="B467" s="585" t="s">
        <v>1099</v>
      </c>
      <c r="C467" s="584" t="s">
        <v>1921</v>
      </c>
      <c r="D467" s="413" t="s">
        <v>508</v>
      </c>
      <c r="E467" s="412" t="s">
        <v>330</v>
      </c>
      <c r="F467" s="413" t="s">
        <v>330</v>
      </c>
      <c r="G467" s="412" t="s">
        <v>330</v>
      </c>
      <c r="H467" s="412" t="s">
        <v>974</v>
      </c>
      <c r="I467" s="477">
        <v>0</v>
      </c>
      <c r="J467" s="477">
        <v>913998</v>
      </c>
      <c r="K467" s="477"/>
      <c r="L467" s="477"/>
      <c r="M467" s="477">
        <f t="shared" si="735"/>
        <v>0</v>
      </c>
      <c r="N467" s="477">
        <f t="shared" si="736"/>
        <v>913998</v>
      </c>
      <c r="O467" s="477"/>
      <c r="P467" s="477"/>
      <c r="Q467" s="477">
        <f t="shared" ref="Q467" si="737">+M467+O467</f>
        <v>0</v>
      </c>
      <c r="R467" s="477">
        <f t="shared" ref="R467" si="738">+N467+P467</f>
        <v>913998</v>
      </c>
      <c r="S467" s="477">
        <f t="shared" ref="S467" si="739">+Q467-R467</f>
        <v>-913998</v>
      </c>
      <c r="V467" s="476"/>
      <c r="W467" s="476"/>
      <c r="X467" s="476"/>
      <c r="Y467" s="476"/>
      <c r="Z467" s="476"/>
      <c r="AA467" s="476"/>
      <c r="AB467" s="476"/>
      <c r="AC467" s="476"/>
      <c r="AD467" s="476"/>
      <c r="AE467" s="476"/>
      <c r="AF467" s="476"/>
      <c r="AG467" s="476"/>
      <c r="AH467" s="476"/>
      <c r="AI467" s="476"/>
      <c r="AJ467" s="476"/>
      <c r="AK467" s="476"/>
      <c r="AL467" s="476"/>
      <c r="AM467" s="476"/>
      <c r="AN467" s="476"/>
      <c r="AO467" s="476"/>
      <c r="AP467" s="476"/>
      <c r="AQ467" s="476"/>
      <c r="AR467" s="476"/>
      <c r="AS467" s="476"/>
      <c r="AT467" s="476"/>
      <c r="AU467" s="476"/>
      <c r="AV467" s="476"/>
      <c r="AW467" s="476"/>
      <c r="AX467" s="476"/>
      <c r="AY467" s="476"/>
      <c r="AZ467" s="476"/>
      <c r="BA467" s="476"/>
      <c r="BB467" s="476"/>
      <c r="BC467" s="476"/>
      <c r="BD467" s="476"/>
      <c r="BE467" s="476"/>
      <c r="BF467" s="476"/>
      <c r="BG467" s="476"/>
    </row>
    <row r="468" spans="1:59" ht="16.5" customHeight="1">
      <c r="A468" s="585" t="s">
        <v>756</v>
      </c>
      <c r="B468" s="585" t="s">
        <v>1100</v>
      </c>
      <c r="C468" s="584" t="s">
        <v>1922</v>
      </c>
      <c r="D468" s="413" t="s">
        <v>508</v>
      </c>
      <c r="E468" s="412" t="s">
        <v>330</v>
      </c>
      <c r="F468" s="412" t="s">
        <v>330</v>
      </c>
      <c r="G468" s="412" t="s">
        <v>330</v>
      </c>
      <c r="H468" s="412" t="s">
        <v>974</v>
      </c>
      <c r="I468" s="477">
        <v>74085</v>
      </c>
      <c r="J468" s="477">
        <v>389994</v>
      </c>
      <c r="K468" s="477"/>
      <c r="L468" s="477"/>
      <c r="M468" s="477">
        <f t="shared" si="735"/>
        <v>74085</v>
      </c>
      <c r="N468" s="477">
        <f t="shared" si="736"/>
        <v>389994</v>
      </c>
      <c r="O468" s="477"/>
      <c r="P468" s="477"/>
      <c r="Q468" s="477">
        <f t="shared" si="694"/>
        <v>74085</v>
      </c>
      <c r="R468" s="477">
        <f t="shared" si="695"/>
        <v>389994</v>
      </c>
      <c r="S468" s="477">
        <f t="shared" si="696"/>
        <v>-315909</v>
      </c>
      <c r="V468" s="476">
        <f>IF($V$8=$H468,$Q468,0)</f>
        <v>74085</v>
      </c>
      <c r="W468" s="476">
        <f>IF($V$8=$H468,$R468,0)</f>
        <v>389994</v>
      </c>
      <c r="X468" s="476">
        <f>IF($X$8=$H468,$Q468,0)</f>
        <v>0</v>
      </c>
      <c r="Y468" s="476">
        <f>IF($X$8=$H468,$R468,0)</f>
        <v>0</v>
      </c>
      <c r="Z468" s="476">
        <f>IF($Z$8=$H468,$Q468,0)</f>
        <v>0</v>
      </c>
      <c r="AA468" s="476">
        <f>IF($Z$8=$H468,$R468,0)</f>
        <v>0</v>
      </c>
      <c r="AB468" s="476">
        <f>IF($AB$8=$H468,$Q468,0)</f>
        <v>0</v>
      </c>
      <c r="AC468" s="476">
        <f>IF($AB$8=$H468,$R468,0)</f>
        <v>0</v>
      </c>
      <c r="AD468" s="476">
        <f>IF($AD$8=$H468,$Q468,0)</f>
        <v>0</v>
      </c>
      <c r="AE468" s="476">
        <f>IF($AD$8=$H468,$R468,0)</f>
        <v>0</v>
      </c>
      <c r="AF468" s="476">
        <f>IF($AF$8=$H468,$Q468,0)</f>
        <v>0</v>
      </c>
      <c r="AG468" s="476">
        <f>IF($AF$8=$H468,$R468,0)</f>
        <v>0</v>
      </c>
      <c r="AH468" s="476">
        <f>IF($AH$8=$H468,$Q468,0)</f>
        <v>0</v>
      </c>
      <c r="AI468" s="476">
        <f>IF($AH$8=$H468,$R468,0)</f>
        <v>0</v>
      </c>
      <c r="AJ468" s="476">
        <f>IF($AJ$8=$H468,$Q468,0)</f>
        <v>0</v>
      </c>
      <c r="AK468" s="476">
        <f>IF($AJ$8=$H468,$R468,0)</f>
        <v>0</v>
      </c>
      <c r="AL468" s="476">
        <f>IF($AL$8=$H468,$Q468,0)</f>
        <v>0</v>
      </c>
      <c r="AM468" s="476">
        <f>IF($AL$8=$H468,$R468,0)</f>
        <v>0</v>
      </c>
      <c r="AN468" s="476">
        <f>IF($AN$8=$H468,$Q468,0)</f>
        <v>0</v>
      </c>
      <c r="AO468" s="476">
        <f>IF($AN$8=$H468,$R468,0)</f>
        <v>0</v>
      </c>
      <c r="AP468" s="476">
        <f>IF($AP$8=$H468,$Q468,0)</f>
        <v>0</v>
      </c>
      <c r="AQ468" s="476">
        <f>IF($AP$8=$H468,$R468,0)</f>
        <v>0</v>
      </c>
      <c r="AR468" s="476">
        <f>IF($AR$8=$H468,$Q468,0)</f>
        <v>0</v>
      </c>
      <c r="AS468" s="476">
        <f>IF($AR$8=$H468,$R468,0)</f>
        <v>0</v>
      </c>
      <c r="AT468" s="476">
        <f>IF($AT$8=$H468,$Q468,0)</f>
        <v>0</v>
      </c>
      <c r="AU468" s="476">
        <f>IF($AT$8=$H468,$R468,0)</f>
        <v>0</v>
      </c>
      <c r="AV468" s="476">
        <f>IF($AV$8=$H468,$Q468,0)</f>
        <v>0</v>
      </c>
      <c r="AW468" s="476">
        <f>IF($AV$8=$H468,$R468,0)</f>
        <v>0</v>
      </c>
      <c r="AX468" s="476">
        <f>IF($AX$8=$H468,$Q468,0)</f>
        <v>0</v>
      </c>
      <c r="AY468" s="476">
        <f>IF($AX$8=$H468,$R468,0)</f>
        <v>0</v>
      </c>
      <c r="AZ468" s="476">
        <f>IF($AZ$8=$H468,$Q468,0)</f>
        <v>0</v>
      </c>
      <c r="BA468" s="476">
        <f>IF($AZ$8=$H468,$R468,0)</f>
        <v>0</v>
      </c>
      <c r="BB468" s="476">
        <f>IF($BB$8=$H468,$Q468,0)</f>
        <v>0</v>
      </c>
      <c r="BC468" s="476">
        <f>IF($BB$8=$H468,$R468,0)</f>
        <v>0</v>
      </c>
      <c r="BD468" s="476">
        <f>IF($BD$8=$H468,$Q468,0)</f>
        <v>0</v>
      </c>
      <c r="BE468" s="476">
        <f>IF($BD$8=$H468,$R468,0)</f>
        <v>0</v>
      </c>
      <c r="BF468" s="476">
        <f>IF($BF$8=$H468,$Q468,0)</f>
        <v>0</v>
      </c>
      <c r="BG468" s="476">
        <f>IF($BF$8=$H468,$R468,0)</f>
        <v>0</v>
      </c>
    </row>
    <row r="469" spans="1:59" ht="16.5" customHeight="1">
      <c r="A469" s="585" t="s">
        <v>756</v>
      </c>
      <c r="B469" s="585" t="s">
        <v>1100</v>
      </c>
      <c r="C469" s="584" t="s">
        <v>1923</v>
      </c>
      <c r="D469" s="413" t="s">
        <v>508</v>
      </c>
      <c r="E469" s="412" t="s">
        <v>330</v>
      </c>
      <c r="F469" s="413" t="s">
        <v>330</v>
      </c>
      <c r="G469" s="412" t="s">
        <v>330</v>
      </c>
      <c r="H469" s="412" t="s">
        <v>1019</v>
      </c>
      <c r="I469" s="477">
        <v>0</v>
      </c>
      <c r="J469" s="477">
        <v>308260</v>
      </c>
      <c r="K469" s="477"/>
      <c r="L469" s="477"/>
      <c r="M469" s="477">
        <f t="shared" si="735"/>
        <v>0</v>
      </c>
      <c r="N469" s="477">
        <f t="shared" si="736"/>
        <v>308260</v>
      </c>
      <c r="O469" s="477"/>
      <c r="P469" s="477"/>
      <c r="Q469" s="477">
        <f t="shared" si="694"/>
        <v>0</v>
      </c>
      <c r="R469" s="477">
        <f t="shared" si="695"/>
        <v>308260</v>
      </c>
      <c r="S469" s="477">
        <f t="shared" si="696"/>
        <v>-308260</v>
      </c>
      <c r="V469" s="476">
        <f>IF($V$8=$H469,$Q469,0)</f>
        <v>0</v>
      </c>
      <c r="W469" s="476">
        <f>IF($V$8=$H469,$R469,0)</f>
        <v>0</v>
      </c>
      <c r="X469" s="476">
        <f>IF($X$8=$H469,$Q469,0)</f>
        <v>0</v>
      </c>
      <c r="Y469" s="476">
        <f>IF($X$8=$H469,$R469,0)</f>
        <v>0</v>
      </c>
      <c r="Z469" s="476">
        <f>IF($Z$8=$H469,$Q469,0)</f>
        <v>0</v>
      </c>
      <c r="AA469" s="476">
        <f>IF($Z$8=$H469,$R469,0)</f>
        <v>0</v>
      </c>
      <c r="AB469" s="476">
        <f>IF($AB$8=$H469,$Q469,0)</f>
        <v>0</v>
      </c>
      <c r="AC469" s="476">
        <f>IF($AB$8=$H469,$R469,0)</f>
        <v>0</v>
      </c>
      <c r="AD469" s="476">
        <f>IF($AD$8=$H469,$Q469,0)</f>
        <v>0</v>
      </c>
      <c r="AE469" s="476">
        <f>IF($AD$8=$H469,$R469,0)</f>
        <v>308260</v>
      </c>
      <c r="AF469" s="476">
        <f>IF($AF$8=$H469,$Q469,0)</f>
        <v>0</v>
      </c>
      <c r="AG469" s="476">
        <f>IF($AF$8=$H469,$R469,0)</f>
        <v>0</v>
      </c>
      <c r="AH469" s="476">
        <f>IF($AH$8=$H469,$Q469,0)</f>
        <v>0</v>
      </c>
      <c r="AI469" s="476">
        <f>IF($AH$8=$H469,$R469,0)</f>
        <v>0</v>
      </c>
      <c r="AJ469" s="476">
        <f>IF($AJ$8=$H469,$Q469,0)</f>
        <v>0</v>
      </c>
      <c r="AK469" s="476">
        <f>IF($AJ$8=$H469,$R469,0)</f>
        <v>0</v>
      </c>
      <c r="AL469" s="476">
        <f>IF($AL$8=$H469,$Q469,0)</f>
        <v>0</v>
      </c>
      <c r="AM469" s="476">
        <f>IF($AL$8=$H469,$R469,0)</f>
        <v>0</v>
      </c>
      <c r="AN469" s="476">
        <f>IF($AN$8=$H469,$Q469,0)</f>
        <v>0</v>
      </c>
      <c r="AO469" s="476">
        <f>IF($AN$8=$H469,$R469,0)</f>
        <v>0</v>
      </c>
      <c r="AP469" s="476">
        <f>IF($AP$8=$H469,$Q469,0)</f>
        <v>0</v>
      </c>
      <c r="AQ469" s="476">
        <f>IF($AP$8=$H469,$R469,0)</f>
        <v>0</v>
      </c>
      <c r="AR469" s="476">
        <f>IF($AR$8=$H469,$Q469,0)</f>
        <v>0</v>
      </c>
      <c r="AS469" s="476">
        <f>IF($AR$8=$H469,$R469,0)</f>
        <v>0</v>
      </c>
      <c r="AT469" s="476">
        <f>IF($AT$8=$H469,$Q469,0)</f>
        <v>0</v>
      </c>
      <c r="AU469" s="476">
        <f>IF($AT$8=$H469,$R469,0)</f>
        <v>0</v>
      </c>
      <c r="AV469" s="476">
        <f>IF($AV$8=$H469,$Q469,0)</f>
        <v>0</v>
      </c>
      <c r="AW469" s="476">
        <f>IF($AV$8=$H469,$R469,0)</f>
        <v>0</v>
      </c>
      <c r="AX469" s="476">
        <f>IF($AX$8=$H469,$Q469,0)</f>
        <v>0</v>
      </c>
      <c r="AY469" s="476">
        <f>IF($AX$8=$H469,$R469,0)</f>
        <v>0</v>
      </c>
      <c r="AZ469" s="476">
        <f>IF($AZ$8=$H469,$Q469,0)</f>
        <v>0</v>
      </c>
      <c r="BA469" s="476">
        <f>IF($AZ$8=$H469,$R469,0)</f>
        <v>0</v>
      </c>
      <c r="BB469" s="476">
        <f>IF($BB$8=$H469,$Q469,0)</f>
        <v>0</v>
      </c>
      <c r="BC469" s="476">
        <f>IF($BB$8=$H469,$R469,0)</f>
        <v>0</v>
      </c>
      <c r="BD469" s="476">
        <f>IF($BD$8=$H469,$Q469,0)</f>
        <v>0</v>
      </c>
      <c r="BE469" s="476">
        <f>IF($BD$8=$H469,$R469,0)</f>
        <v>0</v>
      </c>
      <c r="BF469" s="476">
        <f>IF($BF$8=$H469,$Q469,0)</f>
        <v>0</v>
      </c>
      <c r="BG469" s="476">
        <f>IF($BF$8=$H469,$R469,0)</f>
        <v>0</v>
      </c>
    </row>
    <row r="470" spans="1:59" ht="16.5" customHeight="1">
      <c r="A470" s="585" t="s">
        <v>757</v>
      </c>
      <c r="B470" s="585" t="s">
        <v>1101</v>
      </c>
      <c r="C470" s="584" t="s">
        <v>1924</v>
      </c>
      <c r="D470" s="413" t="s">
        <v>508</v>
      </c>
      <c r="E470" s="412" t="s">
        <v>330</v>
      </c>
      <c r="F470" s="413" t="s">
        <v>330</v>
      </c>
      <c r="G470" s="412" t="s">
        <v>330</v>
      </c>
      <c r="H470" s="412" t="s">
        <v>974</v>
      </c>
      <c r="I470" s="477">
        <v>432467</v>
      </c>
      <c r="J470" s="477">
        <v>16000</v>
      </c>
      <c r="K470" s="477"/>
      <c r="L470" s="477"/>
      <c r="M470" s="477">
        <f t="shared" si="735"/>
        <v>432467</v>
      </c>
      <c r="N470" s="477">
        <f t="shared" si="736"/>
        <v>16000</v>
      </c>
      <c r="O470" s="477"/>
      <c r="P470" s="477"/>
      <c r="Q470" s="477">
        <f t="shared" ref="Q470:Q471" si="740">+M470+O470</f>
        <v>432467</v>
      </c>
      <c r="R470" s="477">
        <f t="shared" ref="R470:R471" si="741">+N470+P470</f>
        <v>16000</v>
      </c>
      <c r="S470" s="477">
        <f t="shared" ref="S470:S471" si="742">+Q470-R470</f>
        <v>416467</v>
      </c>
      <c r="V470" s="476"/>
      <c r="W470" s="476"/>
      <c r="X470" s="476"/>
      <c r="Y470" s="476"/>
      <c r="Z470" s="476"/>
      <c r="AA470" s="476"/>
      <c r="AB470" s="476"/>
      <c r="AC470" s="476"/>
      <c r="AD470" s="476"/>
      <c r="AE470" s="476"/>
      <c r="AF470" s="476"/>
      <c r="AG470" s="476"/>
      <c r="AH470" s="476"/>
      <c r="AI470" s="476"/>
      <c r="AJ470" s="476"/>
      <c r="AK470" s="476"/>
      <c r="AL470" s="476"/>
      <c r="AM470" s="476"/>
      <c r="AN470" s="476"/>
      <c r="AO470" s="476"/>
      <c r="AP470" s="476"/>
      <c r="AQ470" s="476"/>
      <c r="AR470" s="476"/>
      <c r="AS470" s="476"/>
      <c r="AT470" s="476"/>
      <c r="AU470" s="476"/>
      <c r="AV470" s="476"/>
      <c r="AW470" s="476"/>
      <c r="AX470" s="476"/>
      <c r="AY470" s="476"/>
      <c r="AZ470" s="476"/>
      <c r="BA470" s="476"/>
      <c r="BB470" s="476"/>
      <c r="BC470" s="476"/>
      <c r="BD470" s="476"/>
      <c r="BE470" s="476"/>
      <c r="BF470" s="476"/>
      <c r="BG470" s="476"/>
    </row>
    <row r="471" spans="1:59" ht="16.5" customHeight="1">
      <c r="A471" s="585" t="s">
        <v>757</v>
      </c>
      <c r="B471" s="585" t="s">
        <v>1101</v>
      </c>
      <c r="C471" s="584" t="s">
        <v>1925</v>
      </c>
      <c r="D471" s="413" t="s">
        <v>508</v>
      </c>
      <c r="E471" s="412" t="s">
        <v>330</v>
      </c>
      <c r="F471" s="413" t="s">
        <v>330</v>
      </c>
      <c r="G471" s="412" t="s">
        <v>330</v>
      </c>
      <c r="H471" s="412" t="s">
        <v>1055</v>
      </c>
      <c r="I471" s="477">
        <v>308260</v>
      </c>
      <c r="J471" s="477">
        <v>0</v>
      </c>
      <c r="K471" s="477"/>
      <c r="L471" s="477"/>
      <c r="M471" s="477">
        <f t="shared" si="735"/>
        <v>308260</v>
      </c>
      <c r="N471" s="477">
        <f t="shared" si="736"/>
        <v>0</v>
      </c>
      <c r="O471" s="477"/>
      <c r="P471" s="477"/>
      <c r="Q471" s="477">
        <f t="shared" si="740"/>
        <v>308260</v>
      </c>
      <c r="R471" s="477">
        <f t="shared" si="741"/>
        <v>0</v>
      </c>
      <c r="S471" s="477">
        <f t="shared" si="742"/>
        <v>308260</v>
      </c>
      <c r="V471" s="476"/>
      <c r="W471" s="476"/>
      <c r="X471" s="476"/>
      <c r="Y471" s="476"/>
      <c r="Z471" s="476"/>
      <c r="AA471" s="476"/>
      <c r="AB471" s="476"/>
      <c r="AC471" s="476"/>
      <c r="AD471" s="476"/>
      <c r="AE471" s="476"/>
      <c r="AF471" s="476"/>
      <c r="AG471" s="476"/>
      <c r="AH471" s="476"/>
      <c r="AI471" s="476"/>
      <c r="AJ471" s="476"/>
      <c r="AK471" s="476"/>
      <c r="AL471" s="476"/>
      <c r="AM471" s="476"/>
      <c r="AN471" s="476"/>
      <c r="AO471" s="476"/>
      <c r="AP471" s="476"/>
      <c r="AQ471" s="476"/>
      <c r="AR471" s="476"/>
      <c r="AS471" s="476"/>
      <c r="AT471" s="476"/>
      <c r="AU471" s="476"/>
      <c r="AV471" s="476"/>
      <c r="AW471" s="476"/>
      <c r="AX471" s="476"/>
      <c r="AY471" s="476"/>
      <c r="AZ471" s="476"/>
      <c r="BA471" s="476"/>
      <c r="BB471" s="476"/>
      <c r="BC471" s="476"/>
      <c r="BD471" s="476"/>
      <c r="BE471" s="476"/>
      <c r="BF471" s="476"/>
      <c r="BG471" s="476"/>
    </row>
    <row r="472" spans="1:59" ht="16.5" customHeight="1">
      <c r="A472" s="585" t="s">
        <v>757</v>
      </c>
      <c r="B472" s="585" t="s">
        <v>1101</v>
      </c>
      <c r="C472" s="584" t="s">
        <v>1926</v>
      </c>
      <c r="D472" s="413" t="s">
        <v>508</v>
      </c>
      <c r="E472" s="412" t="s">
        <v>330</v>
      </c>
      <c r="F472" s="413" t="s">
        <v>330</v>
      </c>
      <c r="G472" s="412" t="s">
        <v>330</v>
      </c>
      <c r="H472" s="412" t="s">
        <v>1022</v>
      </c>
      <c r="I472" s="477">
        <v>0</v>
      </c>
      <c r="J472" s="477">
        <v>1660704</v>
      </c>
      <c r="K472" s="477"/>
      <c r="L472" s="477"/>
      <c r="M472" s="477">
        <f t="shared" si="735"/>
        <v>0</v>
      </c>
      <c r="N472" s="477">
        <f t="shared" si="736"/>
        <v>1660704</v>
      </c>
      <c r="O472" s="477"/>
      <c r="P472" s="477"/>
      <c r="Q472" s="477">
        <f t="shared" si="694"/>
        <v>0</v>
      </c>
      <c r="R472" s="477">
        <f t="shared" si="695"/>
        <v>1660704</v>
      </c>
      <c r="S472" s="477">
        <f t="shared" si="696"/>
        <v>-1660704</v>
      </c>
      <c r="V472" s="476">
        <f t="shared" ref="V472:V502" si="743">IF($V$8=$H472,$Q472,0)</f>
        <v>0</v>
      </c>
      <c r="W472" s="476">
        <f t="shared" ref="W472:W502" si="744">IF($V$8=$H472,$R472,0)</f>
        <v>0</v>
      </c>
      <c r="X472" s="476">
        <f t="shared" ref="X472:X502" si="745">IF($X$8=$H472,$Q472,0)</f>
        <v>0</v>
      </c>
      <c r="Y472" s="476">
        <f t="shared" ref="Y472:Y502" si="746">IF($X$8=$H472,$R472,0)</f>
        <v>0</v>
      </c>
      <c r="Z472" s="476">
        <f t="shared" ref="Z472:Z502" si="747">IF($Z$8=$H472,$Q472,0)</f>
        <v>0</v>
      </c>
      <c r="AA472" s="476">
        <f t="shared" ref="AA472:AA502" si="748">IF($Z$8=$H472,$R472,0)</f>
        <v>0</v>
      </c>
      <c r="AB472" s="476">
        <f t="shared" ref="AB472:AB502" si="749">IF($AB$8=$H472,$Q472,0)</f>
        <v>0</v>
      </c>
      <c r="AC472" s="476">
        <f t="shared" ref="AC472:AC502" si="750">IF($AB$8=$H472,$R472,0)</f>
        <v>0</v>
      </c>
      <c r="AD472" s="476">
        <f t="shared" ref="AD472:AD502" si="751">IF($AD$8=$H472,$Q472,0)</f>
        <v>0</v>
      </c>
      <c r="AE472" s="476">
        <f t="shared" ref="AE472:AE502" si="752">IF($AD$8=$H472,$R472,0)</f>
        <v>0</v>
      </c>
      <c r="AF472" s="476">
        <f t="shared" ref="AF472:AF502" si="753">IF($AF$8=$H472,$Q472,0)</f>
        <v>0</v>
      </c>
      <c r="AG472" s="476">
        <f t="shared" ref="AG472:AG502" si="754">IF($AF$8=$H472,$R472,0)</f>
        <v>0</v>
      </c>
      <c r="AH472" s="476">
        <f t="shared" ref="AH472:AH502" si="755">IF($AH$8=$H472,$Q472,0)</f>
        <v>0</v>
      </c>
      <c r="AI472" s="476">
        <f t="shared" ref="AI472:AI502" si="756">IF($AH$8=$H472,$R472,0)</f>
        <v>0</v>
      </c>
      <c r="AJ472" s="476">
        <f t="shared" ref="AJ472:AJ502" si="757">IF($AJ$8=$H472,$Q472,0)</f>
        <v>0</v>
      </c>
      <c r="AK472" s="476">
        <f t="shared" ref="AK472:AK502" si="758">IF($AJ$8=$H472,$R472,0)</f>
        <v>0</v>
      </c>
      <c r="AL472" s="476">
        <f t="shared" ref="AL472:AL502" si="759">IF($AL$8=$H472,$Q472,0)</f>
        <v>0</v>
      </c>
      <c r="AM472" s="476">
        <f t="shared" ref="AM472:AM502" si="760">IF($AL$8=$H472,$R472,0)</f>
        <v>0</v>
      </c>
      <c r="AN472" s="476">
        <f t="shared" ref="AN472:AN502" si="761">IF($AN$8=$H472,$Q472,0)</f>
        <v>0</v>
      </c>
      <c r="AO472" s="476">
        <f t="shared" ref="AO472:AO502" si="762">IF($AN$8=$H472,$R472,0)</f>
        <v>0</v>
      </c>
      <c r="AP472" s="476">
        <f t="shared" ref="AP472:AP502" si="763">IF($AP$8=$H472,$Q472,0)</f>
        <v>0</v>
      </c>
      <c r="AQ472" s="476">
        <f t="shared" ref="AQ472:AQ502" si="764">IF($AP$8=$H472,$R472,0)</f>
        <v>0</v>
      </c>
      <c r="AR472" s="476">
        <f t="shared" ref="AR472:AR502" si="765">IF($AR$8=$H472,$Q472,0)</f>
        <v>0</v>
      </c>
      <c r="AS472" s="476">
        <f t="shared" ref="AS472:AS502" si="766">IF($AR$8=$H472,$R472,0)</f>
        <v>0</v>
      </c>
      <c r="AT472" s="476">
        <f t="shared" ref="AT472:AT502" si="767">IF($AT$8=$H472,$Q472,0)</f>
        <v>0</v>
      </c>
      <c r="AU472" s="476">
        <f t="shared" ref="AU472:AU502" si="768">IF($AT$8=$H472,$R472,0)</f>
        <v>0</v>
      </c>
      <c r="AV472" s="476">
        <f t="shared" ref="AV472:AV502" si="769">IF($AV$8=$H472,$Q472,0)</f>
        <v>0</v>
      </c>
      <c r="AW472" s="476">
        <f t="shared" ref="AW472:AW502" si="770">IF($AV$8=$H472,$R472,0)</f>
        <v>1660704</v>
      </c>
      <c r="AX472" s="476">
        <f t="shared" ref="AX472:AX502" si="771">IF($AX$8=$H472,$Q472,0)</f>
        <v>0</v>
      </c>
      <c r="AY472" s="476">
        <f t="shared" ref="AY472:AY502" si="772">IF($AX$8=$H472,$R472,0)</f>
        <v>0</v>
      </c>
      <c r="AZ472" s="476">
        <f t="shared" ref="AZ472:AZ502" si="773">IF($AZ$8=$H472,$Q472,0)</f>
        <v>0</v>
      </c>
      <c r="BA472" s="476">
        <f t="shared" ref="BA472:BA502" si="774">IF($AZ$8=$H472,$R472,0)</f>
        <v>0</v>
      </c>
      <c r="BB472" s="476">
        <f t="shared" ref="BB472:BB502" si="775">IF($BB$8=$H472,$Q472,0)</f>
        <v>0</v>
      </c>
      <c r="BC472" s="476">
        <f t="shared" ref="BC472:BC502" si="776">IF($BB$8=$H472,$R472,0)</f>
        <v>0</v>
      </c>
      <c r="BD472" s="476">
        <f t="shared" ref="BD472:BD502" si="777">IF($BD$8=$H472,$Q472,0)</f>
        <v>0</v>
      </c>
      <c r="BE472" s="476">
        <f t="shared" ref="BE472:BE502" si="778">IF($BD$8=$H472,$R472,0)</f>
        <v>0</v>
      </c>
      <c r="BF472" s="476">
        <f t="shared" ref="BF472:BF502" si="779">IF($BF$8=$H472,$Q472,0)</f>
        <v>0</v>
      </c>
      <c r="BG472" s="476">
        <f t="shared" ref="BG472:BG502" si="780">IF($BF$8=$H472,$R472,0)</f>
        <v>0</v>
      </c>
    </row>
    <row r="473" spans="1:59" ht="16.5" customHeight="1">
      <c r="A473" s="585" t="s">
        <v>758</v>
      </c>
      <c r="B473" s="585" t="s">
        <v>1102</v>
      </c>
      <c r="C473" s="584" t="s">
        <v>1927</v>
      </c>
      <c r="D473" s="413" t="s">
        <v>508</v>
      </c>
      <c r="E473" s="412" t="s">
        <v>330</v>
      </c>
      <c r="F473" s="413" t="s">
        <v>330</v>
      </c>
      <c r="G473" s="412" t="s">
        <v>330</v>
      </c>
      <c r="H473" s="412" t="s">
        <v>974</v>
      </c>
      <c r="I473" s="477">
        <v>0</v>
      </c>
      <c r="J473" s="477">
        <v>809850</v>
      </c>
      <c r="K473" s="477"/>
      <c r="L473" s="477"/>
      <c r="M473" s="477">
        <f t="shared" si="735"/>
        <v>0</v>
      </c>
      <c r="N473" s="477">
        <f t="shared" si="736"/>
        <v>809850</v>
      </c>
      <c r="O473" s="477"/>
      <c r="P473" s="477"/>
      <c r="Q473" s="477">
        <f t="shared" si="694"/>
        <v>0</v>
      </c>
      <c r="R473" s="477">
        <f t="shared" si="695"/>
        <v>809850</v>
      </c>
      <c r="S473" s="477">
        <f t="shared" si="696"/>
        <v>-809850</v>
      </c>
      <c r="V473" s="476">
        <f t="shared" si="743"/>
        <v>0</v>
      </c>
      <c r="W473" s="476">
        <f t="shared" si="744"/>
        <v>809850</v>
      </c>
      <c r="X473" s="476">
        <f t="shared" si="745"/>
        <v>0</v>
      </c>
      <c r="Y473" s="476">
        <f t="shared" si="746"/>
        <v>0</v>
      </c>
      <c r="Z473" s="476">
        <f t="shared" si="747"/>
        <v>0</v>
      </c>
      <c r="AA473" s="476">
        <f t="shared" si="748"/>
        <v>0</v>
      </c>
      <c r="AB473" s="476">
        <f t="shared" si="749"/>
        <v>0</v>
      </c>
      <c r="AC473" s="476">
        <f t="shared" si="750"/>
        <v>0</v>
      </c>
      <c r="AD473" s="476">
        <f t="shared" si="751"/>
        <v>0</v>
      </c>
      <c r="AE473" s="476">
        <f t="shared" si="752"/>
        <v>0</v>
      </c>
      <c r="AF473" s="476">
        <f t="shared" si="753"/>
        <v>0</v>
      </c>
      <c r="AG473" s="476">
        <f t="shared" si="754"/>
        <v>0</v>
      </c>
      <c r="AH473" s="476">
        <f t="shared" si="755"/>
        <v>0</v>
      </c>
      <c r="AI473" s="476">
        <f t="shared" si="756"/>
        <v>0</v>
      </c>
      <c r="AJ473" s="476">
        <f t="shared" si="757"/>
        <v>0</v>
      </c>
      <c r="AK473" s="476">
        <f t="shared" si="758"/>
        <v>0</v>
      </c>
      <c r="AL473" s="476">
        <f t="shared" si="759"/>
        <v>0</v>
      </c>
      <c r="AM473" s="476">
        <f t="shared" si="760"/>
        <v>0</v>
      </c>
      <c r="AN473" s="476">
        <f t="shared" si="761"/>
        <v>0</v>
      </c>
      <c r="AO473" s="476">
        <f t="shared" si="762"/>
        <v>0</v>
      </c>
      <c r="AP473" s="476">
        <f t="shared" si="763"/>
        <v>0</v>
      </c>
      <c r="AQ473" s="476">
        <f t="shared" si="764"/>
        <v>0</v>
      </c>
      <c r="AR473" s="476">
        <f t="shared" si="765"/>
        <v>0</v>
      </c>
      <c r="AS473" s="476">
        <f t="shared" si="766"/>
        <v>0</v>
      </c>
      <c r="AT473" s="476">
        <f t="shared" si="767"/>
        <v>0</v>
      </c>
      <c r="AU473" s="476">
        <f t="shared" si="768"/>
        <v>0</v>
      </c>
      <c r="AV473" s="476">
        <f t="shared" si="769"/>
        <v>0</v>
      </c>
      <c r="AW473" s="476">
        <f t="shared" si="770"/>
        <v>0</v>
      </c>
      <c r="AX473" s="476">
        <f t="shared" si="771"/>
        <v>0</v>
      </c>
      <c r="AY473" s="476">
        <f t="shared" si="772"/>
        <v>0</v>
      </c>
      <c r="AZ473" s="476">
        <f t="shared" si="773"/>
        <v>0</v>
      </c>
      <c r="BA473" s="476">
        <f t="shared" si="774"/>
        <v>0</v>
      </c>
      <c r="BB473" s="476">
        <f t="shared" si="775"/>
        <v>0</v>
      </c>
      <c r="BC473" s="476">
        <f t="shared" si="776"/>
        <v>0</v>
      </c>
      <c r="BD473" s="476">
        <f t="shared" si="777"/>
        <v>0</v>
      </c>
      <c r="BE473" s="476">
        <f t="shared" si="778"/>
        <v>0</v>
      </c>
      <c r="BF473" s="476">
        <f t="shared" si="779"/>
        <v>0</v>
      </c>
      <c r="BG473" s="476">
        <f t="shared" si="780"/>
        <v>0</v>
      </c>
    </row>
    <row r="474" spans="1:59" ht="16.5" customHeight="1">
      <c r="A474" s="585" t="s">
        <v>759</v>
      </c>
      <c r="B474" s="585" t="s">
        <v>1103</v>
      </c>
      <c r="C474" s="584" t="s">
        <v>405</v>
      </c>
      <c r="D474" s="413" t="s">
        <v>508</v>
      </c>
      <c r="E474" s="412" t="s">
        <v>330</v>
      </c>
      <c r="F474" s="413" t="s">
        <v>330</v>
      </c>
      <c r="G474" s="412" t="s">
        <v>330</v>
      </c>
      <c r="H474" s="412" t="s">
        <v>974</v>
      </c>
      <c r="I474" s="477">
        <v>0</v>
      </c>
      <c r="J474" s="477">
        <v>0</v>
      </c>
      <c r="K474" s="477"/>
      <c r="L474" s="477"/>
      <c r="M474" s="477">
        <f t="shared" si="735"/>
        <v>0</v>
      </c>
      <c r="N474" s="477">
        <f t="shared" si="736"/>
        <v>0</v>
      </c>
      <c r="O474" s="477"/>
      <c r="P474" s="477"/>
      <c r="Q474" s="477">
        <f t="shared" si="694"/>
        <v>0</v>
      </c>
      <c r="R474" s="477">
        <f t="shared" si="695"/>
        <v>0</v>
      </c>
      <c r="S474" s="477">
        <f t="shared" si="696"/>
        <v>0</v>
      </c>
      <c r="V474" s="476">
        <f t="shared" si="743"/>
        <v>0</v>
      </c>
      <c r="W474" s="476">
        <f t="shared" si="744"/>
        <v>0</v>
      </c>
      <c r="X474" s="476">
        <f t="shared" si="745"/>
        <v>0</v>
      </c>
      <c r="Y474" s="476">
        <f t="shared" si="746"/>
        <v>0</v>
      </c>
      <c r="Z474" s="476">
        <f t="shared" si="747"/>
        <v>0</v>
      </c>
      <c r="AA474" s="476">
        <f t="shared" si="748"/>
        <v>0</v>
      </c>
      <c r="AB474" s="476">
        <f t="shared" si="749"/>
        <v>0</v>
      </c>
      <c r="AC474" s="476">
        <f t="shared" si="750"/>
        <v>0</v>
      </c>
      <c r="AD474" s="476">
        <f t="shared" si="751"/>
        <v>0</v>
      </c>
      <c r="AE474" s="476">
        <f t="shared" si="752"/>
        <v>0</v>
      </c>
      <c r="AF474" s="476">
        <f t="shared" si="753"/>
        <v>0</v>
      </c>
      <c r="AG474" s="476">
        <f t="shared" si="754"/>
        <v>0</v>
      </c>
      <c r="AH474" s="476">
        <f t="shared" si="755"/>
        <v>0</v>
      </c>
      <c r="AI474" s="476">
        <f t="shared" si="756"/>
        <v>0</v>
      </c>
      <c r="AJ474" s="476">
        <f t="shared" si="757"/>
        <v>0</v>
      </c>
      <c r="AK474" s="476">
        <f t="shared" si="758"/>
        <v>0</v>
      </c>
      <c r="AL474" s="476">
        <f t="shared" si="759"/>
        <v>0</v>
      </c>
      <c r="AM474" s="476">
        <f t="shared" si="760"/>
        <v>0</v>
      </c>
      <c r="AN474" s="476">
        <f t="shared" si="761"/>
        <v>0</v>
      </c>
      <c r="AO474" s="476">
        <f t="shared" si="762"/>
        <v>0</v>
      </c>
      <c r="AP474" s="476">
        <f t="shared" si="763"/>
        <v>0</v>
      </c>
      <c r="AQ474" s="476">
        <f t="shared" si="764"/>
        <v>0</v>
      </c>
      <c r="AR474" s="476">
        <f t="shared" si="765"/>
        <v>0</v>
      </c>
      <c r="AS474" s="476">
        <f t="shared" si="766"/>
        <v>0</v>
      </c>
      <c r="AT474" s="476">
        <f t="shared" si="767"/>
        <v>0</v>
      </c>
      <c r="AU474" s="476">
        <f t="shared" si="768"/>
        <v>0</v>
      </c>
      <c r="AV474" s="476">
        <f t="shared" si="769"/>
        <v>0</v>
      </c>
      <c r="AW474" s="476">
        <f t="shared" si="770"/>
        <v>0</v>
      </c>
      <c r="AX474" s="476">
        <f t="shared" si="771"/>
        <v>0</v>
      </c>
      <c r="AY474" s="476">
        <f t="shared" si="772"/>
        <v>0</v>
      </c>
      <c r="AZ474" s="476">
        <f t="shared" si="773"/>
        <v>0</v>
      </c>
      <c r="BA474" s="476">
        <f t="shared" si="774"/>
        <v>0</v>
      </c>
      <c r="BB474" s="476">
        <f t="shared" si="775"/>
        <v>0</v>
      </c>
      <c r="BC474" s="476">
        <f t="shared" si="776"/>
        <v>0</v>
      </c>
      <c r="BD474" s="476">
        <f t="shared" si="777"/>
        <v>0</v>
      </c>
      <c r="BE474" s="476">
        <f t="shared" si="778"/>
        <v>0</v>
      </c>
      <c r="BF474" s="476">
        <f t="shared" si="779"/>
        <v>0</v>
      </c>
      <c r="BG474" s="476">
        <f t="shared" si="780"/>
        <v>0</v>
      </c>
    </row>
    <row r="475" spans="1:59" ht="16.5" customHeight="1">
      <c r="A475" s="585" t="s">
        <v>760</v>
      </c>
      <c r="B475" s="585" t="s">
        <v>1104</v>
      </c>
      <c r="C475" s="584" t="s">
        <v>1928</v>
      </c>
      <c r="D475" s="413" t="s">
        <v>508</v>
      </c>
      <c r="E475" s="412" t="s">
        <v>330</v>
      </c>
      <c r="F475" s="413" t="s">
        <v>330</v>
      </c>
      <c r="G475" s="412" t="s">
        <v>330</v>
      </c>
      <c r="H475" s="412" t="s">
        <v>974</v>
      </c>
      <c r="I475" s="477">
        <v>3947407</v>
      </c>
      <c r="J475" s="477">
        <v>0</v>
      </c>
      <c r="K475" s="477"/>
      <c r="L475" s="477"/>
      <c r="M475" s="477">
        <f t="shared" si="735"/>
        <v>3947407</v>
      </c>
      <c r="N475" s="477">
        <f t="shared" si="736"/>
        <v>0</v>
      </c>
      <c r="O475" s="477"/>
      <c r="P475" s="477"/>
      <c r="Q475" s="477">
        <f t="shared" si="694"/>
        <v>3947407</v>
      </c>
      <c r="R475" s="477">
        <f t="shared" si="695"/>
        <v>0</v>
      </c>
      <c r="S475" s="477">
        <f t="shared" si="696"/>
        <v>3947407</v>
      </c>
      <c r="V475" s="476">
        <f t="shared" si="743"/>
        <v>3947407</v>
      </c>
      <c r="W475" s="476">
        <f t="shared" si="744"/>
        <v>0</v>
      </c>
      <c r="X475" s="476">
        <f t="shared" si="745"/>
        <v>0</v>
      </c>
      <c r="Y475" s="476">
        <f t="shared" si="746"/>
        <v>0</v>
      </c>
      <c r="Z475" s="476">
        <f t="shared" si="747"/>
        <v>0</v>
      </c>
      <c r="AA475" s="476">
        <f t="shared" si="748"/>
        <v>0</v>
      </c>
      <c r="AB475" s="476">
        <f t="shared" si="749"/>
        <v>0</v>
      </c>
      <c r="AC475" s="476">
        <f t="shared" si="750"/>
        <v>0</v>
      </c>
      <c r="AD475" s="476">
        <f t="shared" si="751"/>
        <v>0</v>
      </c>
      <c r="AE475" s="476">
        <f t="shared" si="752"/>
        <v>0</v>
      </c>
      <c r="AF475" s="476">
        <f t="shared" si="753"/>
        <v>0</v>
      </c>
      <c r="AG475" s="476">
        <f t="shared" si="754"/>
        <v>0</v>
      </c>
      <c r="AH475" s="476">
        <f t="shared" si="755"/>
        <v>0</v>
      </c>
      <c r="AI475" s="476">
        <f t="shared" si="756"/>
        <v>0</v>
      </c>
      <c r="AJ475" s="476">
        <f t="shared" si="757"/>
        <v>0</v>
      </c>
      <c r="AK475" s="476">
        <f t="shared" si="758"/>
        <v>0</v>
      </c>
      <c r="AL475" s="476">
        <f t="shared" si="759"/>
        <v>0</v>
      </c>
      <c r="AM475" s="476">
        <f t="shared" si="760"/>
        <v>0</v>
      </c>
      <c r="AN475" s="476">
        <f t="shared" si="761"/>
        <v>0</v>
      </c>
      <c r="AO475" s="476">
        <f t="shared" si="762"/>
        <v>0</v>
      </c>
      <c r="AP475" s="476">
        <f t="shared" si="763"/>
        <v>0</v>
      </c>
      <c r="AQ475" s="476">
        <f t="shared" si="764"/>
        <v>0</v>
      </c>
      <c r="AR475" s="476">
        <f t="shared" si="765"/>
        <v>0</v>
      </c>
      <c r="AS475" s="476">
        <f t="shared" si="766"/>
        <v>0</v>
      </c>
      <c r="AT475" s="476">
        <f t="shared" si="767"/>
        <v>0</v>
      </c>
      <c r="AU475" s="476">
        <f t="shared" si="768"/>
        <v>0</v>
      </c>
      <c r="AV475" s="476">
        <f t="shared" si="769"/>
        <v>0</v>
      </c>
      <c r="AW475" s="476">
        <f t="shared" si="770"/>
        <v>0</v>
      </c>
      <c r="AX475" s="476">
        <f t="shared" si="771"/>
        <v>0</v>
      </c>
      <c r="AY475" s="476">
        <f t="shared" si="772"/>
        <v>0</v>
      </c>
      <c r="AZ475" s="476">
        <f t="shared" si="773"/>
        <v>0</v>
      </c>
      <c r="BA475" s="476">
        <f t="shared" si="774"/>
        <v>0</v>
      </c>
      <c r="BB475" s="476">
        <f t="shared" si="775"/>
        <v>0</v>
      </c>
      <c r="BC475" s="476">
        <f t="shared" si="776"/>
        <v>0</v>
      </c>
      <c r="BD475" s="476">
        <f t="shared" si="777"/>
        <v>0</v>
      </c>
      <c r="BE475" s="476">
        <f t="shared" si="778"/>
        <v>0</v>
      </c>
      <c r="BF475" s="476">
        <f t="shared" si="779"/>
        <v>0</v>
      </c>
      <c r="BG475" s="476">
        <f t="shared" si="780"/>
        <v>0</v>
      </c>
    </row>
    <row r="476" spans="1:59" ht="16.5" customHeight="1">
      <c r="A476" s="585" t="s">
        <v>760</v>
      </c>
      <c r="B476" s="585" t="s">
        <v>1104</v>
      </c>
      <c r="C476" s="584" t="s">
        <v>1929</v>
      </c>
      <c r="D476" s="413" t="s">
        <v>508</v>
      </c>
      <c r="E476" s="412" t="s">
        <v>330</v>
      </c>
      <c r="F476" s="413" t="s">
        <v>330</v>
      </c>
      <c r="G476" s="412" t="s">
        <v>330</v>
      </c>
      <c r="H476" s="412" t="s">
        <v>1019</v>
      </c>
      <c r="I476" s="477">
        <v>2000000</v>
      </c>
      <c r="J476" s="477">
        <v>0</v>
      </c>
      <c r="K476" s="477"/>
      <c r="L476" s="477"/>
      <c r="M476" s="477">
        <f t="shared" si="735"/>
        <v>2000000</v>
      </c>
      <c r="N476" s="477">
        <f t="shared" si="736"/>
        <v>0</v>
      </c>
      <c r="O476" s="477"/>
      <c r="P476" s="477"/>
      <c r="Q476" s="477">
        <f t="shared" si="694"/>
        <v>2000000</v>
      </c>
      <c r="R476" s="477">
        <f t="shared" si="695"/>
        <v>0</v>
      </c>
      <c r="S476" s="477">
        <f t="shared" si="696"/>
        <v>2000000</v>
      </c>
      <c r="V476" s="476">
        <f t="shared" si="743"/>
        <v>0</v>
      </c>
      <c r="W476" s="476">
        <f t="shared" si="744"/>
        <v>0</v>
      </c>
      <c r="X476" s="476">
        <f t="shared" si="745"/>
        <v>0</v>
      </c>
      <c r="Y476" s="476">
        <f t="shared" si="746"/>
        <v>0</v>
      </c>
      <c r="Z476" s="476">
        <f t="shared" si="747"/>
        <v>0</v>
      </c>
      <c r="AA476" s="476">
        <f t="shared" si="748"/>
        <v>0</v>
      </c>
      <c r="AB476" s="476">
        <f t="shared" si="749"/>
        <v>0</v>
      </c>
      <c r="AC476" s="476">
        <f t="shared" si="750"/>
        <v>0</v>
      </c>
      <c r="AD476" s="476">
        <f t="shared" si="751"/>
        <v>2000000</v>
      </c>
      <c r="AE476" s="476">
        <f t="shared" si="752"/>
        <v>0</v>
      </c>
      <c r="AF476" s="476">
        <f t="shared" si="753"/>
        <v>0</v>
      </c>
      <c r="AG476" s="476">
        <f t="shared" si="754"/>
        <v>0</v>
      </c>
      <c r="AH476" s="476">
        <f t="shared" si="755"/>
        <v>0</v>
      </c>
      <c r="AI476" s="476">
        <f t="shared" si="756"/>
        <v>0</v>
      </c>
      <c r="AJ476" s="476">
        <f t="shared" si="757"/>
        <v>0</v>
      </c>
      <c r="AK476" s="476">
        <f t="shared" si="758"/>
        <v>0</v>
      </c>
      <c r="AL476" s="476">
        <f t="shared" si="759"/>
        <v>0</v>
      </c>
      <c r="AM476" s="476">
        <f t="shared" si="760"/>
        <v>0</v>
      </c>
      <c r="AN476" s="476">
        <f t="shared" si="761"/>
        <v>0</v>
      </c>
      <c r="AO476" s="476">
        <f t="shared" si="762"/>
        <v>0</v>
      </c>
      <c r="AP476" s="476">
        <f t="shared" si="763"/>
        <v>0</v>
      </c>
      <c r="AQ476" s="476">
        <f t="shared" si="764"/>
        <v>0</v>
      </c>
      <c r="AR476" s="476">
        <f t="shared" si="765"/>
        <v>0</v>
      </c>
      <c r="AS476" s="476">
        <f t="shared" si="766"/>
        <v>0</v>
      </c>
      <c r="AT476" s="476">
        <f t="shared" si="767"/>
        <v>0</v>
      </c>
      <c r="AU476" s="476">
        <f t="shared" si="768"/>
        <v>0</v>
      </c>
      <c r="AV476" s="476">
        <f t="shared" si="769"/>
        <v>0</v>
      </c>
      <c r="AW476" s="476">
        <f t="shared" si="770"/>
        <v>0</v>
      </c>
      <c r="AX476" s="476">
        <f t="shared" si="771"/>
        <v>0</v>
      </c>
      <c r="AY476" s="476">
        <f t="shared" si="772"/>
        <v>0</v>
      </c>
      <c r="AZ476" s="476">
        <f t="shared" si="773"/>
        <v>0</v>
      </c>
      <c r="BA476" s="476">
        <f t="shared" si="774"/>
        <v>0</v>
      </c>
      <c r="BB476" s="476">
        <f t="shared" si="775"/>
        <v>0</v>
      </c>
      <c r="BC476" s="476">
        <f t="shared" si="776"/>
        <v>0</v>
      </c>
      <c r="BD476" s="476">
        <f t="shared" si="777"/>
        <v>0</v>
      </c>
      <c r="BE476" s="476">
        <f t="shared" si="778"/>
        <v>0</v>
      </c>
      <c r="BF476" s="476">
        <f t="shared" si="779"/>
        <v>0</v>
      </c>
      <c r="BG476" s="476">
        <f t="shared" si="780"/>
        <v>0</v>
      </c>
    </row>
    <row r="477" spans="1:59" ht="16.5" customHeight="1">
      <c r="A477" s="585" t="s">
        <v>1105</v>
      </c>
      <c r="B477" s="585" t="s">
        <v>1106</v>
      </c>
      <c r="C477" s="584" t="s">
        <v>1930</v>
      </c>
      <c r="D477" s="413" t="s">
        <v>508</v>
      </c>
      <c r="E477" s="412" t="s">
        <v>330</v>
      </c>
      <c r="F477" s="413" t="s">
        <v>330</v>
      </c>
      <c r="G477" s="412" t="s">
        <v>330</v>
      </c>
      <c r="H477" s="412" t="s">
        <v>974</v>
      </c>
      <c r="I477" s="477">
        <v>84000</v>
      </c>
      <c r="J477" s="477">
        <v>284000</v>
      </c>
      <c r="K477" s="477"/>
      <c r="L477" s="477"/>
      <c r="M477" s="477">
        <f t="shared" si="735"/>
        <v>84000</v>
      </c>
      <c r="N477" s="477">
        <f t="shared" si="736"/>
        <v>284000</v>
      </c>
      <c r="O477" s="477"/>
      <c r="P477" s="477"/>
      <c r="Q477" s="477">
        <f t="shared" si="694"/>
        <v>84000</v>
      </c>
      <c r="R477" s="477">
        <f t="shared" si="695"/>
        <v>284000</v>
      </c>
      <c r="S477" s="477">
        <f t="shared" si="696"/>
        <v>-200000</v>
      </c>
      <c r="V477" s="476">
        <f t="shared" si="743"/>
        <v>84000</v>
      </c>
      <c r="W477" s="476">
        <f t="shared" si="744"/>
        <v>284000</v>
      </c>
      <c r="X477" s="476">
        <f t="shared" si="745"/>
        <v>0</v>
      </c>
      <c r="Y477" s="476">
        <f t="shared" si="746"/>
        <v>0</v>
      </c>
      <c r="Z477" s="476">
        <f t="shared" si="747"/>
        <v>0</v>
      </c>
      <c r="AA477" s="476">
        <f t="shared" si="748"/>
        <v>0</v>
      </c>
      <c r="AB477" s="476">
        <f t="shared" si="749"/>
        <v>0</v>
      </c>
      <c r="AC477" s="476">
        <f t="shared" si="750"/>
        <v>0</v>
      </c>
      <c r="AD477" s="476">
        <f t="shared" si="751"/>
        <v>0</v>
      </c>
      <c r="AE477" s="476">
        <f t="shared" si="752"/>
        <v>0</v>
      </c>
      <c r="AF477" s="476">
        <f t="shared" si="753"/>
        <v>0</v>
      </c>
      <c r="AG477" s="476">
        <f t="shared" si="754"/>
        <v>0</v>
      </c>
      <c r="AH477" s="476">
        <f t="shared" si="755"/>
        <v>0</v>
      </c>
      <c r="AI477" s="476">
        <f t="shared" si="756"/>
        <v>0</v>
      </c>
      <c r="AJ477" s="476">
        <f t="shared" si="757"/>
        <v>0</v>
      </c>
      <c r="AK477" s="476">
        <f t="shared" si="758"/>
        <v>0</v>
      </c>
      <c r="AL477" s="476">
        <f t="shared" si="759"/>
        <v>0</v>
      </c>
      <c r="AM477" s="476">
        <f t="shared" si="760"/>
        <v>0</v>
      </c>
      <c r="AN477" s="476">
        <f t="shared" si="761"/>
        <v>0</v>
      </c>
      <c r="AO477" s="476">
        <f t="shared" si="762"/>
        <v>0</v>
      </c>
      <c r="AP477" s="476">
        <f t="shared" si="763"/>
        <v>0</v>
      </c>
      <c r="AQ477" s="476">
        <f t="shared" si="764"/>
        <v>0</v>
      </c>
      <c r="AR477" s="476">
        <f t="shared" si="765"/>
        <v>0</v>
      </c>
      <c r="AS477" s="476">
        <f t="shared" si="766"/>
        <v>0</v>
      </c>
      <c r="AT477" s="476">
        <f t="shared" si="767"/>
        <v>0</v>
      </c>
      <c r="AU477" s="476">
        <f t="shared" si="768"/>
        <v>0</v>
      </c>
      <c r="AV477" s="476">
        <f t="shared" si="769"/>
        <v>0</v>
      </c>
      <c r="AW477" s="476">
        <f t="shared" si="770"/>
        <v>0</v>
      </c>
      <c r="AX477" s="476">
        <f t="shared" si="771"/>
        <v>0</v>
      </c>
      <c r="AY477" s="476">
        <f t="shared" si="772"/>
        <v>0</v>
      </c>
      <c r="AZ477" s="476">
        <f t="shared" si="773"/>
        <v>0</v>
      </c>
      <c r="BA477" s="476">
        <f t="shared" si="774"/>
        <v>0</v>
      </c>
      <c r="BB477" s="476">
        <f t="shared" si="775"/>
        <v>0</v>
      </c>
      <c r="BC477" s="476">
        <f t="shared" si="776"/>
        <v>0</v>
      </c>
      <c r="BD477" s="476">
        <f t="shared" si="777"/>
        <v>0</v>
      </c>
      <c r="BE477" s="476">
        <f t="shared" si="778"/>
        <v>0</v>
      </c>
      <c r="BF477" s="476">
        <f t="shared" si="779"/>
        <v>0</v>
      </c>
      <c r="BG477" s="476">
        <f t="shared" si="780"/>
        <v>0</v>
      </c>
    </row>
    <row r="478" spans="1:59" ht="16.5" customHeight="1">
      <c r="A478" s="585" t="s">
        <v>1107</v>
      </c>
      <c r="B478" s="585" t="s">
        <v>1108</v>
      </c>
      <c r="C478" s="584" t="s">
        <v>1931</v>
      </c>
      <c r="D478" s="413" t="s">
        <v>508</v>
      </c>
      <c r="E478" s="412" t="s">
        <v>330</v>
      </c>
      <c r="F478" s="413" t="s">
        <v>330</v>
      </c>
      <c r="G478" s="412" t="s">
        <v>330</v>
      </c>
      <c r="H478" s="412" t="s">
        <v>974</v>
      </c>
      <c r="I478" s="477">
        <v>11309746</v>
      </c>
      <c r="J478" s="477">
        <v>11966726</v>
      </c>
      <c r="K478" s="477"/>
      <c r="L478" s="477"/>
      <c r="M478" s="477">
        <f t="shared" si="735"/>
        <v>11309746</v>
      </c>
      <c r="N478" s="477">
        <f t="shared" si="736"/>
        <v>11966726</v>
      </c>
      <c r="O478" s="477"/>
      <c r="P478" s="477"/>
      <c r="Q478" s="477">
        <f t="shared" si="694"/>
        <v>11309746</v>
      </c>
      <c r="R478" s="477">
        <f t="shared" si="695"/>
        <v>11966726</v>
      </c>
      <c r="S478" s="477">
        <f t="shared" si="696"/>
        <v>-656980</v>
      </c>
      <c r="V478" s="476">
        <f t="shared" si="743"/>
        <v>11309746</v>
      </c>
      <c r="W478" s="476">
        <f t="shared" si="744"/>
        <v>11966726</v>
      </c>
      <c r="X478" s="476">
        <f t="shared" si="745"/>
        <v>0</v>
      </c>
      <c r="Y478" s="476">
        <f t="shared" si="746"/>
        <v>0</v>
      </c>
      <c r="Z478" s="476">
        <f t="shared" si="747"/>
        <v>0</v>
      </c>
      <c r="AA478" s="476">
        <f t="shared" si="748"/>
        <v>0</v>
      </c>
      <c r="AB478" s="476">
        <f t="shared" si="749"/>
        <v>0</v>
      </c>
      <c r="AC478" s="476">
        <f t="shared" si="750"/>
        <v>0</v>
      </c>
      <c r="AD478" s="476">
        <f t="shared" si="751"/>
        <v>0</v>
      </c>
      <c r="AE478" s="476">
        <f t="shared" si="752"/>
        <v>0</v>
      </c>
      <c r="AF478" s="476">
        <f t="shared" si="753"/>
        <v>0</v>
      </c>
      <c r="AG478" s="476">
        <f t="shared" si="754"/>
        <v>0</v>
      </c>
      <c r="AH478" s="476">
        <f t="shared" si="755"/>
        <v>0</v>
      </c>
      <c r="AI478" s="476">
        <f t="shared" si="756"/>
        <v>0</v>
      </c>
      <c r="AJ478" s="476">
        <f t="shared" si="757"/>
        <v>0</v>
      </c>
      <c r="AK478" s="476">
        <f t="shared" si="758"/>
        <v>0</v>
      </c>
      <c r="AL478" s="476">
        <f t="shared" si="759"/>
        <v>0</v>
      </c>
      <c r="AM478" s="476">
        <f t="shared" si="760"/>
        <v>0</v>
      </c>
      <c r="AN478" s="476">
        <f t="shared" si="761"/>
        <v>0</v>
      </c>
      <c r="AO478" s="476">
        <f t="shared" si="762"/>
        <v>0</v>
      </c>
      <c r="AP478" s="476">
        <f t="shared" si="763"/>
        <v>0</v>
      </c>
      <c r="AQ478" s="476">
        <f t="shared" si="764"/>
        <v>0</v>
      </c>
      <c r="AR478" s="476">
        <f t="shared" si="765"/>
        <v>0</v>
      </c>
      <c r="AS478" s="476">
        <f t="shared" si="766"/>
        <v>0</v>
      </c>
      <c r="AT478" s="476">
        <f t="shared" si="767"/>
        <v>0</v>
      </c>
      <c r="AU478" s="476">
        <f t="shared" si="768"/>
        <v>0</v>
      </c>
      <c r="AV478" s="476">
        <f t="shared" si="769"/>
        <v>0</v>
      </c>
      <c r="AW478" s="476">
        <f t="shared" si="770"/>
        <v>0</v>
      </c>
      <c r="AX478" s="476">
        <f t="shared" si="771"/>
        <v>0</v>
      </c>
      <c r="AY478" s="476">
        <f t="shared" si="772"/>
        <v>0</v>
      </c>
      <c r="AZ478" s="476">
        <f t="shared" si="773"/>
        <v>0</v>
      </c>
      <c r="BA478" s="476">
        <f t="shared" si="774"/>
        <v>0</v>
      </c>
      <c r="BB478" s="476">
        <f t="shared" si="775"/>
        <v>0</v>
      </c>
      <c r="BC478" s="476">
        <f t="shared" si="776"/>
        <v>0</v>
      </c>
      <c r="BD478" s="476">
        <f t="shared" si="777"/>
        <v>0</v>
      </c>
      <c r="BE478" s="476">
        <f t="shared" si="778"/>
        <v>0</v>
      </c>
      <c r="BF478" s="476">
        <f t="shared" si="779"/>
        <v>0</v>
      </c>
      <c r="BG478" s="476">
        <f t="shared" si="780"/>
        <v>0</v>
      </c>
    </row>
    <row r="479" spans="1:59" ht="16.5" customHeight="1">
      <c r="A479" s="585" t="s">
        <v>1107</v>
      </c>
      <c r="B479" s="585" t="s">
        <v>1108</v>
      </c>
      <c r="C479" s="584" t="s">
        <v>1932</v>
      </c>
      <c r="D479" s="413" t="s">
        <v>508</v>
      </c>
      <c r="E479" s="412" t="s">
        <v>330</v>
      </c>
      <c r="F479" s="413" t="s">
        <v>330</v>
      </c>
      <c r="G479" s="412" t="s">
        <v>330</v>
      </c>
      <c r="H479" s="412" t="s">
        <v>992</v>
      </c>
      <c r="I479" s="477">
        <v>866707</v>
      </c>
      <c r="J479" s="477">
        <v>866708</v>
      </c>
      <c r="K479" s="477"/>
      <c r="L479" s="477"/>
      <c r="M479" s="477">
        <f t="shared" si="735"/>
        <v>866707</v>
      </c>
      <c r="N479" s="477">
        <f t="shared" si="736"/>
        <v>866708</v>
      </c>
      <c r="O479" s="477"/>
      <c r="P479" s="477"/>
      <c r="Q479" s="477">
        <f t="shared" si="694"/>
        <v>866707</v>
      </c>
      <c r="R479" s="477">
        <f t="shared" si="695"/>
        <v>866708</v>
      </c>
      <c r="S479" s="477">
        <f t="shared" si="696"/>
        <v>-1</v>
      </c>
      <c r="V479" s="476">
        <f t="shared" si="743"/>
        <v>0</v>
      </c>
      <c r="W479" s="476">
        <f t="shared" si="744"/>
        <v>0</v>
      </c>
      <c r="X479" s="476">
        <f t="shared" si="745"/>
        <v>0</v>
      </c>
      <c r="Y479" s="476">
        <f t="shared" si="746"/>
        <v>0</v>
      </c>
      <c r="Z479" s="476">
        <f t="shared" si="747"/>
        <v>0</v>
      </c>
      <c r="AA479" s="476">
        <f t="shared" si="748"/>
        <v>0</v>
      </c>
      <c r="AB479" s="476">
        <f t="shared" si="749"/>
        <v>0</v>
      </c>
      <c r="AC479" s="476">
        <f t="shared" si="750"/>
        <v>0</v>
      </c>
      <c r="AD479" s="476">
        <f t="shared" si="751"/>
        <v>0</v>
      </c>
      <c r="AE479" s="476">
        <f t="shared" si="752"/>
        <v>0</v>
      </c>
      <c r="AF479" s="476">
        <f t="shared" si="753"/>
        <v>0</v>
      </c>
      <c r="AG479" s="476">
        <f t="shared" si="754"/>
        <v>0</v>
      </c>
      <c r="AH479" s="476">
        <f t="shared" si="755"/>
        <v>0</v>
      </c>
      <c r="AI479" s="476">
        <f t="shared" si="756"/>
        <v>0</v>
      </c>
      <c r="AJ479" s="476">
        <f t="shared" si="757"/>
        <v>0</v>
      </c>
      <c r="AK479" s="476">
        <f t="shared" si="758"/>
        <v>0</v>
      </c>
      <c r="AL479" s="476">
        <f t="shared" si="759"/>
        <v>0</v>
      </c>
      <c r="AM479" s="476">
        <f t="shared" si="760"/>
        <v>0</v>
      </c>
      <c r="AN479" s="476">
        <f t="shared" si="761"/>
        <v>866707</v>
      </c>
      <c r="AO479" s="476">
        <f t="shared" si="762"/>
        <v>866708</v>
      </c>
      <c r="AP479" s="476">
        <f t="shared" si="763"/>
        <v>0</v>
      </c>
      <c r="AQ479" s="476">
        <f t="shared" si="764"/>
        <v>0</v>
      </c>
      <c r="AR479" s="476">
        <f t="shared" si="765"/>
        <v>0</v>
      </c>
      <c r="AS479" s="476">
        <f t="shared" si="766"/>
        <v>0</v>
      </c>
      <c r="AT479" s="476">
        <f t="shared" si="767"/>
        <v>0</v>
      </c>
      <c r="AU479" s="476">
        <f t="shared" si="768"/>
        <v>0</v>
      </c>
      <c r="AV479" s="476">
        <f t="shared" si="769"/>
        <v>0</v>
      </c>
      <c r="AW479" s="476">
        <f t="shared" si="770"/>
        <v>0</v>
      </c>
      <c r="AX479" s="476">
        <f t="shared" si="771"/>
        <v>0</v>
      </c>
      <c r="AY479" s="476">
        <f t="shared" si="772"/>
        <v>0</v>
      </c>
      <c r="AZ479" s="476">
        <f t="shared" si="773"/>
        <v>0</v>
      </c>
      <c r="BA479" s="476">
        <f t="shared" si="774"/>
        <v>0</v>
      </c>
      <c r="BB479" s="476">
        <f t="shared" si="775"/>
        <v>0</v>
      </c>
      <c r="BC479" s="476">
        <f t="shared" si="776"/>
        <v>0</v>
      </c>
      <c r="BD479" s="476">
        <f t="shared" si="777"/>
        <v>0</v>
      </c>
      <c r="BE479" s="476">
        <f t="shared" si="778"/>
        <v>0</v>
      </c>
      <c r="BF479" s="476">
        <f t="shared" si="779"/>
        <v>0</v>
      </c>
      <c r="BG479" s="476">
        <f t="shared" si="780"/>
        <v>0</v>
      </c>
    </row>
    <row r="480" spans="1:59" ht="16.5" customHeight="1">
      <c r="A480" s="585" t="s">
        <v>1109</v>
      </c>
      <c r="B480" s="585" t="s">
        <v>1110</v>
      </c>
      <c r="C480" s="584" t="s">
        <v>1933</v>
      </c>
      <c r="D480" s="413" t="s">
        <v>508</v>
      </c>
      <c r="E480" s="412" t="s">
        <v>330</v>
      </c>
      <c r="F480" s="413" t="s">
        <v>330</v>
      </c>
      <c r="G480" s="412" t="s">
        <v>330</v>
      </c>
      <c r="H480" s="412" t="s">
        <v>974</v>
      </c>
      <c r="I480" s="477">
        <v>1896469</v>
      </c>
      <c r="J480" s="477">
        <v>1781500</v>
      </c>
      <c r="K480" s="477"/>
      <c r="L480" s="477"/>
      <c r="M480" s="477">
        <f t="shared" si="735"/>
        <v>1896469</v>
      </c>
      <c r="N480" s="477">
        <f t="shared" si="736"/>
        <v>1781500</v>
      </c>
      <c r="O480" s="477"/>
      <c r="P480" s="477"/>
      <c r="Q480" s="477">
        <f t="shared" si="694"/>
        <v>1896469</v>
      </c>
      <c r="R480" s="477">
        <f t="shared" si="695"/>
        <v>1781500</v>
      </c>
      <c r="S480" s="477">
        <f t="shared" si="696"/>
        <v>114969</v>
      </c>
      <c r="V480" s="476">
        <f t="shared" si="743"/>
        <v>1896469</v>
      </c>
      <c r="W480" s="476">
        <f t="shared" si="744"/>
        <v>1781500</v>
      </c>
      <c r="X480" s="476">
        <f t="shared" si="745"/>
        <v>0</v>
      </c>
      <c r="Y480" s="476">
        <f t="shared" si="746"/>
        <v>0</v>
      </c>
      <c r="Z480" s="476">
        <f t="shared" si="747"/>
        <v>0</v>
      </c>
      <c r="AA480" s="476">
        <f t="shared" si="748"/>
        <v>0</v>
      </c>
      <c r="AB480" s="476">
        <f t="shared" si="749"/>
        <v>0</v>
      </c>
      <c r="AC480" s="476">
        <f t="shared" si="750"/>
        <v>0</v>
      </c>
      <c r="AD480" s="476">
        <f t="shared" si="751"/>
        <v>0</v>
      </c>
      <c r="AE480" s="476">
        <f t="shared" si="752"/>
        <v>0</v>
      </c>
      <c r="AF480" s="476">
        <f t="shared" si="753"/>
        <v>0</v>
      </c>
      <c r="AG480" s="476">
        <f t="shared" si="754"/>
        <v>0</v>
      </c>
      <c r="AH480" s="476">
        <f t="shared" si="755"/>
        <v>0</v>
      </c>
      <c r="AI480" s="476">
        <f t="shared" si="756"/>
        <v>0</v>
      </c>
      <c r="AJ480" s="476">
        <f t="shared" si="757"/>
        <v>0</v>
      </c>
      <c r="AK480" s="476">
        <f t="shared" si="758"/>
        <v>0</v>
      </c>
      <c r="AL480" s="476">
        <f t="shared" si="759"/>
        <v>0</v>
      </c>
      <c r="AM480" s="476">
        <f t="shared" si="760"/>
        <v>0</v>
      </c>
      <c r="AN480" s="476">
        <f t="shared" si="761"/>
        <v>0</v>
      </c>
      <c r="AO480" s="476">
        <f t="shared" si="762"/>
        <v>0</v>
      </c>
      <c r="AP480" s="476">
        <f t="shared" si="763"/>
        <v>0</v>
      </c>
      <c r="AQ480" s="476">
        <f t="shared" si="764"/>
        <v>0</v>
      </c>
      <c r="AR480" s="476">
        <f t="shared" si="765"/>
        <v>0</v>
      </c>
      <c r="AS480" s="476">
        <f t="shared" si="766"/>
        <v>0</v>
      </c>
      <c r="AT480" s="476">
        <f t="shared" si="767"/>
        <v>0</v>
      </c>
      <c r="AU480" s="476">
        <f t="shared" si="768"/>
        <v>0</v>
      </c>
      <c r="AV480" s="476">
        <f t="shared" si="769"/>
        <v>0</v>
      </c>
      <c r="AW480" s="476">
        <f t="shared" si="770"/>
        <v>0</v>
      </c>
      <c r="AX480" s="476">
        <f t="shared" si="771"/>
        <v>0</v>
      </c>
      <c r="AY480" s="476">
        <f t="shared" si="772"/>
        <v>0</v>
      </c>
      <c r="AZ480" s="476">
        <f t="shared" si="773"/>
        <v>0</v>
      </c>
      <c r="BA480" s="476">
        <f t="shared" si="774"/>
        <v>0</v>
      </c>
      <c r="BB480" s="476">
        <f t="shared" si="775"/>
        <v>0</v>
      </c>
      <c r="BC480" s="476">
        <f t="shared" si="776"/>
        <v>0</v>
      </c>
      <c r="BD480" s="476">
        <f t="shared" si="777"/>
        <v>0</v>
      </c>
      <c r="BE480" s="476">
        <f t="shared" si="778"/>
        <v>0</v>
      </c>
      <c r="BF480" s="476">
        <f t="shared" si="779"/>
        <v>0</v>
      </c>
      <c r="BG480" s="476">
        <f t="shared" si="780"/>
        <v>0</v>
      </c>
    </row>
    <row r="481" spans="1:59" ht="16.5" customHeight="1">
      <c r="A481" s="585" t="s">
        <v>1109</v>
      </c>
      <c r="B481" s="585" t="s">
        <v>1110</v>
      </c>
      <c r="C481" s="584" t="s">
        <v>1111</v>
      </c>
      <c r="D481" s="413" t="s">
        <v>508</v>
      </c>
      <c r="E481" s="412" t="s">
        <v>330</v>
      </c>
      <c r="F481" s="413" t="s">
        <v>330</v>
      </c>
      <c r="G481" s="412" t="s">
        <v>330</v>
      </c>
      <c r="H481" s="412" t="s">
        <v>1022</v>
      </c>
      <c r="I481" s="477">
        <v>866708</v>
      </c>
      <c r="J481" s="477">
        <v>866707</v>
      </c>
      <c r="K481" s="477"/>
      <c r="L481" s="477"/>
      <c r="M481" s="477">
        <f t="shared" si="735"/>
        <v>866708</v>
      </c>
      <c r="N481" s="477">
        <f t="shared" si="736"/>
        <v>866707</v>
      </c>
      <c r="O481" s="477"/>
      <c r="P481" s="477"/>
      <c r="Q481" s="477">
        <f t="shared" ref="Q481:Q522" si="781">+M481+O481</f>
        <v>866708</v>
      </c>
      <c r="R481" s="477">
        <f t="shared" ref="R481:R522" si="782">+N481+P481</f>
        <v>866707</v>
      </c>
      <c r="S481" s="477">
        <f t="shared" ref="S481:S522" si="783">+Q481-R481</f>
        <v>1</v>
      </c>
      <c r="V481" s="476">
        <f t="shared" si="743"/>
        <v>0</v>
      </c>
      <c r="W481" s="476">
        <f t="shared" si="744"/>
        <v>0</v>
      </c>
      <c r="X481" s="476">
        <f t="shared" si="745"/>
        <v>0</v>
      </c>
      <c r="Y481" s="476">
        <f t="shared" si="746"/>
        <v>0</v>
      </c>
      <c r="Z481" s="476">
        <f t="shared" si="747"/>
        <v>0</v>
      </c>
      <c r="AA481" s="476">
        <f t="shared" si="748"/>
        <v>0</v>
      </c>
      <c r="AB481" s="476">
        <f t="shared" si="749"/>
        <v>0</v>
      </c>
      <c r="AC481" s="476">
        <f t="shared" si="750"/>
        <v>0</v>
      </c>
      <c r="AD481" s="476">
        <f t="shared" si="751"/>
        <v>0</v>
      </c>
      <c r="AE481" s="476">
        <f t="shared" si="752"/>
        <v>0</v>
      </c>
      <c r="AF481" s="476">
        <f t="shared" si="753"/>
        <v>0</v>
      </c>
      <c r="AG481" s="476">
        <f t="shared" si="754"/>
        <v>0</v>
      </c>
      <c r="AH481" s="476">
        <f t="shared" si="755"/>
        <v>0</v>
      </c>
      <c r="AI481" s="476">
        <f t="shared" si="756"/>
        <v>0</v>
      </c>
      <c r="AJ481" s="476">
        <f t="shared" si="757"/>
        <v>0</v>
      </c>
      <c r="AK481" s="476">
        <f t="shared" si="758"/>
        <v>0</v>
      </c>
      <c r="AL481" s="476">
        <f t="shared" si="759"/>
        <v>0</v>
      </c>
      <c r="AM481" s="476">
        <f t="shared" si="760"/>
        <v>0</v>
      </c>
      <c r="AN481" s="476">
        <f t="shared" si="761"/>
        <v>0</v>
      </c>
      <c r="AO481" s="476">
        <f t="shared" si="762"/>
        <v>0</v>
      </c>
      <c r="AP481" s="476">
        <f t="shared" si="763"/>
        <v>0</v>
      </c>
      <c r="AQ481" s="476">
        <f t="shared" si="764"/>
        <v>0</v>
      </c>
      <c r="AR481" s="476">
        <f t="shared" si="765"/>
        <v>0</v>
      </c>
      <c r="AS481" s="476">
        <f t="shared" si="766"/>
        <v>0</v>
      </c>
      <c r="AT481" s="476">
        <f t="shared" si="767"/>
        <v>0</v>
      </c>
      <c r="AU481" s="476">
        <f t="shared" si="768"/>
        <v>0</v>
      </c>
      <c r="AV481" s="476">
        <f t="shared" si="769"/>
        <v>866708</v>
      </c>
      <c r="AW481" s="476">
        <f t="shared" si="770"/>
        <v>866707</v>
      </c>
      <c r="AX481" s="476">
        <f t="shared" si="771"/>
        <v>0</v>
      </c>
      <c r="AY481" s="476">
        <f t="shared" si="772"/>
        <v>0</v>
      </c>
      <c r="AZ481" s="476">
        <f t="shared" si="773"/>
        <v>0</v>
      </c>
      <c r="BA481" s="476">
        <f t="shared" si="774"/>
        <v>0</v>
      </c>
      <c r="BB481" s="476">
        <f t="shared" si="775"/>
        <v>0</v>
      </c>
      <c r="BC481" s="476">
        <f t="shared" si="776"/>
        <v>0</v>
      </c>
      <c r="BD481" s="476">
        <f t="shared" si="777"/>
        <v>0</v>
      </c>
      <c r="BE481" s="476">
        <f t="shared" si="778"/>
        <v>0</v>
      </c>
      <c r="BF481" s="476">
        <f t="shared" si="779"/>
        <v>0</v>
      </c>
      <c r="BG481" s="476">
        <f t="shared" si="780"/>
        <v>0</v>
      </c>
    </row>
    <row r="482" spans="1:59" ht="16.5" customHeight="1">
      <c r="A482" s="585" t="s">
        <v>797</v>
      </c>
      <c r="B482" s="585" t="s">
        <v>1136</v>
      </c>
      <c r="C482" s="584" t="s">
        <v>1934</v>
      </c>
      <c r="D482" s="413" t="s">
        <v>508</v>
      </c>
      <c r="E482" s="412" t="s">
        <v>330</v>
      </c>
      <c r="F482" s="413" t="s">
        <v>330</v>
      </c>
      <c r="G482" s="412" t="s">
        <v>330</v>
      </c>
      <c r="H482" s="412" t="s">
        <v>974</v>
      </c>
      <c r="I482" s="477">
        <v>0</v>
      </c>
      <c r="J482" s="477">
        <v>368297</v>
      </c>
      <c r="K482" s="477"/>
      <c r="L482" s="477"/>
      <c r="M482" s="477">
        <f t="shared" si="735"/>
        <v>0</v>
      </c>
      <c r="N482" s="477">
        <f t="shared" si="736"/>
        <v>368297</v>
      </c>
      <c r="O482" s="477"/>
      <c r="P482" s="477"/>
      <c r="Q482" s="477">
        <f t="shared" si="781"/>
        <v>0</v>
      </c>
      <c r="R482" s="477">
        <f t="shared" si="782"/>
        <v>368297</v>
      </c>
      <c r="S482" s="477">
        <f t="shared" si="783"/>
        <v>-368297</v>
      </c>
      <c r="V482" s="476">
        <f t="shared" si="743"/>
        <v>0</v>
      </c>
      <c r="W482" s="476">
        <f t="shared" si="744"/>
        <v>368297</v>
      </c>
      <c r="X482" s="476">
        <f t="shared" si="745"/>
        <v>0</v>
      </c>
      <c r="Y482" s="476">
        <f t="shared" si="746"/>
        <v>0</v>
      </c>
      <c r="Z482" s="476">
        <f t="shared" si="747"/>
        <v>0</v>
      </c>
      <c r="AA482" s="476">
        <f t="shared" si="748"/>
        <v>0</v>
      </c>
      <c r="AB482" s="476">
        <f t="shared" si="749"/>
        <v>0</v>
      </c>
      <c r="AC482" s="476">
        <f t="shared" si="750"/>
        <v>0</v>
      </c>
      <c r="AD482" s="476">
        <f t="shared" si="751"/>
        <v>0</v>
      </c>
      <c r="AE482" s="476">
        <f t="shared" si="752"/>
        <v>0</v>
      </c>
      <c r="AF482" s="476">
        <f t="shared" si="753"/>
        <v>0</v>
      </c>
      <c r="AG482" s="476">
        <f t="shared" si="754"/>
        <v>0</v>
      </c>
      <c r="AH482" s="476">
        <f t="shared" si="755"/>
        <v>0</v>
      </c>
      <c r="AI482" s="476">
        <f t="shared" si="756"/>
        <v>0</v>
      </c>
      <c r="AJ482" s="476">
        <f t="shared" si="757"/>
        <v>0</v>
      </c>
      <c r="AK482" s="476">
        <f t="shared" si="758"/>
        <v>0</v>
      </c>
      <c r="AL482" s="476">
        <f t="shared" si="759"/>
        <v>0</v>
      </c>
      <c r="AM482" s="476">
        <f t="shared" si="760"/>
        <v>0</v>
      </c>
      <c r="AN482" s="476">
        <f t="shared" si="761"/>
        <v>0</v>
      </c>
      <c r="AO482" s="476">
        <f t="shared" si="762"/>
        <v>0</v>
      </c>
      <c r="AP482" s="476">
        <f t="shared" si="763"/>
        <v>0</v>
      </c>
      <c r="AQ482" s="476">
        <f t="shared" si="764"/>
        <v>0</v>
      </c>
      <c r="AR482" s="476">
        <f t="shared" si="765"/>
        <v>0</v>
      </c>
      <c r="AS482" s="476">
        <f t="shared" si="766"/>
        <v>0</v>
      </c>
      <c r="AT482" s="476">
        <f t="shared" si="767"/>
        <v>0</v>
      </c>
      <c r="AU482" s="476">
        <f t="shared" si="768"/>
        <v>0</v>
      </c>
      <c r="AV482" s="476">
        <f t="shared" si="769"/>
        <v>0</v>
      </c>
      <c r="AW482" s="476">
        <f t="shared" si="770"/>
        <v>0</v>
      </c>
      <c r="AX482" s="476">
        <f t="shared" si="771"/>
        <v>0</v>
      </c>
      <c r="AY482" s="476">
        <f t="shared" si="772"/>
        <v>0</v>
      </c>
      <c r="AZ482" s="476">
        <f t="shared" si="773"/>
        <v>0</v>
      </c>
      <c r="BA482" s="476">
        <f t="shared" si="774"/>
        <v>0</v>
      </c>
      <c r="BB482" s="476">
        <f t="shared" si="775"/>
        <v>0</v>
      </c>
      <c r="BC482" s="476">
        <f t="shared" si="776"/>
        <v>0</v>
      </c>
      <c r="BD482" s="476">
        <f t="shared" si="777"/>
        <v>0</v>
      </c>
      <c r="BE482" s="476">
        <f t="shared" si="778"/>
        <v>0</v>
      </c>
      <c r="BF482" s="476">
        <f t="shared" si="779"/>
        <v>0</v>
      </c>
      <c r="BG482" s="476">
        <f t="shared" si="780"/>
        <v>0</v>
      </c>
    </row>
    <row r="483" spans="1:59" ht="16.5" customHeight="1">
      <c r="A483" s="585" t="s">
        <v>799</v>
      </c>
      <c r="B483" s="585" t="s">
        <v>1138</v>
      </c>
      <c r="C483" s="584" t="s">
        <v>1935</v>
      </c>
      <c r="D483" s="413" t="s">
        <v>508</v>
      </c>
      <c r="E483" s="412" t="s">
        <v>330</v>
      </c>
      <c r="F483" s="413" t="s">
        <v>330</v>
      </c>
      <c r="G483" s="412" t="s">
        <v>330</v>
      </c>
      <c r="H483" s="412" t="s">
        <v>974</v>
      </c>
      <c r="I483" s="477">
        <v>0</v>
      </c>
      <c r="J483" s="477">
        <v>251835</v>
      </c>
      <c r="K483" s="477"/>
      <c r="L483" s="477"/>
      <c r="M483" s="477">
        <f t="shared" si="735"/>
        <v>0</v>
      </c>
      <c r="N483" s="477">
        <f t="shared" si="736"/>
        <v>251835</v>
      </c>
      <c r="O483" s="477"/>
      <c r="P483" s="477"/>
      <c r="Q483" s="477">
        <f t="shared" si="781"/>
        <v>0</v>
      </c>
      <c r="R483" s="477">
        <f t="shared" si="782"/>
        <v>251835</v>
      </c>
      <c r="S483" s="477">
        <f t="shared" si="783"/>
        <v>-251835</v>
      </c>
      <c r="V483" s="476">
        <f t="shared" si="743"/>
        <v>0</v>
      </c>
      <c r="W483" s="476">
        <f t="shared" si="744"/>
        <v>251835</v>
      </c>
      <c r="X483" s="476">
        <f t="shared" si="745"/>
        <v>0</v>
      </c>
      <c r="Y483" s="476">
        <f t="shared" si="746"/>
        <v>0</v>
      </c>
      <c r="Z483" s="476">
        <f t="shared" si="747"/>
        <v>0</v>
      </c>
      <c r="AA483" s="476">
        <f t="shared" si="748"/>
        <v>0</v>
      </c>
      <c r="AB483" s="476">
        <f t="shared" si="749"/>
        <v>0</v>
      </c>
      <c r="AC483" s="476">
        <f t="shared" si="750"/>
        <v>0</v>
      </c>
      <c r="AD483" s="476">
        <f t="shared" si="751"/>
        <v>0</v>
      </c>
      <c r="AE483" s="476">
        <f t="shared" si="752"/>
        <v>0</v>
      </c>
      <c r="AF483" s="476">
        <f t="shared" si="753"/>
        <v>0</v>
      </c>
      <c r="AG483" s="476">
        <f t="shared" si="754"/>
        <v>0</v>
      </c>
      <c r="AH483" s="476">
        <f t="shared" si="755"/>
        <v>0</v>
      </c>
      <c r="AI483" s="476">
        <f t="shared" si="756"/>
        <v>0</v>
      </c>
      <c r="AJ483" s="476">
        <f t="shared" si="757"/>
        <v>0</v>
      </c>
      <c r="AK483" s="476">
        <f t="shared" si="758"/>
        <v>0</v>
      </c>
      <c r="AL483" s="476">
        <f t="shared" si="759"/>
        <v>0</v>
      </c>
      <c r="AM483" s="476">
        <f t="shared" si="760"/>
        <v>0</v>
      </c>
      <c r="AN483" s="476">
        <f t="shared" si="761"/>
        <v>0</v>
      </c>
      <c r="AO483" s="476">
        <f t="shared" si="762"/>
        <v>0</v>
      </c>
      <c r="AP483" s="476">
        <f t="shared" si="763"/>
        <v>0</v>
      </c>
      <c r="AQ483" s="476">
        <f t="shared" si="764"/>
        <v>0</v>
      </c>
      <c r="AR483" s="476">
        <f t="shared" si="765"/>
        <v>0</v>
      </c>
      <c r="AS483" s="476">
        <f t="shared" si="766"/>
        <v>0</v>
      </c>
      <c r="AT483" s="476">
        <f t="shared" si="767"/>
        <v>0</v>
      </c>
      <c r="AU483" s="476">
        <f t="shared" si="768"/>
        <v>0</v>
      </c>
      <c r="AV483" s="476">
        <f t="shared" si="769"/>
        <v>0</v>
      </c>
      <c r="AW483" s="476">
        <f t="shared" si="770"/>
        <v>0</v>
      </c>
      <c r="AX483" s="476">
        <f t="shared" si="771"/>
        <v>0</v>
      </c>
      <c r="AY483" s="476">
        <f t="shared" si="772"/>
        <v>0</v>
      </c>
      <c r="AZ483" s="476">
        <f t="shared" si="773"/>
        <v>0</v>
      </c>
      <c r="BA483" s="476">
        <f t="shared" si="774"/>
        <v>0</v>
      </c>
      <c r="BB483" s="476">
        <f t="shared" si="775"/>
        <v>0</v>
      </c>
      <c r="BC483" s="476">
        <f t="shared" si="776"/>
        <v>0</v>
      </c>
      <c r="BD483" s="476">
        <f t="shared" si="777"/>
        <v>0</v>
      </c>
      <c r="BE483" s="476">
        <f t="shared" si="778"/>
        <v>0</v>
      </c>
      <c r="BF483" s="476">
        <f t="shared" si="779"/>
        <v>0</v>
      </c>
      <c r="BG483" s="476">
        <f t="shared" si="780"/>
        <v>0</v>
      </c>
    </row>
    <row r="484" spans="1:59" ht="16.5" customHeight="1">
      <c r="A484" s="585" t="s">
        <v>810</v>
      </c>
      <c r="B484" s="585" t="s">
        <v>1141</v>
      </c>
      <c r="C484" s="584" t="s">
        <v>1936</v>
      </c>
      <c r="D484" s="413" t="s">
        <v>508</v>
      </c>
      <c r="E484" s="412" t="s">
        <v>330</v>
      </c>
      <c r="F484" s="413" t="s">
        <v>330</v>
      </c>
      <c r="G484" s="412" t="s">
        <v>330</v>
      </c>
      <c r="H484" s="412" t="s">
        <v>974</v>
      </c>
      <c r="I484" s="477">
        <v>0</v>
      </c>
      <c r="J484" s="477">
        <v>143529</v>
      </c>
      <c r="K484" s="477"/>
      <c r="L484" s="477"/>
      <c r="M484" s="477">
        <f t="shared" si="735"/>
        <v>0</v>
      </c>
      <c r="N484" s="477">
        <f t="shared" si="736"/>
        <v>143529</v>
      </c>
      <c r="O484" s="477"/>
      <c r="P484" s="477"/>
      <c r="Q484" s="477">
        <f t="shared" si="781"/>
        <v>0</v>
      </c>
      <c r="R484" s="477">
        <f t="shared" si="782"/>
        <v>143529</v>
      </c>
      <c r="S484" s="477">
        <f t="shared" si="783"/>
        <v>-143529</v>
      </c>
      <c r="V484" s="476">
        <f t="shared" si="743"/>
        <v>0</v>
      </c>
      <c r="W484" s="476">
        <f t="shared" si="744"/>
        <v>143529</v>
      </c>
      <c r="X484" s="476">
        <f t="shared" si="745"/>
        <v>0</v>
      </c>
      <c r="Y484" s="476">
        <f t="shared" si="746"/>
        <v>0</v>
      </c>
      <c r="Z484" s="476">
        <f t="shared" si="747"/>
        <v>0</v>
      </c>
      <c r="AA484" s="476">
        <f t="shared" si="748"/>
        <v>0</v>
      </c>
      <c r="AB484" s="476">
        <f t="shared" si="749"/>
        <v>0</v>
      </c>
      <c r="AC484" s="476">
        <f t="shared" si="750"/>
        <v>0</v>
      </c>
      <c r="AD484" s="476">
        <f t="shared" si="751"/>
        <v>0</v>
      </c>
      <c r="AE484" s="476">
        <f t="shared" si="752"/>
        <v>0</v>
      </c>
      <c r="AF484" s="476">
        <f t="shared" si="753"/>
        <v>0</v>
      </c>
      <c r="AG484" s="476">
        <f t="shared" si="754"/>
        <v>0</v>
      </c>
      <c r="AH484" s="476">
        <f t="shared" si="755"/>
        <v>0</v>
      </c>
      <c r="AI484" s="476">
        <f t="shared" si="756"/>
        <v>0</v>
      </c>
      <c r="AJ484" s="476">
        <f t="shared" si="757"/>
        <v>0</v>
      </c>
      <c r="AK484" s="476">
        <f t="shared" si="758"/>
        <v>0</v>
      </c>
      <c r="AL484" s="476">
        <f t="shared" si="759"/>
        <v>0</v>
      </c>
      <c r="AM484" s="476">
        <f t="shared" si="760"/>
        <v>0</v>
      </c>
      <c r="AN484" s="476">
        <f t="shared" si="761"/>
        <v>0</v>
      </c>
      <c r="AO484" s="476">
        <f t="shared" si="762"/>
        <v>0</v>
      </c>
      <c r="AP484" s="476">
        <f t="shared" si="763"/>
        <v>0</v>
      </c>
      <c r="AQ484" s="476">
        <f t="shared" si="764"/>
        <v>0</v>
      </c>
      <c r="AR484" s="476">
        <f t="shared" si="765"/>
        <v>0</v>
      </c>
      <c r="AS484" s="476">
        <f t="shared" si="766"/>
        <v>0</v>
      </c>
      <c r="AT484" s="476">
        <f t="shared" si="767"/>
        <v>0</v>
      </c>
      <c r="AU484" s="476">
        <f t="shared" si="768"/>
        <v>0</v>
      </c>
      <c r="AV484" s="476">
        <f t="shared" si="769"/>
        <v>0</v>
      </c>
      <c r="AW484" s="476">
        <f t="shared" si="770"/>
        <v>0</v>
      </c>
      <c r="AX484" s="476">
        <f t="shared" si="771"/>
        <v>0</v>
      </c>
      <c r="AY484" s="476">
        <f t="shared" si="772"/>
        <v>0</v>
      </c>
      <c r="AZ484" s="476">
        <f t="shared" si="773"/>
        <v>0</v>
      </c>
      <c r="BA484" s="476">
        <f t="shared" si="774"/>
        <v>0</v>
      </c>
      <c r="BB484" s="476">
        <f t="shared" si="775"/>
        <v>0</v>
      </c>
      <c r="BC484" s="476">
        <f t="shared" si="776"/>
        <v>0</v>
      </c>
      <c r="BD484" s="476">
        <f t="shared" si="777"/>
        <v>0</v>
      </c>
      <c r="BE484" s="476">
        <f t="shared" si="778"/>
        <v>0</v>
      </c>
      <c r="BF484" s="476">
        <f t="shared" si="779"/>
        <v>0</v>
      </c>
      <c r="BG484" s="476">
        <f t="shared" si="780"/>
        <v>0</v>
      </c>
    </row>
    <row r="485" spans="1:59" ht="16.5" customHeight="1">
      <c r="A485" s="585" t="s">
        <v>810</v>
      </c>
      <c r="B485" s="585" t="s">
        <v>1141</v>
      </c>
      <c r="C485" s="584" t="s">
        <v>1937</v>
      </c>
      <c r="D485" s="413" t="s">
        <v>508</v>
      </c>
      <c r="E485" s="412" t="s">
        <v>330</v>
      </c>
      <c r="F485" s="413" t="s">
        <v>330</v>
      </c>
      <c r="G485" s="412" t="s">
        <v>330</v>
      </c>
      <c r="H485" s="412" t="s">
        <v>1012</v>
      </c>
      <c r="I485" s="477">
        <v>0</v>
      </c>
      <c r="J485" s="477">
        <v>95515</v>
      </c>
      <c r="K485" s="477"/>
      <c r="L485" s="477"/>
      <c r="M485" s="477">
        <f t="shared" si="735"/>
        <v>0</v>
      </c>
      <c r="N485" s="477">
        <f t="shared" si="736"/>
        <v>95515</v>
      </c>
      <c r="O485" s="477"/>
      <c r="P485" s="477"/>
      <c r="Q485" s="477">
        <f t="shared" si="781"/>
        <v>0</v>
      </c>
      <c r="R485" s="477">
        <f t="shared" si="782"/>
        <v>95515</v>
      </c>
      <c r="S485" s="477">
        <f t="shared" si="783"/>
        <v>-95515</v>
      </c>
      <c r="V485" s="476">
        <f t="shared" si="743"/>
        <v>0</v>
      </c>
      <c r="W485" s="476">
        <f t="shared" si="744"/>
        <v>0</v>
      </c>
      <c r="X485" s="476">
        <f t="shared" si="745"/>
        <v>0</v>
      </c>
      <c r="Y485" s="476">
        <f t="shared" si="746"/>
        <v>0</v>
      </c>
      <c r="Z485" s="476">
        <f t="shared" si="747"/>
        <v>0</v>
      </c>
      <c r="AA485" s="476">
        <f t="shared" si="748"/>
        <v>0</v>
      </c>
      <c r="AB485" s="476">
        <f t="shared" si="749"/>
        <v>0</v>
      </c>
      <c r="AC485" s="476">
        <f t="shared" si="750"/>
        <v>95515</v>
      </c>
      <c r="AD485" s="476">
        <f t="shared" si="751"/>
        <v>0</v>
      </c>
      <c r="AE485" s="476">
        <f t="shared" si="752"/>
        <v>0</v>
      </c>
      <c r="AF485" s="476">
        <f t="shared" si="753"/>
        <v>0</v>
      </c>
      <c r="AG485" s="476">
        <f t="shared" si="754"/>
        <v>0</v>
      </c>
      <c r="AH485" s="476">
        <f t="shared" si="755"/>
        <v>0</v>
      </c>
      <c r="AI485" s="476">
        <f t="shared" si="756"/>
        <v>0</v>
      </c>
      <c r="AJ485" s="476">
        <f t="shared" si="757"/>
        <v>0</v>
      </c>
      <c r="AK485" s="476">
        <f t="shared" si="758"/>
        <v>0</v>
      </c>
      <c r="AL485" s="476">
        <f t="shared" si="759"/>
        <v>0</v>
      </c>
      <c r="AM485" s="476">
        <f t="shared" si="760"/>
        <v>0</v>
      </c>
      <c r="AN485" s="476">
        <f t="shared" si="761"/>
        <v>0</v>
      </c>
      <c r="AO485" s="476">
        <f t="shared" si="762"/>
        <v>0</v>
      </c>
      <c r="AP485" s="476">
        <f t="shared" si="763"/>
        <v>0</v>
      </c>
      <c r="AQ485" s="476">
        <f t="shared" si="764"/>
        <v>0</v>
      </c>
      <c r="AR485" s="476">
        <f t="shared" si="765"/>
        <v>0</v>
      </c>
      <c r="AS485" s="476">
        <f t="shared" si="766"/>
        <v>0</v>
      </c>
      <c r="AT485" s="476">
        <f t="shared" si="767"/>
        <v>0</v>
      </c>
      <c r="AU485" s="476">
        <f t="shared" si="768"/>
        <v>0</v>
      </c>
      <c r="AV485" s="476">
        <f t="shared" si="769"/>
        <v>0</v>
      </c>
      <c r="AW485" s="476">
        <f t="shared" si="770"/>
        <v>0</v>
      </c>
      <c r="AX485" s="476">
        <f t="shared" si="771"/>
        <v>0</v>
      </c>
      <c r="AY485" s="476">
        <f t="shared" si="772"/>
        <v>0</v>
      </c>
      <c r="AZ485" s="476">
        <f t="shared" si="773"/>
        <v>0</v>
      </c>
      <c r="BA485" s="476">
        <f t="shared" si="774"/>
        <v>0</v>
      </c>
      <c r="BB485" s="476">
        <f t="shared" si="775"/>
        <v>0</v>
      </c>
      <c r="BC485" s="476">
        <f t="shared" si="776"/>
        <v>0</v>
      </c>
      <c r="BD485" s="476">
        <f t="shared" si="777"/>
        <v>0</v>
      </c>
      <c r="BE485" s="476">
        <f t="shared" si="778"/>
        <v>0</v>
      </c>
      <c r="BF485" s="476">
        <f t="shared" si="779"/>
        <v>0</v>
      </c>
      <c r="BG485" s="476">
        <f t="shared" si="780"/>
        <v>0</v>
      </c>
    </row>
    <row r="486" spans="1:59" ht="16.5" customHeight="1">
      <c r="A486" s="585" t="s">
        <v>810</v>
      </c>
      <c r="B486" s="585" t="s">
        <v>1141</v>
      </c>
      <c r="C486" s="584" t="s">
        <v>1938</v>
      </c>
      <c r="D486" s="413" t="s">
        <v>508</v>
      </c>
      <c r="E486" s="412" t="s">
        <v>330</v>
      </c>
      <c r="F486" s="413" t="s">
        <v>330</v>
      </c>
      <c r="G486" s="412" t="s">
        <v>330</v>
      </c>
      <c r="H486" s="412" t="s">
        <v>1055</v>
      </c>
      <c r="I486" s="477">
        <v>0</v>
      </c>
      <c r="J486" s="477">
        <v>2100</v>
      </c>
      <c r="K486" s="477"/>
      <c r="L486" s="477"/>
      <c r="M486" s="477">
        <f t="shared" si="735"/>
        <v>0</v>
      </c>
      <c r="N486" s="477">
        <f t="shared" si="736"/>
        <v>2100</v>
      </c>
      <c r="O486" s="477"/>
      <c r="P486" s="477"/>
      <c r="Q486" s="477">
        <f t="shared" si="781"/>
        <v>0</v>
      </c>
      <c r="R486" s="477">
        <f t="shared" si="782"/>
        <v>2100</v>
      </c>
      <c r="S486" s="477">
        <f t="shared" si="783"/>
        <v>-2100</v>
      </c>
      <c r="V486" s="476">
        <f t="shared" si="743"/>
        <v>0</v>
      </c>
      <c r="W486" s="476">
        <f t="shared" si="744"/>
        <v>0</v>
      </c>
      <c r="X486" s="476">
        <f t="shared" si="745"/>
        <v>0</v>
      </c>
      <c r="Y486" s="476">
        <f t="shared" si="746"/>
        <v>0</v>
      </c>
      <c r="Z486" s="476">
        <f t="shared" si="747"/>
        <v>0</v>
      </c>
      <c r="AA486" s="476">
        <f t="shared" si="748"/>
        <v>0</v>
      </c>
      <c r="AB486" s="476">
        <f t="shared" si="749"/>
        <v>0</v>
      </c>
      <c r="AC486" s="476">
        <f t="shared" si="750"/>
        <v>0</v>
      </c>
      <c r="AD486" s="476">
        <f t="shared" si="751"/>
        <v>0</v>
      </c>
      <c r="AE486" s="476">
        <f t="shared" si="752"/>
        <v>0</v>
      </c>
      <c r="AF486" s="476">
        <f t="shared" si="753"/>
        <v>0</v>
      </c>
      <c r="AG486" s="476">
        <f t="shared" si="754"/>
        <v>0</v>
      </c>
      <c r="AH486" s="476">
        <f t="shared" si="755"/>
        <v>0</v>
      </c>
      <c r="AI486" s="476">
        <f t="shared" si="756"/>
        <v>0</v>
      </c>
      <c r="AJ486" s="476">
        <f t="shared" si="757"/>
        <v>0</v>
      </c>
      <c r="AK486" s="476">
        <f t="shared" si="758"/>
        <v>0</v>
      </c>
      <c r="AL486" s="476">
        <f t="shared" si="759"/>
        <v>0</v>
      </c>
      <c r="AM486" s="476">
        <f t="shared" si="760"/>
        <v>0</v>
      </c>
      <c r="AN486" s="476">
        <f t="shared" si="761"/>
        <v>0</v>
      </c>
      <c r="AO486" s="476">
        <f t="shared" si="762"/>
        <v>0</v>
      </c>
      <c r="AP486" s="476">
        <f t="shared" si="763"/>
        <v>0</v>
      </c>
      <c r="AQ486" s="476">
        <f t="shared" si="764"/>
        <v>0</v>
      </c>
      <c r="AR486" s="476">
        <f t="shared" si="765"/>
        <v>0</v>
      </c>
      <c r="AS486" s="476">
        <f t="shared" si="766"/>
        <v>0</v>
      </c>
      <c r="AT486" s="476">
        <f t="shared" si="767"/>
        <v>0</v>
      </c>
      <c r="AU486" s="476">
        <f t="shared" si="768"/>
        <v>0</v>
      </c>
      <c r="AV486" s="476">
        <f t="shared" si="769"/>
        <v>0</v>
      </c>
      <c r="AW486" s="476">
        <f t="shared" si="770"/>
        <v>0</v>
      </c>
      <c r="AX486" s="476">
        <f t="shared" si="771"/>
        <v>0</v>
      </c>
      <c r="AY486" s="476">
        <f t="shared" si="772"/>
        <v>0</v>
      </c>
      <c r="AZ486" s="476">
        <f t="shared" si="773"/>
        <v>0</v>
      </c>
      <c r="BA486" s="476">
        <f t="shared" si="774"/>
        <v>0</v>
      </c>
      <c r="BB486" s="476">
        <f t="shared" si="775"/>
        <v>0</v>
      </c>
      <c r="BC486" s="476">
        <f t="shared" si="776"/>
        <v>2100</v>
      </c>
      <c r="BD486" s="476">
        <f t="shared" si="777"/>
        <v>0</v>
      </c>
      <c r="BE486" s="476">
        <f t="shared" si="778"/>
        <v>0</v>
      </c>
      <c r="BF486" s="476">
        <f t="shared" si="779"/>
        <v>0</v>
      </c>
      <c r="BG486" s="476">
        <f t="shared" si="780"/>
        <v>0</v>
      </c>
    </row>
    <row r="487" spans="1:59" ht="16.5" customHeight="1">
      <c r="A487" s="585" t="s">
        <v>810</v>
      </c>
      <c r="B487" s="585" t="s">
        <v>1141</v>
      </c>
      <c r="C487" s="584" t="s">
        <v>1939</v>
      </c>
      <c r="D487" s="413" t="s">
        <v>508</v>
      </c>
      <c r="E487" s="412" t="s">
        <v>330</v>
      </c>
      <c r="F487" s="413" t="s">
        <v>330</v>
      </c>
      <c r="G487" s="412" t="s">
        <v>330</v>
      </c>
      <c r="H487" s="412" t="s">
        <v>1025</v>
      </c>
      <c r="I487" s="477">
        <v>0</v>
      </c>
      <c r="J487" s="477">
        <v>33907</v>
      </c>
      <c r="K487" s="477"/>
      <c r="L487" s="477"/>
      <c r="M487" s="477">
        <f t="shared" si="735"/>
        <v>0</v>
      </c>
      <c r="N487" s="477">
        <f t="shared" si="736"/>
        <v>33907</v>
      </c>
      <c r="O487" s="477"/>
      <c r="P487" s="477"/>
      <c r="Q487" s="477">
        <f t="shared" si="781"/>
        <v>0</v>
      </c>
      <c r="R487" s="477">
        <f t="shared" si="782"/>
        <v>33907</v>
      </c>
      <c r="S487" s="477">
        <f t="shared" si="783"/>
        <v>-33907</v>
      </c>
      <c r="V487" s="476">
        <f t="shared" si="743"/>
        <v>0</v>
      </c>
      <c r="W487" s="476">
        <f t="shared" si="744"/>
        <v>0</v>
      </c>
      <c r="X487" s="476">
        <f t="shared" si="745"/>
        <v>0</v>
      </c>
      <c r="Y487" s="476">
        <f t="shared" si="746"/>
        <v>0</v>
      </c>
      <c r="Z487" s="476">
        <f t="shared" si="747"/>
        <v>0</v>
      </c>
      <c r="AA487" s="476">
        <f t="shared" si="748"/>
        <v>0</v>
      </c>
      <c r="AB487" s="476">
        <f t="shared" si="749"/>
        <v>0</v>
      </c>
      <c r="AC487" s="476">
        <f t="shared" si="750"/>
        <v>0</v>
      </c>
      <c r="AD487" s="476">
        <f t="shared" si="751"/>
        <v>0</v>
      </c>
      <c r="AE487" s="476">
        <f t="shared" si="752"/>
        <v>0</v>
      </c>
      <c r="AF487" s="476">
        <f t="shared" si="753"/>
        <v>0</v>
      </c>
      <c r="AG487" s="476">
        <f t="shared" si="754"/>
        <v>0</v>
      </c>
      <c r="AH487" s="476">
        <f t="shared" si="755"/>
        <v>0</v>
      </c>
      <c r="AI487" s="476">
        <f t="shared" si="756"/>
        <v>33907</v>
      </c>
      <c r="AJ487" s="476">
        <f t="shared" si="757"/>
        <v>0</v>
      </c>
      <c r="AK487" s="476">
        <f t="shared" si="758"/>
        <v>0</v>
      </c>
      <c r="AL487" s="476">
        <f t="shared" si="759"/>
        <v>0</v>
      </c>
      <c r="AM487" s="476">
        <f t="shared" si="760"/>
        <v>0</v>
      </c>
      <c r="AN487" s="476">
        <f t="shared" si="761"/>
        <v>0</v>
      </c>
      <c r="AO487" s="476">
        <f t="shared" si="762"/>
        <v>0</v>
      </c>
      <c r="AP487" s="476">
        <f t="shared" si="763"/>
        <v>0</v>
      </c>
      <c r="AQ487" s="476">
        <f t="shared" si="764"/>
        <v>0</v>
      </c>
      <c r="AR487" s="476">
        <f t="shared" si="765"/>
        <v>0</v>
      </c>
      <c r="AS487" s="476">
        <f t="shared" si="766"/>
        <v>0</v>
      </c>
      <c r="AT487" s="476">
        <f t="shared" si="767"/>
        <v>0</v>
      </c>
      <c r="AU487" s="476">
        <f t="shared" si="768"/>
        <v>0</v>
      </c>
      <c r="AV487" s="476">
        <f t="shared" si="769"/>
        <v>0</v>
      </c>
      <c r="AW487" s="476">
        <f t="shared" si="770"/>
        <v>0</v>
      </c>
      <c r="AX487" s="476">
        <f t="shared" si="771"/>
        <v>0</v>
      </c>
      <c r="AY487" s="476">
        <f t="shared" si="772"/>
        <v>0</v>
      </c>
      <c r="AZ487" s="476">
        <f t="shared" si="773"/>
        <v>0</v>
      </c>
      <c r="BA487" s="476">
        <f t="shared" si="774"/>
        <v>0</v>
      </c>
      <c r="BB487" s="476">
        <f t="shared" si="775"/>
        <v>0</v>
      </c>
      <c r="BC487" s="476">
        <f t="shared" si="776"/>
        <v>0</v>
      </c>
      <c r="BD487" s="476">
        <f t="shared" si="777"/>
        <v>0</v>
      </c>
      <c r="BE487" s="476">
        <f t="shared" si="778"/>
        <v>0</v>
      </c>
      <c r="BF487" s="476">
        <f t="shared" si="779"/>
        <v>0</v>
      </c>
      <c r="BG487" s="476">
        <f t="shared" si="780"/>
        <v>0</v>
      </c>
    </row>
    <row r="488" spans="1:59" ht="16.5" customHeight="1">
      <c r="A488" s="585" t="s">
        <v>811</v>
      </c>
      <c r="B488" s="585" t="s">
        <v>1142</v>
      </c>
      <c r="C488" s="584" t="s">
        <v>1940</v>
      </c>
      <c r="D488" s="413" t="s">
        <v>508</v>
      </c>
      <c r="E488" s="412" t="s">
        <v>330</v>
      </c>
      <c r="F488" s="413" t="s">
        <v>330</v>
      </c>
      <c r="G488" s="412" t="s">
        <v>330</v>
      </c>
      <c r="H488" s="412" t="s">
        <v>1018</v>
      </c>
      <c r="I488" s="477">
        <v>384219</v>
      </c>
      <c r="J488" s="477">
        <v>2640536</v>
      </c>
      <c r="K488" s="477"/>
      <c r="L488" s="477"/>
      <c r="M488" s="477">
        <f t="shared" si="735"/>
        <v>384219</v>
      </c>
      <c r="N488" s="477">
        <f t="shared" si="736"/>
        <v>2640536</v>
      </c>
      <c r="O488" s="477"/>
      <c r="P488" s="477"/>
      <c r="Q488" s="477">
        <f t="shared" si="781"/>
        <v>384219</v>
      </c>
      <c r="R488" s="477">
        <f t="shared" si="782"/>
        <v>2640536</v>
      </c>
      <c r="S488" s="477">
        <f t="shared" si="783"/>
        <v>-2256317</v>
      </c>
      <c r="V488" s="476">
        <f t="shared" si="743"/>
        <v>0</v>
      </c>
      <c r="W488" s="476">
        <f t="shared" si="744"/>
        <v>0</v>
      </c>
      <c r="X488" s="476">
        <f t="shared" si="745"/>
        <v>0</v>
      </c>
      <c r="Y488" s="476">
        <f t="shared" si="746"/>
        <v>0</v>
      </c>
      <c r="Z488" s="476">
        <f t="shared" si="747"/>
        <v>0</v>
      </c>
      <c r="AA488" s="476">
        <f t="shared" si="748"/>
        <v>0</v>
      </c>
      <c r="AB488" s="476">
        <f t="shared" si="749"/>
        <v>0</v>
      </c>
      <c r="AC488" s="476">
        <f t="shared" si="750"/>
        <v>0</v>
      </c>
      <c r="AD488" s="476">
        <f t="shared" si="751"/>
        <v>0</v>
      </c>
      <c r="AE488" s="476">
        <f t="shared" si="752"/>
        <v>0</v>
      </c>
      <c r="AF488" s="476">
        <f t="shared" si="753"/>
        <v>0</v>
      </c>
      <c r="AG488" s="476">
        <f t="shared" si="754"/>
        <v>0</v>
      </c>
      <c r="AH488" s="476">
        <f t="shared" si="755"/>
        <v>0</v>
      </c>
      <c r="AI488" s="476">
        <f t="shared" si="756"/>
        <v>0</v>
      </c>
      <c r="AJ488" s="476">
        <f t="shared" si="757"/>
        <v>0</v>
      </c>
      <c r="AK488" s="476">
        <f t="shared" si="758"/>
        <v>0</v>
      </c>
      <c r="AL488" s="476">
        <f t="shared" si="759"/>
        <v>0</v>
      </c>
      <c r="AM488" s="476">
        <f t="shared" si="760"/>
        <v>0</v>
      </c>
      <c r="AN488" s="476">
        <f t="shared" si="761"/>
        <v>0</v>
      </c>
      <c r="AO488" s="476">
        <f t="shared" si="762"/>
        <v>0</v>
      </c>
      <c r="AP488" s="476">
        <f t="shared" si="763"/>
        <v>0</v>
      </c>
      <c r="AQ488" s="476">
        <f t="shared" si="764"/>
        <v>0</v>
      </c>
      <c r="AR488" s="476">
        <f t="shared" si="765"/>
        <v>0</v>
      </c>
      <c r="AS488" s="476">
        <f t="shared" si="766"/>
        <v>0</v>
      </c>
      <c r="AT488" s="476">
        <f t="shared" si="767"/>
        <v>0</v>
      </c>
      <c r="AU488" s="476">
        <f t="shared" si="768"/>
        <v>0</v>
      </c>
      <c r="AV488" s="476">
        <f t="shared" si="769"/>
        <v>0</v>
      </c>
      <c r="AW488" s="476">
        <f t="shared" si="770"/>
        <v>0</v>
      </c>
      <c r="AX488" s="476">
        <f t="shared" si="771"/>
        <v>0</v>
      </c>
      <c r="AY488" s="476">
        <f t="shared" si="772"/>
        <v>0</v>
      </c>
      <c r="AZ488" s="476">
        <f t="shared" si="773"/>
        <v>0</v>
      </c>
      <c r="BA488" s="476">
        <f t="shared" si="774"/>
        <v>0</v>
      </c>
      <c r="BB488" s="476">
        <f t="shared" si="775"/>
        <v>0</v>
      </c>
      <c r="BC488" s="476">
        <f t="shared" si="776"/>
        <v>0</v>
      </c>
      <c r="BD488" s="476">
        <f t="shared" si="777"/>
        <v>0</v>
      </c>
      <c r="BE488" s="476">
        <f t="shared" si="778"/>
        <v>0</v>
      </c>
      <c r="BF488" s="476">
        <f t="shared" si="779"/>
        <v>384219</v>
      </c>
      <c r="BG488" s="476">
        <f t="shared" si="780"/>
        <v>2640536</v>
      </c>
    </row>
    <row r="489" spans="1:59" ht="16.5" customHeight="1">
      <c r="A489" s="585" t="s">
        <v>811</v>
      </c>
      <c r="B489" s="585" t="s">
        <v>1142</v>
      </c>
      <c r="C489" s="584" t="s">
        <v>1941</v>
      </c>
      <c r="D489" s="413" t="s">
        <v>508</v>
      </c>
      <c r="E489" s="412" t="s">
        <v>330</v>
      </c>
      <c r="F489" s="413" t="s">
        <v>330</v>
      </c>
      <c r="G489" s="412" t="s">
        <v>330</v>
      </c>
      <c r="H489" s="412" t="s">
        <v>1013</v>
      </c>
      <c r="I489" s="477">
        <v>14070</v>
      </c>
      <c r="J489" s="477">
        <v>0</v>
      </c>
      <c r="K489" s="477"/>
      <c r="L489" s="477"/>
      <c r="M489" s="477">
        <f t="shared" si="735"/>
        <v>14070</v>
      </c>
      <c r="N489" s="477">
        <f t="shared" si="736"/>
        <v>0</v>
      </c>
      <c r="O489" s="477"/>
      <c r="P489" s="477"/>
      <c r="Q489" s="477">
        <f t="shared" si="781"/>
        <v>14070</v>
      </c>
      <c r="R489" s="477">
        <f t="shared" si="782"/>
        <v>0</v>
      </c>
      <c r="S489" s="477">
        <f t="shared" si="783"/>
        <v>14070</v>
      </c>
      <c r="V489" s="476">
        <f t="shared" si="743"/>
        <v>0</v>
      </c>
      <c r="W489" s="476">
        <f t="shared" si="744"/>
        <v>0</v>
      </c>
      <c r="X489" s="476">
        <f t="shared" si="745"/>
        <v>0</v>
      </c>
      <c r="Y489" s="476">
        <f t="shared" si="746"/>
        <v>0</v>
      </c>
      <c r="Z489" s="476">
        <f t="shared" si="747"/>
        <v>0</v>
      </c>
      <c r="AA489" s="476">
        <f t="shared" si="748"/>
        <v>0</v>
      </c>
      <c r="AB489" s="476">
        <f t="shared" si="749"/>
        <v>0</v>
      </c>
      <c r="AC489" s="476">
        <f t="shared" si="750"/>
        <v>0</v>
      </c>
      <c r="AD489" s="476">
        <f t="shared" si="751"/>
        <v>0</v>
      </c>
      <c r="AE489" s="476">
        <f t="shared" si="752"/>
        <v>0</v>
      </c>
      <c r="AF489" s="476">
        <f t="shared" si="753"/>
        <v>0</v>
      </c>
      <c r="AG489" s="476">
        <f t="shared" si="754"/>
        <v>0</v>
      </c>
      <c r="AH489" s="476">
        <f t="shared" si="755"/>
        <v>0</v>
      </c>
      <c r="AI489" s="476">
        <f t="shared" si="756"/>
        <v>0</v>
      </c>
      <c r="AJ489" s="476">
        <f t="shared" si="757"/>
        <v>14070</v>
      </c>
      <c r="AK489" s="476">
        <f t="shared" si="758"/>
        <v>0</v>
      </c>
      <c r="AL489" s="476">
        <f t="shared" si="759"/>
        <v>0</v>
      </c>
      <c r="AM489" s="476">
        <f t="shared" si="760"/>
        <v>0</v>
      </c>
      <c r="AN489" s="476">
        <f t="shared" si="761"/>
        <v>0</v>
      </c>
      <c r="AO489" s="476">
        <f t="shared" si="762"/>
        <v>0</v>
      </c>
      <c r="AP489" s="476">
        <f t="shared" si="763"/>
        <v>0</v>
      </c>
      <c r="AQ489" s="476">
        <f t="shared" si="764"/>
        <v>0</v>
      </c>
      <c r="AR489" s="476">
        <f t="shared" si="765"/>
        <v>0</v>
      </c>
      <c r="AS489" s="476">
        <f t="shared" si="766"/>
        <v>0</v>
      </c>
      <c r="AT489" s="476">
        <f t="shared" si="767"/>
        <v>0</v>
      </c>
      <c r="AU489" s="476">
        <f t="shared" si="768"/>
        <v>0</v>
      </c>
      <c r="AV489" s="476">
        <f t="shared" si="769"/>
        <v>0</v>
      </c>
      <c r="AW489" s="476">
        <f t="shared" si="770"/>
        <v>0</v>
      </c>
      <c r="AX489" s="476">
        <f t="shared" si="771"/>
        <v>0</v>
      </c>
      <c r="AY489" s="476">
        <f t="shared" si="772"/>
        <v>0</v>
      </c>
      <c r="AZ489" s="476">
        <f t="shared" si="773"/>
        <v>0</v>
      </c>
      <c r="BA489" s="476">
        <f t="shared" si="774"/>
        <v>0</v>
      </c>
      <c r="BB489" s="476">
        <f t="shared" si="775"/>
        <v>0</v>
      </c>
      <c r="BC489" s="476">
        <f t="shared" si="776"/>
        <v>0</v>
      </c>
      <c r="BD489" s="476">
        <f t="shared" si="777"/>
        <v>0</v>
      </c>
      <c r="BE489" s="476">
        <f t="shared" si="778"/>
        <v>0</v>
      </c>
      <c r="BF489" s="476">
        <f t="shared" si="779"/>
        <v>0</v>
      </c>
      <c r="BG489" s="476">
        <f t="shared" si="780"/>
        <v>0</v>
      </c>
    </row>
    <row r="490" spans="1:59" ht="16.5" customHeight="1">
      <c r="A490" s="585" t="s">
        <v>811</v>
      </c>
      <c r="B490" s="585" t="s">
        <v>1142</v>
      </c>
      <c r="C490" s="584" t="s">
        <v>1942</v>
      </c>
      <c r="D490" s="413" t="s">
        <v>508</v>
      </c>
      <c r="E490" s="412" t="s">
        <v>330</v>
      </c>
      <c r="F490" s="413" t="s">
        <v>330</v>
      </c>
      <c r="G490" s="412" t="s">
        <v>330</v>
      </c>
      <c r="H490" s="412" t="s">
        <v>1014</v>
      </c>
      <c r="I490" s="477">
        <v>0</v>
      </c>
      <c r="J490" s="477">
        <v>1061304</v>
      </c>
      <c r="K490" s="477"/>
      <c r="L490" s="477"/>
      <c r="M490" s="477">
        <f t="shared" si="735"/>
        <v>0</v>
      </c>
      <c r="N490" s="477">
        <f t="shared" si="736"/>
        <v>1061304</v>
      </c>
      <c r="O490" s="477"/>
      <c r="P490" s="477"/>
      <c r="Q490" s="477">
        <f t="shared" si="781"/>
        <v>0</v>
      </c>
      <c r="R490" s="477">
        <f t="shared" si="782"/>
        <v>1061304</v>
      </c>
      <c r="S490" s="477">
        <f t="shared" si="783"/>
        <v>-1061304</v>
      </c>
      <c r="V490" s="476">
        <f t="shared" si="743"/>
        <v>0</v>
      </c>
      <c r="W490" s="476">
        <f t="shared" si="744"/>
        <v>0</v>
      </c>
      <c r="X490" s="476">
        <f t="shared" si="745"/>
        <v>0</v>
      </c>
      <c r="Y490" s="476">
        <f t="shared" si="746"/>
        <v>0</v>
      </c>
      <c r="Z490" s="476">
        <f t="shared" si="747"/>
        <v>0</v>
      </c>
      <c r="AA490" s="476">
        <f t="shared" si="748"/>
        <v>0</v>
      </c>
      <c r="AB490" s="476">
        <f t="shared" si="749"/>
        <v>0</v>
      </c>
      <c r="AC490" s="476">
        <f t="shared" si="750"/>
        <v>0</v>
      </c>
      <c r="AD490" s="476">
        <f t="shared" si="751"/>
        <v>0</v>
      </c>
      <c r="AE490" s="476">
        <f t="shared" si="752"/>
        <v>0</v>
      </c>
      <c r="AF490" s="476">
        <f t="shared" si="753"/>
        <v>0</v>
      </c>
      <c r="AG490" s="476">
        <f t="shared" si="754"/>
        <v>0</v>
      </c>
      <c r="AH490" s="476">
        <f t="shared" si="755"/>
        <v>0</v>
      </c>
      <c r="AI490" s="476">
        <f t="shared" si="756"/>
        <v>0</v>
      </c>
      <c r="AJ490" s="476">
        <f t="shared" si="757"/>
        <v>0</v>
      </c>
      <c r="AK490" s="476">
        <f t="shared" si="758"/>
        <v>0</v>
      </c>
      <c r="AL490" s="476">
        <f t="shared" si="759"/>
        <v>0</v>
      </c>
      <c r="AM490" s="476">
        <f t="shared" si="760"/>
        <v>0</v>
      </c>
      <c r="AN490" s="476">
        <f t="shared" si="761"/>
        <v>0</v>
      </c>
      <c r="AO490" s="476">
        <f t="shared" si="762"/>
        <v>0</v>
      </c>
      <c r="AP490" s="476">
        <f t="shared" si="763"/>
        <v>0</v>
      </c>
      <c r="AQ490" s="476">
        <f t="shared" si="764"/>
        <v>1061304</v>
      </c>
      <c r="AR490" s="476">
        <f t="shared" si="765"/>
        <v>0</v>
      </c>
      <c r="AS490" s="476">
        <f t="shared" si="766"/>
        <v>0</v>
      </c>
      <c r="AT490" s="476">
        <f t="shared" si="767"/>
        <v>0</v>
      </c>
      <c r="AU490" s="476">
        <f t="shared" si="768"/>
        <v>0</v>
      </c>
      <c r="AV490" s="476">
        <f t="shared" si="769"/>
        <v>0</v>
      </c>
      <c r="AW490" s="476">
        <f t="shared" si="770"/>
        <v>0</v>
      </c>
      <c r="AX490" s="476">
        <f t="shared" si="771"/>
        <v>0</v>
      </c>
      <c r="AY490" s="476">
        <f t="shared" si="772"/>
        <v>0</v>
      </c>
      <c r="AZ490" s="476">
        <f t="shared" si="773"/>
        <v>0</v>
      </c>
      <c r="BA490" s="476">
        <f t="shared" si="774"/>
        <v>0</v>
      </c>
      <c r="BB490" s="476">
        <f t="shared" si="775"/>
        <v>0</v>
      </c>
      <c r="BC490" s="476">
        <f t="shared" si="776"/>
        <v>0</v>
      </c>
      <c r="BD490" s="476">
        <f t="shared" si="777"/>
        <v>0</v>
      </c>
      <c r="BE490" s="476">
        <f t="shared" si="778"/>
        <v>0</v>
      </c>
      <c r="BF490" s="476">
        <f t="shared" si="779"/>
        <v>0</v>
      </c>
      <c r="BG490" s="476">
        <f t="shared" si="780"/>
        <v>0</v>
      </c>
    </row>
    <row r="491" spans="1:59" ht="16.5" customHeight="1">
      <c r="A491" s="585" t="s">
        <v>811</v>
      </c>
      <c r="B491" s="585" t="s">
        <v>1142</v>
      </c>
      <c r="C491" s="584" t="s">
        <v>1943</v>
      </c>
      <c r="D491" s="413" t="s">
        <v>508</v>
      </c>
      <c r="E491" s="412" t="s">
        <v>330</v>
      </c>
      <c r="F491" s="413" t="s">
        <v>330</v>
      </c>
      <c r="G491" s="412" t="s">
        <v>330</v>
      </c>
      <c r="H491" s="412" t="s">
        <v>974</v>
      </c>
      <c r="I491" s="477">
        <v>0</v>
      </c>
      <c r="J491" s="477">
        <v>218522</v>
      </c>
      <c r="K491" s="477"/>
      <c r="L491" s="477">
        <v>1796</v>
      </c>
      <c r="M491" s="477">
        <f t="shared" si="735"/>
        <v>0</v>
      </c>
      <c r="N491" s="477">
        <f t="shared" si="736"/>
        <v>220318</v>
      </c>
      <c r="O491" s="477"/>
      <c r="P491" s="477"/>
      <c r="Q491" s="477">
        <f t="shared" si="781"/>
        <v>0</v>
      </c>
      <c r="R491" s="477">
        <f t="shared" si="782"/>
        <v>220318</v>
      </c>
      <c r="S491" s="477">
        <f t="shared" si="783"/>
        <v>-220318</v>
      </c>
      <c r="V491" s="476">
        <f t="shared" si="743"/>
        <v>0</v>
      </c>
      <c r="W491" s="476">
        <f t="shared" si="744"/>
        <v>220318</v>
      </c>
      <c r="X491" s="476">
        <f t="shared" si="745"/>
        <v>0</v>
      </c>
      <c r="Y491" s="476">
        <f t="shared" si="746"/>
        <v>0</v>
      </c>
      <c r="Z491" s="476">
        <f t="shared" si="747"/>
        <v>0</v>
      </c>
      <c r="AA491" s="476">
        <f t="shared" si="748"/>
        <v>0</v>
      </c>
      <c r="AB491" s="476">
        <f t="shared" si="749"/>
        <v>0</v>
      </c>
      <c r="AC491" s="476">
        <f t="shared" si="750"/>
        <v>0</v>
      </c>
      <c r="AD491" s="476">
        <f t="shared" si="751"/>
        <v>0</v>
      </c>
      <c r="AE491" s="476">
        <f t="shared" si="752"/>
        <v>0</v>
      </c>
      <c r="AF491" s="476">
        <f t="shared" si="753"/>
        <v>0</v>
      </c>
      <c r="AG491" s="476">
        <f t="shared" si="754"/>
        <v>0</v>
      </c>
      <c r="AH491" s="476">
        <f t="shared" si="755"/>
        <v>0</v>
      </c>
      <c r="AI491" s="476">
        <f t="shared" si="756"/>
        <v>0</v>
      </c>
      <c r="AJ491" s="476">
        <f t="shared" si="757"/>
        <v>0</v>
      </c>
      <c r="AK491" s="476">
        <f t="shared" si="758"/>
        <v>0</v>
      </c>
      <c r="AL491" s="476">
        <f t="shared" si="759"/>
        <v>0</v>
      </c>
      <c r="AM491" s="476">
        <f t="shared" si="760"/>
        <v>0</v>
      </c>
      <c r="AN491" s="476">
        <f t="shared" si="761"/>
        <v>0</v>
      </c>
      <c r="AO491" s="476">
        <f t="shared" si="762"/>
        <v>0</v>
      </c>
      <c r="AP491" s="476">
        <f t="shared" si="763"/>
        <v>0</v>
      </c>
      <c r="AQ491" s="476">
        <f t="shared" si="764"/>
        <v>0</v>
      </c>
      <c r="AR491" s="476">
        <f t="shared" si="765"/>
        <v>0</v>
      </c>
      <c r="AS491" s="476">
        <f t="shared" si="766"/>
        <v>0</v>
      </c>
      <c r="AT491" s="476">
        <f t="shared" si="767"/>
        <v>0</v>
      </c>
      <c r="AU491" s="476">
        <f t="shared" si="768"/>
        <v>0</v>
      </c>
      <c r="AV491" s="476">
        <f t="shared" si="769"/>
        <v>0</v>
      </c>
      <c r="AW491" s="476">
        <f t="shared" si="770"/>
        <v>0</v>
      </c>
      <c r="AX491" s="476">
        <f t="shared" si="771"/>
        <v>0</v>
      </c>
      <c r="AY491" s="476">
        <f t="shared" si="772"/>
        <v>0</v>
      </c>
      <c r="AZ491" s="476">
        <f t="shared" si="773"/>
        <v>0</v>
      </c>
      <c r="BA491" s="476">
        <f t="shared" si="774"/>
        <v>0</v>
      </c>
      <c r="BB491" s="476">
        <f t="shared" si="775"/>
        <v>0</v>
      </c>
      <c r="BC491" s="476">
        <f t="shared" si="776"/>
        <v>0</v>
      </c>
      <c r="BD491" s="476">
        <f t="shared" si="777"/>
        <v>0</v>
      </c>
      <c r="BE491" s="476">
        <f t="shared" si="778"/>
        <v>0</v>
      </c>
      <c r="BF491" s="476">
        <f t="shared" si="779"/>
        <v>0</v>
      </c>
      <c r="BG491" s="476">
        <f t="shared" si="780"/>
        <v>0</v>
      </c>
    </row>
    <row r="492" spans="1:59" ht="16.5" customHeight="1">
      <c r="A492" s="585" t="s">
        <v>811</v>
      </c>
      <c r="B492" s="585" t="s">
        <v>1142</v>
      </c>
      <c r="C492" s="584" t="s">
        <v>1944</v>
      </c>
      <c r="D492" s="413" t="s">
        <v>508</v>
      </c>
      <c r="E492" s="412" t="s">
        <v>330</v>
      </c>
      <c r="F492" s="413" t="s">
        <v>330</v>
      </c>
      <c r="G492" s="412" t="s">
        <v>330</v>
      </c>
      <c r="H492" s="412" t="s">
        <v>1023</v>
      </c>
      <c r="I492" s="477">
        <v>0</v>
      </c>
      <c r="J492" s="477">
        <v>398399</v>
      </c>
      <c r="K492" s="477"/>
      <c r="L492" s="477"/>
      <c r="M492" s="477">
        <f t="shared" si="735"/>
        <v>0</v>
      </c>
      <c r="N492" s="477">
        <f t="shared" si="736"/>
        <v>398399</v>
      </c>
      <c r="O492" s="477"/>
      <c r="P492" s="477"/>
      <c r="Q492" s="477">
        <f t="shared" si="781"/>
        <v>0</v>
      </c>
      <c r="R492" s="477">
        <f t="shared" si="782"/>
        <v>398399</v>
      </c>
      <c r="S492" s="477">
        <f t="shared" si="783"/>
        <v>-398399</v>
      </c>
      <c r="V492" s="476">
        <f t="shared" si="743"/>
        <v>0</v>
      </c>
      <c r="W492" s="476">
        <f t="shared" si="744"/>
        <v>0</v>
      </c>
      <c r="X492" s="476">
        <f t="shared" si="745"/>
        <v>0</v>
      </c>
      <c r="Y492" s="476">
        <f t="shared" si="746"/>
        <v>0</v>
      </c>
      <c r="Z492" s="476">
        <f t="shared" si="747"/>
        <v>0</v>
      </c>
      <c r="AA492" s="476">
        <f t="shared" si="748"/>
        <v>0</v>
      </c>
      <c r="AB492" s="476">
        <f t="shared" si="749"/>
        <v>0</v>
      </c>
      <c r="AC492" s="476">
        <f t="shared" si="750"/>
        <v>0</v>
      </c>
      <c r="AD492" s="476">
        <f t="shared" si="751"/>
        <v>0</v>
      </c>
      <c r="AE492" s="476">
        <f t="shared" si="752"/>
        <v>0</v>
      </c>
      <c r="AF492" s="476">
        <f t="shared" si="753"/>
        <v>0</v>
      </c>
      <c r="AG492" s="476">
        <f t="shared" si="754"/>
        <v>0</v>
      </c>
      <c r="AH492" s="476">
        <f t="shared" si="755"/>
        <v>0</v>
      </c>
      <c r="AI492" s="476">
        <f t="shared" si="756"/>
        <v>0</v>
      </c>
      <c r="AJ492" s="476">
        <f t="shared" si="757"/>
        <v>0</v>
      </c>
      <c r="AK492" s="476">
        <f t="shared" si="758"/>
        <v>0</v>
      </c>
      <c r="AL492" s="476">
        <f t="shared" si="759"/>
        <v>0</v>
      </c>
      <c r="AM492" s="476">
        <f t="shared" si="760"/>
        <v>0</v>
      </c>
      <c r="AN492" s="476">
        <f t="shared" si="761"/>
        <v>0</v>
      </c>
      <c r="AO492" s="476">
        <f t="shared" si="762"/>
        <v>0</v>
      </c>
      <c r="AP492" s="476">
        <f t="shared" si="763"/>
        <v>0</v>
      </c>
      <c r="AQ492" s="476">
        <f t="shared" si="764"/>
        <v>0</v>
      </c>
      <c r="AR492" s="476">
        <f t="shared" si="765"/>
        <v>0</v>
      </c>
      <c r="AS492" s="476">
        <f t="shared" si="766"/>
        <v>0</v>
      </c>
      <c r="AT492" s="476">
        <f t="shared" si="767"/>
        <v>0</v>
      </c>
      <c r="AU492" s="476">
        <f t="shared" si="768"/>
        <v>0</v>
      </c>
      <c r="AV492" s="476">
        <f t="shared" si="769"/>
        <v>0</v>
      </c>
      <c r="AW492" s="476">
        <f t="shared" si="770"/>
        <v>0</v>
      </c>
      <c r="AX492" s="476">
        <f t="shared" si="771"/>
        <v>0</v>
      </c>
      <c r="AY492" s="476">
        <f t="shared" si="772"/>
        <v>0</v>
      </c>
      <c r="AZ492" s="476">
        <f t="shared" si="773"/>
        <v>0</v>
      </c>
      <c r="BA492" s="476">
        <f t="shared" si="774"/>
        <v>0</v>
      </c>
      <c r="BB492" s="476">
        <f t="shared" si="775"/>
        <v>0</v>
      </c>
      <c r="BC492" s="476">
        <f t="shared" si="776"/>
        <v>0</v>
      </c>
      <c r="BD492" s="476">
        <f t="shared" si="777"/>
        <v>0</v>
      </c>
      <c r="BE492" s="476">
        <f t="shared" si="778"/>
        <v>398399</v>
      </c>
      <c r="BF492" s="476">
        <f t="shared" si="779"/>
        <v>0</v>
      </c>
      <c r="BG492" s="476">
        <f t="shared" si="780"/>
        <v>0</v>
      </c>
    </row>
    <row r="493" spans="1:59" ht="16.5" customHeight="1">
      <c r="A493" s="585" t="s">
        <v>811</v>
      </c>
      <c r="B493" s="585" t="s">
        <v>1142</v>
      </c>
      <c r="C493" s="584" t="s">
        <v>1945</v>
      </c>
      <c r="D493" s="413" t="s">
        <v>508</v>
      </c>
      <c r="E493" s="412" t="s">
        <v>330</v>
      </c>
      <c r="F493" s="413" t="s">
        <v>330</v>
      </c>
      <c r="G493" s="412" t="s">
        <v>330</v>
      </c>
      <c r="H493" s="412" t="s">
        <v>1011</v>
      </c>
      <c r="I493" s="477">
        <v>0</v>
      </c>
      <c r="J493" s="477">
        <v>16440</v>
      </c>
      <c r="K493" s="477"/>
      <c r="L493" s="477"/>
      <c r="M493" s="477">
        <f t="shared" si="735"/>
        <v>0</v>
      </c>
      <c r="N493" s="477">
        <f t="shared" si="736"/>
        <v>16440</v>
      </c>
      <c r="O493" s="477"/>
      <c r="P493" s="477"/>
      <c r="Q493" s="477">
        <f t="shared" si="781"/>
        <v>0</v>
      </c>
      <c r="R493" s="477">
        <f t="shared" si="782"/>
        <v>16440</v>
      </c>
      <c r="S493" s="477">
        <f t="shared" si="783"/>
        <v>-16440</v>
      </c>
      <c r="V493" s="476">
        <f t="shared" si="743"/>
        <v>0</v>
      </c>
      <c r="W493" s="476">
        <f t="shared" si="744"/>
        <v>0</v>
      </c>
      <c r="X493" s="476">
        <f t="shared" si="745"/>
        <v>0</v>
      </c>
      <c r="Y493" s="476">
        <f t="shared" si="746"/>
        <v>16440</v>
      </c>
      <c r="Z493" s="476">
        <f t="shared" si="747"/>
        <v>0</v>
      </c>
      <c r="AA493" s="476">
        <f t="shared" si="748"/>
        <v>0</v>
      </c>
      <c r="AB493" s="476">
        <f t="shared" si="749"/>
        <v>0</v>
      </c>
      <c r="AC493" s="476">
        <f t="shared" si="750"/>
        <v>0</v>
      </c>
      <c r="AD493" s="476">
        <f t="shared" si="751"/>
        <v>0</v>
      </c>
      <c r="AE493" s="476">
        <f t="shared" si="752"/>
        <v>0</v>
      </c>
      <c r="AF493" s="476">
        <f t="shared" si="753"/>
        <v>0</v>
      </c>
      <c r="AG493" s="476">
        <f t="shared" si="754"/>
        <v>0</v>
      </c>
      <c r="AH493" s="476">
        <f t="shared" si="755"/>
        <v>0</v>
      </c>
      <c r="AI493" s="476">
        <f t="shared" si="756"/>
        <v>0</v>
      </c>
      <c r="AJ493" s="476">
        <f t="shared" si="757"/>
        <v>0</v>
      </c>
      <c r="AK493" s="476">
        <f t="shared" si="758"/>
        <v>0</v>
      </c>
      <c r="AL493" s="476">
        <f t="shared" si="759"/>
        <v>0</v>
      </c>
      <c r="AM493" s="476">
        <f t="shared" si="760"/>
        <v>0</v>
      </c>
      <c r="AN493" s="476">
        <f t="shared" si="761"/>
        <v>0</v>
      </c>
      <c r="AO493" s="476">
        <f t="shared" si="762"/>
        <v>0</v>
      </c>
      <c r="AP493" s="476">
        <f t="shared" si="763"/>
        <v>0</v>
      </c>
      <c r="AQ493" s="476">
        <f t="shared" si="764"/>
        <v>0</v>
      </c>
      <c r="AR493" s="476">
        <f t="shared" si="765"/>
        <v>0</v>
      </c>
      <c r="AS493" s="476">
        <f t="shared" si="766"/>
        <v>0</v>
      </c>
      <c r="AT493" s="476">
        <f t="shared" si="767"/>
        <v>0</v>
      </c>
      <c r="AU493" s="476">
        <f t="shared" si="768"/>
        <v>0</v>
      </c>
      <c r="AV493" s="476">
        <f t="shared" si="769"/>
        <v>0</v>
      </c>
      <c r="AW493" s="476">
        <f t="shared" si="770"/>
        <v>0</v>
      </c>
      <c r="AX493" s="476">
        <f t="shared" si="771"/>
        <v>0</v>
      </c>
      <c r="AY493" s="476">
        <f t="shared" si="772"/>
        <v>0</v>
      </c>
      <c r="AZ493" s="476">
        <f t="shared" si="773"/>
        <v>0</v>
      </c>
      <c r="BA493" s="476">
        <f t="shared" si="774"/>
        <v>0</v>
      </c>
      <c r="BB493" s="476">
        <f t="shared" si="775"/>
        <v>0</v>
      </c>
      <c r="BC493" s="476">
        <f t="shared" si="776"/>
        <v>0</v>
      </c>
      <c r="BD493" s="476">
        <f t="shared" si="777"/>
        <v>0</v>
      </c>
      <c r="BE493" s="476">
        <f t="shared" si="778"/>
        <v>0</v>
      </c>
      <c r="BF493" s="476">
        <f t="shared" si="779"/>
        <v>0</v>
      </c>
      <c r="BG493" s="476">
        <f t="shared" si="780"/>
        <v>0</v>
      </c>
    </row>
    <row r="494" spans="1:59" ht="16.5" customHeight="1">
      <c r="A494" s="585" t="s">
        <v>811</v>
      </c>
      <c r="B494" s="585" t="s">
        <v>1142</v>
      </c>
      <c r="C494" s="584" t="s">
        <v>1946</v>
      </c>
      <c r="D494" s="413" t="s">
        <v>508</v>
      </c>
      <c r="E494" s="412" t="s">
        <v>330</v>
      </c>
      <c r="F494" s="413" t="s">
        <v>330</v>
      </c>
      <c r="G494" s="412" t="s">
        <v>330</v>
      </c>
      <c r="H494" s="412" t="s">
        <v>1012</v>
      </c>
      <c r="I494" s="477">
        <v>0</v>
      </c>
      <c r="J494" s="477">
        <v>196699</v>
      </c>
      <c r="K494" s="477"/>
      <c r="L494" s="477"/>
      <c r="M494" s="477">
        <f t="shared" si="735"/>
        <v>0</v>
      </c>
      <c r="N494" s="477">
        <f t="shared" si="736"/>
        <v>196699</v>
      </c>
      <c r="O494" s="477"/>
      <c r="P494" s="477"/>
      <c r="Q494" s="477">
        <f t="shared" si="781"/>
        <v>0</v>
      </c>
      <c r="R494" s="477">
        <f t="shared" si="782"/>
        <v>196699</v>
      </c>
      <c r="S494" s="477">
        <f t="shared" si="783"/>
        <v>-196699</v>
      </c>
      <c r="V494" s="476">
        <f t="shared" si="743"/>
        <v>0</v>
      </c>
      <c r="W494" s="476">
        <f t="shared" si="744"/>
        <v>0</v>
      </c>
      <c r="X494" s="476">
        <f t="shared" si="745"/>
        <v>0</v>
      </c>
      <c r="Y494" s="476">
        <f t="shared" si="746"/>
        <v>0</v>
      </c>
      <c r="Z494" s="476">
        <f t="shared" si="747"/>
        <v>0</v>
      </c>
      <c r="AA494" s="476">
        <f t="shared" si="748"/>
        <v>0</v>
      </c>
      <c r="AB494" s="476">
        <f t="shared" si="749"/>
        <v>0</v>
      </c>
      <c r="AC494" s="476">
        <f t="shared" si="750"/>
        <v>196699</v>
      </c>
      <c r="AD494" s="476">
        <f t="shared" si="751"/>
        <v>0</v>
      </c>
      <c r="AE494" s="476">
        <f t="shared" si="752"/>
        <v>0</v>
      </c>
      <c r="AF494" s="476">
        <f t="shared" si="753"/>
        <v>0</v>
      </c>
      <c r="AG494" s="476">
        <f t="shared" si="754"/>
        <v>0</v>
      </c>
      <c r="AH494" s="476">
        <f t="shared" si="755"/>
        <v>0</v>
      </c>
      <c r="AI494" s="476">
        <f t="shared" si="756"/>
        <v>0</v>
      </c>
      <c r="AJ494" s="476">
        <f t="shared" si="757"/>
        <v>0</v>
      </c>
      <c r="AK494" s="476">
        <f t="shared" si="758"/>
        <v>0</v>
      </c>
      <c r="AL494" s="476">
        <f t="shared" si="759"/>
        <v>0</v>
      </c>
      <c r="AM494" s="476">
        <f t="shared" si="760"/>
        <v>0</v>
      </c>
      <c r="AN494" s="476">
        <f t="shared" si="761"/>
        <v>0</v>
      </c>
      <c r="AO494" s="476">
        <f t="shared" si="762"/>
        <v>0</v>
      </c>
      <c r="AP494" s="476">
        <f t="shared" si="763"/>
        <v>0</v>
      </c>
      <c r="AQ494" s="476">
        <f t="shared" si="764"/>
        <v>0</v>
      </c>
      <c r="AR494" s="476">
        <f t="shared" si="765"/>
        <v>0</v>
      </c>
      <c r="AS494" s="476">
        <f t="shared" si="766"/>
        <v>0</v>
      </c>
      <c r="AT494" s="476">
        <f t="shared" si="767"/>
        <v>0</v>
      </c>
      <c r="AU494" s="476">
        <f t="shared" si="768"/>
        <v>0</v>
      </c>
      <c r="AV494" s="476">
        <f t="shared" si="769"/>
        <v>0</v>
      </c>
      <c r="AW494" s="476">
        <f t="shared" si="770"/>
        <v>0</v>
      </c>
      <c r="AX494" s="476">
        <f t="shared" si="771"/>
        <v>0</v>
      </c>
      <c r="AY494" s="476">
        <f t="shared" si="772"/>
        <v>0</v>
      </c>
      <c r="AZ494" s="476">
        <f t="shared" si="773"/>
        <v>0</v>
      </c>
      <c r="BA494" s="476">
        <f t="shared" si="774"/>
        <v>0</v>
      </c>
      <c r="BB494" s="476">
        <f t="shared" si="775"/>
        <v>0</v>
      </c>
      <c r="BC494" s="476">
        <f t="shared" si="776"/>
        <v>0</v>
      </c>
      <c r="BD494" s="476">
        <f t="shared" si="777"/>
        <v>0</v>
      </c>
      <c r="BE494" s="476">
        <f t="shared" si="778"/>
        <v>0</v>
      </c>
      <c r="BF494" s="476">
        <f t="shared" si="779"/>
        <v>0</v>
      </c>
      <c r="BG494" s="476">
        <f t="shared" si="780"/>
        <v>0</v>
      </c>
    </row>
    <row r="495" spans="1:59" ht="16.5" customHeight="1">
      <c r="A495" s="585" t="s">
        <v>811</v>
      </c>
      <c r="B495" s="585" t="s">
        <v>1142</v>
      </c>
      <c r="C495" s="584" t="s">
        <v>1947</v>
      </c>
      <c r="D495" s="413" t="s">
        <v>508</v>
      </c>
      <c r="E495" s="412" t="s">
        <v>330</v>
      </c>
      <c r="F495" s="413" t="s">
        <v>330</v>
      </c>
      <c r="G495" s="412" t="s">
        <v>330</v>
      </c>
      <c r="H495" s="412" t="s">
        <v>1020</v>
      </c>
      <c r="I495" s="477">
        <v>0</v>
      </c>
      <c r="J495" s="477">
        <v>3227482</v>
      </c>
      <c r="K495" s="477"/>
      <c r="L495" s="477"/>
      <c r="M495" s="477">
        <f t="shared" si="735"/>
        <v>0</v>
      </c>
      <c r="N495" s="477">
        <f t="shared" si="736"/>
        <v>3227482</v>
      </c>
      <c r="O495" s="477"/>
      <c r="P495" s="477"/>
      <c r="Q495" s="477">
        <f t="shared" si="781"/>
        <v>0</v>
      </c>
      <c r="R495" s="477">
        <f t="shared" si="782"/>
        <v>3227482</v>
      </c>
      <c r="S495" s="477">
        <f t="shared" si="783"/>
        <v>-3227482</v>
      </c>
      <c r="V495" s="476">
        <f t="shared" si="743"/>
        <v>0</v>
      </c>
      <c r="W495" s="476">
        <f t="shared" si="744"/>
        <v>0</v>
      </c>
      <c r="X495" s="476">
        <f t="shared" si="745"/>
        <v>0</v>
      </c>
      <c r="Y495" s="476">
        <f t="shared" si="746"/>
        <v>0</v>
      </c>
      <c r="Z495" s="476">
        <f t="shared" si="747"/>
        <v>0</v>
      </c>
      <c r="AA495" s="476">
        <f t="shared" si="748"/>
        <v>3227482</v>
      </c>
      <c r="AB495" s="476">
        <f t="shared" si="749"/>
        <v>0</v>
      </c>
      <c r="AC495" s="476">
        <f t="shared" si="750"/>
        <v>0</v>
      </c>
      <c r="AD495" s="476">
        <f t="shared" si="751"/>
        <v>0</v>
      </c>
      <c r="AE495" s="476">
        <f t="shared" si="752"/>
        <v>0</v>
      </c>
      <c r="AF495" s="476">
        <f t="shared" si="753"/>
        <v>0</v>
      </c>
      <c r="AG495" s="476">
        <f t="shared" si="754"/>
        <v>0</v>
      </c>
      <c r="AH495" s="476">
        <f t="shared" si="755"/>
        <v>0</v>
      </c>
      <c r="AI495" s="476">
        <f t="shared" si="756"/>
        <v>0</v>
      </c>
      <c r="AJ495" s="476">
        <f t="shared" si="757"/>
        <v>0</v>
      </c>
      <c r="AK495" s="476">
        <f t="shared" si="758"/>
        <v>0</v>
      </c>
      <c r="AL495" s="476">
        <f t="shared" si="759"/>
        <v>0</v>
      </c>
      <c r="AM495" s="476">
        <f t="shared" si="760"/>
        <v>0</v>
      </c>
      <c r="AN495" s="476">
        <f t="shared" si="761"/>
        <v>0</v>
      </c>
      <c r="AO495" s="476">
        <f t="shared" si="762"/>
        <v>0</v>
      </c>
      <c r="AP495" s="476">
        <f t="shared" si="763"/>
        <v>0</v>
      </c>
      <c r="AQ495" s="476">
        <f t="shared" si="764"/>
        <v>0</v>
      </c>
      <c r="AR495" s="476">
        <f t="shared" si="765"/>
        <v>0</v>
      </c>
      <c r="AS495" s="476">
        <f t="shared" si="766"/>
        <v>0</v>
      </c>
      <c r="AT495" s="476">
        <f t="shared" si="767"/>
        <v>0</v>
      </c>
      <c r="AU495" s="476">
        <f t="shared" si="768"/>
        <v>0</v>
      </c>
      <c r="AV495" s="476">
        <f t="shared" si="769"/>
        <v>0</v>
      </c>
      <c r="AW495" s="476">
        <f t="shared" si="770"/>
        <v>0</v>
      </c>
      <c r="AX495" s="476">
        <f t="shared" si="771"/>
        <v>0</v>
      </c>
      <c r="AY495" s="476">
        <f t="shared" si="772"/>
        <v>0</v>
      </c>
      <c r="AZ495" s="476">
        <f t="shared" si="773"/>
        <v>0</v>
      </c>
      <c r="BA495" s="476">
        <f t="shared" si="774"/>
        <v>0</v>
      </c>
      <c r="BB495" s="476">
        <f t="shared" si="775"/>
        <v>0</v>
      </c>
      <c r="BC495" s="476">
        <f t="shared" si="776"/>
        <v>0</v>
      </c>
      <c r="BD495" s="476">
        <f t="shared" si="777"/>
        <v>0</v>
      </c>
      <c r="BE495" s="476">
        <f t="shared" si="778"/>
        <v>0</v>
      </c>
      <c r="BF495" s="476">
        <f t="shared" si="779"/>
        <v>0</v>
      </c>
      <c r="BG495" s="476">
        <f t="shared" si="780"/>
        <v>0</v>
      </c>
    </row>
    <row r="496" spans="1:59" ht="16.5" customHeight="1">
      <c r="A496" s="585" t="s">
        <v>811</v>
      </c>
      <c r="B496" s="585" t="s">
        <v>1142</v>
      </c>
      <c r="C496" s="584" t="s">
        <v>1948</v>
      </c>
      <c r="D496" s="413" t="s">
        <v>508</v>
      </c>
      <c r="E496" s="412" t="s">
        <v>330</v>
      </c>
      <c r="F496" s="413" t="s">
        <v>330</v>
      </c>
      <c r="G496" s="412" t="s">
        <v>330</v>
      </c>
      <c r="H496" s="412" t="s">
        <v>1055</v>
      </c>
      <c r="I496" s="477">
        <v>1431314</v>
      </c>
      <c r="J496" s="477">
        <v>5330379</v>
      </c>
      <c r="K496" s="477"/>
      <c r="L496" s="477"/>
      <c r="M496" s="477">
        <f t="shared" si="735"/>
        <v>1431314</v>
      </c>
      <c r="N496" s="477">
        <f t="shared" si="736"/>
        <v>5330379</v>
      </c>
      <c r="O496" s="477"/>
      <c r="P496" s="477"/>
      <c r="Q496" s="477">
        <f t="shared" si="781"/>
        <v>1431314</v>
      </c>
      <c r="R496" s="477">
        <f t="shared" si="782"/>
        <v>5330379</v>
      </c>
      <c r="S496" s="477">
        <f t="shared" si="783"/>
        <v>-3899065</v>
      </c>
      <c r="V496" s="476">
        <f t="shared" si="743"/>
        <v>0</v>
      </c>
      <c r="W496" s="476">
        <f t="shared" si="744"/>
        <v>0</v>
      </c>
      <c r="X496" s="476">
        <f t="shared" si="745"/>
        <v>0</v>
      </c>
      <c r="Y496" s="476">
        <f t="shared" si="746"/>
        <v>0</v>
      </c>
      <c r="Z496" s="476">
        <f t="shared" si="747"/>
        <v>0</v>
      </c>
      <c r="AA496" s="476">
        <f t="shared" si="748"/>
        <v>0</v>
      </c>
      <c r="AB496" s="476">
        <f t="shared" si="749"/>
        <v>0</v>
      </c>
      <c r="AC496" s="476">
        <f t="shared" si="750"/>
        <v>0</v>
      </c>
      <c r="AD496" s="476">
        <f t="shared" si="751"/>
        <v>0</v>
      </c>
      <c r="AE496" s="476">
        <f t="shared" si="752"/>
        <v>0</v>
      </c>
      <c r="AF496" s="476">
        <f t="shared" si="753"/>
        <v>0</v>
      </c>
      <c r="AG496" s="476">
        <f t="shared" si="754"/>
        <v>0</v>
      </c>
      <c r="AH496" s="476">
        <f t="shared" si="755"/>
        <v>0</v>
      </c>
      <c r="AI496" s="476">
        <f t="shared" si="756"/>
        <v>0</v>
      </c>
      <c r="AJ496" s="476">
        <f t="shared" si="757"/>
        <v>0</v>
      </c>
      <c r="AK496" s="476">
        <f t="shared" si="758"/>
        <v>0</v>
      </c>
      <c r="AL496" s="476">
        <f t="shared" si="759"/>
        <v>0</v>
      </c>
      <c r="AM496" s="476">
        <f t="shared" si="760"/>
        <v>0</v>
      </c>
      <c r="AN496" s="476">
        <f t="shared" si="761"/>
        <v>0</v>
      </c>
      <c r="AO496" s="476">
        <f t="shared" si="762"/>
        <v>0</v>
      </c>
      <c r="AP496" s="476">
        <f t="shared" si="763"/>
        <v>0</v>
      </c>
      <c r="AQ496" s="476">
        <f t="shared" si="764"/>
        <v>0</v>
      </c>
      <c r="AR496" s="476">
        <f t="shared" si="765"/>
        <v>0</v>
      </c>
      <c r="AS496" s="476">
        <f t="shared" si="766"/>
        <v>0</v>
      </c>
      <c r="AT496" s="476">
        <f t="shared" si="767"/>
        <v>0</v>
      </c>
      <c r="AU496" s="476">
        <f t="shared" si="768"/>
        <v>0</v>
      </c>
      <c r="AV496" s="476">
        <f t="shared" si="769"/>
        <v>0</v>
      </c>
      <c r="AW496" s="476">
        <f t="shared" si="770"/>
        <v>0</v>
      </c>
      <c r="AX496" s="476">
        <f t="shared" si="771"/>
        <v>0</v>
      </c>
      <c r="AY496" s="476">
        <f t="shared" si="772"/>
        <v>0</v>
      </c>
      <c r="AZ496" s="476">
        <f t="shared" si="773"/>
        <v>0</v>
      </c>
      <c r="BA496" s="476">
        <f t="shared" si="774"/>
        <v>0</v>
      </c>
      <c r="BB496" s="476">
        <f t="shared" si="775"/>
        <v>1431314</v>
      </c>
      <c r="BC496" s="476">
        <f t="shared" si="776"/>
        <v>5330379</v>
      </c>
      <c r="BD496" s="476">
        <f t="shared" si="777"/>
        <v>0</v>
      </c>
      <c r="BE496" s="476">
        <f t="shared" si="778"/>
        <v>0</v>
      </c>
      <c r="BF496" s="476">
        <f t="shared" si="779"/>
        <v>0</v>
      </c>
      <c r="BG496" s="476">
        <f t="shared" si="780"/>
        <v>0</v>
      </c>
    </row>
    <row r="497" spans="1:59" ht="16.5" customHeight="1">
      <c r="A497" s="585" t="s">
        <v>811</v>
      </c>
      <c r="B497" s="585" t="s">
        <v>1142</v>
      </c>
      <c r="C497" s="584" t="s">
        <v>1949</v>
      </c>
      <c r="D497" s="413" t="s">
        <v>508</v>
      </c>
      <c r="E497" s="412" t="s">
        <v>330</v>
      </c>
      <c r="F497" s="412" t="s">
        <v>330</v>
      </c>
      <c r="G497" s="412" t="s">
        <v>330</v>
      </c>
      <c r="H497" s="412" t="s">
        <v>1021</v>
      </c>
      <c r="I497" s="477">
        <v>0</v>
      </c>
      <c r="J497" s="477">
        <v>1019492</v>
      </c>
      <c r="K497" s="477"/>
      <c r="L497" s="477"/>
      <c r="M497" s="477">
        <f t="shared" si="735"/>
        <v>0</v>
      </c>
      <c r="N497" s="477">
        <f t="shared" si="736"/>
        <v>1019492</v>
      </c>
      <c r="O497" s="477"/>
      <c r="P497" s="477"/>
      <c r="Q497" s="477">
        <f t="shared" si="781"/>
        <v>0</v>
      </c>
      <c r="R497" s="477">
        <f t="shared" si="782"/>
        <v>1019492</v>
      </c>
      <c r="S497" s="477">
        <f t="shared" si="783"/>
        <v>-1019492</v>
      </c>
      <c r="V497" s="476">
        <f t="shared" si="743"/>
        <v>0</v>
      </c>
      <c r="W497" s="476">
        <f t="shared" si="744"/>
        <v>0</v>
      </c>
      <c r="X497" s="476">
        <f t="shared" si="745"/>
        <v>0</v>
      </c>
      <c r="Y497" s="476">
        <f t="shared" si="746"/>
        <v>0</v>
      </c>
      <c r="Z497" s="476">
        <f t="shared" si="747"/>
        <v>0</v>
      </c>
      <c r="AA497" s="476">
        <f t="shared" si="748"/>
        <v>0</v>
      </c>
      <c r="AB497" s="476">
        <f t="shared" si="749"/>
        <v>0</v>
      </c>
      <c r="AC497" s="476">
        <f t="shared" si="750"/>
        <v>0</v>
      </c>
      <c r="AD497" s="476">
        <f t="shared" si="751"/>
        <v>0</v>
      </c>
      <c r="AE497" s="476">
        <f t="shared" si="752"/>
        <v>0</v>
      </c>
      <c r="AF497" s="476">
        <f t="shared" si="753"/>
        <v>0</v>
      </c>
      <c r="AG497" s="476">
        <f t="shared" si="754"/>
        <v>1019492</v>
      </c>
      <c r="AH497" s="476">
        <f t="shared" si="755"/>
        <v>0</v>
      </c>
      <c r="AI497" s="476">
        <f t="shared" si="756"/>
        <v>0</v>
      </c>
      <c r="AJ497" s="476">
        <f t="shared" si="757"/>
        <v>0</v>
      </c>
      <c r="AK497" s="476">
        <f t="shared" si="758"/>
        <v>0</v>
      </c>
      <c r="AL497" s="476">
        <f t="shared" si="759"/>
        <v>0</v>
      </c>
      <c r="AM497" s="476">
        <f t="shared" si="760"/>
        <v>0</v>
      </c>
      <c r="AN497" s="476">
        <f t="shared" si="761"/>
        <v>0</v>
      </c>
      <c r="AO497" s="476">
        <f t="shared" si="762"/>
        <v>0</v>
      </c>
      <c r="AP497" s="476">
        <f t="shared" si="763"/>
        <v>0</v>
      </c>
      <c r="AQ497" s="476">
        <f t="shared" si="764"/>
        <v>0</v>
      </c>
      <c r="AR497" s="476">
        <f t="shared" si="765"/>
        <v>0</v>
      </c>
      <c r="AS497" s="476">
        <f t="shared" si="766"/>
        <v>0</v>
      </c>
      <c r="AT497" s="476">
        <f t="shared" si="767"/>
        <v>0</v>
      </c>
      <c r="AU497" s="476">
        <f t="shared" si="768"/>
        <v>0</v>
      </c>
      <c r="AV497" s="476">
        <f t="shared" si="769"/>
        <v>0</v>
      </c>
      <c r="AW497" s="476">
        <f t="shared" si="770"/>
        <v>0</v>
      </c>
      <c r="AX497" s="476">
        <f t="shared" si="771"/>
        <v>0</v>
      </c>
      <c r="AY497" s="476">
        <f t="shared" si="772"/>
        <v>0</v>
      </c>
      <c r="AZ497" s="476">
        <f t="shared" si="773"/>
        <v>0</v>
      </c>
      <c r="BA497" s="476">
        <f t="shared" si="774"/>
        <v>0</v>
      </c>
      <c r="BB497" s="476">
        <f t="shared" si="775"/>
        <v>0</v>
      </c>
      <c r="BC497" s="476">
        <f t="shared" si="776"/>
        <v>0</v>
      </c>
      <c r="BD497" s="476">
        <f t="shared" si="777"/>
        <v>0</v>
      </c>
      <c r="BE497" s="476">
        <f t="shared" si="778"/>
        <v>0</v>
      </c>
      <c r="BF497" s="476">
        <f t="shared" si="779"/>
        <v>0</v>
      </c>
      <c r="BG497" s="476">
        <f t="shared" si="780"/>
        <v>0</v>
      </c>
    </row>
    <row r="498" spans="1:59" ht="16.5" customHeight="1">
      <c r="A498" s="585" t="s">
        <v>811</v>
      </c>
      <c r="B498" s="585" t="s">
        <v>1142</v>
      </c>
      <c r="C498" s="584" t="s">
        <v>1950</v>
      </c>
      <c r="D498" s="413" t="s">
        <v>508</v>
      </c>
      <c r="E498" s="412" t="s">
        <v>330</v>
      </c>
      <c r="F498" s="412" t="s">
        <v>330</v>
      </c>
      <c r="G498" s="412" t="s">
        <v>330</v>
      </c>
      <c r="H498" s="412" t="s">
        <v>1025</v>
      </c>
      <c r="I498" s="477">
        <v>0</v>
      </c>
      <c r="J498" s="477">
        <v>1490422</v>
      </c>
      <c r="K498" s="477"/>
      <c r="L498" s="477"/>
      <c r="M498" s="477">
        <f t="shared" si="735"/>
        <v>0</v>
      </c>
      <c r="N498" s="477">
        <f t="shared" si="736"/>
        <v>1490422</v>
      </c>
      <c r="O498" s="477"/>
      <c r="P498" s="477"/>
      <c r="Q498" s="477">
        <f t="shared" si="781"/>
        <v>0</v>
      </c>
      <c r="R498" s="477">
        <f t="shared" si="782"/>
        <v>1490422</v>
      </c>
      <c r="S498" s="477">
        <f t="shared" si="783"/>
        <v>-1490422</v>
      </c>
      <c r="V498" s="476">
        <f t="shared" si="743"/>
        <v>0</v>
      </c>
      <c r="W498" s="476">
        <f t="shared" si="744"/>
        <v>0</v>
      </c>
      <c r="X498" s="476">
        <f t="shared" si="745"/>
        <v>0</v>
      </c>
      <c r="Y498" s="476">
        <f t="shared" si="746"/>
        <v>0</v>
      </c>
      <c r="Z498" s="476">
        <f t="shared" si="747"/>
        <v>0</v>
      </c>
      <c r="AA498" s="476">
        <f t="shared" si="748"/>
        <v>0</v>
      </c>
      <c r="AB498" s="476">
        <f t="shared" si="749"/>
        <v>0</v>
      </c>
      <c r="AC498" s="476">
        <f t="shared" si="750"/>
        <v>0</v>
      </c>
      <c r="AD498" s="476">
        <f t="shared" si="751"/>
        <v>0</v>
      </c>
      <c r="AE498" s="476">
        <f t="shared" si="752"/>
        <v>0</v>
      </c>
      <c r="AF498" s="476">
        <f t="shared" si="753"/>
        <v>0</v>
      </c>
      <c r="AG498" s="476">
        <f t="shared" si="754"/>
        <v>0</v>
      </c>
      <c r="AH498" s="476">
        <f t="shared" si="755"/>
        <v>0</v>
      </c>
      <c r="AI498" s="476">
        <f t="shared" si="756"/>
        <v>1490422</v>
      </c>
      <c r="AJ498" s="476">
        <f t="shared" si="757"/>
        <v>0</v>
      </c>
      <c r="AK498" s="476">
        <f t="shared" si="758"/>
        <v>0</v>
      </c>
      <c r="AL498" s="476">
        <f t="shared" si="759"/>
        <v>0</v>
      </c>
      <c r="AM498" s="476">
        <f t="shared" si="760"/>
        <v>0</v>
      </c>
      <c r="AN498" s="476">
        <f t="shared" si="761"/>
        <v>0</v>
      </c>
      <c r="AO498" s="476">
        <f t="shared" si="762"/>
        <v>0</v>
      </c>
      <c r="AP498" s="476">
        <f t="shared" si="763"/>
        <v>0</v>
      </c>
      <c r="AQ498" s="476">
        <f t="shared" si="764"/>
        <v>0</v>
      </c>
      <c r="AR498" s="476">
        <f t="shared" si="765"/>
        <v>0</v>
      </c>
      <c r="AS498" s="476">
        <f t="shared" si="766"/>
        <v>0</v>
      </c>
      <c r="AT498" s="476">
        <f t="shared" si="767"/>
        <v>0</v>
      </c>
      <c r="AU498" s="476">
        <f t="shared" si="768"/>
        <v>0</v>
      </c>
      <c r="AV498" s="476">
        <f t="shared" si="769"/>
        <v>0</v>
      </c>
      <c r="AW498" s="476">
        <f t="shared" si="770"/>
        <v>0</v>
      </c>
      <c r="AX498" s="476">
        <f t="shared" si="771"/>
        <v>0</v>
      </c>
      <c r="AY498" s="476">
        <f t="shared" si="772"/>
        <v>0</v>
      </c>
      <c r="AZ498" s="476">
        <f t="shared" si="773"/>
        <v>0</v>
      </c>
      <c r="BA498" s="476">
        <f t="shared" si="774"/>
        <v>0</v>
      </c>
      <c r="BB498" s="476">
        <f t="shared" si="775"/>
        <v>0</v>
      </c>
      <c r="BC498" s="476">
        <f t="shared" si="776"/>
        <v>0</v>
      </c>
      <c r="BD498" s="476">
        <f t="shared" si="777"/>
        <v>0</v>
      </c>
      <c r="BE498" s="476">
        <f t="shared" si="778"/>
        <v>0</v>
      </c>
      <c r="BF498" s="476">
        <f t="shared" si="779"/>
        <v>0</v>
      </c>
      <c r="BG498" s="476">
        <f t="shared" si="780"/>
        <v>0</v>
      </c>
    </row>
    <row r="499" spans="1:59" ht="16.5" customHeight="1">
      <c r="A499" s="585" t="s">
        <v>811</v>
      </c>
      <c r="B499" s="585" t="s">
        <v>1142</v>
      </c>
      <c r="C499" s="584" t="s">
        <v>1951</v>
      </c>
      <c r="D499" s="413" t="s">
        <v>508</v>
      </c>
      <c r="E499" s="412" t="s">
        <v>330</v>
      </c>
      <c r="F499" s="412" t="s">
        <v>330</v>
      </c>
      <c r="G499" s="412" t="s">
        <v>330</v>
      </c>
      <c r="H499" s="412" t="s">
        <v>1024</v>
      </c>
      <c r="I499" s="477">
        <v>0</v>
      </c>
      <c r="J499" s="477">
        <v>115</v>
      </c>
      <c r="K499" s="477"/>
      <c r="L499" s="477"/>
      <c r="M499" s="477">
        <f t="shared" si="735"/>
        <v>0</v>
      </c>
      <c r="N499" s="477">
        <f t="shared" si="736"/>
        <v>115</v>
      </c>
      <c r="O499" s="477"/>
      <c r="P499" s="477"/>
      <c r="Q499" s="477">
        <f t="shared" si="781"/>
        <v>0</v>
      </c>
      <c r="R499" s="477">
        <f t="shared" si="782"/>
        <v>115</v>
      </c>
      <c r="S499" s="477">
        <f t="shared" si="783"/>
        <v>-115</v>
      </c>
      <c r="V499" s="476">
        <f t="shared" si="743"/>
        <v>0</v>
      </c>
      <c r="W499" s="476">
        <f t="shared" si="744"/>
        <v>0</v>
      </c>
      <c r="X499" s="476">
        <f t="shared" si="745"/>
        <v>0</v>
      </c>
      <c r="Y499" s="476">
        <f t="shared" si="746"/>
        <v>0</v>
      </c>
      <c r="Z499" s="476">
        <f t="shared" si="747"/>
        <v>0</v>
      </c>
      <c r="AA499" s="476">
        <f t="shared" si="748"/>
        <v>0</v>
      </c>
      <c r="AB499" s="476">
        <f t="shared" si="749"/>
        <v>0</v>
      </c>
      <c r="AC499" s="476">
        <f t="shared" si="750"/>
        <v>0</v>
      </c>
      <c r="AD499" s="476">
        <f t="shared" si="751"/>
        <v>0</v>
      </c>
      <c r="AE499" s="476">
        <f t="shared" si="752"/>
        <v>0</v>
      </c>
      <c r="AF499" s="476">
        <f t="shared" si="753"/>
        <v>0</v>
      </c>
      <c r="AG499" s="476">
        <f t="shared" si="754"/>
        <v>0</v>
      </c>
      <c r="AH499" s="476">
        <f t="shared" si="755"/>
        <v>0</v>
      </c>
      <c r="AI499" s="476">
        <f t="shared" si="756"/>
        <v>0</v>
      </c>
      <c r="AJ499" s="476">
        <f t="shared" si="757"/>
        <v>0</v>
      </c>
      <c r="AK499" s="476">
        <f t="shared" si="758"/>
        <v>0</v>
      </c>
      <c r="AL499" s="476">
        <f t="shared" si="759"/>
        <v>0</v>
      </c>
      <c r="AM499" s="476">
        <f t="shared" si="760"/>
        <v>0</v>
      </c>
      <c r="AN499" s="476">
        <f t="shared" si="761"/>
        <v>0</v>
      </c>
      <c r="AO499" s="476">
        <f t="shared" si="762"/>
        <v>0</v>
      </c>
      <c r="AP499" s="476">
        <f t="shared" si="763"/>
        <v>0</v>
      </c>
      <c r="AQ499" s="476">
        <f t="shared" si="764"/>
        <v>0</v>
      </c>
      <c r="AR499" s="476">
        <f t="shared" si="765"/>
        <v>0</v>
      </c>
      <c r="AS499" s="476">
        <f t="shared" si="766"/>
        <v>0</v>
      </c>
      <c r="AT499" s="476">
        <f t="shared" si="767"/>
        <v>0</v>
      </c>
      <c r="AU499" s="476">
        <f t="shared" si="768"/>
        <v>0</v>
      </c>
      <c r="AV499" s="476">
        <f t="shared" si="769"/>
        <v>0</v>
      </c>
      <c r="AW499" s="476">
        <f t="shared" si="770"/>
        <v>0</v>
      </c>
      <c r="AX499" s="476">
        <f t="shared" si="771"/>
        <v>0</v>
      </c>
      <c r="AY499" s="476">
        <f t="shared" si="772"/>
        <v>0</v>
      </c>
      <c r="AZ499" s="476">
        <f t="shared" si="773"/>
        <v>0</v>
      </c>
      <c r="BA499" s="476">
        <f t="shared" si="774"/>
        <v>115</v>
      </c>
      <c r="BB499" s="476">
        <f t="shared" si="775"/>
        <v>0</v>
      </c>
      <c r="BC499" s="476">
        <f t="shared" si="776"/>
        <v>0</v>
      </c>
      <c r="BD499" s="476">
        <f t="shared" si="777"/>
        <v>0</v>
      </c>
      <c r="BE499" s="476">
        <f t="shared" si="778"/>
        <v>0</v>
      </c>
      <c r="BF499" s="476">
        <f t="shared" si="779"/>
        <v>0</v>
      </c>
      <c r="BG499" s="476">
        <f t="shared" si="780"/>
        <v>0</v>
      </c>
    </row>
    <row r="500" spans="1:59" ht="16.5" customHeight="1">
      <c r="A500" s="585" t="s">
        <v>811</v>
      </c>
      <c r="B500" s="585" t="s">
        <v>1142</v>
      </c>
      <c r="C500" s="584" t="s">
        <v>1952</v>
      </c>
      <c r="D500" s="413" t="s">
        <v>508</v>
      </c>
      <c r="E500" s="412" t="s">
        <v>330</v>
      </c>
      <c r="F500" s="412" t="s">
        <v>330</v>
      </c>
      <c r="G500" s="412" t="s">
        <v>330</v>
      </c>
      <c r="H500" s="412" t="s">
        <v>1022</v>
      </c>
      <c r="I500" s="477">
        <v>116520</v>
      </c>
      <c r="J500" s="477">
        <v>20359148</v>
      </c>
      <c r="K500" s="477"/>
      <c r="L500" s="477"/>
      <c r="M500" s="477">
        <f t="shared" si="735"/>
        <v>116520</v>
      </c>
      <c r="N500" s="477">
        <f t="shared" si="736"/>
        <v>20359148</v>
      </c>
      <c r="O500" s="477"/>
      <c r="P500" s="477"/>
      <c r="Q500" s="477">
        <f t="shared" si="781"/>
        <v>116520</v>
      </c>
      <c r="R500" s="477">
        <f t="shared" si="782"/>
        <v>20359148</v>
      </c>
      <c r="S500" s="477">
        <f t="shared" si="783"/>
        <v>-20242628</v>
      </c>
      <c r="V500" s="476">
        <f t="shared" si="743"/>
        <v>0</v>
      </c>
      <c r="W500" s="476">
        <f t="shared" si="744"/>
        <v>0</v>
      </c>
      <c r="X500" s="476">
        <f t="shared" si="745"/>
        <v>0</v>
      </c>
      <c r="Y500" s="476">
        <f t="shared" si="746"/>
        <v>0</v>
      </c>
      <c r="Z500" s="476">
        <f t="shared" si="747"/>
        <v>0</v>
      </c>
      <c r="AA500" s="476">
        <f t="shared" si="748"/>
        <v>0</v>
      </c>
      <c r="AB500" s="476">
        <f t="shared" si="749"/>
        <v>0</v>
      </c>
      <c r="AC500" s="476">
        <f t="shared" si="750"/>
        <v>0</v>
      </c>
      <c r="AD500" s="476">
        <f t="shared" si="751"/>
        <v>0</v>
      </c>
      <c r="AE500" s="476">
        <f t="shared" si="752"/>
        <v>0</v>
      </c>
      <c r="AF500" s="476">
        <f t="shared" si="753"/>
        <v>0</v>
      </c>
      <c r="AG500" s="476">
        <f t="shared" si="754"/>
        <v>0</v>
      </c>
      <c r="AH500" s="476">
        <f t="shared" si="755"/>
        <v>0</v>
      </c>
      <c r="AI500" s="476">
        <f t="shared" si="756"/>
        <v>0</v>
      </c>
      <c r="AJ500" s="476">
        <f t="shared" si="757"/>
        <v>0</v>
      </c>
      <c r="AK500" s="476">
        <f t="shared" si="758"/>
        <v>0</v>
      </c>
      <c r="AL500" s="476">
        <f t="shared" si="759"/>
        <v>0</v>
      </c>
      <c r="AM500" s="476">
        <f t="shared" si="760"/>
        <v>0</v>
      </c>
      <c r="AN500" s="476">
        <f t="shared" si="761"/>
        <v>0</v>
      </c>
      <c r="AO500" s="476">
        <f t="shared" si="762"/>
        <v>0</v>
      </c>
      <c r="AP500" s="476">
        <f t="shared" si="763"/>
        <v>0</v>
      </c>
      <c r="AQ500" s="476">
        <f t="shared" si="764"/>
        <v>0</v>
      </c>
      <c r="AR500" s="476">
        <f t="shared" si="765"/>
        <v>0</v>
      </c>
      <c r="AS500" s="476">
        <f t="shared" si="766"/>
        <v>0</v>
      </c>
      <c r="AT500" s="476">
        <f t="shared" si="767"/>
        <v>0</v>
      </c>
      <c r="AU500" s="476">
        <f t="shared" si="768"/>
        <v>0</v>
      </c>
      <c r="AV500" s="476">
        <f t="shared" si="769"/>
        <v>116520</v>
      </c>
      <c r="AW500" s="476">
        <f t="shared" si="770"/>
        <v>20359148</v>
      </c>
      <c r="AX500" s="476">
        <f t="shared" si="771"/>
        <v>0</v>
      </c>
      <c r="AY500" s="476">
        <f t="shared" si="772"/>
        <v>0</v>
      </c>
      <c r="AZ500" s="476">
        <f t="shared" si="773"/>
        <v>0</v>
      </c>
      <c r="BA500" s="476">
        <f t="shared" si="774"/>
        <v>0</v>
      </c>
      <c r="BB500" s="476">
        <f t="shared" si="775"/>
        <v>0</v>
      </c>
      <c r="BC500" s="476">
        <f t="shared" si="776"/>
        <v>0</v>
      </c>
      <c r="BD500" s="476">
        <f t="shared" si="777"/>
        <v>0</v>
      </c>
      <c r="BE500" s="476">
        <f t="shared" si="778"/>
        <v>0</v>
      </c>
      <c r="BF500" s="476">
        <f t="shared" si="779"/>
        <v>0</v>
      </c>
      <c r="BG500" s="476">
        <f t="shared" si="780"/>
        <v>0</v>
      </c>
    </row>
    <row r="501" spans="1:59" ht="16.5" customHeight="1">
      <c r="A501" s="585" t="s">
        <v>811</v>
      </c>
      <c r="B501" s="585" t="s">
        <v>1142</v>
      </c>
      <c r="C501" s="584" t="s">
        <v>1953</v>
      </c>
      <c r="D501" s="413" t="s">
        <v>508</v>
      </c>
      <c r="E501" s="412" t="s">
        <v>330</v>
      </c>
      <c r="F501" s="412" t="s">
        <v>330</v>
      </c>
      <c r="G501" s="412" t="s">
        <v>330</v>
      </c>
      <c r="H501" s="412" t="s">
        <v>1019</v>
      </c>
      <c r="I501" s="477">
        <v>12822</v>
      </c>
      <c r="J501" s="477">
        <v>2705181</v>
      </c>
      <c r="K501" s="477"/>
      <c r="L501" s="477"/>
      <c r="M501" s="477">
        <f t="shared" si="735"/>
        <v>12822</v>
      </c>
      <c r="N501" s="477">
        <f t="shared" si="736"/>
        <v>2705181</v>
      </c>
      <c r="O501" s="477"/>
      <c r="P501" s="477"/>
      <c r="Q501" s="477">
        <f t="shared" si="781"/>
        <v>12822</v>
      </c>
      <c r="R501" s="477">
        <f t="shared" si="782"/>
        <v>2705181</v>
      </c>
      <c r="S501" s="477">
        <f t="shared" si="783"/>
        <v>-2692359</v>
      </c>
      <c r="V501" s="476">
        <f t="shared" si="743"/>
        <v>0</v>
      </c>
      <c r="W501" s="476">
        <f t="shared" si="744"/>
        <v>0</v>
      </c>
      <c r="X501" s="476">
        <f t="shared" si="745"/>
        <v>0</v>
      </c>
      <c r="Y501" s="476">
        <f t="shared" si="746"/>
        <v>0</v>
      </c>
      <c r="Z501" s="476">
        <f t="shared" si="747"/>
        <v>0</v>
      </c>
      <c r="AA501" s="476">
        <f t="shared" si="748"/>
        <v>0</v>
      </c>
      <c r="AB501" s="476">
        <f t="shared" si="749"/>
        <v>0</v>
      </c>
      <c r="AC501" s="476">
        <f t="shared" si="750"/>
        <v>0</v>
      </c>
      <c r="AD501" s="476">
        <f t="shared" si="751"/>
        <v>12822</v>
      </c>
      <c r="AE501" s="476">
        <f t="shared" si="752"/>
        <v>2705181</v>
      </c>
      <c r="AF501" s="476">
        <f t="shared" si="753"/>
        <v>0</v>
      </c>
      <c r="AG501" s="476">
        <f t="shared" si="754"/>
        <v>0</v>
      </c>
      <c r="AH501" s="476">
        <f t="shared" si="755"/>
        <v>0</v>
      </c>
      <c r="AI501" s="476">
        <f t="shared" si="756"/>
        <v>0</v>
      </c>
      <c r="AJ501" s="476">
        <f t="shared" si="757"/>
        <v>0</v>
      </c>
      <c r="AK501" s="476">
        <f t="shared" si="758"/>
        <v>0</v>
      </c>
      <c r="AL501" s="476">
        <f t="shared" si="759"/>
        <v>0</v>
      </c>
      <c r="AM501" s="476">
        <f t="shared" si="760"/>
        <v>0</v>
      </c>
      <c r="AN501" s="476">
        <f t="shared" si="761"/>
        <v>0</v>
      </c>
      <c r="AO501" s="476">
        <f t="shared" si="762"/>
        <v>0</v>
      </c>
      <c r="AP501" s="476">
        <f t="shared" si="763"/>
        <v>0</v>
      </c>
      <c r="AQ501" s="476">
        <f t="shared" si="764"/>
        <v>0</v>
      </c>
      <c r="AR501" s="476">
        <f t="shared" si="765"/>
        <v>0</v>
      </c>
      <c r="AS501" s="476">
        <f t="shared" si="766"/>
        <v>0</v>
      </c>
      <c r="AT501" s="476">
        <f t="shared" si="767"/>
        <v>0</v>
      </c>
      <c r="AU501" s="476">
        <f t="shared" si="768"/>
        <v>0</v>
      </c>
      <c r="AV501" s="476">
        <f t="shared" si="769"/>
        <v>0</v>
      </c>
      <c r="AW501" s="476">
        <f t="shared" si="770"/>
        <v>0</v>
      </c>
      <c r="AX501" s="476">
        <f t="shared" si="771"/>
        <v>0</v>
      </c>
      <c r="AY501" s="476">
        <f t="shared" si="772"/>
        <v>0</v>
      </c>
      <c r="AZ501" s="476">
        <f t="shared" si="773"/>
        <v>0</v>
      </c>
      <c r="BA501" s="476">
        <f t="shared" si="774"/>
        <v>0</v>
      </c>
      <c r="BB501" s="476">
        <f t="shared" si="775"/>
        <v>0</v>
      </c>
      <c r="BC501" s="476">
        <f t="shared" si="776"/>
        <v>0</v>
      </c>
      <c r="BD501" s="476">
        <f t="shared" si="777"/>
        <v>0</v>
      </c>
      <c r="BE501" s="476">
        <f t="shared" si="778"/>
        <v>0</v>
      </c>
      <c r="BF501" s="476">
        <f t="shared" si="779"/>
        <v>0</v>
      </c>
      <c r="BG501" s="476">
        <f t="shared" si="780"/>
        <v>0</v>
      </c>
    </row>
    <row r="502" spans="1:59" ht="16.5" customHeight="1">
      <c r="A502" s="585" t="s">
        <v>811</v>
      </c>
      <c r="B502" s="585" t="s">
        <v>1142</v>
      </c>
      <c r="C502" s="584" t="s">
        <v>1954</v>
      </c>
      <c r="D502" s="413" t="s">
        <v>508</v>
      </c>
      <c r="E502" s="412" t="s">
        <v>330</v>
      </c>
      <c r="F502" s="412" t="s">
        <v>330</v>
      </c>
      <c r="G502" s="412" t="s">
        <v>330</v>
      </c>
      <c r="H502" s="412" t="s">
        <v>1026</v>
      </c>
      <c r="I502" s="477">
        <v>0</v>
      </c>
      <c r="J502" s="477">
        <v>35108</v>
      </c>
      <c r="K502" s="477"/>
      <c r="L502" s="477"/>
      <c r="M502" s="477">
        <f t="shared" si="735"/>
        <v>0</v>
      </c>
      <c r="N502" s="477">
        <f t="shared" si="736"/>
        <v>35108</v>
      </c>
      <c r="O502" s="477"/>
      <c r="P502" s="477"/>
      <c r="Q502" s="477">
        <f t="shared" si="781"/>
        <v>0</v>
      </c>
      <c r="R502" s="477">
        <f t="shared" si="782"/>
        <v>35108</v>
      </c>
      <c r="S502" s="477">
        <f t="shared" si="783"/>
        <v>-35108</v>
      </c>
      <c r="V502" s="476">
        <f t="shared" si="743"/>
        <v>0</v>
      </c>
      <c r="W502" s="476">
        <f t="shared" si="744"/>
        <v>0</v>
      </c>
      <c r="X502" s="476">
        <f t="shared" si="745"/>
        <v>0</v>
      </c>
      <c r="Y502" s="476">
        <f t="shared" si="746"/>
        <v>0</v>
      </c>
      <c r="Z502" s="476">
        <f t="shared" si="747"/>
        <v>0</v>
      </c>
      <c r="AA502" s="476">
        <f t="shared" si="748"/>
        <v>0</v>
      </c>
      <c r="AB502" s="476">
        <f t="shared" si="749"/>
        <v>0</v>
      </c>
      <c r="AC502" s="476">
        <f t="shared" si="750"/>
        <v>0</v>
      </c>
      <c r="AD502" s="476">
        <f t="shared" si="751"/>
        <v>0</v>
      </c>
      <c r="AE502" s="476">
        <f t="shared" si="752"/>
        <v>0</v>
      </c>
      <c r="AF502" s="476">
        <f t="shared" si="753"/>
        <v>0</v>
      </c>
      <c r="AG502" s="476">
        <f t="shared" si="754"/>
        <v>0</v>
      </c>
      <c r="AH502" s="476">
        <f t="shared" si="755"/>
        <v>0</v>
      </c>
      <c r="AI502" s="476">
        <f t="shared" si="756"/>
        <v>0</v>
      </c>
      <c r="AJ502" s="476">
        <f t="shared" si="757"/>
        <v>0</v>
      </c>
      <c r="AK502" s="476">
        <f t="shared" si="758"/>
        <v>0</v>
      </c>
      <c r="AL502" s="476">
        <f t="shared" si="759"/>
        <v>0</v>
      </c>
      <c r="AM502" s="476">
        <f t="shared" si="760"/>
        <v>35108</v>
      </c>
      <c r="AN502" s="476">
        <f t="shared" si="761"/>
        <v>0</v>
      </c>
      <c r="AO502" s="476">
        <f t="shared" si="762"/>
        <v>0</v>
      </c>
      <c r="AP502" s="476">
        <f t="shared" si="763"/>
        <v>0</v>
      </c>
      <c r="AQ502" s="476">
        <f t="shared" si="764"/>
        <v>0</v>
      </c>
      <c r="AR502" s="476">
        <f t="shared" si="765"/>
        <v>0</v>
      </c>
      <c r="AS502" s="476">
        <f t="shared" si="766"/>
        <v>0</v>
      </c>
      <c r="AT502" s="476">
        <f t="shared" si="767"/>
        <v>0</v>
      </c>
      <c r="AU502" s="476">
        <f t="shared" si="768"/>
        <v>0</v>
      </c>
      <c r="AV502" s="476">
        <f t="shared" si="769"/>
        <v>0</v>
      </c>
      <c r="AW502" s="476">
        <f t="shared" si="770"/>
        <v>0</v>
      </c>
      <c r="AX502" s="476">
        <f t="shared" si="771"/>
        <v>0</v>
      </c>
      <c r="AY502" s="476">
        <f t="shared" si="772"/>
        <v>0</v>
      </c>
      <c r="AZ502" s="476">
        <f t="shared" si="773"/>
        <v>0</v>
      </c>
      <c r="BA502" s="476">
        <f t="shared" si="774"/>
        <v>0</v>
      </c>
      <c r="BB502" s="476">
        <f t="shared" si="775"/>
        <v>0</v>
      </c>
      <c r="BC502" s="476">
        <f t="shared" si="776"/>
        <v>0</v>
      </c>
      <c r="BD502" s="476">
        <f t="shared" si="777"/>
        <v>0</v>
      </c>
      <c r="BE502" s="476">
        <f t="shared" si="778"/>
        <v>0</v>
      </c>
      <c r="BF502" s="476">
        <f t="shared" si="779"/>
        <v>0</v>
      </c>
      <c r="BG502" s="476">
        <f t="shared" si="780"/>
        <v>0</v>
      </c>
    </row>
    <row r="503" spans="1:59" ht="16.5" customHeight="1">
      <c r="A503" s="585" t="s">
        <v>811</v>
      </c>
      <c r="B503" s="585" t="s">
        <v>1142</v>
      </c>
      <c r="C503" s="584" t="s">
        <v>1955</v>
      </c>
      <c r="D503" s="413" t="s">
        <v>508</v>
      </c>
      <c r="E503" s="412" t="s">
        <v>330</v>
      </c>
      <c r="F503" s="412" t="s">
        <v>330</v>
      </c>
      <c r="G503" s="412" t="s">
        <v>330</v>
      </c>
      <c r="H503" s="412" t="s">
        <v>1027</v>
      </c>
      <c r="I503" s="477">
        <v>0</v>
      </c>
      <c r="J503" s="477">
        <v>174058</v>
      </c>
      <c r="K503" s="477"/>
      <c r="L503" s="477"/>
      <c r="M503" s="477">
        <f t="shared" si="735"/>
        <v>0</v>
      </c>
      <c r="N503" s="477">
        <f t="shared" si="736"/>
        <v>174058</v>
      </c>
      <c r="O503" s="477"/>
      <c r="P503" s="477"/>
      <c r="Q503" s="477">
        <f t="shared" ref="Q503" si="784">+M503+O503</f>
        <v>0</v>
      </c>
      <c r="R503" s="477">
        <f t="shared" ref="R503" si="785">+N503+P503</f>
        <v>174058</v>
      </c>
      <c r="S503" s="477">
        <f t="shared" ref="S503" si="786">+Q503-R503</f>
        <v>-174058</v>
      </c>
      <c r="V503" s="476"/>
      <c r="W503" s="476"/>
      <c r="X503" s="476"/>
      <c r="Y503" s="476"/>
      <c r="Z503" s="476"/>
      <c r="AA503" s="476"/>
      <c r="AB503" s="476"/>
      <c r="AC503" s="476"/>
      <c r="AD503" s="476"/>
      <c r="AE503" s="476"/>
      <c r="AF503" s="476"/>
      <c r="AG503" s="476"/>
      <c r="AH503" s="476"/>
      <c r="AI503" s="476"/>
      <c r="AJ503" s="476"/>
      <c r="AK503" s="476"/>
      <c r="AL503" s="476"/>
      <c r="AM503" s="476"/>
      <c r="AN503" s="476"/>
      <c r="AO503" s="476"/>
      <c r="AP503" s="476"/>
      <c r="AQ503" s="476"/>
      <c r="AR503" s="476"/>
      <c r="AS503" s="476"/>
      <c r="AT503" s="476"/>
      <c r="AU503" s="476"/>
      <c r="AV503" s="476"/>
      <c r="AW503" s="476"/>
      <c r="AX503" s="476"/>
      <c r="AY503" s="476"/>
      <c r="AZ503" s="476"/>
      <c r="BA503" s="476"/>
      <c r="BB503" s="476"/>
      <c r="BC503" s="476"/>
      <c r="BD503" s="476"/>
      <c r="BE503" s="476"/>
      <c r="BF503" s="476"/>
      <c r="BG503" s="476"/>
    </row>
    <row r="504" spans="1:59" ht="16.5" customHeight="1">
      <c r="A504" s="585" t="s">
        <v>811</v>
      </c>
      <c r="B504" s="585" t="s">
        <v>1142</v>
      </c>
      <c r="C504" s="584" t="s">
        <v>1956</v>
      </c>
      <c r="D504" s="413" t="s">
        <v>508</v>
      </c>
      <c r="E504" s="412" t="s">
        <v>330</v>
      </c>
      <c r="F504" s="412" t="s">
        <v>330</v>
      </c>
      <c r="G504" s="412" t="s">
        <v>330</v>
      </c>
      <c r="H504" s="412" t="s">
        <v>992</v>
      </c>
      <c r="I504" s="477">
        <v>4608497</v>
      </c>
      <c r="J504" s="477">
        <v>1361860</v>
      </c>
      <c r="K504" s="477"/>
      <c r="L504" s="477"/>
      <c r="M504" s="477">
        <f t="shared" si="735"/>
        <v>4608497</v>
      </c>
      <c r="N504" s="477">
        <f t="shared" si="736"/>
        <v>1361860</v>
      </c>
      <c r="O504" s="477"/>
      <c r="P504" s="477"/>
      <c r="Q504" s="477">
        <f t="shared" si="781"/>
        <v>4608497</v>
      </c>
      <c r="R504" s="477">
        <f t="shared" si="782"/>
        <v>1361860</v>
      </c>
      <c r="S504" s="477">
        <f t="shared" si="783"/>
        <v>3246637</v>
      </c>
      <c r="V504" s="476">
        <f t="shared" ref="V504:V509" si="787">IF($V$8=$H504,$Q504,0)</f>
        <v>0</v>
      </c>
      <c r="W504" s="476">
        <f t="shared" ref="W504:W509" si="788">IF($V$8=$H504,$R504,0)</f>
        <v>0</v>
      </c>
      <c r="X504" s="476">
        <f t="shared" ref="X504:X509" si="789">IF($X$8=$H504,$Q504,0)</f>
        <v>0</v>
      </c>
      <c r="Y504" s="476">
        <f t="shared" ref="Y504:Y509" si="790">IF($X$8=$H504,$R504,0)</f>
        <v>0</v>
      </c>
      <c r="Z504" s="476">
        <f t="shared" ref="Z504:Z509" si="791">IF($Z$8=$H504,$Q504,0)</f>
        <v>0</v>
      </c>
      <c r="AA504" s="476">
        <f t="shared" ref="AA504:AA509" si="792">IF($Z$8=$H504,$R504,0)</f>
        <v>0</v>
      </c>
      <c r="AB504" s="476">
        <f t="shared" ref="AB504:AB509" si="793">IF($AB$8=$H504,$Q504,0)</f>
        <v>0</v>
      </c>
      <c r="AC504" s="476">
        <f t="shared" ref="AC504:AC509" si="794">IF($AB$8=$H504,$R504,0)</f>
        <v>0</v>
      </c>
      <c r="AD504" s="476">
        <f t="shared" ref="AD504:AD509" si="795">IF($AD$8=$H504,$Q504,0)</f>
        <v>0</v>
      </c>
      <c r="AE504" s="476">
        <f t="shared" ref="AE504:AE509" si="796">IF($AD$8=$H504,$R504,0)</f>
        <v>0</v>
      </c>
      <c r="AF504" s="476">
        <f t="shared" ref="AF504:AF509" si="797">IF($AF$8=$H504,$Q504,0)</f>
        <v>0</v>
      </c>
      <c r="AG504" s="476">
        <f t="shared" ref="AG504:AG509" si="798">IF($AF$8=$H504,$R504,0)</f>
        <v>0</v>
      </c>
      <c r="AH504" s="476">
        <f t="shared" ref="AH504:AH509" si="799">IF($AH$8=$H504,$Q504,0)</f>
        <v>0</v>
      </c>
      <c r="AI504" s="476">
        <f t="shared" ref="AI504:AI509" si="800">IF($AH$8=$H504,$R504,0)</f>
        <v>0</v>
      </c>
      <c r="AJ504" s="476">
        <f t="shared" ref="AJ504:AJ509" si="801">IF($AJ$8=$H504,$Q504,0)</f>
        <v>0</v>
      </c>
      <c r="AK504" s="476">
        <f t="shared" ref="AK504:AK509" si="802">IF($AJ$8=$H504,$R504,0)</f>
        <v>0</v>
      </c>
      <c r="AL504" s="476">
        <f t="shared" ref="AL504:AL509" si="803">IF($AL$8=$H504,$Q504,0)</f>
        <v>0</v>
      </c>
      <c r="AM504" s="476">
        <f t="shared" ref="AM504:AM509" si="804">IF($AL$8=$H504,$R504,0)</f>
        <v>0</v>
      </c>
      <c r="AN504" s="476">
        <f t="shared" ref="AN504:AN509" si="805">IF($AN$8=$H504,$Q504,0)</f>
        <v>4608497</v>
      </c>
      <c r="AO504" s="476">
        <f t="shared" ref="AO504:AO509" si="806">IF($AN$8=$H504,$R504,0)</f>
        <v>1361860</v>
      </c>
      <c r="AP504" s="476">
        <f t="shared" ref="AP504:AP509" si="807">IF($AP$8=$H504,$Q504,0)</f>
        <v>0</v>
      </c>
      <c r="AQ504" s="476">
        <f t="shared" ref="AQ504:AQ509" si="808">IF($AP$8=$H504,$R504,0)</f>
        <v>0</v>
      </c>
      <c r="AR504" s="476">
        <f t="shared" ref="AR504:AR509" si="809">IF($AR$8=$H504,$Q504,0)</f>
        <v>0</v>
      </c>
      <c r="AS504" s="476">
        <f t="shared" ref="AS504:AS509" si="810">IF($AR$8=$H504,$R504,0)</f>
        <v>0</v>
      </c>
      <c r="AT504" s="476">
        <f t="shared" ref="AT504:AT509" si="811">IF($AT$8=$H504,$Q504,0)</f>
        <v>0</v>
      </c>
      <c r="AU504" s="476">
        <f t="shared" ref="AU504:AU509" si="812">IF($AT$8=$H504,$R504,0)</f>
        <v>0</v>
      </c>
      <c r="AV504" s="476">
        <f t="shared" ref="AV504:AV509" si="813">IF($AV$8=$H504,$Q504,0)</f>
        <v>0</v>
      </c>
      <c r="AW504" s="476">
        <f t="shared" ref="AW504:AW509" si="814">IF($AV$8=$H504,$R504,0)</f>
        <v>0</v>
      </c>
      <c r="AX504" s="476">
        <f t="shared" ref="AX504:AX509" si="815">IF($AX$8=$H504,$Q504,0)</f>
        <v>0</v>
      </c>
      <c r="AY504" s="476">
        <f t="shared" ref="AY504:AY509" si="816">IF($AX$8=$H504,$R504,0)</f>
        <v>0</v>
      </c>
      <c r="AZ504" s="476">
        <f t="shared" ref="AZ504:AZ509" si="817">IF($AZ$8=$H504,$Q504,0)</f>
        <v>0</v>
      </c>
      <c r="BA504" s="476">
        <f t="shared" ref="BA504:BA509" si="818">IF($AZ$8=$H504,$R504,0)</f>
        <v>0</v>
      </c>
      <c r="BB504" s="476">
        <f t="shared" ref="BB504:BB509" si="819">IF($BB$8=$H504,$Q504,0)</f>
        <v>0</v>
      </c>
      <c r="BC504" s="476">
        <f t="shared" ref="BC504:BC509" si="820">IF($BB$8=$H504,$R504,0)</f>
        <v>0</v>
      </c>
      <c r="BD504" s="476">
        <f t="shared" ref="BD504:BD509" si="821">IF($BD$8=$H504,$Q504,0)</f>
        <v>0</v>
      </c>
      <c r="BE504" s="476">
        <f t="shared" ref="BE504:BE509" si="822">IF($BD$8=$H504,$R504,0)</f>
        <v>0</v>
      </c>
      <c r="BF504" s="476">
        <f t="shared" ref="BF504:BF509" si="823">IF($BF$8=$H504,$Q504,0)</f>
        <v>0</v>
      </c>
      <c r="BG504" s="476">
        <f t="shared" ref="BG504:BG509" si="824">IF($BF$8=$H504,$R504,0)</f>
        <v>0</v>
      </c>
    </row>
    <row r="505" spans="1:59" ht="16.5" customHeight="1">
      <c r="A505" s="585" t="s">
        <v>811</v>
      </c>
      <c r="B505" s="585" t="s">
        <v>1142</v>
      </c>
      <c r="C505" s="584" t="s">
        <v>1957</v>
      </c>
      <c r="D505" s="413" t="s">
        <v>508</v>
      </c>
      <c r="E505" s="412" t="s">
        <v>330</v>
      </c>
      <c r="F505" s="412" t="s">
        <v>330</v>
      </c>
      <c r="G505" s="412" t="s">
        <v>330</v>
      </c>
      <c r="H505" s="412" t="s">
        <v>1275</v>
      </c>
      <c r="I505" s="477">
        <v>2250364</v>
      </c>
      <c r="J505" s="477">
        <v>2441634</v>
      </c>
      <c r="K505" s="477">
        <v>494894</v>
      </c>
      <c r="L505" s="477">
        <v>496154</v>
      </c>
      <c r="M505" s="477">
        <f t="shared" si="735"/>
        <v>2745258</v>
      </c>
      <c r="N505" s="477">
        <f t="shared" si="736"/>
        <v>2937788</v>
      </c>
      <c r="O505" s="477"/>
      <c r="P505" s="477"/>
      <c r="Q505" s="477">
        <f t="shared" si="781"/>
        <v>2745258</v>
      </c>
      <c r="R505" s="477">
        <f t="shared" si="782"/>
        <v>2937788</v>
      </c>
      <c r="S505" s="477">
        <f t="shared" si="783"/>
        <v>-192530</v>
      </c>
      <c r="V505" s="476">
        <f t="shared" si="787"/>
        <v>0</v>
      </c>
      <c r="W505" s="476">
        <f t="shared" si="788"/>
        <v>0</v>
      </c>
      <c r="X505" s="476">
        <f t="shared" si="789"/>
        <v>0</v>
      </c>
      <c r="Y505" s="476">
        <f t="shared" si="790"/>
        <v>0</v>
      </c>
      <c r="Z505" s="476">
        <f t="shared" si="791"/>
        <v>0</v>
      </c>
      <c r="AA505" s="476">
        <f t="shared" si="792"/>
        <v>0</v>
      </c>
      <c r="AB505" s="476">
        <f t="shared" si="793"/>
        <v>0</v>
      </c>
      <c r="AC505" s="476">
        <f t="shared" si="794"/>
        <v>0</v>
      </c>
      <c r="AD505" s="476">
        <f t="shared" si="795"/>
        <v>0</v>
      </c>
      <c r="AE505" s="476">
        <f t="shared" si="796"/>
        <v>0</v>
      </c>
      <c r="AF505" s="476">
        <f t="shared" si="797"/>
        <v>0</v>
      </c>
      <c r="AG505" s="476">
        <f t="shared" si="798"/>
        <v>0</v>
      </c>
      <c r="AH505" s="476">
        <f t="shared" si="799"/>
        <v>0</v>
      </c>
      <c r="AI505" s="476">
        <f t="shared" si="800"/>
        <v>0</v>
      </c>
      <c r="AJ505" s="476">
        <f t="shared" si="801"/>
        <v>0</v>
      </c>
      <c r="AK505" s="476">
        <f t="shared" si="802"/>
        <v>0</v>
      </c>
      <c r="AL505" s="476">
        <f t="shared" si="803"/>
        <v>0</v>
      </c>
      <c r="AM505" s="476">
        <f t="shared" si="804"/>
        <v>0</v>
      </c>
      <c r="AN505" s="476">
        <f t="shared" si="805"/>
        <v>0</v>
      </c>
      <c r="AO505" s="476">
        <f t="shared" si="806"/>
        <v>0</v>
      </c>
      <c r="AP505" s="476">
        <f t="shared" si="807"/>
        <v>0</v>
      </c>
      <c r="AQ505" s="476">
        <f t="shared" si="808"/>
        <v>0</v>
      </c>
      <c r="AR505" s="476">
        <f t="shared" si="809"/>
        <v>0</v>
      </c>
      <c r="AS505" s="476">
        <f t="shared" si="810"/>
        <v>0</v>
      </c>
      <c r="AT505" s="476">
        <f t="shared" si="811"/>
        <v>0</v>
      </c>
      <c r="AU505" s="476">
        <f t="shared" si="812"/>
        <v>0</v>
      </c>
      <c r="AV505" s="476">
        <f t="shared" si="813"/>
        <v>0</v>
      </c>
      <c r="AW505" s="476">
        <f t="shared" si="814"/>
        <v>0</v>
      </c>
      <c r="AX505" s="476">
        <f t="shared" si="815"/>
        <v>0</v>
      </c>
      <c r="AY505" s="476">
        <f t="shared" si="816"/>
        <v>0</v>
      </c>
      <c r="AZ505" s="476">
        <f t="shared" si="817"/>
        <v>0</v>
      </c>
      <c r="BA505" s="476">
        <f t="shared" si="818"/>
        <v>0</v>
      </c>
      <c r="BB505" s="476">
        <f t="shared" si="819"/>
        <v>0</v>
      </c>
      <c r="BC505" s="476">
        <f t="shared" si="820"/>
        <v>0</v>
      </c>
      <c r="BD505" s="476">
        <f t="shared" si="821"/>
        <v>0</v>
      </c>
      <c r="BE505" s="476">
        <f t="shared" si="822"/>
        <v>0</v>
      </c>
      <c r="BF505" s="476">
        <f t="shared" si="823"/>
        <v>0</v>
      </c>
      <c r="BG505" s="476">
        <f t="shared" si="824"/>
        <v>0</v>
      </c>
    </row>
    <row r="506" spans="1:59" ht="16.5" customHeight="1">
      <c r="A506" s="585" t="s">
        <v>812</v>
      </c>
      <c r="B506" s="585" t="s">
        <v>1143</v>
      </c>
      <c r="C506" s="584" t="s">
        <v>1958</v>
      </c>
      <c r="D506" s="413" t="s">
        <v>508</v>
      </c>
      <c r="E506" s="412" t="s">
        <v>330</v>
      </c>
      <c r="F506" s="413" t="s">
        <v>330</v>
      </c>
      <c r="G506" s="412" t="s">
        <v>330</v>
      </c>
      <c r="H506" s="412" t="s">
        <v>974</v>
      </c>
      <c r="I506" s="477">
        <v>0</v>
      </c>
      <c r="J506" s="477">
        <v>2935000</v>
      </c>
      <c r="K506" s="477"/>
      <c r="L506" s="477"/>
      <c r="M506" s="477">
        <f t="shared" si="735"/>
        <v>0</v>
      </c>
      <c r="N506" s="477">
        <f t="shared" si="736"/>
        <v>2935000</v>
      </c>
      <c r="O506" s="477"/>
      <c r="P506" s="477"/>
      <c r="Q506" s="477">
        <f t="shared" si="781"/>
        <v>0</v>
      </c>
      <c r="R506" s="477">
        <f t="shared" si="782"/>
        <v>2935000</v>
      </c>
      <c r="S506" s="477">
        <f t="shared" si="783"/>
        <v>-2935000</v>
      </c>
      <c r="U506" s="473"/>
      <c r="V506" s="476">
        <f t="shared" si="787"/>
        <v>0</v>
      </c>
      <c r="W506" s="476">
        <f t="shared" si="788"/>
        <v>2935000</v>
      </c>
      <c r="X506" s="476">
        <f t="shared" si="789"/>
        <v>0</v>
      </c>
      <c r="Y506" s="476">
        <f t="shared" si="790"/>
        <v>0</v>
      </c>
      <c r="Z506" s="476">
        <f t="shared" si="791"/>
        <v>0</v>
      </c>
      <c r="AA506" s="476">
        <f t="shared" si="792"/>
        <v>0</v>
      </c>
      <c r="AB506" s="476">
        <f t="shared" si="793"/>
        <v>0</v>
      </c>
      <c r="AC506" s="476">
        <f t="shared" si="794"/>
        <v>0</v>
      </c>
      <c r="AD506" s="476">
        <f t="shared" si="795"/>
        <v>0</v>
      </c>
      <c r="AE506" s="476">
        <f t="shared" si="796"/>
        <v>0</v>
      </c>
      <c r="AF506" s="476">
        <f t="shared" si="797"/>
        <v>0</v>
      </c>
      <c r="AG506" s="476">
        <f t="shared" si="798"/>
        <v>0</v>
      </c>
      <c r="AH506" s="476">
        <f t="shared" si="799"/>
        <v>0</v>
      </c>
      <c r="AI506" s="476">
        <f t="shared" si="800"/>
        <v>0</v>
      </c>
      <c r="AJ506" s="476">
        <f t="shared" si="801"/>
        <v>0</v>
      </c>
      <c r="AK506" s="476">
        <f t="shared" si="802"/>
        <v>0</v>
      </c>
      <c r="AL506" s="476">
        <f t="shared" si="803"/>
        <v>0</v>
      </c>
      <c r="AM506" s="476">
        <f t="shared" si="804"/>
        <v>0</v>
      </c>
      <c r="AN506" s="476">
        <f t="shared" si="805"/>
        <v>0</v>
      </c>
      <c r="AO506" s="476">
        <f t="shared" si="806"/>
        <v>0</v>
      </c>
      <c r="AP506" s="476">
        <f t="shared" si="807"/>
        <v>0</v>
      </c>
      <c r="AQ506" s="476">
        <f t="shared" si="808"/>
        <v>0</v>
      </c>
      <c r="AR506" s="476">
        <f t="shared" si="809"/>
        <v>0</v>
      </c>
      <c r="AS506" s="476">
        <f t="shared" si="810"/>
        <v>0</v>
      </c>
      <c r="AT506" s="476">
        <f t="shared" si="811"/>
        <v>0</v>
      </c>
      <c r="AU506" s="476">
        <f t="shared" si="812"/>
        <v>0</v>
      </c>
      <c r="AV506" s="476">
        <f t="shared" si="813"/>
        <v>0</v>
      </c>
      <c r="AW506" s="476">
        <f t="shared" si="814"/>
        <v>0</v>
      </c>
      <c r="AX506" s="476">
        <f t="shared" si="815"/>
        <v>0</v>
      </c>
      <c r="AY506" s="476">
        <f t="shared" si="816"/>
        <v>0</v>
      </c>
      <c r="AZ506" s="476">
        <f t="shared" si="817"/>
        <v>0</v>
      </c>
      <c r="BA506" s="476">
        <f t="shared" si="818"/>
        <v>0</v>
      </c>
      <c r="BB506" s="476">
        <f t="shared" si="819"/>
        <v>0</v>
      </c>
      <c r="BC506" s="476">
        <f t="shared" si="820"/>
        <v>0</v>
      </c>
      <c r="BD506" s="476">
        <f t="shared" si="821"/>
        <v>0</v>
      </c>
      <c r="BE506" s="476">
        <f t="shared" si="822"/>
        <v>0</v>
      </c>
      <c r="BF506" s="476">
        <f t="shared" si="823"/>
        <v>0</v>
      </c>
      <c r="BG506" s="476">
        <f t="shared" si="824"/>
        <v>0</v>
      </c>
    </row>
    <row r="507" spans="1:59" ht="16.5" customHeight="1">
      <c r="A507" s="585" t="s">
        <v>813</v>
      </c>
      <c r="B507" s="585" t="s">
        <v>1144</v>
      </c>
      <c r="C507" s="584" t="s">
        <v>1959</v>
      </c>
      <c r="D507" s="413" t="s">
        <v>508</v>
      </c>
      <c r="E507" s="412" t="s">
        <v>330</v>
      </c>
      <c r="F507" s="413" t="s">
        <v>330</v>
      </c>
      <c r="G507" s="412" t="s">
        <v>330</v>
      </c>
      <c r="H507" s="412" t="s">
        <v>974</v>
      </c>
      <c r="I507" s="477">
        <v>0</v>
      </c>
      <c r="J507" s="477">
        <v>1600481</v>
      </c>
      <c r="K507" s="477"/>
      <c r="L507" s="477">
        <v>330784</v>
      </c>
      <c r="M507" s="477">
        <f t="shared" si="735"/>
        <v>0</v>
      </c>
      <c r="N507" s="477">
        <f t="shared" si="736"/>
        <v>1931265</v>
      </c>
      <c r="O507" s="477"/>
      <c r="P507" s="477"/>
      <c r="Q507" s="477">
        <f t="shared" si="781"/>
        <v>0</v>
      </c>
      <c r="R507" s="477">
        <f t="shared" si="782"/>
        <v>1931265</v>
      </c>
      <c r="S507" s="477">
        <f t="shared" si="783"/>
        <v>-1931265</v>
      </c>
      <c r="U507" s="473"/>
      <c r="V507" s="476">
        <f t="shared" si="787"/>
        <v>0</v>
      </c>
      <c r="W507" s="476">
        <f t="shared" si="788"/>
        <v>1931265</v>
      </c>
      <c r="X507" s="476">
        <f t="shared" si="789"/>
        <v>0</v>
      </c>
      <c r="Y507" s="476">
        <f t="shared" si="790"/>
        <v>0</v>
      </c>
      <c r="Z507" s="476">
        <f t="shared" si="791"/>
        <v>0</v>
      </c>
      <c r="AA507" s="476">
        <f t="shared" si="792"/>
        <v>0</v>
      </c>
      <c r="AB507" s="476">
        <f t="shared" si="793"/>
        <v>0</v>
      </c>
      <c r="AC507" s="476">
        <f t="shared" si="794"/>
        <v>0</v>
      </c>
      <c r="AD507" s="476">
        <f t="shared" si="795"/>
        <v>0</v>
      </c>
      <c r="AE507" s="476">
        <f t="shared" si="796"/>
        <v>0</v>
      </c>
      <c r="AF507" s="476">
        <f t="shared" si="797"/>
        <v>0</v>
      </c>
      <c r="AG507" s="476">
        <f t="shared" si="798"/>
        <v>0</v>
      </c>
      <c r="AH507" s="476">
        <f t="shared" si="799"/>
        <v>0</v>
      </c>
      <c r="AI507" s="476">
        <f t="shared" si="800"/>
        <v>0</v>
      </c>
      <c r="AJ507" s="476">
        <f t="shared" si="801"/>
        <v>0</v>
      </c>
      <c r="AK507" s="476">
        <f t="shared" si="802"/>
        <v>0</v>
      </c>
      <c r="AL507" s="476">
        <f t="shared" si="803"/>
        <v>0</v>
      </c>
      <c r="AM507" s="476">
        <f t="shared" si="804"/>
        <v>0</v>
      </c>
      <c r="AN507" s="476">
        <f t="shared" si="805"/>
        <v>0</v>
      </c>
      <c r="AO507" s="476">
        <f t="shared" si="806"/>
        <v>0</v>
      </c>
      <c r="AP507" s="476">
        <f t="shared" si="807"/>
        <v>0</v>
      </c>
      <c r="AQ507" s="476">
        <f t="shared" si="808"/>
        <v>0</v>
      </c>
      <c r="AR507" s="476">
        <f t="shared" si="809"/>
        <v>0</v>
      </c>
      <c r="AS507" s="476">
        <f t="shared" si="810"/>
        <v>0</v>
      </c>
      <c r="AT507" s="476">
        <f t="shared" si="811"/>
        <v>0</v>
      </c>
      <c r="AU507" s="476">
        <f t="shared" si="812"/>
        <v>0</v>
      </c>
      <c r="AV507" s="476">
        <f t="shared" si="813"/>
        <v>0</v>
      </c>
      <c r="AW507" s="476">
        <f t="shared" si="814"/>
        <v>0</v>
      </c>
      <c r="AX507" s="476">
        <f t="shared" si="815"/>
        <v>0</v>
      </c>
      <c r="AY507" s="476">
        <f t="shared" si="816"/>
        <v>0</v>
      </c>
      <c r="AZ507" s="476">
        <f t="shared" si="817"/>
        <v>0</v>
      </c>
      <c r="BA507" s="476">
        <f t="shared" si="818"/>
        <v>0</v>
      </c>
      <c r="BB507" s="476">
        <f t="shared" si="819"/>
        <v>0</v>
      </c>
      <c r="BC507" s="476">
        <f t="shared" si="820"/>
        <v>0</v>
      </c>
      <c r="BD507" s="476">
        <f t="shared" si="821"/>
        <v>0</v>
      </c>
      <c r="BE507" s="476">
        <f t="shared" si="822"/>
        <v>0</v>
      </c>
      <c r="BF507" s="476">
        <f t="shared" si="823"/>
        <v>0</v>
      </c>
      <c r="BG507" s="476">
        <f t="shared" si="824"/>
        <v>0</v>
      </c>
    </row>
    <row r="508" spans="1:59" ht="16.5" customHeight="1">
      <c r="A508" s="585" t="s">
        <v>813</v>
      </c>
      <c r="B508" s="585" t="s">
        <v>1144</v>
      </c>
      <c r="C508" s="584" t="s">
        <v>1960</v>
      </c>
      <c r="D508" s="413" t="s">
        <v>508</v>
      </c>
      <c r="E508" s="412" t="s">
        <v>330</v>
      </c>
      <c r="F508" s="413" t="s">
        <v>330</v>
      </c>
      <c r="G508" s="412" t="s">
        <v>330</v>
      </c>
      <c r="H508" s="412" t="s">
        <v>1020</v>
      </c>
      <c r="I508" s="477">
        <v>0</v>
      </c>
      <c r="J508" s="477">
        <v>1950301</v>
      </c>
      <c r="K508" s="477"/>
      <c r="L508" s="477"/>
      <c r="M508" s="477">
        <f t="shared" si="735"/>
        <v>0</v>
      </c>
      <c r="N508" s="477">
        <f t="shared" si="736"/>
        <v>1950301</v>
      </c>
      <c r="O508" s="477"/>
      <c r="P508" s="477"/>
      <c r="Q508" s="477">
        <f t="shared" si="781"/>
        <v>0</v>
      </c>
      <c r="R508" s="477">
        <f t="shared" si="782"/>
        <v>1950301</v>
      </c>
      <c r="S508" s="477">
        <f t="shared" si="783"/>
        <v>-1950301</v>
      </c>
      <c r="U508" s="473"/>
      <c r="V508" s="476">
        <f t="shared" si="787"/>
        <v>0</v>
      </c>
      <c r="W508" s="476">
        <f t="shared" si="788"/>
        <v>0</v>
      </c>
      <c r="X508" s="476">
        <f t="shared" si="789"/>
        <v>0</v>
      </c>
      <c r="Y508" s="476">
        <f t="shared" si="790"/>
        <v>0</v>
      </c>
      <c r="Z508" s="476">
        <f t="shared" si="791"/>
        <v>0</v>
      </c>
      <c r="AA508" s="476">
        <f t="shared" si="792"/>
        <v>1950301</v>
      </c>
      <c r="AB508" s="476">
        <f t="shared" si="793"/>
        <v>0</v>
      </c>
      <c r="AC508" s="476">
        <f t="shared" si="794"/>
        <v>0</v>
      </c>
      <c r="AD508" s="476">
        <f t="shared" si="795"/>
        <v>0</v>
      </c>
      <c r="AE508" s="476">
        <f t="shared" si="796"/>
        <v>0</v>
      </c>
      <c r="AF508" s="476">
        <f t="shared" si="797"/>
        <v>0</v>
      </c>
      <c r="AG508" s="476">
        <f t="shared" si="798"/>
        <v>0</v>
      </c>
      <c r="AH508" s="476">
        <f t="shared" si="799"/>
        <v>0</v>
      </c>
      <c r="AI508" s="476">
        <f t="shared" si="800"/>
        <v>0</v>
      </c>
      <c r="AJ508" s="476">
        <f t="shared" si="801"/>
        <v>0</v>
      </c>
      <c r="AK508" s="476">
        <f t="shared" si="802"/>
        <v>0</v>
      </c>
      <c r="AL508" s="476">
        <f t="shared" si="803"/>
        <v>0</v>
      </c>
      <c r="AM508" s="476">
        <f t="shared" si="804"/>
        <v>0</v>
      </c>
      <c r="AN508" s="476">
        <f t="shared" si="805"/>
        <v>0</v>
      </c>
      <c r="AO508" s="476">
        <f t="shared" si="806"/>
        <v>0</v>
      </c>
      <c r="AP508" s="476">
        <f t="shared" si="807"/>
        <v>0</v>
      </c>
      <c r="AQ508" s="476">
        <f t="shared" si="808"/>
        <v>0</v>
      </c>
      <c r="AR508" s="476">
        <f t="shared" si="809"/>
        <v>0</v>
      </c>
      <c r="AS508" s="476">
        <f t="shared" si="810"/>
        <v>0</v>
      </c>
      <c r="AT508" s="476">
        <f t="shared" si="811"/>
        <v>0</v>
      </c>
      <c r="AU508" s="476">
        <f t="shared" si="812"/>
        <v>0</v>
      </c>
      <c r="AV508" s="476">
        <f t="shared" si="813"/>
        <v>0</v>
      </c>
      <c r="AW508" s="476">
        <f t="shared" si="814"/>
        <v>0</v>
      </c>
      <c r="AX508" s="476">
        <f t="shared" si="815"/>
        <v>0</v>
      </c>
      <c r="AY508" s="476">
        <f t="shared" si="816"/>
        <v>0</v>
      </c>
      <c r="AZ508" s="476">
        <f t="shared" si="817"/>
        <v>0</v>
      </c>
      <c r="BA508" s="476">
        <f t="shared" si="818"/>
        <v>0</v>
      </c>
      <c r="BB508" s="476">
        <f t="shared" si="819"/>
        <v>0</v>
      </c>
      <c r="BC508" s="476">
        <f t="shared" si="820"/>
        <v>0</v>
      </c>
      <c r="BD508" s="476">
        <f t="shared" si="821"/>
        <v>0</v>
      </c>
      <c r="BE508" s="476">
        <f t="shared" si="822"/>
        <v>0</v>
      </c>
      <c r="BF508" s="476">
        <f t="shared" si="823"/>
        <v>0</v>
      </c>
      <c r="BG508" s="476">
        <f t="shared" si="824"/>
        <v>0</v>
      </c>
    </row>
    <row r="509" spans="1:59" ht="16.5" customHeight="1">
      <c r="A509" s="585" t="s">
        <v>814</v>
      </c>
      <c r="B509" s="585" t="s">
        <v>1145</v>
      </c>
      <c r="C509" s="584" t="s">
        <v>1961</v>
      </c>
      <c r="D509" s="413" t="s">
        <v>508</v>
      </c>
      <c r="E509" s="412" t="s">
        <v>330</v>
      </c>
      <c r="F509" s="413" t="s">
        <v>330</v>
      </c>
      <c r="G509" s="412" t="s">
        <v>330</v>
      </c>
      <c r="H509" s="412" t="s">
        <v>974</v>
      </c>
      <c r="I509" s="477">
        <v>0</v>
      </c>
      <c r="J509" s="477">
        <v>299904</v>
      </c>
      <c r="K509" s="477"/>
      <c r="L509" s="477"/>
      <c r="M509" s="477">
        <f t="shared" si="735"/>
        <v>0</v>
      </c>
      <c r="N509" s="477">
        <f t="shared" si="736"/>
        <v>299904</v>
      </c>
      <c r="O509" s="477"/>
      <c r="P509" s="477"/>
      <c r="Q509" s="477">
        <f t="shared" si="781"/>
        <v>0</v>
      </c>
      <c r="R509" s="477">
        <f t="shared" si="782"/>
        <v>299904</v>
      </c>
      <c r="S509" s="477">
        <f t="shared" si="783"/>
        <v>-299904</v>
      </c>
      <c r="U509" s="473"/>
      <c r="V509" s="476">
        <f t="shared" si="787"/>
        <v>0</v>
      </c>
      <c r="W509" s="476">
        <f t="shared" si="788"/>
        <v>299904</v>
      </c>
      <c r="X509" s="476">
        <f t="shared" si="789"/>
        <v>0</v>
      </c>
      <c r="Y509" s="476">
        <f t="shared" si="790"/>
        <v>0</v>
      </c>
      <c r="Z509" s="476">
        <f t="shared" si="791"/>
        <v>0</v>
      </c>
      <c r="AA509" s="476">
        <f t="shared" si="792"/>
        <v>0</v>
      </c>
      <c r="AB509" s="476">
        <f t="shared" si="793"/>
        <v>0</v>
      </c>
      <c r="AC509" s="476">
        <f t="shared" si="794"/>
        <v>0</v>
      </c>
      <c r="AD509" s="476">
        <f t="shared" si="795"/>
        <v>0</v>
      </c>
      <c r="AE509" s="476">
        <f t="shared" si="796"/>
        <v>0</v>
      </c>
      <c r="AF509" s="476">
        <f t="shared" si="797"/>
        <v>0</v>
      </c>
      <c r="AG509" s="476">
        <f t="shared" si="798"/>
        <v>0</v>
      </c>
      <c r="AH509" s="476">
        <f t="shared" si="799"/>
        <v>0</v>
      </c>
      <c r="AI509" s="476">
        <f t="shared" si="800"/>
        <v>0</v>
      </c>
      <c r="AJ509" s="476">
        <f t="shared" si="801"/>
        <v>0</v>
      </c>
      <c r="AK509" s="476">
        <f t="shared" si="802"/>
        <v>0</v>
      </c>
      <c r="AL509" s="476">
        <f t="shared" si="803"/>
        <v>0</v>
      </c>
      <c r="AM509" s="476">
        <f t="shared" si="804"/>
        <v>0</v>
      </c>
      <c r="AN509" s="476">
        <f t="shared" si="805"/>
        <v>0</v>
      </c>
      <c r="AO509" s="476">
        <f t="shared" si="806"/>
        <v>0</v>
      </c>
      <c r="AP509" s="476">
        <f t="shared" si="807"/>
        <v>0</v>
      </c>
      <c r="AQ509" s="476">
        <f t="shared" si="808"/>
        <v>0</v>
      </c>
      <c r="AR509" s="476">
        <f t="shared" si="809"/>
        <v>0</v>
      </c>
      <c r="AS509" s="476">
        <f t="shared" si="810"/>
        <v>0</v>
      </c>
      <c r="AT509" s="476">
        <f t="shared" si="811"/>
        <v>0</v>
      </c>
      <c r="AU509" s="476">
        <f t="shared" si="812"/>
        <v>0</v>
      </c>
      <c r="AV509" s="476">
        <f t="shared" si="813"/>
        <v>0</v>
      </c>
      <c r="AW509" s="476">
        <f t="shared" si="814"/>
        <v>0</v>
      </c>
      <c r="AX509" s="476">
        <f t="shared" si="815"/>
        <v>0</v>
      </c>
      <c r="AY509" s="476">
        <f t="shared" si="816"/>
        <v>0</v>
      </c>
      <c r="AZ509" s="476">
        <f t="shared" si="817"/>
        <v>0</v>
      </c>
      <c r="BA509" s="476">
        <f t="shared" si="818"/>
        <v>0</v>
      </c>
      <c r="BB509" s="476">
        <f t="shared" si="819"/>
        <v>0</v>
      </c>
      <c r="BC509" s="476">
        <f t="shared" si="820"/>
        <v>0</v>
      </c>
      <c r="BD509" s="476">
        <f t="shared" si="821"/>
        <v>0</v>
      </c>
      <c r="BE509" s="476">
        <f t="shared" si="822"/>
        <v>0</v>
      </c>
      <c r="BF509" s="476">
        <f t="shared" si="823"/>
        <v>0</v>
      </c>
      <c r="BG509" s="476">
        <f t="shared" si="824"/>
        <v>0</v>
      </c>
    </row>
    <row r="510" spans="1:59" ht="16.5" customHeight="1">
      <c r="A510" s="585" t="s">
        <v>816</v>
      </c>
      <c r="B510" s="585" t="s">
        <v>1147</v>
      </c>
      <c r="C510" s="584" t="s">
        <v>1962</v>
      </c>
      <c r="D510" s="413" t="s">
        <v>508</v>
      </c>
      <c r="E510" s="412" t="s">
        <v>330</v>
      </c>
      <c r="F510" s="413" t="s">
        <v>330</v>
      </c>
      <c r="G510" s="412" t="s">
        <v>330</v>
      </c>
      <c r="H510" s="412" t="s">
        <v>974</v>
      </c>
      <c r="I510" s="477">
        <v>0</v>
      </c>
      <c r="J510" s="477">
        <v>391647</v>
      </c>
      <c r="K510" s="477"/>
      <c r="L510" s="477"/>
      <c r="M510" s="477">
        <f t="shared" si="735"/>
        <v>0</v>
      </c>
      <c r="N510" s="477">
        <f t="shared" si="736"/>
        <v>391647</v>
      </c>
      <c r="O510" s="477"/>
      <c r="P510" s="477"/>
      <c r="Q510" s="477">
        <f t="shared" ref="Q510" si="825">+M510+O510</f>
        <v>0</v>
      </c>
      <c r="R510" s="477">
        <f t="shared" ref="R510" si="826">+N510+P510</f>
        <v>391647</v>
      </c>
      <c r="S510" s="477">
        <f t="shared" ref="S510" si="827">+Q510-R510</f>
        <v>-391647</v>
      </c>
      <c r="U510" s="473"/>
      <c r="V510" s="476"/>
      <c r="W510" s="476"/>
      <c r="X510" s="476"/>
      <c r="Y510" s="476"/>
      <c r="Z510" s="476"/>
      <c r="AA510" s="476"/>
      <c r="AB510" s="476"/>
      <c r="AC510" s="476"/>
      <c r="AD510" s="476"/>
      <c r="AE510" s="476"/>
      <c r="AF510" s="476"/>
      <c r="AG510" s="476"/>
      <c r="AH510" s="476"/>
      <c r="AI510" s="476"/>
      <c r="AJ510" s="476"/>
      <c r="AK510" s="476"/>
      <c r="AL510" s="476"/>
      <c r="AM510" s="476"/>
      <c r="AN510" s="476"/>
      <c r="AO510" s="476"/>
      <c r="AP510" s="476"/>
      <c r="AQ510" s="476"/>
      <c r="AR510" s="476"/>
      <c r="AS510" s="476"/>
      <c r="AT510" s="476"/>
      <c r="AU510" s="476"/>
      <c r="AV510" s="476"/>
      <c r="AW510" s="476"/>
      <c r="AX510" s="476"/>
      <c r="AY510" s="476"/>
      <c r="AZ510" s="476"/>
      <c r="BA510" s="476"/>
      <c r="BB510" s="476"/>
      <c r="BC510" s="476"/>
      <c r="BD510" s="476"/>
      <c r="BE510" s="476"/>
      <c r="BF510" s="476"/>
      <c r="BG510" s="476"/>
    </row>
    <row r="511" spans="1:59" ht="16.5" customHeight="1">
      <c r="A511" s="585" t="s">
        <v>816</v>
      </c>
      <c r="B511" s="585" t="s">
        <v>1147</v>
      </c>
      <c r="C511" s="584" t="s">
        <v>1963</v>
      </c>
      <c r="D511" s="413" t="s">
        <v>508</v>
      </c>
      <c r="E511" s="412" t="s">
        <v>330</v>
      </c>
      <c r="F511" s="413" t="s">
        <v>330</v>
      </c>
      <c r="G511" s="412" t="s">
        <v>330</v>
      </c>
      <c r="H511" s="412" t="s">
        <v>1025</v>
      </c>
      <c r="I511" s="580">
        <v>0</v>
      </c>
      <c r="J511" s="580">
        <v>20000</v>
      </c>
      <c r="K511" s="580"/>
      <c r="L511" s="580"/>
      <c r="M511" s="477">
        <f t="shared" si="735"/>
        <v>0</v>
      </c>
      <c r="N511" s="477">
        <f t="shared" si="736"/>
        <v>20000</v>
      </c>
      <c r="O511" s="477"/>
      <c r="P511" s="477"/>
      <c r="Q511" s="477">
        <f t="shared" ref="Q511" si="828">+M511+O511</f>
        <v>0</v>
      </c>
      <c r="R511" s="477">
        <f t="shared" ref="R511" si="829">+N511+P511</f>
        <v>20000</v>
      </c>
      <c r="S511" s="477">
        <f t="shared" ref="S511" si="830">+Q511-R511</f>
        <v>-20000</v>
      </c>
      <c r="U511" s="473"/>
      <c r="V511" s="476"/>
      <c r="W511" s="476"/>
      <c r="X511" s="476"/>
      <c r="Y511" s="476"/>
      <c r="Z511" s="476"/>
      <c r="AA511" s="476"/>
      <c r="AB511" s="476"/>
      <c r="AC511" s="476"/>
      <c r="AD511" s="476"/>
      <c r="AE511" s="476"/>
      <c r="AF511" s="476"/>
      <c r="AG511" s="476"/>
      <c r="AH511" s="476"/>
      <c r="AI511" s="476"/>
      <c r="AJ511" s="476"/>
      <c r="AK511" s="476"/>
      <c r="AL511" s="476"/>
      <c r="AM511" s="476"/>
      <c r="AN511" s="476"/>
      <c r="AO511" s="476"/>
      <c r="AP511" s="476"/>
      <c r="AQ511" s="476"/>
      <c r="AR511" s="476"/>
      <c r="AS511" s="476"/>
      <c r="AT511" s="476"/>
      <c r="AU511" s="476"/>
      <c r="AV511" s="476"/>
      <c r="AW511" s="476"/>
      <c r="AX511" s="476"/>
      <c r="AY511" s="476"/>
      <c r="AZ511" s="476"/>
      <c r="BA511" s="476"/>
      <c r="BB511" s="476"/>
      <c r="BC511" s="476"/>
      <c r="BD511" s="476"/>
      <c r="BE511" s="476"/>
      <c r="BF511" s="476"/>
      <c r="BG511" s="476"/>
    </row>
    <row r="512" spans="1:59" ht="16.5" customHeight="1">
      <c r="A512" s="585" t="s">
        <v>819</v>
      </c>
      <c r="B512" s="585" t="s">
        <v>1148</v>
      </c>
      <c r="C512" s="584" t="s">
        <v>1964</v>
      </c>
      <c r="D512" s="413" t="s">
        <v>508</v>
      </c>
      <c r="E512" s="412" t="s">
        <v>330</v>
      </c>
      <c r="F512" s="413" t="s">
        <v>330</v>
      </c>
      <c r="G512" s="412" t="s">
        <v>330</v>
      </c>
      <c r="H512" s="412" t="s">
        <v>974</v>
      </c>
      <c r="I512" s="580">
        <v>0</v>
      </c>
      <c r="J512" s="580">
        <v>3516379.55</v>
      </c>
      <c r="K512" s="580"/>
      <c r="L512" s="580"/>
      <c r="M512" s="477">
        <f t="shared" si="735"/>
        <v>0</v>
      </c>
      <c r="N512" s="477">
        <f t="shared" si="736"/>
        <v>3516379.55</v>
      </c>
      <c r="O512" s="477"/>
      <c r="P512" s="477"/>
      <c r="Q512" s="477">
        <f t="shared" ref="Q512" si="831">+M512+O512</f>
        <v>0</v>
      </c>
      <c r="R512" s="477">
        <f t="shared" ref="R512" si="832">+N512+P512</f>
        <v>3516379.55</v>
      </c>
      <c r="S512" s="477">
        <f t="shared" ref="S512" si="833">+Q512-R512</f>
        <v>-3516379.55</v>
      </c>
      <c r="U512" s="473"/>
      <c r="V512" s="476"/>
      <c r="W512" s="476"/>
      <c r="X512" s="476"/>
      <c r="Y512" s="476"/>
      <c r="Z512" s="476"/>
      <c r="AA512" s="476"/>
      <c r="AB512" s="476"/>
      <c r="AC512" s="476"/>
      <c r="AD512" s="476"/>
      <c r="AE512" s="476"/>
      <c r="AF512" s="476"/>
      <c r="AG512" s="476"/>
      <c r="AH512" s="476"/>
      <c r="AI512" s="476"/>
      <c r="AJ512" s="476"/>
      <c r="AK512" s="476"/>
      <c r="AL512" s="476"/>
      <c r="AM512" s="476"/>
      <c r="AN512" s="476"/>
      <c r="AO512" s="476"/>
      <c r="AP512" s="476"/>
      <c r="AQ512" s="476"/>
      <c r="AR512" s="476"/>
      <c r="AS512" s="476"/>
      <c r="AT512" s="476"/>
      <c r="AU512" s="476"/>
      <c r="AV512" s="476"/>
      <c r="AW512" s="476"/>
      <c r="AX512" s="476"/>
      <c r="AY512" s="476"/>
      <c r="AZ512" s="476"/>
      <c r="BA512" s="476"/>
      <c r="BB512" s="476"/>
      <c r="BC512" s="476"/>
      <c r="BD512" s="476"/>
      <c r="BE512" s="476"/>
      <c r="BF512" s="476"/>
      <c r="BG512" s="476"/>
    </row>
    <row r="513" spans="1:59" ht="16.5" customHeight="1">
      <c r="A513" s="585" t="s">
        <v>819</v>
      </c>
      <c r="B513" s="585" t="s">
        <v>1148</v>
      </c>
      <c r="C513" s="584" t="s">
        <v>1965</v>
      </c>
      <c r="D513" s="413" t="s">
        <v>508</v>
      </c>
      <c r="E513" s="412" t="s">
        <v>330</v>
      </c>
      <c r="F513" s="413" t="s">
        <v>330</v>
      </c>
      <c r="G513" s="412" t="s">
        <v>330</v>
      </c>
      <c r="H513" s="412" t="s">
        <v>1055</v>
      </c>
      <c r="I513" s="477">
        <v>0</v>
      </c>
      <c r="J513" s="477">
        <v>250000</v>
      </c>
      <c r="K513" s="477"/>
      <c r="L513" s="477"/>
      <c r="M513" s="477">
        <f t="shared" si="735"/>
        <v>0</v>
      </c>
      <c r="N513" s="477">
        <f t="shared" si="736"/>
        <v>250000</v>
      </c>
      <c r="O513" s="477"/>
      <c r="P513" s="477"/>
      <c r="Q513" s="477">
        <f t="shared" si="781"/>
        <v>0</v>
      </c>
      <c r="R513" s="477">
        <f t="shared" si="782"/>
        <v>250000</v>
      </c>
      <c r="S513" s="477">
        <f t="shared" si="783"/>
        <v>-250000</v>
      </c>
      <c r="U513" s="473"/>
      <c r="V513" s="476">
        <f t="shared" ref="V513:V522" si="834">IF($V$8=$H513,$Q513,0)</f>
        <v>0</v>
      </c>
      <c r="W513" s="476">
        <f t="shared" ref="W513:W522" si="835">IF($V$8=$H513,$R513,0)</f>
        <v>0</v>
      </c>
      <c r="X513" s="476">
        <f t="shared" ref="X513:X522" si="836">IF($X$8=$H513,$Q513,0)</f>
        <v>0</v>
      </c>
      <c r="Y513" s="476">
        <f t="shared" ref="Y513:Y522" si="837">IF($X$8=$H513,$R513,0)</f>
        <v>0</v>
      </c>
      <c r="Z513" s="476">
        <f t="shared" ref="Z513:Z522" si="838">IF($Z$8=$H513,$Q513,0)</f>
        <v>0</v>
      </c>
      <c r="AA513" s="476">
        <f t="shared" ref="AA513:AA522" si="839">IF($Z$8=$H513,$R513,0)</f>
        <v>0</v>
      </c>
      <c r="AB513" s="476">
        <f t="shared" ref="AB513:AB522" si="840">IF($AB$8=$H513,$Q513,0)</f>
        <v>0</v>
      </c>
      <c r="AC513" s="476">
        <f t="shared" ref="AC513:AC522" si="841">IF($AB$8=$H513,$R513,0)</f>
        <v>0</v>
      </c>
      <c r="AD513" s="476">
        <f t="shared" ref="AD513:AD522" si="842">IF($AD$8=$H513,$Q513,0)</f>
        <v>0</v>
      </c>
      <c r="AE513" s="476">
        <f t="shared" ref="AE513:AE522" si="843">IF($AD$8=$H513,$R513,0)</f>
        <v>0</v>
      </c>
      <c r="AF513" s="476">
        <f t="shared" ref="AF513:AF522" si="844">IF($AF$8=$H513,$Q513,0)</f>
        <v>0</v>
      </c>
      <c r="AG513" s="476">
        <f t="shared" ref="AG513:AG522" si="845">IF($AF$8=$H513,$R513,0)</f>
        <v>0</v>
      </c>
      <c r="AH513" s="476">
        <f t="shared" ref="AH513:AH522" si="846">IF($AH$8=$H513,$Q513,0)</f>
        <v>0</v>
      </c>
      <c r="AI513" s="476">
        <f t="shared" ref="AI513:AI522" si="847">IF($AH$8=$H513,$R513,0)</f>
        <v>0</v>
      </c>
      <c r="AJ513" s="476">
        <f t="shared" ref="AJ513:AJ522" si="848">IF($AJ$8=$H513,$Q513,0)</f>
        <v>0</v>
      </c>
      <c r="AK513" s="476">
        <f t="shared" ref="AK513:AK522" si="849">IF($AJ$8=$H513,$R513,0)</f>
        <v>0</v>
      </c>
      <c r="AL513" s="476">
        <f t="shared" ref="AL513:AL522" si="850">IF($AL$8=$H513,$Q513,0)</f>
        <v>0</v>
      </c>
      <c r="AM513" s="476">
        <f t="shared" ref="AM513:AM522" si="851">IF($AL$8=$H513,$R513,0)</f>
        <v>0</v>
      </c>
      <c r="AN513" s="476">
        <f t="shared" ref="AN513:AN522" si="852">IF($AN$8=$H513,$Q513,0)</f>
        <v>0</v>
      </c>
      <c r="AO513" s="476">
        <f t="shared" ref="AO513:AO522" si="853">IF($AN$8=$H513,$R513,0)</f>
        <v>0</v>
      </c>
      <c r="AP513" s="476">
        <f t="shared" ref="AP513:AP522" si="854">IF($AP$8=$H513,$Q513,0)</f>
        <v>0</v>
      </c>
      <c r="AQ513" s="476">
        <f t="shared" ref="AQ513:AQ522" si="855">IF($AP$8=$H513,$R513,0)</f>
        <v>0</v>
      </c>
      <c r="AR513" s="476">
        <f t="shared" ref="AR513:AR522" si="856">IF($AR$8=$H513,$Q513,0)</f>
        <v>0</v>
      </c>
      <c r="AS513" s="476">
        <f t="shared" ref="AS513:AS522" si="857">IF($AR$8=$H513,$R513,0)</f>
        <v>0</v>
      </c>
      <c r="AT513" s="476">
        <f t="shared" ref="AT513:AT522" si="858">IF($AT$8=$H513,$Q513,0)</f>
        <v>0</v>
      </c>
      <c r="AU513" s="476">
        <f t="shared" ref="AU513:AU522" si="859">IF($AT$8=$H513,$R513,0)</f>
        <v>0</v>
      </c>
      <c r="AV513" s="476">
        <f t="shared" ref="AV513:AV522" si="860">IF($AV$8=$H513,$Q513,0)</f>
        <v>0</v>
      </c>
      <c r="AW513" s="476">
        <f t="shared" ref="AW513:AW522" si="861">IF($AV$8=$H513,$R513,0)</f>
        <v>0</v>
      </c>
      <c r="AX513" s="476">
        <f t="shared" ref="AX513:AX522" si="862">IF($AX$8=$H513,$Q513,0)</f>
        <v>0</v>
      </c>
      <c r="AY513" s="476">
        <f t="shared" ref="AY513:AY522" si="863">IF($AX$8=$H513,$R513,0)</f>
        <v>0</v>
      </c>
      <c r="AZ513" s="476">
        <f t="shared" ref="AZ513:AZ522" si="864">IF($AZ$8=$H513,$Q513,0)</f>
        <v>0</v>
      </c>
      <c r="BA513" s="476">
        <f t="shared" ref="BA513:BA522" si="865">IF($AZ$8=$H513,$R513,0)</f>
        <v>0</v>
      </c>
      <c r="BB513" s="476">
        <f t="shared" ref="BB513:BB522" si="866">IF($BB$8=$H513,$Q513,0)</f>
        <v>0</v>
      </c>
      <c r="BC513" s="476">
        <f t="shared" ref="BC513:BC522" si="867">IF($BB$8=$H513,$R513,0)</f>
        <v>250000</v>
      </c>
      <c r="BD513" s="476">
        <f t="shared" ref="BD513:BD522" si="868">IF($BD$8=$H513,$Q513,0)</f>
        <v>0</v>
      </c>
      <c r="BE513" s="476">
        <f t="shared" ref="BE513:BE522" si="869">IF($BD$8=$H513,$R513,0)</f>
        <v>0</v>
      </c>
      <c r="BF513" s="476">
        <f t="shared" ref="BF513:BF522" si="870">IF($BF$8=$H513,$Q513,0)</f>
        <v>0</v>
      </c>
      <c r="BG513" s="476">
        <f t="shared" ref="BG513:BG522" si="871">IF($BF$8=$H513,$R513,0)</f>
        <v>0</v>
      </c>
    </row>
    <row r="514" spans="1:59" ht="16.5" customHeight="1">
      <c r="A514" s="585" t="s">
        <v>819</v>
      </c>
      <c r="B514" s="585" t="s">
        <v>1148</v>
      </c>
      <c r="C514" s="584" t="s">
        <v>1966</v>
      </c>
      <c r="D514" s="413" t="s">
        <v>508</v>
      </c>
      <c r="E514" s="412" t="s">
        <v>330</v>
      </c>
      <c r="F514" s="413" t="s">
        <v>330</v>
      </c>
      <c r="G514" s="413" t="s">
        <v>330</v>
      </c>
      <c r="H514" s="412" t="s">
        <v>1022</v>
      </c>
      <c r="I514" s="477">
        <v>0</v>
      </c>
      <c r="J514" s="477">
        <v>61500</v>
      </c>
      <c r="K514" s="477"/>
      <c r="L514" s="477"/>
      <c r="M514" s="477">
        <f t="shared" si="735"/>
        <v>0</v>
      </c>
      <c r="N514" s="477">
        <f t="shared" si="736"/>
        <v>61500</v>
      </c>
      <c r="O514" s="477"/>
      <c r="P514" s="477"/>
      <c r="Q514" s="477">
        <f t="shared" si="781"/>
        <v>0</v>
      </c>
      <c r="R514" s="477">
        <f t="shared" si="782"/>
        <v>61500</v>
      </c>
      <c r="S514" s="477">
        <f t="shared" si="783"/>
        <v>-61500</v>
      </c>
      <c r="V514" s="476">
        <f t="shared" si="834"/>
        <v>0</v>
      </c>
      <c r="W514" s="476">
        <f t="shared" si="835"/>
        <v>0</v>
      </c>
      <c r="X514" s="476">
        <f t="shared" si="836"/>
        <v>0</v>
      </c>
      <c r="Y514" s="476">
        <f t="shared" si="837"/>
        <v>0</v>
      </c>
      <c r="Z514" s="476">
        <f t="shared" si="838"/>
        <v>0</v>
      </c>
      <c r="AA514" s="476">
        <f t="shared" si="839"/>
        <v>0</v>
      </c>
      <c r="AB514" s="476">
        <f t="shared" si="840"/>
        <v>0</v>
      </c>
      <c r="AC514" s="476">
        <f t="shared" si="841"/>
        <v>0</v>
      </c>
      <c r="AD514" s="476">
        <f t="shared" si="842"/>
        <v>0</v>
      </c>
      <c r="AE514" s="476">
        <f t="shared" si="843"/>
        <v>0</v>
      </c>
      <c r="AF514" s="476">
        <f t="shared" si="844"/>
        <v>0</v>
      </c>
      <c r="AG514" s="476">
        <f t="shared" si="845"/>
        <v>0</v>
      </c>
      <c r="AH514" s="476">
        <f t="shared" si="846"/>
        <v>0</v>
      </c>
      <c r="AI514" s="476">
        <f t="shared" si="847"/>
        <v>0</v>
      </c>
      <c r="AJ514" s="476">
        <f t="shared" si="848"/>
        <v>0</v>
      </c>
      <c r="AK514" s="476">
        <f t="shared" si="849"/>
        <v>0</v>
      </c>
      <c r="AL514" s="476">
        <f t="shared" si="850"/>
        <v>0</v>
      </c>
      <c r="AM514" s="476">
        <f t="shared" si="851"/>
        <v>0</v>
      </c>
      <c r="AN514" s="476">
        <f t="shared" si="852"/>
        <v>0</v>
      </c>
      <c r="AO514" s="476">
        <f t="shared" si="853"/>
        <v>0</v>
      </c>
      <c r="AP514" s="476">
        <f t="shared" si="854"/>
        <v>0</v>
      </c>
      <c r="AQ514" s="476">
        <f t="shared" si="855"/>
        <v>0</v>
      </c>
      <c r="AR514" s="476">
        <f t="shared" si="856"/>
        <v>0</v>
      </c>
      <c r="AS514" s="476">
        <f t="shared" si="857"/>
        <v>0</v>
      </c>
      <c r="AT514" s="476">
        <f t="shared" si="858"/>
        <v>0</v>
      </c>
      <c r="AU514" s="476">
        <f t="shared" si="859"/>
        <v>0</v>
      </c>
      <c r="AV514" s="476">
        <f t="shared" si="860"/>
        <v>0</v>
      </c>
      <c r="AW514" s="476">
        <f t="shared" si="861"/>
        <v>61500</v>
      </c>
      <c r="AX514" s="476">
        <f t="shared" si="862"/>
        <v>0</v>
      </c>
      <c r="AY514" s="476">
        <f t="shared" si="863"/>
        <v>0</v>
      </c>
      <c r="AZ514" s="476">
        <f t="shared" si="864"/>
        <v>0</v>
      </c>
      <c r="BA514" s="476">
        <f t="shared" si="865"/>
        <v>0</v>
      </c>
      <c r="BB514" s="476">
        <f t="shared" si="866"/>
        <v>0</v>
      </c>
      <c r="BC514" s="476">
        <f t="shared" si="867"/>
        <v>0</v>
      </c>
      <c r="BD514" s="476">
        <f t="shared" si="868"/>
        <v>0</v>
      </c>
      <c r="BE514" s="476">
        <f t="shared" si="869"/>
        <v>0</v>
      </c>
      <c r="BF514" s="476">
        <f t="shared" si="870"/>
        <v>0</v>
      </c>
      <c r="BG514" s="476">
        <f t="shared" si="871"/>
        <v>0</v>
      </c>
    </row>
    <row r="515" spans="1:59" ht="16.5" customHeight="1">
      <c r="A515" s="585" t="s">
        <v>819</v>
      </c>
      <c r="B515" s="585" t="s">
        <v>1148</v>
      </c>
      <c r="C515" s="584" t="s">
        <v>1967</v>
      </c>
      <c r="D515" s="413" t="s">
        <v>508</v>
      </c>
      <c r="E515" s="412" t="s">
        <v>330</v>
      </c>
      <c r="F515" s="413" t="s">
        <v>330</v>
      </c>
      <c r="G515" s="413" t="s">
        <v>330</v>
      </c>
      <c r="H515" s="412" t="s">
        <v>1027</v>
      </c>
      <c r="I515" s="477">
        <v>0</v>
      </c>
      <c r="J515" s="477">
        <v>50000</v>
      </c>
      <c r="K515" s="477"/>
      <c r="L515" s="477"/>
      <c r="M515" s="477">
        <f t="shared" si="735"/>
        <v>0</v>
      </c>
      <c r="N515" s="477">
        <f t="shared" si="736"/>
        <v>50000</v>
      </c>
      <c r="O515" s="477"/>
      <c r="P515" s="477"/>
      <c r="Q515" s="477">
        <f t="shared" si="781"/>
        <v>0</v>
      </c>
      <c r="R515" s="477">
        <f t="shared" si="782"/>
        <v>50000</v>
      </c>
      <c r="S515" s="477">
        <f t="shared" si="783"/>
        <v>-50000</v>
      </c>
      <c r="V515" s="476">
        <f t="shared" si="834"/>
        <v>0</v>
      </c>
      <c r="W515" s="476">
        <f t="shared" si="835"/>
        <v>0</v>
      </c>
      <c r="X515" s="476">
        <f t="shared" si="836"/>
        <v>0</v>
      </c>
      <c r="Y515" s="476">
        <f t="shared" si="837"/>
        <v>0</v>
      </c>
      <c r="Z515" s="476">
        <f t="shared" si="838"/>
        <v>0</v>
      </c>
      <c r="AA515" s="476">
        <f t="shared" si="839"/>
        <v>0</v>
      </c>
      <c r="AB515" s="476">
        <f t="shared" si="840"/>
        <v>0</v>
      </c>
      <c r="AC515" s="476">
        <f t="shared" si="841"/>
        <v>0</v>
      </c>
      <c r="AD515" s="476">
        <f t="shared" si="842"/>
        <v>0</v>
      </c>
      <c r="AE515" s="476">
        <f t="shared" si="843"/>
        <v>0</v>
      </c>
      <c r="AF515" s="476">
        <f t="shared" si="844"/>
        <v>0</v>
      </c>
      <c r="AG515" s="476">
        <f t="shared" si="845"/>
        <v>0</v>
      </c>
      <c r="AH515" s="476">
        <f t="shared" si="846"/>
        <v>0</v>
      </c>
      <c r="AI515" s="476">
        <f t="shared" si="847"/>
        <v>0</v>
      </c>
      <c r="AJ515" s="476">
        <f t="shared" si="848"/>
        <v>0</v>
      </c>
      <c r="AK515" s="476">
        <f t="shared" si="849"/>
        <v>0</v>
      </c>
      <c r="AL515" s="476">
        <f t="shared" si="850"/>
        <v>0</v>
      </c>
      <c r="AM515" s="476">
        <f t="shared" si="851"/>
        <v>0</v>
      </c>
      <c r="AN515" s="476">
        <f t="shared" si="852"/>
        <v>0</v>
      </c>
      <c r="AO515" s="476">
        <f t="shared" si="853"/>
        <v>0</v>
      </c>
      <c r="AP515" s="476">
        <f t="shared" si="854"/>
        <v>0</v>
      </c>
      <c r="AQ515" s="476">
        <f t="shared" si="855"/>
        <v>0</v>
      </c>
      <c r="AR515" s="476">
        <f t="shared" si="856"/>
        <v>0</v>
      </c>
      <c r="AS515" s="476">
        <f t="shared" si="857"/>
        <v>50000</v>
      </c>
      <c r="AT515" s="476">
        <f t="shared" si="858"/>
        <v>0</v>
      </c>
      <c r="AU515" s="476">
        <f t="shared" si="859"/>
        <v>0</v>
      </c>
      <c r="AV515" s="476">
        <f t="shared" si="860"/>
        <v>0</v>
      </c>
      <c r="AW515" s="476">
        <f t="shared" si="861"/>
        <v>0</v>
      </c>
      <c r="AX515" s="476">
        <f t="shared" si="862"/>
        <v>0</v>
      </c>
      <c r="AY515" s="476">
        <f t="shared" si="863"/>
        <v>0</v>
      </c>
      <c r="AZ515" s="476">
        <f t="shared" si="864"/>
        <v>0</v>
      </c>
      <c r="BA515" s="476">
        <f t="shared" si="865"/>
        <v>0</v>
      </c>
      <c r="BB515" s="476">
        <f t="shared" si="866"/>
        <v>0</v>
      </c>
      <c r="BC515" s="476">
        <f t="shared" si="867"/>
        <v>0</v>
      </c>
      <c r="BD515" s="476">
        <f t="shared" si="868"/>
        <v>0</v>
      </c>
      <c r="BE515" s="476">
        <f t="shared" si="869"/>
        <v>0</v>
      </c>
      <c r="BF515" s="476">
        <f t="shared" si="870"/>
        <v>0</v>
      </c>
      <c r="BG515" s="476">
        <f t="shared" si="871"/>
        <v>0</v>
      </c>
    </row>
    <row r="516" spans="1:59" ht="16.5" customHeight="1">
      <c r="A516" s="585" t="s">
        <v>1105</v>
      </c>
      <c r="B516" s="585" t="s">
        <v>1106</v>
      </c>
      <c r="C516" s="584" t="s">
        <v>1968</v>
      </c>
      <c r="D516" s="413" t="s">
        <v>508</v>
      </c>
      <c r="E516" s="412" t="s">
        <v>330</v>
      </c>
      <c r="F516" s="412" t="s">
        <v>330</v>
      </c>
      <c r="G516" s="412" t="s">
        <v>330</v>
      </c>
      <c r="H516" s="412" t="s">
        <v>992</v>
      </c>
      <c r="I516" s="477">
        <v>16420</v>
      </c>
      <c r="J516" s="477">
        <v>16420</v>
      </c>
      <c r="K516" s="477"/>
      <c r="L516" s="477"/>
      <c r="M516" s="477">
        <f t="shared" si="735"/>
        <v>16420</v>
      </c>
      <c r="N516" s="477">
        <f t="shared" si="736"/>
        <v>16420</v>
      </c>
      <c r="O516" s="477"/>
      <c r="P516" s="477"/>
      <c r="Q516" s="477">
        <f t="shared" si="781"/>
        <v>16420</v>
      </c>
      <c r="R516" s="477">
        <f t="shared" si="782"/>
        <v>16420</v>
      </c>
      <c r="S516" s="477">
        <f t="shared" si="783"/>
        <v>0</v>
      </c>
      <c r="V516" s="476">
        <f t="shared" si="834"/>
        <v>0</v>
      </c>
      <c r="W516" s="476">
        <f t="shared" si="835"/>
        <v>0</v>
      </c>
      <c r="X516" s="476">
        <f t="shared" si="836"/>
        <v>0</v>
      </c>
      <c r="Y516" s="476">
        <f t="shared" si="837"/>
        <v>0</v>
      </c>
      <c r="Z516" s="476">
        <f t="shared" si="838"/>
        <v>0</v>
      </c>
      <c r="AA516" s="476">
        <f t="shared" si="839"/>
        <v>0</v>
      </c>
      <c r="AB516" s="476">
        <f t="shared" si="840"/>
        <v>0</v>
      </c>
      <c r="AC516" s="476">
        <f t="shared" si="841"/>
        <v>0</v>
      </c>
      <c r="AD516" s="476">
        <f t="shared" si="842"/>
        <v>0</v>
      </c>
      <c r="AE516" s="476">
        <f t="shared" si="843"/>
        <v>0</v>
      </c>
      <c r="AF516" s="476">
        <f t="shared" si="844"/>
        <v>0</v>
      </c>
      <c r="AG516" s="476">
        <f t="shared" si="845"/>
        <v>0</v>
      </c>
      <c r="AH516" s="476">
        <f t="shared" si="846"/>
        <v>0</v>
      </c>
      <c r="AI516" s="476">
        <f t="shared" si="847"/>
        <v>0</v>
      </c>
      <c r="AJ516" s="476">
        <f t="shared" si="848"/>
        <v>0</v>
      </c>
      <c r="AK516" s="476">
        <f t="shared" si="849"/>
        <v>0</v>
      </c>
      <c r="AL516" s="476">
        <f t="shared" si="850"/>
        <v>0</v>
      </c>
      <c r="AM516" s="476">
        <f t="shared" si="851"/>
        <v>0</v>
      </c>
      <c r="AN516" s="476">
        <f t="shared" si="852"/>
        <v>16420</v>
      </c>
      <c r="AO516" s="476">
        <f t="shared" si="853"/>
        <v>16420</v>
      </c>
      <c r="AP516" s="476">
        <f t="shared" si="854"/>
        <v>0</v>
      </c>
      <c r="AQ516" s="476">
        <f t="shared" si="855"/>
        <v>0</v>
      </c>
      <c r="AR516" s="476">
        <f t="shared" si="856"/>
        <v>0</v>
      </c>
      <c r="AS516" s="476">
        <f t="shared" si="857"/>
        <v>0</v>
      </c>
      <c r="AT516" s="476">
        <f t="shared" si="858"/>
        <v>0</v>
      </c>
      <c r="AU516" s="476">
        <f t="shared" si="859"/>
        <v>0</v>
      </c>
      <c r="AV516" s="476">
        <f t="shared" si="860"/>
        <v>0</v>
      </c>
      <c r="AW516" s="476">
        <f t="shared" si="861"/>
        <v>0</v>
      </c>
      <c r="AX516" s="476">
        <f t="shared" si="862"/>
        <v>0</v>
      </c>
      <c r="AY516" s="476">
        <f t="shared" si="863"/>
        <v>0</v>
      </c>
      <c r="AZ516" s="476">
        <f t="shared" si="864"/>
        <v>0</v>
      </c>
      <c r="BA516" s="476">
        <f t="shared" si="865"/>
        <v>0</v>
      </c>
      <c r="BB516" s="476">
        <f t="shared" si="866"/>
        <v>0</v>
      </c>
      <c r="BC516" s="476">
        <f t="shared" si="867"/>
        <v>0</v>
      </c>
      <c r="BD516" s="476">
        <f t="shared" si="868"/>
        <v>0</v>
      </c>
      <c r="BE516" s="476">
        <f t="shared" si="869"/>
        <v>0</v>
      </c>
      <c r="BF516" s="476">
        <f t="shared" si="870"/>
        <v>0</v>
      </c>
      <c r="BG516" s="476">
        <f t="shared" si="871"/>
        <v>0</v>
      </c>
    </row>
    <row r="517" spans="1:59" ht="16.5" customHeight="1">
      <c r="A517" s="585" t="s">
        <v>1109</v>
      </c>
      <c r="B517" s="585" t="s">
        <v>1110</v>
      </c>
      <c r="C517" s="584" t="s">
        <v>1969</v>
      </c>
      <c r="D517" s="413" t="s">
        <v>508</v>
      </c>
      <c r="E517" s="412" t="s">
        <v>330</v>
      </c>
      <c r="F517" s="412" t="s">
        <v>330</v>
      </c>
      <c r="G517" s="412" t="s">
        <v>330</v>
      </c>
      <c r="H517" s="412" t="s">
        <v>1055</v>
      </c>
      <c r="I517" s="477">
        <v>16420</v>
      </c>
      <c r="J517" s="477">
        <v>16420</v>
      </c>
      <c r="K517" s="477"/>
      <c r="L517" s="477"/>
      <c r="M517" s="477">
        <f t="shared" si="735"/>
        <v>16420</v>
      </c>
      <c r="N517" s="477">
        <f t="shared" si="736"/>
        <v>16420</v>
      </c>
      <c r="O517" s="477"/>
      <c r="P517" s="477"/>
      <c r="Q517" s="477">
        <f t="shared" si="781"/>
        <v>16420</v>
      </c>
      <c r="R517" s="477">
        <f t="shared" si="782"/>
        <v>16420</v>
      </c>
      <c r="S517" s="477">
        <f t="shared" si="783"/>
        <v>0</v>
      </c>
      <c r="V517" s="476">
        <f t="shared" si="834"/>
        <v>0</v>
      </c>
      <c r="W517" s="476">
        <f t="shared" si="835"/>
        <v>0</v>
      </c>
      <c r="X517" s="476">
        <f t="shared" si="836"/>
        <v>0</v>
      </c>
      <c r="Y517" s="476">
        <f t="shared" si="837"/>
        <v>0</v>
      </c>
      <c r="Z517" s="476">
        <f t="shared" si="838"/>
        <v>0</v>
      </c>
      <c r="AA517" s="476">
        <f t="shared" si="839"/>
        <v>0</v>
      </c>
      <c r="AB517" s="476">
        <f t="shared" si="840"/>
        <v>0</v>
      </c>
      <c r="AC517" s="476">
        <f t="shared" si="841"/>
        <v>0</v>
      </c>
      <c r="AD517" s="476">
        <f t="shared" si="842"/>
        <v>0</v>
      </c>
      <c r="AE517" s="476">
        <f t="shared" si="843"/>
        <v>0</v>
      </c>
      <c r="AF517" s="476">
        <f t="shared" si="844"/>
        <v>0</v>
      </c>
      <c r="AG517" s="476">
        <f t="shared" si="845"/>
        <v>0</v>
      </c>
      <c r="AH517" s="476">
        <f t="shared" si="846"/>
        <v>0</v>
      </c>
      <c r="AI517" s="476">
        <f t="shared" si="847"/>
        <v>0</v>
      </c>
      <c r="AJ517" s="476">
        <f t="shared" si="848"/>
        <v>0</v>
      </c>
      <c r="AK517" s="476">
        <f t="shared" si="849"/>
        <v>0</v>
      </c>
      <c r="AL517" s="476">
        <f t="shared" si="850"/>
        <v>0</v>
      </c>
      <c r="AM517" s="476">
        <f t="shared" si="851"/>
        <v>0</v>
      </c>
      <c r="AN517" s="476">
        <f t="shared" si="852"/>
        <v>0</v>
      </c>
      <c r="AO517" s="476">
        <f t="shared" si="853"/>
        <v>0</v>
      </c>
      <c r="AP517" s="476">
        <f t="shared" si="854"/>
        <v>0</v>
      </c>
      <c r="AQ517" s="476">
        <f t="shared" si="855"/>
        <v>0</v>
      </c>
      <c r="AR517" s="476">
        <f t="shared" si="856"/>
        <v>0</v>
      </c>
      <c r="AS517" s="476">
        <f t="shared" si="857"/>
        <v>0</v>
      </c>
      <c r="AT517" s="476">
        <f t="shared" si="858"/>
        <v>0</v>
      </c>
      <c r="AU517" s="476">
        <f t="shared" si="859"/>
        <v>0</v>
      </c>
      <c r="AV517" s="476">
        <f t="shared" si="860"/>
        <v>0</v>
      </c>
      <c r="AW517" s="476">
        <f t="shared" si="861"/>
        <v>0</v>
      </c>
      <c r="AX517" s="476">
        <f t="shared" si="862"/>
        <v>0</v>
      </c>
      <c r="AY517" s="476">
        <f t="shared" si="863"/>
        <v>0</v>
      </c>
      <c r="AZ517" s="476">
        <f t="shared" si="864"/>
        <v>0</v>
      </c>
      <c r="BA517" s="476">
        <f t="shared" si="865"/>
        <v>0</v>
      </c>
      <c r="BB517" s="476">
        <f t="shared" si="866"/>
        <v>16420</v>
      </c>
      <c r="BC517" s="476">
        <f t="shared" si="867"/>
        <v>16420</v>
      </c>
      <c r="BD517" s="476">
        <f t="shared" si="868"/>
        <v>0</v>
      </c>
      <c r="BE517" s="476">
        <f t="shared" si="869"/>
        <v>0</v>
      </c>
      <c r="BF517" s="476">
        <f t="shared" si="870"/>
        <v>0</v>
      </c>
      <c r="BG517" s="476">
        <f t="shared" si="871"/>
        <v>0</v>
      </c>
    </row>
    <row r="518" spans="1:59" ht="16.5" customHeight="1">
      <c r="A518" s="585" t="s">
        <v>1248</v>
      </c>
      <c r="B518" s="585" t="s">
        <v>1260</v>
      </c>
      <c r="C518" s="584" t="s">
        <v>1970</v>
      </c>
      <c r="D518" s="413" t="s">
        <v>508</v>
      </c>
      <c r="E518" s="412" t="s">
        <v>330</v>
      </c>
      <c r="F518" s="413" t="s">
        <v>330</v>
      </c>
      <c r="G518" s="413" t="s">
        <v>330</v>
      </c>
      <c r="H518" s="412" t="s">
        <v>974</v>
      </c>
      <c r="I518" s="477">
        <v>2994134.21</v>
      </c>
      <c r="J518" s="477">
        <v>4599022.7</v>
      </c>
      <c r="K518" s="477">
        <v>495194</v>
      </c>
      <c r="L518" s="477">
        <v>554974</v>
      </c>
      <c r="M518" s="477">
        <f t="shared" si="735"/>
        <v>3489328.21</v>
      </c>
      <c r="N518" s="477">
        <f t="shared" si="736"/>
        <v>5153996.7</v>
      </c>
      <c r="O518" s="477"/>
      <c r="P518" s="477"/>
      <c r="Q518" s="477">
        <f t="shared" si="781"/>
        <v>3489328.21</v>
      </c>
      <c r="R518" s="477">
        <f t="shared" si="782"/>
        <v>5153996.7</v>
      </c>
      <c r="S518" s="477">
        <f t="shared" si="783"/>
        <v>-1664668.4900000002</v>
      </c>
      <c r="V518" s="476">
        <f t="shared" si="834"/>
        <v>3489328.21</v>
      </c>
      <c r="W518" s="476">
        <f t="shared" si="835"/>
        <v>5153996.7</v>
      </c>
      <c r="X518" s="476">
        <f t="shared" si="836"/>
        <v>0</v>
      </c>
      <c r="Y518" s="476">
        <f t="shared" si="837"/>
        <v>0</v>
      </c>
      <c r="Z518" s="476">
        <f t="shared" si="838"/>
        <v>0</v>
      </c>
      <c r="AA518" s="476">
        <f t="shared" si="839"/>
        <v>0</v>
      </c>
      <c r="AB518" s="476">
        <f t="shared" si="840"/>
        <v>0</v>
      </c>
      <c r="AC518" s="476">
        <f t="shared" si="841"/>
        <v>0</v>
      </c>
      <c r="AD518" s="476">
        <f t="shared" si="842"/>
        <v>0</v>
      </c>
      <c r="AE518" s="476">
        <f t="shared" si="843"/>
        <v>0</v>
      </c>
      <c r="AF518" s="476">
        <f t="shared" si="844"/>
        <v>0</v>
      </c>
      <c r="AG518" s="476">
        <f t="shared" si="845"/>
        <v>0</v>
      </c>
      <c r="AH518" s="476">
        <f t="shared" si="846"/>
        <v>0</v>
      </c>
      <c r="AI518" s="476">
        <f t="shared" si="847"/>
        <v>0</v>
      </c>
      <c r="AJ518" s="476">
        <f t="shared" si="848"/>
        <v>0</v>
      </c>
      <c r="AK518" s="476">
        <f t="shared" si="849"/>
        <v>0</v>
      </c>
      <c r="AL518" s="476">
        <f t="shared" si="850"/>
        <v>0</v>
      </c>
      <c r="AM518" s="476">
        <f t="shared" si="851"/>
        <v>0</v>
      </c>
      <c r="AN518" s="476">
        <f t="shared" si="852"/>
        <v>0</v>
      </c>
      <c r="AO518" s="476">
        <f t="shared" si="853"/>
        <v>0</v>
      </c>
      <c r="AP518" s="476">
        <f t="shared" si="854"/>
        <v>0</v>
      </c>
      <c r="AQ518" s="476">
        <f t="shared" si="855"/>
        <v>0</v>
      </c>
      <c r="AR518" s="476">
        <f t="shared" si="856"/>
        <v>0</v>
      </c>
      <c r="AS518" s="476">
        <f t="shared" si="857"/>
        <v>0</v>
      </c>
      <c r="AT518" s="476">
        <f t="shared" si="858"/>
        <v>0</v>
      </c>
      <c r="AU518" s="476">
        <f t="shared" si="859"/>
        <v>0</v>
      </c>
      <c r="AV518" s="476">
        <f t="shared" si="860"/>
        <v>0</v>
      </c>
      <c r="AW518" s="476">
        <f t="shared" si="861"/>
        <v>0</v>
      </c>
      <c r="AX518" s="476">
        <f t="shared" si="862"/>
        <v>0</v>
      </c>
      <c r="AY518" s="476">
        <f t="shared" si="863"/>
        <v>0</v>
      </c>
      <c r="AZ518" s="476">
        <f t="shared" si="864"/>
        <v>0</v>
      </c>
      <c r="BA518" s="476">
        <f t="shared" si="865"/>
        <v>0</v>
      </c>
      <c r="BB518" s="476">
        <f t="shared" si="866"/>
        <v>0</v>
      </c>
      <c r="BC518" s="476">
        <f t="shared" si="867"/>
        <v>0</v>
      </c>
      <c r="BD518" s="476">
        <f t="shared" si="868"/>
        <v>0</v>
      </c>
      <c r="BE518" s="476">
        <f t="shared" si="869"/>
        <v>0</v>
      </c>
      <c r="BF518" s="476">
        <f t="shared" si="870"/>
        <v>0</v>
      </c>
      <c r="BG518" s="476">
        <f t="shared" si="871"/>
        <v>0</v>
      </c>
    </row>
    <row r="519" spans="1:59" ht="16.5" customHeight="1">
      <c r="A519" s="585" t="s">
        <v>1248</v>
      </c>
      <c r="B519" s="585" t="s">
        <v>1260</v>
      </c>
      <c r="C519" s="584" t="s">
        <v>1971</v>
      </c>
      <c r="D519" s="413" t="s">
        <v>508</v>
      </c>
      <c r="E519" s="412" t="s">
        <v>330</v>
      </c>
      <c r="F519" s="413" t="s">
        <v>330</v>
      </c>
      <c r="G519" s="413" t="s">
        <v>330</v>
      </c>
      <c r="H519" s="412" t="s">
        <v>1275</v>
      </c>
      <c r="I519" s="477">
        <v>931598.94</v>
      </c>
      <c r="J519" s="477">
        <v>4608.34</v>
      </c>
      <c r="K519" s="477">
        <v>66603.5</v>
      </c>
      <c r="L519" s="477">
        <v>0</v>
      </c>
      <c r="M519" s="477">
        <f t="shared" si="735"/>
        <v>998202.44</v>
      </c>
      <c r="N519" s="477">
        <f t="shared" si="736"/>
        <v>4608.34</v>
      </c>
      <c r="O519" s="477"/>
      <c r="P519" s="477"/>
      <c r="Q519" s="477">
        <f t="shared" si="781"/>
        <v>998202.44</v>
      </c>
      <c r="R519" s="477">
        <f t="shared" si="782"/>
        <v>4608.34</v>
      </c>
      <c r="S519" s="477">
        <f t="shared" si="783"/>
        <v>993594.1</v>
      </c>
      <c r="V519" s="476">
        <f t="shared" si="834"/>
        <v>0</v>
      </c>
      <c r="W519" s="476">
        <f t="shared" si="835"/>
        <v>0</v>
      </c>
      <c r="X519" s="476">
        <f t="shared" si="836"/>
        <v>0</v>
      </c>
      <c r="Y519" s="476">
        <f t="shared" si="837"/>
        <v>0</v>
      </c>
      <c r="Z519" s="476">
        <f t="shared" si="838"/>
        <v>0</v>
      </c>
      <c r="AA519" s="476">
        <f t="shared" si="839"/>
        <v>0</v>
      </c>
      <c r="AB519" s="476">
        <f t="shared" si="840"/>
        <v>0</v>
      </c>
      <c r="AC519" s="476">
        <f t="shared" si="841"/>
        <v>0</v>
      </c>
      <c r="AD519" s="476">
        <f t="shared" si="842"/>
        <v>0</v>
      </c>
      <c r="AE519" s="476">
        <f t="shared" si="843"/>
        <v>0</v>
      </c>
      <c r="AF519" s="476">
        <f t="shared" si="844"/>
        <v>0</v>
      </c>
      <c r="AG519" s="476">
        <f t="shared" si="845"/>
        <v>0</v>
      </c>
      <c r="AH519" s="476">
        <f t="shared" si="846"/>
        <v>0</v>
      </c>
      <c r="AI519" s="476">
        <f t="shared" si="847"/>
        <v>0</v>
      </c>
      <c r="AJ519" s="476">
        <f t="shared" si="848"/>
        <v>0</v>
      </c>
      <c r="AK519" s="476">
        <f t="shared" si="849"/>
        <v>0</v>
      </c>
      <c r="AL519" s="476">
        <f t="shared" si="850"/>
        <v>0</v>
      </c>
      <c r="AM519" s="476">
        <f t="shared" si="851"/>
        <v>0</v>
      </c>
      <c r="AN519" s="476">
        <f t="shared" si="852"/>
        <v>0</v>
      </c>
      <c r="AO519" s="476">
        <f t="shared" si="853"/>
        <v>0</v>
      </c>
      <c r="AP519" s="476">
        <f t="shared" si="854"/>
        <v>0</v>
      </c>
      <c r="AQ519" s="476">
        <f t="shared" si="855"/>
        <v>0</v>
      </c>
      <c r="AR519" s="476">
        <f t="shared" si="856"/>
        <v>0</v>
      </c>
      <c r="AS519" s="476">
        <f t="shared" si="857"/>
        <v>0</v>
      </c>
      <c r="AT519" s="476">
        <f t="shared" si="858"/>
        <v>0</v>
      </c>
      <c r="AU519" s="476">
        <f t="shared" si="859"/>
        <v>0</v>
      </c>
      <c r="AV519" s="476">
        <f t="shared" si="860"/>
        <v>0</v>
      </c>
      <c r="AW519" s="476">
        <f t="shared" si="861"/>
        <v>0</v>
      </c>
      <c r="AX519" s="476">
        <f t="shared" si="862"/>
        <v>0</v>
      </c>
      <c r="AY519" s="476">
        <f t="shared" si="863"/>
        <v>0</v>
      </c>
      <c r="AZ519" s="476">
        <f t="shared" si="864"/>
        <v>0</v>
      </c>
      <c r="BA519" s="476">
        <f t="shared" si="865"/>
        <v>0</v>
      </c>
      <c r="BB519" s="476">
        <f t="shared" si="866"/>
        <v>0</v>
      </c>
      <c r="BC519" s="476">
        <f t="shared" si="867"/>
        <v>0</v>
      </c>
      <c r="BD519" s="476">
        <f t="shared" si="868"/>
        <v>0</v>
      </c>
      <c r="BE519" s="476">
        <f t="shared" si="869"/>
        <v>0</v>
      </c>
      <c r="BF519" s="476">
        <f t="shared" si="870"/>
        <v>0</v>
      </c>
      <c r="BG519" s="476">
        <f t="shared" si="871"/>
        <v>0</v>
      </c>
    </row>
    <row r="520" spans="1:59" ht="16.5" customHeight="1">
      <c r="A520" s="585" t="s">
        <v>1330</v>
      </c>
      <c r="B520" s="585" t="s">
        <v>1331</v>
      </c>
      <c r="C520" s="584" t="s">
        <v>1972</v>
      </c>
      <c r="D520" s="413" t="s">
        <v>508</v>
      </c>
      <c r="E520" s="412" t="s">
        <v>330</v>
      </c>
      <c r="F520" s="412" t="s">
        <v>330</v>
      </c>
      <c r="G520" s="412" t="s">
        <v>330</v>
      </c>
      <c r="H520" s="412" t="s">
        <v>974</v>
      </c>
      <c r="I520" s="477">
        <v>0</v>
      </c>
      <c r="J520" s="477">
        <v>0</v>
      </c>
      <c r="K520" s="477">
        <v>765582</v>
      </c>
      <c r="L520" s="477">
        <v>779095</v>
      </c>
      <c r="M520" s="477">
        <f t="shared" si="735"/>
        <v>765582</v>
      </c>
      <c r="N520" s="477">
        <f t="shared" si="736"/>
        <v>779095</v>
      </c>
      <c r="O520" s="477"/>
      <c r="P520" s="477"/>
      <c r="Q520" s="477">
        <f t="shared" si="781"/>
        <v>765582</v>
      </c>
      <c r="R520" s="477">
        <f t="shared" si="782"/>
        <v>779095</v>
      </c>
      <c r="S520" s="477">
        <f t="shared" si="783"/>
        <v>-13513</v>
      </c>
      <c r="V520" s="476">
        <f t="shared" si="834"/>
        <v>765582</v>
      </c>
      <c r="W520" s="476">
        <f t="shared" si="835"/>
        <v>779095</v>
      </c>
      <c r="X520" s="476">
        <f t="shared" si="836"/>
        <v>0</v>
      </c>
      <c r="Y520" s="476">
        <f t="shared" si="837"/>
        <v>0</v>
      </c>
      <c r="Z520" s="476">
        <f t="shared" si="838"/>
        <v>0</v>
      </c>
      <c r="AA520" s="476">
        <f t="shared" si="839"/>
        <v>0</v>
      </c>
      <c r="AB520" s="476">
        <f t="shared" si="840"/>
        <v>0</v>
      </c>
      <c r="AC520" s="476">
        <f t="shared" si="841"/>
        <v>0</v>
      </c>
      <c r="AD520" s="476">
        <f t="shared" si="842"/>
        <v>0</v>
      </c>
      <c r="AE520" s="476">
        <f t="shared" si="843"/>
        <v>0</v>
      </c>
      <c r="AF520" s="476">
        <f t="shared" si="844"/>
        <v>0</v>
      </c>
      <c r="AG520" s="476">
        <f t="shared" si="845"/>
        <v>0</v>
      </c>
      <c r="AH520" s="476">
        <f t="shared" si="846"/>
        <v>0</v>
      </c>
      <c r="AI520" s="476">
        <f t="shared" si="847"/>
        <v>0</v>
      </c>
      <c r="AJ520" s="476">
        <f t="shared" si="848"/>
        <v>0</v>
      </c>
      <c r="AK520" s="476">
        <f t="shared" si="849"/>
        <v>0</v>
      </c>
      <c r="AL520" s="476">
        <f t="shared" si="850"/>
        <v>0</v>
      </c>
      <c r="AM520" s="476">
        <f t="shared" si="851"/>
        <v>0</v>
      </c>
      <c r="AN520" s="476">
        <f t="shared" si="852"/>
        <v>0</v>
      </c>
      <c r="AO520" s="476">
        <f t="shared" si="853"/>
        <v>0</v>
      </c>
      <c r="AP520" s="476">
        <f t="shared" si="854"/>
        <v>0</v>
      </c>
      <c r="AQ520" s="476">
        <f t="shared" si="855"/>
        <v>0</v>
      </c>
      <c r="AR520" s="476">
        <f t="shared" si="856"/>
        <v>0</v>
      </c>
      <c r="AS520" s="476">
        <f t="shared" si="857"/>
        <v>0</v>
      </c>
      <c r="AT520" s="476">
        <f t="shared" si="858"/>
        <v>0</v>
      </c>
      <c r="AU520" s="476">
        <f t="shared" si="859"/>
        <v>0</v>
      </c>
      <c r="AV520" s="476">
        <f t="shared" si="860"/>
        <v>0</v>
      </c>
      <c r="AW520" s="476">
        <f t="shared" si="861"/>
        <v>0</v>
      </c>
      <c r="AX520" s="476">
        <f t="shared" si="862"/>
        <v>0</v>
      </c>
      <c r="AY520" s="476">
        <f t="shared" si="863"/>
        <v>0</v>
      </c>
      <c r="AZ520" s="476">
        <f t="shared" si="864"/>
        <v>0</v>
      </c>
      <c r="BA520" s="476">
        <f t="shared" si="865"/>
        <v>0</v>
      </c>
      <c r="BB520" s="476">
        <f t="shared" si="866"/>
        <v>0</v>
      </c>
      <c r="BC520" s="476">
        <f t="shared" si="867"/>
        <v>0</v>
      </c>
      <c r="BD520" s="476">
        <f t="shared" si="868"/>
        <v>0</v>
      </c>
      <c r="BE520" s="476">
        <f t="shared" si="869"/>
        <v>0</v>
      </c>
      <c r="BF520" s="476">
        <f t="shared" si="870"/>
        <v>0</v>
      </c>
      <c r="BG520" s="476">
        <f t="shared" si="871"/>
        <v>0</v>
      </c>
    </row>
    <row r="521" spans="1:59" ht="16.5" customHeight="1">
      <c r="A521" s="585" t="s">
        <v>1330</v>
      </c>
      <c r="B521" s="585" t="s">
        <v>1331</v>
      </c>
      <c r="C521" s="584" t="s">
        <v>1973</v>
      </c>
      <c r="D521" s="413" t="s">
        <v>508</v>
      </c>
      <c r="E521" s="412" t="s">
        <v>330</v>
      </c>
      <c r="F521" s="412" t="s">
        <v>330</v>
      </c>
      <c r="G521" s="412" t="s">
        <v>330</v>
      </c>
      <c r="H521" s="412" t="s">
        <v>1723</v>
      </c>
      <c r="I521" s="477">
        <v>60520.6</v>
      </c>
      <c r="J521" s="477">
        <v>68057.59</v>
      </c>
      <c r="K521" s="477">
        <v>802885.1</v>
      </c>
      <c r="L521" s="477">
        <v>519984.2</v>
      </c>
      <c r="M521" s="477">
        <f t="shared" si="735"/>
        <v>863405.7</v>
      </c>
      <c r="N521" s="477">
        <f t="shared" si="736"/>
        <v>588041.79</v>
      </c>
      <c r="O521" s="477"/>
      <c r="P521" s="477"/>
      <c r="Q521" s="477">
        <f t="shared" si="781"/>
        <v>863405.7</v>
      </c>
      <c r="R521" s="477">
        <f t="shared" si="782"/>
        <v>588041.79</v>
      </c>
      <c r="S521" s="477">
        <f t="shared" si="783"/>
        <v>275363.90999999992</v>
      </c>
      <c r="V521" s="476">
        <f t="shared" si="834"/>
        <v>0</v>
      </c>
      <c r="W521" s="476">
        <f t="shared" si="835"/>
        <v>0</v>
      </c>
      <c r="X521" s="476">
        <f t="shared" si="836"/>
        <v>0</v>
      </c>
      <c r="Y521" s="476">
        <f t="shared" si="837"/>
        <v>0</v>
      </c>
      <c r="Z521" s="476">
        <f t="shared" si="838"/>
        <v>0</v>
      </c>
      <c r="AA521" s="476">
        <f t="shared" si="839"/>
        <v>0</v>
      </c>
      <c r="AB521" s="476">
        <f t="shared" si="840"/>
        <v>0</v>
      </c>
      <c r="AC521" s="476">
        <f t="shared" si="841"/>
        <v>0</v>
      </c>
      <c r="AD521" s="476">
        <f t="shared" si="842"/>
        <v>0</v>
      </c>
      <c r="AE521" s="476">
        <f t="shared" si="843"/>
        <v>0</v>
      </c>
      <c r="AF521" s="476">
        <f t="shared" si="844"/>
        <v>0</v>
      </c>
      <c r="AG521" s="476">
        <f t="shared" si="845"/>
        <v>0</v>
      </c>
      <c r="AH521" s="476">
        <f t="shared" si="846"/>
        <v>0</v>
      </c>
      <c r="AI521" s="476">
        <f t="shared" si="847"/>
        <v>0</v>
      </c>
      <c r="AJ521" s="476">
        <f t="shared" si="848"/>
        <v>0</v>
      </c>
      <c r="AK521" s="476">
        <f t="shared" si="849"/>
        <v>0</v>
      </c>
      <c r="AL521" s="476">
        <f t="shared" si="850"/>
        <v>0</v>
      </c>
      <c r="AM521" s="476">
        <f t="shared" si="851"/>
        <v>0</v>
      </c>
      <c r="AN521" s="476">
        <f t="shared" si="852"/>
        <v>0</v>
      </c>
      <c r="AO521" s="476">
        <f t="shared" si="853"/>
        <v>0</v>
      </c>
      <c r="AP521" s="476">
        <f t="shared" si="854"/>
        <v>0</v>
      </c>
      <c r="AQ521" s="476">
        <f t="shared" si="855"/>
        <v>0</v>
      </c>
      <c r="AR521" s="476">
        <f t="shared" si="856"/>
        <v>0</v>
      </c>
      <c r="AS521" s="476">
        <f t="shared" si="857"/>
        <v>0</v>
      </c>
      <c r="AT521" s="476">
        <f t="shared" si="858"/>
        <v>0</v>
      </c>
      <c r="AU521" s="476">
        <f t="shared" si="859"/>
        <v>0</v>
      </c>
      <c r="AV521" s="476">
        <f t="shared" si="860"/>
        <v>0</v>
      </c>
      <c r="AW521" s="476">
        <f t="shared" si="861"/>
        <v>0</v>
      </c>
      <c r="AX521" s="476">
        <f t="shared" si="862"/>
        <v>0</v>
      </c>
      <c r="AY521" s="476">
        <f t="shared" si="863"/>
        <v>0</v>
      </c>
      <c r="AZ521" s="476">
        <f t="shared" si="864"/>
        <v>0</v>
      </c>
      <c r="BA521" s="476">
        <f t="shared" si="865"/>
        <v>0</v>
      </c>
      <c r="BB521" s="476">
        <f t="shared" si="866"/>
        <v>0</v>
      </c>
      <c r="BC521" s="476">
        <f t="shared" si="867"/>
        <v>0</v>
      </c>
      <c r="BD521" s="476">
        <f t="shared" si="868"/>
        <v>0</v>
      </c>
      <c r="BE521" s="476">
        <f t="shared" si="869"/>
        <v>0</v>
      </c>
      <c r="BF521" s="476">
        <f t="shared" si="870"/>
        <v>0</v>
      </c>
      <c r="BG521" s="476">
        <f t="shared" si="871"/>
        <v>0</v>
      </c>
    </row>
    <row r="522" spans="1:59" ht="16.5" customHeight="1">
      <c r="A522" s="585" t="s">
        <v>811</v>
      </c>
      <c r="B522" s="585" t="s">
        <v>1006</v>
      </c>
      <c r="C522" s="584" t="s">
        <v>1974</v>
      </c>
      <c r="D522" s="413" t="s">
        <v>508</v>
      </c>
      <c r="E522" s="412" t="s">
        <v>330</v>
      </c>
      <c r="F522" s="412" t="s">
        <v>330</v>
      </c>
      <c r="G522" s="412" t="s">
        <v>330</v>
      </c>
      <c r="H522" s="412" t="s">
        <v>1723</v>
      </c>
      <c r="I522" s="477">
        <v>0</v>
      </c>
      <c r="J522" s="477">
        <v>0</v>
      </c>
      <c r="K522" s="477">
        <v>779415</v>
      </c>
      <c r="L522" s="477">
        <v>783786</v>
      </c>
      <c r="M522" s="477">
        <f t="shared" si="735"/>
        <v>779415</v>
      </c>
      <c r="N522" s="477">
        <f t="shared" si="736"/>
        <v>783786</v>
      </c>
      <c r="O522" s="477"/>
      <c r="P522" s="477"/>
      <c r="Q522" s="477">
        <f t="shared" si="781"/>
        <v>779415</v>
      </c>
      <c r="R522" s="477">
        <f t="shared" si="782"/>
        <v>783786</v>
      </c>
      <c r="S522" s="477">
        <f t="shared" si="783"/>
        <v>-4371</v>
      </c>
      <c r="V522" s="476">
        <f t="shared" si="834"/>
        <v>0</v>
      </c>
      <c r="W522" s="476">
        <f t="shared" si="835"/>
        <v>0</v>
      </c>
      <c r="X522" s="476">
        <f t="shared" si="836"/>
        <v>0</v>
      </c>
      <c r="Y522" s="476">
        <f t="shared" si="837"/>
        <v>0</v>
      </c>
      <c r="Z522" s="476">
        <f t="shared" si="838"/>
        <v>0</v>
      </c>
      <c r="AA522" s="476">
        <f t="shared" si="839"/>
        <v>0</v>
      </c>
      <c r="AB522" s="476">
        <f t="shared" si="840"/>
        <v>0</v>
      </c>
      <c r="AC522" s="476">
        <f t="shared" si="841"/>
        <v>0</v>
      </c>
      <c r="AD522" s="476">
        <f t="shared" si="842"/>
        <v>0</v>
      </c>
      <c r="AE522" s="476">
        <f t="shared" si="843"/>
        <v>0</v>
      </c>
      <c r="AF522" s="476">
        <f t="shared" si="844"/>
        <v>0</v>
      </c>
      <c r="AG522" s="476">
        <f t="shared" si="845"/>
        <v>0</v>
      </c>
      <c r="AH522" s="476">
        <f t="shared" si="846"/>
        <v>0</v>
      </c>
      <c r="AI522" s="476">
        <f t="shared" si="847"/>
        <v>0</v>
      </c>
      <c r="AJ522" s="476">
        <f t="shared" si="848"/>
        <v>0</v>
      </c>
      <c r="AK522" s="476">
        <f t="shared" si="849"/>
        <v>0</v>
      </c>
      <c r="AL522" s="476">
        <f t="shared" si="850"/>
        <v>0</v>
      </c>
      <c r="AM522" s="476">
        <f t="shared" si="851"/>
        <v>0</v>
      </c>
      <c r="AN522" s="476">
        <f t="shared" si="852"/>
        <v>0</v>
      </c>
      <c r="AO522" s="476">
        <f t="shared" si="853"/>
        <v>0</v>
      </c>
      <c r="AP522" s="476">
        <f t="shared" si="854"/>
        <v>0</v>
      </c>
      <c r="AQ522" s="476">
        <f t="shared" si="855"/>
        <v>0</v>
      </c>
      <c r="AR522" s="476">
        <f t="shared" si="856"/>
        <v>0</v>
      </c>
      <c r="AS522" s="476">
        <f t="shared" si="857"/>
        <v>0</v>
      </c>
      <c r="AT522" s="476">
        <f t="shared" si="858"/>
        <v>0</v>
      </c>
      <c r="AU522" s="476">
        <f t="shared" si="859"/>
        <v>0</v>
      </c>
      <c r="AV522" s="476">
        <f t="shared" si="860"/>
        <v>0</v>
      </c>
      <c r="AW522" s="476">
        <f t="shared" si="861"/>
        <v>0</v>
      </c>
      <c r="AX522" s="476">
        <f t="shared" si="862"/>
        <v>0</v>
      </c>
      <c r="AY522" s="476">
        <f t="shared" si="863"/>
        <v>0</v>
      </c>
      <c r="AZ522" s="476">
        <f t="shared" si="864"/>
        <v>0</v>
      </c>
      <c r="BA522" s="476">
        <f t="shared" si="865"/>
        <v>0</v>
      </c>
      <c r="BB522" s="476">
        <f t="shared" si="866"/>
        <v>0</v>
      </c>
      <c r="BC522" s="476">
        <f t="shared" si="867"/>
        <v>0</v>
      </c>
      <c r="BD522" s="476">
        <f t="shared" si="868"/>
        <v>0</v>
      </c>
      <c r="BE522" s="476">
        <f t="shared" si="869"/>
        <v>0</v>
      </c>
      <c r="BF522" s="476">
        <f t="shared" si="870"/>
        <v>0</v>
      </c>
      <c r="BG522" s="476">
        <f t="shared" si="871"/>
        <v>0</v>
      </c>
    </row>
  </sheetData>
  <autoFilter ref="A8:S522" xr:uid="{00000000-0009-0000-0000-00000A000000}"/>
  <mergeCells count="24">
    <mergeCell ref="I7:J7"/>
    <mergeCell ref="K7:L7"/>
    <mergeCell ref="M7:N7"/>
    <mergeCell ref="O7:P7"/>
    <mergeCell ref="Q7:R7"/>
    <mergeCell ref="V8:W8"/>
    <mergeCell ref="X8:Y8"/>
    <mergeCell ref="Z8:AA8"/>
    <mergeCell ref="AB8:AC8"/>
    <mergeCell ref="AD8:AE8"/>
    <mergeCell ref="AF8:AG8"/>
    <mergeCell ref="AH8:AI8"/>
    <mergeCell ref="AJ8:AK8"/>
    <mergeCell ref="AL8:AM8"/>
    <mergeCell ref="AN8:AO8"/>
    <mergeCell ref="AP8:AQ8"/>
    <mergeCell ref="AR8:AS8"/>
    <mergeCell ref="AT8:AU8"/>
    <mergeCell ref="BF8:BG8"/>
    <mergeCell ref="AV8:AW8"/>
    <mergeCell ref="AX8:AY8"/>
    <mergeCell ref="AZ8:BA8"/>
    <mergeCell ref="BB8:BC8"/>
    <mergeCell ref="BD8:BE8"/>
  </mergeCells>
  <pageMargins left="0.25" right="0.25" top="0.25" bottom="0.25" header="0.25" footer="0.25"/>
  <pageSetup scale="38" fitToHeight="0" orientation="landscape" horizontalDpi="4294967295" verticalDpi="4294967295" r:id="rId1"/>
  <headerFooter alignWithMargins="0">
    <oddFooter>&amp;L&amp;C&amp;R</oddFooter>
  </headerFooter>
  <rowBreaks count="5" manualBreakCount="5">
    <brk id="92" max="14" man="1"/>
    <brk id="178" max="14" man="1"/>
    <brk id="270" max="14" man="1"/>
    <brk id="365" max="14" man="1"/>
    <brk id="455" max="14" man="1"/>
  </rowBreaks>
  <colBreaks count="1" manualBreakCount="1">
    <brk id="6" max="4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1"/>
  <sheetViews>
    <sheetView workbookViewId="0">
      <selection activeCell="G1" sqref="G1:G1048576"/>
    </sheetView>
  </sheetViews>
  <sheetFormatPr defaultRowHeight="14.5"/>
  <cols>
    <col min="1" max="1" width="15.26953125" customWidth="1"/>
    <col min="2" max="2" width="34" bestFit="1" customWidth="1"/>
    <col min="3" max="3" width="46.81640625" bestFit="1" customWidth="1"/>
    <col min="4" max="4" width="12.36328125" bestFit="1" customWidth="1"/>
    <col min="5" max="5" width="17" bestFit="1" customWidth="1"/>
    <col min="6" max="6" width="9.08984375" bestFit="1" customWidth="1"/>
    <col min="7" max="7" width="32.26953125" bestFit="1" customWidth="1"/>
    <col min="8" max="8" width="13.1796875" customWidth="1"/>
    <col min="12" max="12" width="9.54296875" customWidth="1"/>
    <col min="14" max="14" width="9.54296875" customWidth="1"/>
    <col min="15" max="15" width="10.26953125" customWidth="1"/>
  </cols>
  <sheetData>
    <row r="1" spans="1:15">
      <c r="A1" t="s">
        <v>948</v>
      </c>
      <c r="B1" t="s">
        <v>1045</v>
      </c>
      <c r="C1" t="s">
        <v>941</v>
      </c>
      <c r="D1" t="s">
        <v>945</v>
      </c>
      <c r="E1" t="s">
        <v>946</v>
      </c>
      <c r="F1" t="s">
        <v>947</v>
      </c>
      <c r="G1" t="s">
        <v>1046</v>
      </c>
      <c r="H1" t="s">
        <v>1047</v>
      </c>
      <c r="I1" t="s">
        <v>455</v>
      </c>
      <c r="J1" t="s">
        <v>456</v>
      </c>
      <c r="K1" t="s">
        <v>2172</v>
      </c>
      <c r="L1" t="s">
        <v>2173</v>
      </c>
      <c r="M1" t="s">
        <v>2174</v>
      </c>
      <c r="N1" t="s">
        <v>2175</v>
      </c>
      <c r="O1" t="s">
        <v>1240</v>
      </c>
    </row>
    <row r="2" spans="1:15">
      <c r="A2" t="s">
        <v>777</v>
      </c>
      <c r="B2" t="s">
        <v>1631</v>
      </c>
      <c r="C2" t="s">
        <v>2185</v>
      </c>
      <c r="D2" t="s">
        <v>1051</v>
      </c>
      <c r="E2" t="s">
        <v>637</v>
      </c>
      <c r="F2" t="s">
        <v>638</v>
      </c>
      <c r="G2" t="s">
        <v>1122</v>
      </c>
      <c r="H2" t="s">
        <v>974</v>
      </c>
      <c r="I2">
        <v>1721000</v>
      </c>
      <c r="J2">
        <v>0</v>
      </c>
      <c r="K2">
        <v>0</v>
      </c>
      <c r="L2">
        <v>0</v>
      </c>
      <c r="M2">
        <v>1721000</v>
      </c>
      <c r="N2">
        <v>0</v>
      </c>
      <c r="O2">
        <v>1721000</v>
      </c>
    </row>
    <row r="3" spans="1:15">
      <c r="A3" t="s">
        <v>778</v>
      </c>
      <c r="B3" t="s">
        <v>1632</v>
      </c>
      <c r="C3" t="s">
        <v>2186</v>
      </c>
      <c r="D3" t="s">
        <v>1051</v>
      </c>
      <c r="E3" t="s">
        <v>637</v>
      </c>
      <c r="F3" t="s">
        <v>638</v>
      </c>
      <c r="G3" t="s">
        <v>1123</v>
      </c>
      <c r="H3" t="s">
        <v>974</v>
      </c>
      <c r="I3">
        <v>22763814</v>
      </c>
      <c r="J3">
        <v>0</v>
      </c>
      <c r="K3">
        <v>0</v>
      </c>
      <c r="L3">
        <v>0</v>
      </c>
      <c r="M3">
        <v>22763814</v>
      </c>
      <c r="N3">
        <v>0</v>
      </c>
      <c r="O3">
        <v>22763814</v>
      </c>
    </row>
    <row r="4" spans="1:15">
      <c r="A4" t="s">
        <v>779</v>
      </c>
      <c r="B4" t="s">
        <v>1633</v>
      </c>
      <c r="C4" t="s">
        <v>2187</v>
      </c>
      <c r="D4" t="s">
        <v>1051</v>
      </c>
      <c r="E4" t="s">
        <v>637</v>
      </c>
      <c r="F4" t="s">
        <v>638</v>
      </c>
      <c r="G4" t="s">
        <v>1124</v>
      </c>
      <c r="H4" t="s">
        <v>974</v>
      </c>
      <c r="I4">
        <v>0</v>
      </c>
      <c r="J4">
        <v>10086624</v>
      </c>
      <c r="K4">
        <v>0</v>
      </c>
      <c r="L4">
        <v>455276</v>
      </c>
      <c r="M4">
        <v>0</v>
      </c>
      <c r="N4">
        <v>10541900</v>
      </c>
      <c r="O4">
        <v>-10541900</v>
      </c>
    </row>
    <row r="5" spans="1:15">
      <c r="A5" t="s">
        <v>780</v>
      </c>
      <c r="B5" t="s">
        <v>1634</v>
      </c>
      <c r="C5" t="s">
        <v>2188</v>
      </c>
      <c r="D5" t="s">
        <v>1051</v>
      </c>
      <c r="E5" t="s">
        <v>637</v>
      </c>
      <c r="F5" t="s">
        <v>638</v>
      </c>
      <c r="G5" t="s">
        <v>342</v>
      </c>
      <c r="H5" t="s">
        <v>974</v>
      </c>
      <c r="I5">
        <v>1244075</v>
      </c>
      <c r="J5">
        <v>0</v>
      </c>
      <c r="K5">
        <v>0</v>
      </c>
      <c r="L5">
        <v>0</v>
      </c>
      <c r="M5">
        <v>1244075</v>
      </c>
      <c r="N5">
        <v>0</v>
      </c>
      <c r="O5">
        <v>1244075</v>
      </c>
    </row>
    <row r="6" spans="1:15">
      <c r="A6" t="s">
        <v>781</v>
      </c>
      <c r="B6" t="s">
        <v>1635</v>
      </c>
      <c r="C6" t="s">
        <v>2189</v>
      </c>
      <c r="D6" t="s">
        <v>1051</v>
      </c>
      <c r="E6" t="s">
        <v>637</v>
      </c>
      <c r="F6" t="s">
        <v>638</v>
      </c>
      <c r="G6" t="s">
        <v>343</v>
      </c>
      <c r="H6" t="s">
        <v>974</v>
      </c>
      <c r="I6">
        <v>30249</v>
      </c>
      <c r="J6">
        <v>1255975</v>
      </c>
      <c r="K6">
        <v>0</v>
      </c>
      <c r="L6">
        <v>42323</v>
      </c>
      <c r="M6">
        <v>30249</v>
      </c>
      <c r="N6">
        <v>1298298</v>
      </c>
      <c r="O6">
        <v>-1268049</v>
      </c>
    </row>
    <row r="7" spans="1:15">
      <c r="A7" t="s">
        <v>782</v>
      </c>
      <c r="B7" t="s">
        <v>1636</v>
      </c>
      <c r="C7" t="s">
        <v>2190</v>
      </c>
      <c r="D7" t="s">
        <v>1051</v>
      </c>
      <c r="E7" t="s">
        <v>637</v>
      </c>
      <c r="F7" t="s">
        <v>638</v>
      </c>
      <c r="G7" t="s">
        <v>524</v>
      </c>
      <c r="H7" t="s">
        <v>974</v>
      </c>
      <c r="I7">
        <v>4970458</v>
      </c>
      <c r="J7">
        <v>0</v>
      </c>
      <c r="K7">
        <v>0</v>
      </c>
      <c r="L7">
        <v>0</v>
      </c>
      <c r="M7">
        <v>4970458</v>
      </c>
      <c r="N7">
        <v>0</v>
      </c>
      <c r="O7">
        <v>4970458</v>
      </c>
    </row>
    <row r="8" spans="1:15">
      <c r="A8" t="s">
        <v>783</v>
      </c>
      <c r="B8" t="s">
        <v>1637</v>
      </c>
      <c r="C8" t="s">
        <v>2191</v>
      </c>
      <c r="D8" t="s">
        <v>1051</v>
      </c>
      <c r="E8" t="s">
        <v>637</v>
      </c>
      <c r="F8" t="s">
        <v>638</v>
      </c>
      <c r="G8" t="s">
        <v>1125</v>
      </c>
      <c r="H8" t="s">
        <v>974</v>
      </c>
      <c r="I8">
        <v>68126</v>
      </c>
      <c r="J8">
        <v>4204569</v>
      </c>
      <c r="K8">
        <v>0</v>
      </c>
      <c r="L8">
        <v>358157</v>
      </c>
      <c r="M8">
        <v>68126</v>
      </c>
      <c r="N8">
        <v>4562726</v>
      </c>
      <c r="O8">
        <v>-4494600</v>
      </c>
    </row>
    <row r="9" spans="1:15">
      <c r="A9" t="s">
        <v>784</v>
      </c>
      <c r="B9" t="s">
        <v>1638</v>
      </c>
      <c r="C9" t="s">
        <v>2192</v>
      </c>
      <c r="D9" t="s">
        <v>1051</v>
      </c>
      <c r="E9" t="s">
        <v>637</v>
      </c>
      <c r="F9" t="s">
        <v>638</v>
      </c>
      <c r="G9" t="s">
        <v>525</v>
      </c>
      <c r="H9" t="s">
        <v>974</v>
      </c>
      <c r="I9">
        <v>911914</v>
      </c>
      <c r="J9">
        <v>0</v>
      </c>
      <c r="K9">
        <v>0</v>
      </c>
      <c r="L9">
        <v>0</v>
      </c>
      <c r="M9">
        <v>911914</v>
      </c>
      <c r="N9">
        <v>0</v>
      </c>
      <c r="O9">
        <v>911914</v>
      </c>
    </row>
    <row r="10" spans="1:15">
      <c r="A10" t="s">
        <v>785</v>
      </c>
      <c r="B10" t="s">
        <v>1639</v>
      </c>
      <c r="C10" t="s">
        <v>2193</v>
      </c>
      <c r="D10" t="s">
        <v>1051</v>
      </c>
      <c r="E10" t="s">
        <v>637</v>
      </c>
      <c r="F10" t="s">
        <v>638</v>
      </c>
      <c r="G10" t="s">
        <v>1126</v>
      </c>
      <c r="H10" t="s">
        <v>974</v>
      </c>
      <c r="I10">
        <v>77185</v>
      </c>
      <c r="J10">
        <v>965663</v>
      </c>
      <c r="K10">
        <v>0</v>
      </c>
      <c r="L10">
        <v>892</v>
      </c>
      <c r="M10">
        <v>77185</v>
      </c>
      <c r="N10">
        <v>966555</v>
      </c>
      <c r="O10">
        <v>-889370</v>
      </c>
    </row>
    <row r="11" spans="1:15">
      <c r="A11" t="s">
        <v>786</v>
      </c>
      <c r="B11" t="s">
        <v>1640</v>
      </c>
      <c r="C11" t="s">
        <v>2194</v>
      </c>
      <c r="D11" t="s">
        <v>1051</v>
      </c>
      <c r="E11" t="s">
        <v>637</v>
      </c>
      <c r="F11" t="s">
        <v>638</v>
      </c>
      <c r="G11" t="s">
        <v>1128</v>
      </c>
      <c r="H11" t="s">
        <v>974</v>
      </c>
      <c r="I11">
        <v>170000</v>
      </c>
      <c r="J11">
        <v>170000</v>
      </c>
      <c r="K11">
        <v>0</v>
      </c>
      <c r="L11">
        <v>0</v>
      </c>
      <c r="M11">
        <v>170000</v>
      </c>
      <c r="N11">
        <v>170000</v>
      </c>
      <c r="O11">
        <v>0</v>
      </c>
    </row>
    <row r="12" spans="1:15">
      <c r="A12" t="s">
        <v>787</v>
      </c>
      <c r="B12" t="s">
        <v>1641</v>
      </c>
      <c r="C12" t="s">
        <v>2195</v>
      </c>
      <c r="D12" t="s">
        <v>1051</v>
      </c>
      <c r="E12" t="s">
        <v>637</v>
      </c>
      <c r="F12" t="s">
        <v>638</v>
      </c>
      <c r="G12" t="s">
        <v>1129</v>
      </c>
      <c r="H12" t="s">
        <v>974</v>
      </c>
      <c r="I12">
        <v>45012</v>
      </c>
      <c r="J12">
        <v>892293</v>
      </c>
      <c r="K12">
        <v>0</v>
      </c>
      <c r="L12">
        <v>1093</v>
      </c>
      <c r="M12">
        <v>45012</v>
      </c>
      <c r="N12">
        <v>893386</v>
      </c>
      <c r="O12">
        <v>-848374</v>
      </c>
    </row>
    <row r="13" spans="1:15">
      <c r="A13" t="s">
        <v>788</v>
      </c>
      <c r="B13" t="s">
        <v>1642</v>
      </c>
      <c r="C13" t="s">
        <v>2196</v>
      </c>
      <c r="D13" t="s">
        <v>1051</v>
      </c>
      <c r="E13" t="s">
        <v>637</v>
      </c>
      <c r="F13" t="s">
        <v>638</v>
      </c>
      <c r="G13" t="s">
        <v>1130</v>
      </c>
      <c r="H13" t="s">
        <v>974</v>
      </c>
      <c r="I13">
        <v>2903533</v>
      </c>
      <c r="J13">
        <v>0</v>
      </c>
      <c r="K13">
        <v>3000</v>
      </c>
      <c r="L13">
        <v>0</v>
      </c>
      <c r="M13">
        <v>2906533</v>
      </c>
      <c r="N13">
        <v>0</v>
      </c>
      <c r="O13">
        <v>2906533</v>
      </c>
    </row>
    <row r="14" spans="1:15">
      <c r="A14" t="s">
        <v>789</v>
      </c>
      <c r="B14" t="s">
        <v>1643</v>
      </c>
      <c r="C14" t="s">
        <v>2197</v>
      </c>
      <c r="D14" t="s">
        <v>1051</v>
      </c>
      <c r="E14" t="s">
        <v>637</v>
      </c>
      <c r="F14" t="s">
        <v>638</v>
      </c>
      <c r="G14" t="s">
        <v>1131</v>
      </c>
      <c r="H14" t="s">
        <v>974</v>
      </c>
      <c r="I14">
        <v>5854</v>
      </c>
      <c r="J14">
        <v>2909388</v>
      </c>
      <c r="K14">
        <v>0</v>
      </c>
      <c r="L14">
        <v>0</v>
      </c>
      <c r="M14">
        <v>5854</v>
      </c>
      <c r="N14">
        <v>2909388</v>
      </c>
      <c r="O14">
        <v>-2903534</v>
      </c>
    </row>
    <row r="15" spans="1:15">
      <c r="A15" t="s">
        <v>790</v>
      </c>
      <c r="B15" t="s">
        <v>1644</v>
      </c>
      <c r="C15" t="s">
        <v>2198</v>
      </c>
      <c r="D15" t="s">
        <v>1051</v>
      </c>
      <c r="E15" t="s">
        <v>637</v>
      </c>
      <c r="F15" t="s">
        <v>639</v>
      </c>
      <c r="G15" t="s">
        <v>352</v>
      </c>
      <c r="H15" t="s">
        <v>974</v>
      </c>
      <c r="I15">
        <v>886711</v>
      </c>
      <c r="J15">
        <v>429522</v>
      </c>
      <c r="K15">
        <v>0</v>
      </c>
      <c r="L15">
        <v>0</v>
      </c>
      <c r="M15">
        <v>886711</v>
      </c>
      <c r="N15">
        <v>429522</v>
      </c>
      <c r="O15">
        <v>457189</v>
      </c>
    </row>
    <row r="16" spans="1:15">
      <c r="A16" t="s">
        <v>791</v>
      </c>
      <c r="B16" t="s">
        <v>1645</v>
      </c>
      <c r="C16" t="s">
        <v>2199</v>
      </c>
      <c r="D16" t="s">
        <v>1051</v>
      </c>
      <c r="E16" t="s">
        <v>637</v>
      </c>
      <c r="F16" t="s">
        <v>639</v>
      </c>
      <c r="G16" t="s">
        <v>1133</v>
      </c>
      <c r="H16" t="s">
        <v>1019</v>
      </c>
      <c r="I16">
        <v>122813</v>
      </c>
      <c r="J16">
        <v>574186.66666666674</v>
      </c>
      <c r="K16">
        <v>0</v>
      </c>
      <c r="L16">
        <v>0</v>
      </c>
      <c r="M16">
        <v>122813</v>
      </c>
      <c r="N16">
        <v>574186.66666666674</v>
      </c>
      <c r="O16">
        <v>-451373.66666666674</v>
      </c>
    </row>
    <row r="17" spans="1:15">
      <c r="A17" t="s">
        <v>791</v>
      </c>
      <c r="B17" t="s">
        <v>1645</v>
      </c>
      <c r="C17" t="s">
        <v>2199</v>
      </c>
      <c r="D17" t="s">
        <v>1051</v>
      </c>
      <c r="E17" t="s">
        <v>637</v>
      </c>
      <c r="F17" t="s">
        <v>639</v>
      </c>
      <c r="G17" t="s">
        <v>1133</v>
      </c>
      <c r="H17" t="s">
        <v>974</v>
      </c>
      <c r="I17">
        <v>122813</v>
      </c>
      <c r="J17">
        <v>574186.66666666674</v>
      </c>
      <c r="K17">
        <v>0</v>
      </c>
      <c r="L17">
        <v>76888</v>
      </c>
      <c r="M17">
        <v>122813</v>
      </c>
      <c r="N17">
        <v>651074.66666666674</v>
      </c>
      <c r="O17">
        <v>-528261.66666666674</v>
      </c>
    </row>
    <row r="18" spans="1:15">
      <c r="A18" t="s">
        <v>792</v>
      </c>
      <c r="B18" t="s">
        <v>1646</v>
      </c>
      <c r="C18" t="s">
        <v>2200</v>
      </c>
      <c r="D18" t="s">
        <v>1051</v>
      </c>
      <c r="E18" t="s">
        <v>637</v>
      </c>
      <c r="F18" t="s">
        <v>638</v>
      </c>
      <c r="G18" t="s">
        <v>354</v>
      </c>
      <c r="H18" t="s">
        <v>974</v>
      </c>
      <c r="I18">
        <v>2534605</v>
      </c>
      <c r="J18">
        <v>1426000</v>
      </c>
      <c r="K18">
        <v>0</v>
      </c>
      <c r="L18">
        <v>0</v>
      </c>
      <c r="M18">
        <v>2534605</v>
      </c>
      <c r="N18">
        <v>1426000</v>
      </c>
      <c r="O18">
        <v>1108605</v>
      </c>
    </row>
    <row r="19" spans="1:15">
      <c r="A19" t="s">
        <v>793</v>
      </c>
      <c r="B19" t="s">
        <v>1647</v>
      </c>
      <c r="C19" t="s">
        <v>2201</v>
      </c>
      <c r="D19" t="s">
        <v>1051</v>
      </c>
      <c r="E19" t="s">
        <v>637</v>
      </c>
      <c r="F19" t="s">
        <v>638</v>
      </c>
      <c r="G19" t="s">
        <v>355</v>
      </c>
      <c r="H19" t="s">
        <v>974</v>
      </c>
      <c r="I19">
        <v>1384994</v>
      </c>
      <c r="J19">
        <v>2493599</v>
      </c>
      <c r="K19">
        <v>0</v>
      </c>
      <c r="L19">
        <v>0</v>
      </c>
      <c r="M19">
        <v>1384994</v>
      </c>
      <c r="N19">
        <v>2493599</v>
      </c>
      <c r="O19">
        <v>-1108605</v>
      </c>
    </row>
    <row r="20" spans="1:15">
      <c r="A20" t="s">
        <v>794</v>
      </c>
      <c r="B20" t="s">
        <v>1648</v>
      </c>
      <c r="C20" t="s">
        <v>2202</v>
      </c>
      <c r="D20" t="s">
        <v>1051</v>
      </c>
      <c r="E20" t="s">
        <v>637</v>
      </c>
      <c r="F20" t="s">
        <v>638</v>
      </c>
      <c r="G20" t="s">
        <v>356</v>
      </c>
      <c r="H20" t="s">
        <v>974</v>
      </c>
      <c r="I20">
        <v>308439</v>
      </c>
      <c r="J20">
        <v>0</v>
      </c>
      <c r="K20">
        <v>0</v>
      </c>
      <c r="L20">
        <v>0</v>
      </c>
      <c r="M20">
        <v>308439</v>
      </c>
      <c r="N20">
        <v>0</v>
      </c>
      <c r="O20">
        <v>308439</v>
      </c>
    </row>
    <row r="21" spans="1:15">
      <c r="A21" t="s">
        <v>795</v>
      </c>
      <c r="B21" t="s">
        <v>1649</v>
      </c>
      <c r="C21" t="s">
        <v>2203</v>
      </c>
      <c r="D21" t="s">
        <v>1051</v>
      </c>
      <c r="E21" t="s">
        <v>637</v>
      </c>
      <c r="F21" t="s">
        <v>638</v>
      </c>
      <c r="G21" t="s">
        <v>357</v>
      </c>
      <c r="H21" t="s">
        <v>974</v>
      </c>
      <c r="I21">
        <v>0</v>
      </c>
      <c r="J21">
        <v>308439</v>
      </c>
      <c r="K21">
        <v>0</v>
      </c>
      <c r="L21">
        <v>0</v>
      </c>
      <c r="M21">
        <v>0</v>
      </c>
      <c r="N21">
        <v>308439</v>
      </c>
      <c r="O21">
        <v>-308439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B81"/>
  <sheetViews>
    <sheetView workbookViewId="0">
      <selection activeCell="A10" sqref="A10"/>
    </sheetView>
  </sheetViews>
  <sheetFormatPr defaultRowHeight="14.5"/>
  <cols>
    <col min="1" max="1" width="95.1796875" bestFit="1" customWidth="1"/>
    <col min="2" max="3" width="13.26953125" bestFit="1" customWidth="1"/>
  </cols>
  <sheetData>
    <row r="3" spans="1:2">
      <c r="A3" s="271" t="s">
        <v>644</v>
      </c>
      <c r="B3" t="s">
        <v>2184</v>
      </c>
    </row>
    <row r="4" spans="1:2">
      <c r="A4" s="272" t="s">
        <v>1051</v>
      </c>
      <c r="B4" s="858">
        <v>64909342.43</v>
      </c>
    </row>
    <row r="5" spans="1:2">
      <c r="A5" s="273" t="s">
        <v>466</v>
      </c>
      <c r="B5" s="858">
        <v>52322776.43</v>
      </c>
    </row>
    <row r="6" spans="1:2">
      <c r="A6" s="273" t="s">
        <v>473</v>
      </c>
      <c r="B6" s="858">
        <v>11651937</v>
      </c>
    </row>
    <row r="7" spans="1:2">
      <c r="A7" s="273" t="s">
        <v>1153</v>
      </c>
      <c r="B7" s="858">
        <v>0</v>
      </c>
    </row>
    <row r="8" spans="1:2">
      <c r="A8" s="274" t="s">
        <v>1153</v>
      </c>
      <c r="B8" s="858">
        <v>0</v>
      </c>
    </row>
    <row r="9" spans="1:2">
      <c r="A9" s="273" t="s">
        <v>637</v>
      </c>
      <c r="B9" s="858">
        <v>934629</v>
      </c>
    </row>
    <row r="10" spans="1:2">
      <c r="A10" s="274" t="s">
        <v>639</v>
      </c>
      <c r="B10" s="858">
        <v>76888</v>
      </c>
    </row>
    <row r="11" spans="1:2">
      <c r="A11" s="274" t="s">
        <v>638</v>
      </c>
      <c r="B11" s="858">
        <v>857741</v>
      </c>
    </row>
    <row r="12" spans="1:2">
      <c r="A12" s="273" t="s">
        <v>640</v>
      </c>
      <c r="B12" s="858">
        <v>0</v>
      </c>
    </row>
    <row r="13" spans="1:2">
      <c r="A13" s="274" t="s">
        <v>1151</v>
      </c>
      <c r="B13" s="858">
        <v>0</v>
      </c>
    </row>
    <row r="14" spans="1:2">
      <c r="A14" s="272" t="s">
        <v>330</v>
      </c>
      <c r="B14" s="858">
        <v>3224482.33</v>
      </c>
    </row>
    <row r="15" spans="1:2">
      <c r="A15" s="273" t="s">
        <v>330</v>
      </c>
      <c r="B15" s="858">
        <v>3224482.33</v>
      </c>
    </row>
    <row r="16" spans="1:2">
      <c r="A16" s="274" t="s">
        <v>330</v>
      </c>
      <c r="B16" s="858">
        <v>3224482.33</v>
      </c>
    </row>
    <row r="17" spans="1:2">
      <c r="A17" s="272" t="s">
        <v>1164</v>
      </c>
      <c r="B17" s="858">
        <v>39821698.700000003</v>
      </c>
    </row>
    <row r="18" spans="1:2">
      <c r="A18" s="273" t="s">
        <v>1171</v>
      </c>
      <c r="B18" s="858">
        <v>2222707</v>
      </c>
    </row>
    <row r="19" spans="1:2">
      <c r="A19" s="274" t="s">
        <v>586</v>
      </c>
      <c r="B19" s="858">
        <v>0</v>
      </c>
    </row>
    <row r="20" spans="1:2">
      <c r="A20" s="274" t="s">
        <v>590</v>
      </c>
      <c r="B20" s="858">
        <v>0</v>
      </c>
    </row>
    <row r="21" spans="1:2">
      <c r="A21" s="274" t="s">
        <v>1192</v>
      </c>
      <c r="B21" s="858">
        <v>0</v>
      </c>
    </row>
    <row r="22" spans="1:2">
      <c r="A22" s="274" t="s">
        <v>1173</v>
      </c>
      <c r="B22" s="858">
        <v>454153</v>
      </c>
    </row>
    <row r="23" spans="1:2">
      <c r="A23" s="274" t="s">
        <v>1177</v>
      </c>
      <c r="B23" s="858">
        <v>377220</v>
      </c>
    </row>
    <row r="24" spans="1:2">
      <c r="A24" s="274" t="s">
        <v>1186</v>
      </c>
      <c r="B24" s="858">
        <v>0</v>
      </c>
    </row>
    <row r="25" spans="1:2">
      <c r="A25" s="274" t="s">
        <v>385</v>
      </c>
      <c r="B25" s="858">
        <v>0</v>
      </c>
    </row>
    <row r="26" spans="1:2">
      <c r="A26" s="274" t="s">
        <v>376</v>
      </c>
      <c r="B26" s="858">
        <v>485000</v>
      </c>
    </row>
    <row r="27" spans="1:2">
      <c r="A27" s="274" t="s">
        <v>1179</v>
      </c>
      <c r="B27" s="858">
        <v>0</v>
      </c>
    </row>
    <row r="28" spans="1:2">
      <c r="A28" s="274" t="s">
        <v>1172</v>
      </c>
      <c r="B28" s="858">
        <v>573216</v>
      </c>
    </row>
    <row r="29" spans="1:2">
      <c r="A29" s="274" t="s">
        <v>1189</v>
      </c>
      <c r="B29" s="858">
        <v>0</v>
      </c>
    </row>
    <row r="30" spans="1:2">
      <c r="A30" s="274" t="s">
        <v>1180</v>
      </c>
      <c r="B30" s="858">
        <v>35000</v>
      </c>
    </row>
    <row r="31" spans="1:2">
      <c r="A31" s="274" t="s">
        <v>367</v>
      </c>
      <c r="B31" s="858">
        <v>0</v>
      </c>
    </row>
    <row r="32" spans="1:2">
      <c r="A32" s="274" t="s">
        <v>1174</v>
      </c>
      <c r="B32" s="858">
        <v>298118</v>
      </c>
    </row>
    <row r="33" spans="1:2">
      <c r="A33" s="274" t="s">
        <v>1175</v>
      </c>
      <c r="B33" s="858">
        <v>0</v>
      </c>
    </row>
    <row r="34" spans="1:2">
      <c r="A34" s="273" t="s">
        <v>1191</v>
      </c>
      <c r="B34" s="858">
        <v>1</v>
      </c>
    </row>
    <row r="35" spans="1:2">
      <c r="A35" s="274" t="s">
        <v>1190</v>
      </c>
      <c r="B35" s="858">
        <v>1</v>
      </c>
    </row>
    <row r="36" spans="1:2">
      <c r="A36" s="273" t="s">
        <v>1167</v>
      </c>
      <c r="B36" s="858">
        <v>25104655.099999998</v>
      </c>
    </row>
    <row r="37" spans="1:2">
      <c r="A37" s="274" t="s">
        <v>1167</v>
      </c>
      <c r="B37" s="858">
        <v>25104655.099999998</v>
      </c>
    </row>
    <row r="38" spans="1:2">
      <c r="A38" s="273" t="s">
        <v>1181</v>
      </c>
      <c r="B38" s="858">
        <v>11350196.32</v>
      </c>
    </row>
    <row r="39" spans="1:2">
      <c r="A39" s="274" t="s">
        <v>2167</v>
      </c>
      <c r="B39" s="858">
        <v>0</v>
      </c>
    </row>
    <row r="40" spans="1:2">
      <c r="A40" s="274" t="s">
        <v>2169</v>
      </c>
      <c r="B40" s="858">
        <v>0</v>
      </c>
    </row>
    <row r="41" spans="1:2">
      <c r="A41" s="274" t="s">
        <v>2171</v>
      </c>
      <c r="B41" s="858">
        <v>0</v>
      </c>
    </row>
    <row r="42" spans="1:2">
      <c r="A42" s="274" t="s">
        <v>1468</v>
      </c>
      <c r="B42" s="858">
        <v>0</v>
      </c>
    </row>
    <row r="43" spans="1:2">
      <c r="A43" s="274" t="s">
        <v>2127</v>
      </c>
      <c r="B43" s="858">
        <v>0</v>
      </c>
    </row>
    <row r="44" spans="1:2">
      <c r="A44" s="274" t="s">
        <v>2129</v>
      </c>
      <c r="B44" s="858">
        <v>0</v>
      </c>
    </row>
    <row r="45" spans="1:2">
      <c r="A45" s="274" t="s">
        <v>2131</v>
      </c>
      <c r="B45" s="858">
        <v>0</v>
      </c>
    </row>
    <row r="46" spans="1:2">
      <c r="A46" s="274" t="s">
        <v>2133</v>
      </c>
      <c r="B46" s="858">
        <v>0</v>
      </c>
    </row>
    <row r="47" spans="1:2">
      <c r="A47" s="274" t="s">
        <v>2135</v>
      </c>
      <c r="B47" s="858">
        <v>0</v>
      </c>
    </row>
    <row r="48" spans="1:2">
      <c r="A48" s="274" t="s">
        <v>2141</v>
      </c>
      <c r="B48" s="858">
        <v>0</v>
      </c>
    </row>
    <row r="49" spans="1:2">
      <c r="A49" s="274" t="s">
        <v>2143</v>
      </c>
      <c r="B49" s="858">
        <v>0</v>
      </c>
    </row>
    <row r="50" spans="1:2">
      <c r="A50" s="274" t="s">
        <v>2145</v>
      </c>
      <c r="B50" s="858">
        <v>0</v>
      </c>
    </row>
    <row r="51" spans="1:2">
      <c r="A51" s="274" t="s">
        <v>2147</v>
      </c>
      <c r="B51" s="858">
        <v>0</v>
      </c>
    </row>
    <row r="52" spans="1:2">
      <c r="A52" s="274" t="s">
        <v>2149</v>
      </c>
      <c r="B52" s="858">
        <v>0</v>
      </c>
    </row>
    <row r="53" spans="1:2">
      <c r="A53" s="274" t="s">
        <v>2151</v>
      </c>
      <c r="B53" s="858">
        <v>0</v>
      </c>
    </row>
    <row r="54" spans="1:2">
      <c r="A54" s="274" t="s">
        <v>2153</v>
      </c>
      <c r="B54" s="858">
        <v>0</v>
      </c>
    </row>
    <row r="55" spans="1:2">
      <c r="A55" s="274" t="s">
        <v>2139</v>
      </c>
      <c r="B55" s="858">
        <v>0</v>
      </c>
    </row>
    <row r="56" spans="1:2">
      <c r="A56" s="274" t="s">
        <v>2137</v>
      </c>
      <c r="B56" s="858">
        <v>0</v>
      </c>
    </row>
    <row r="57" spans="1:2">
      <c r="A57" s="274" t="s">
        <v>1274</v>
      </c>
      <c r="B57" s="858">
        <v>10443765.32</v>
      </c>
    </row>
    <row r="58" spans="1:2">
      <c r="A58" s="274" t="s">
        <v>1272</v>
      </c>
      <c r="B58" s="858">
        <v>852200</v>
      </c>
    </row>
    <row r="59" spans="1:2">
      <c r="A59" s="274" t="s">
        <v>1273</v>
      </c>
      <c r="B59" s="858">
        <v>0</v>
      </c>
    </row>
    <row r="60" spans="1:2">
      <c r="A60" s="274" t="s">
        <v>1368</v>
      </c>
      <c r="B60" s="858">
        <v>0</v>
      </c>
    </row>
    <row r="61" spans="1:2">
      <c r="A61" s="274" t="s">
        <v>1496</v>
      </c>
      <c r="B61" s="858">
        <v>0</v>
      </c>
    </row>
    <row r="62" spans="1:2">
      <c r="A62" s="274" t="s">
        <v>1487</v>
      </c>
      <c r="B62" s="858">
        <v>0</v>
      </c>
    </row>
    <row r="63" spans="1:2">
      <c r="A63" s="274" t="s">
        <v>1490</v>
      </c>
      <c r="B63" s="858">
        <v>0</v>
      </c>
    </row>
    <row r="64" spans="1:2">
      <c r="A64" s="274" t="s">
        <v>1493</v>
      </c>
      <c r="B64" s="858">
        <v>0</v>
      </c>
    </row>
    <row r="65" spans="1:2">
      <c r="A65" s="274" t="s">
        <v>1499</v>
      </c>
      <c r="B65" s="858">
        <v>0</v>
      </c>
    </row>
    <row r="66" spans="1:2">
      <c r="A66" s="274" t="s">
        <v>2155</v>
      </c>
      <c r="B66" s="858">
        <v>0</v>
      </c>
    </row>
    <row r="67" spans="1:2">
      <c r="A67" s="274" t="s">
        <v>1508</v>
      </c>
      <c r="B67" s="858">
        <v>0</v>
      </c>
    </row>
    <row r="68" spans="1:2">
      <c r="A68" s="274" t="s">
        <v>2157</v>
      </c>
      <c r="B68" s="858">
        <v>0</v>
      </c>
    </row>
    <row r="69" spans="1:2">
      <c r="A69" s="274" t="s">
        <v>2159</v>
      </c>
      <c r="B69" s="858">
        <v>0</v>
      </c>
    </row>
    <row r="70" spans="1:2">
      <c r="A70" s="274" t="s">
        <v>2161</v>
      </c>
      <c r="B70" s="858">
        <v>0</v>
      </c>
    </row>
    <row r="71" spans="1:2">
      <c r="A71" s="274" t="s">
        <v>2163</v>
      </c>
      <c r="B71" s="858">
        <v>0</v>
      </c>
    </row>
    <row r="72" spans="1:2">
      <c r="A72" s="274" t="s">
        <v>1721</v>
      </c>
      <c r="B72" s="858">
        <v>0</v>
      </c>
    </row>
    <row r="73" spans="1:2">
      <c r="A73" s="274" t="s">
        <v>1182</v>
      </c>
      <c r="B73" s="858">
        <v>0</v>
      </c>
    </row>
    <row r="74" spans="1:2">
      <c r="A74" s="274" t="s">
        <v>1189</v>
      </c>
      <c r="B74" s="858">
        <v>54231</v>
      </c>
    </row>
    <row r="75" spans="1:2">
      <c r="A75" s="274" t="s">
        <v>2165</v>
      </c>
      <c r="B75" s="858">
        <v>0</v>
      </c>
    </row>
    <row r="76" spans="1:2">
      <c r="A76" s="274" t="s">
        <v>1456</v>
      </c>
      <c r="B76" s="858">
        <v>0</v>
      </c>
    </row>
    <row r="77" spans="1:2">
      <c r="A77" s="273" t="s">
        <v>1165</v>
      </c>
      <c r="B77" s="858">
        <v>1081239.28</v>
      </c>
    </row>
    <row r="78" spans="1:2">
      <c r="A78" s="274" t="s">
        <v>1166</v>
      </c>
      <c r="B78" s="858">
        <v>1081239.28</v>
      </c>
    </row>
    <row r="79" spans="1:2">
      <c r="A79" s="273" t="s">
        <v>484</v>
      </c>
      <c r="B79" s="858">
        <v>62900</v>
      </c>
    </row>
    <row r="80" spans="1:2">
      <c r="A80" s="274" t="s">
        <v>1198</v>
      </c>
      <c r="B80" s="858">
        <v>62900</v>
      </c>
    </row>
    <row r="81" spans="1:2">
      <c r="A81" s="272" t="s">
        <v>645</v>
      </c>
      <c r="B81" s="858">
        <v>107955523.46000001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F8C46-AD08-4590-B909-C0D2AE5A2A79}">
  <dimension ref="A1:O404"/>
  <sheetViews>
    <sheetView topLeftCell="A386" workbookViewId="0">
      <selection activeCell="O404" sqref="O4:O404"/>
    </sheetView>
  </sheetViews>
  <sheetFormatPr defaultRowHeight="14.5"/>
  <cols>
    <col min="1" max="1" width="14.6328125" bestFit="1" customWidth="1"/>
    <col min="2" max="2" width="89.26953125" bestFit="1" customWidth="1"/>
    <col min="3" max="3" width="102.08984375" bestFit="1" customWidth="1"/>
    <col min="4" max="4" width="18.90625" bestFit="1" customWidth="1"/>
    <col min="5" max="5" width="32.36328125" bestFit="1" customWidth="1"/>
    <col min="6" max="7" width="89.26953125" bestFit="1" customWidth="1"/>
    <col min="8" max="8" width="12.6328125" bestFit="1" customWidth="1"/>
    <col min="9" max="11" width="10.81640625" bestFit="1" customWidth="1"/>
    <col min="12" max="12" width="9.81640625" bestFit="1" customWidth="1"/>
    <col min="13" max="13" width="10.81640625" bestFit="1" customWidth="1"/>
    <col min="14" max="14" width="9.81640625" bestFit="1" customWidth="1"/>
    <col min="15" max="15" width="9.90625" bestFit="1" customWidth="1"/>
  </cols>
  <sheetData>
    <row r="1" spans="1:15">
      <c r="A1" s="401" t="s">
        <v>2384</v>
      </c>
    </row>
    <row r="3" spans="1:15">
      <c r="A3" t="s">
        <v>948</v>
      </c>
      <c r="B3" t="s">
        <v>1045</v>
      </c>
      <c r="C3" t="s">
        <v>941</v>
      </c>
      <c r="D3" t="s">
        <v>945</v>
      </c>
      <c r="E3" t="s">
        <v>946</v>
      </c>
      <c r="F3" t="s">
        <v>947</v>
      </c>
      <c r="G3" t="s">
        <v>1046</v>
      </c>
      <c r="H3" t="s">
        <v>1047</v>
      </c>
      <c r="I3" t="s">
        <v>455</v>
      </c>
      <c r="J3" t="s">
        <v>456</v>
      </c>
      <c r="K3" t="s">
        <v>2172</v>
      </c>
      <c r="L3" t="s">
        <v>2175</v>
      </c>
      <c r="M3" t="s">
        <v>2176</v>
      </c>
      <c r="N3" t="s">
        <v>2179</v>
      </c>
      <c r="O3" t="s">
        <v>1240</v>
      </c>
    </row>
    <row r="4" spans="1:15">
      <c r="A4" t="s">
        <v>679</v>
      </c>
      <c r="B4" t="s">
        <v>1580</v>
      </c>
      <c r="C4" t="s">
        <v>2209</v>
      </c>
      <c r="D4" t="s">
        <v>1051</v>
      </c>
      <c r="E4" t="s">
        <v>466</v>
      </c>
      <c r="F4" t="s">
        <v>1052</v>
      </c>
      <c r="G4" t="s">
        <v>1053</v>
      </c>
      <c r="H4" t="s">
        <v>974</v>
      </c>
      <c r="I4">
        <v>3</v>
      </c>
      <c r="J4">
        <v>0</v>
      </c>
      <c r="K4">
        <v>0</v>
      </c>
      <c r="L4">
        <v>0</v>
      </c>
      <c r="M4">
        <v>3</v>
      </c>
      <c r="N4">
        <v>0</v>
      </c>
      <c r="O4">
        <v>3</v>
      </c>
    </row>
    <row r="5" spans="1:15">
      <c r="A5" t="s">
        <v>679</v>
      </c>
      <c r="B5" t="s">
        <v>1580</v>
      </c>
      <c r="C5" t="s">
        <v>2209</v>
      </c>
      <c r="D5" t="s">
        <v>1051</v>
      </c>
      <c r="E5" t="s">
        <v>466</v>
      </c>
      <c r="F5" t="s">
        <v>1052</v>
      </c>
      <c r="G5" t="s">
        <v>1053</v>
      </c>
      <c r="H5" t="s">
        <v>1722</v>
      </c>
      <c r="J5">
        <v>0</v>
      </c>
      <c r="K5">
        <v>0</v>
      </c>
      <c r="L5">
        <v>0</v>
      </c>
      <c r="M5">
        <v>0</v>
      </c>
      <c r="N5">
        <v>0</v>
      </c>
      <c r="O5">
        <v>0</v>
      </c>
    </row>
    <row r="6" spans="1:15">
      <c r="A6" t="s">
        <v>680</v>
      </c>
      <c r="B6" t="s">
        <v>1581</v>
      </c>
      <c r="C6" t="s">
        <v>2210</v>
      </c>
      <c r="D6" t="s">
        <v>1051</v>
      </c>
      <c r="E6" t="s">
        <v>466</v>
      </c>
      <c r="F6" t="s">
        <v>1052</v>
      </c>
      <c r="G6" t="s">
        <v>1053</v>
      </c>
      <c r="H6" t="s">
        <v>974</v>
      </c>
      <c r="I6">
        <v>143120</v>
      </c>
      <c r="J6">
        <v>0</v>
      </c>
      <c r="K6">
        <v>0</v>
      </c>
      <c r="L6">
        <v>0</v>
      </c>
      <c r="M6">
        <v>143120</v>
      </c>
      <c r="N6">
        <v>0</v>
      </c>
      <c r="O6">
        <v>143120</v>
      </c>
    </row>
    <row r="7" spans="1:15">
      <c r="A7" t="s">
        <v>681</v>
      </c>
      <c r="B7" t="s">
        <v>1582</v>
      </c>
      <c r="C7" t="s">
        <v>2211</v>
      </c>
      <c r="D7" t="s">
        <v>1051</v>
      </c>
      <c r="E7" t="s">
        <v>466</v>
      </c>
      <c r="F7" t="s">
        <v>1052</v>
      </c>
      <c r="G7" t="s">
        <v>1053</v>
      </c>
      <c r="H7" t="s">
        <v>1011</v>
      </c>
      <c r="I7">
        <v>0</v>
      </c>
      <c r="J7">
        <v>809205</v>
      </c>
      <c r="K7">
        <v>0</v>
      </c>
      <c r="L7">
        <v>0</v>
      </c>
      <c r="M7">
        <v>0</v>
      </c>
      <c r="N7">
        <v>809205</v>
      </c>
      <c r="O7">
        <v>-809205</v>
      </c>
    </row>
    <row r="8" spans="1:15">
      <c r="A8" t="s">
        <v>681</v>
      </c>
      <c r="B8" t="s">
        <v>1582</v>
      </c>
      <c r="C8" t="s">
        <v>2211</v>
      </c>
      <c r="D8" t="s">
        <v>1051</v>
      </c>
      <c r="E8" t="s">
        <v>466</v>
      </c>
      <c r="F8" t="s">
        <v>1052</v>
      </c>
      <c r="G8" t="s">
        <v>1053</v>
      </c>
      <c r="H8" t="s">
        <v>1020</v>
      </c>
      <c r="I8">
        <v>0</v>
      </c>
      <c r="K8">
        <v>0</v>
      </c>
      <c r="L8">
        <v>0</v>
      </c>
      <c r="M8">
        <v>0</v>
      </c>
      <c r="N8">
        <v>0</v>
      </c>
      <c r="O8">
        <v>0</v>
      </c>
    </row>
    <row r="9" spans="1:15">
      <c r="A9" t="s">
        <v>682</v>
      </c>
      <c r="B9" t="s">
        <v>1583</v>
      </c>
      <c r="C9" t="s">
        <v>2212</v>
      </c>
      <c r="D9" t="s">
        <v>1051</v>
      </c>
      <c r="E9" t="s">
        <v>466</v>
      </c>
      <c r="F9" t="s">
        <v>1052</v>
      </c>
      <c r="G9" t="s">
        <v>1053</v>
      </c>
      <c r="H9" t="s">
        <v>974</v>
      </c>
      <c r="I9">
        <v>62500</v>
      </c>
      <c r="J9">
        <v>0</v>
      </c>
      <c r="K9">
        <v>0</v>
      </c>
      <c r="L9">
        <v>0</v>
      </c>
      <c r="M9">
        <v>62500</v>
      </c>
      <c r="N9">
        <v>0</v>
      </c>
      <c r="O9">
        <v>62500</v>
      </c>
    </row>
    <row r="10" spans="1:15">
      <c r="A10" t="s">
        <v>683</v>
      </c>
      <c r="B10" t="s">
        <v>1584</v>
      </c>
      <c r="C10" t="s">
        <v>2213</v>
      </c>
      <c r="D10" t="s">
        <v>1051</v>
      </c>
      <c r="E10" t="s">
        <v>466</v>
      </c>
      <c r="F10" t="s">
        <v>1052</v>
      </c>
      <c r="G10" t="s">
        <v>1053</v>
      </c>
      <c r="H10" t="s">
        <v>974</v>
      </c>
      <c r="I10">
        <v>51853</v>
      </c>
      <c r="J10">
        <v>0</v>
      </c>
      <c r="K10">
        <v>0</v>
      </c>
      <c r="L10">
        <v>0</v>
      </c>
      <c r="M10">
        <v>51853</v>
      </c>
      <c r="N10">
        <v>0</v>
      </c>
      <c r="O10">
        <v>51853</v>
      </c>
    </row>
    <row r="11" spans="1:15">
      <c r="A11" t="s">
        <v>684</v>
      </c>
      <c r="B11" t="s">
        <v>1585</v>
      </c>
      <c r="C11" t="s">
        <v>2214</v>
      </c>
      <c r="D11" t="s">
        <v>1051</v>
      </c>
      <c r="E11" t="s">
        <v>466</v>
      </c>
      <c r="F11" t="s">
        <v>1052</v>
      </c>
      <c r="G11" t="s">
        <v>1053</v>
      </c>
      <c r="H11" t="s">
        <v>974</v>
      </c>
      <c r="I11">
        <v>15489</v>
      </c>
      <c r="J11">
        <v>0</v>
      </c>
      <c r="K11">
        <v>0</v>
      </c>
      <c r="L11">
        <v>0</v>
      </c>
      <c r="M11">
        <v>15489</v>
      </c>
      <c r="N11">
        <v>0</v>
      </c>
      <c r="O11">
        <v>15489</v>
      </c>
    </row>
    <row r="12" spans="1:15">
      <c r="A12" t="s">
        <v>685</v>
      </c>
      <c r="B12" t="s">
        <v>1586</v>
      </c>
      <c r="C12" t="s">
        <v>2215</v>
      </c>
      <c r="D12" t="s">
        <v>1051</v>
      </c>
      <c r="E12" t="s">
        <v>466</v>
      </c>
      <c r="F12" t="s">
        <v>1052</v>
      </c>
      <c r="G12" t="s">
        <v>1053</v>
      </c>
      <c r="H12" t="s">
        <v>974</v>
      </c>
      <c r="I12">
        <v>29198</v>
      </c>
      <c r="J12">
        <v>0</v>
      </c>
      <c r="K12">
        <v>0</v>
      </c>
      <c r="L12">
        <v>0</v>
      </c>
      <c r="M12">
        <v>29198</v>
      </c>
      <c r="N12">
        <v>0</v>
      </c>
      <c r="O12">
        <v>29198</v>
      </c>
    </row>
    <row r="13" spans="1:15">
      <c r="A13" t="s">
        <v>686</v>
      </c>
      <c r="B13" t="s">
        <v>1587</v>
      </c>
      <c r="C13" t="s">
        <v>2216</v>
      </c>
      <c r="D13" t="s">
        <v>1051</v>
      </c>
      <c r="E13" t="s">
        <v>466</v>
      </c>
      <c r="F13" t="s">
        <v>1052</v>
      </c>
      <c r="G13" t="s">
        <v>1053</v>
      </c>
      <c r="H13" t="s">
        <v>974</v>
      </c>
      <c r="I13">
        <v>66295094.659999996</v>
      </c>
      <c r="J13">
        <v>60963110.640000001</v>
      </c>
      <c r="K13">
        <v>19887862.510000002</v>
      </c>
      <c r="L13">
        <v>20628914.25</v>
      </c>
      <c r="M13">
        <v>86182957.170000002</v>
      </c>
      <c r="N13">
        <v>81592024.890000001</v>
      </c>
      <c r="O13">
        <v>4590932.2800000012</v>
      </c>
    </row>
    <row r="14" spans="1:15">
      <c r="A14" t="s">
        <v>687</v>
      </c>
      <c r="B14" t="s">
        <v>1588</v>
      </c>
      <c r="C14" t="s">
        <v>2217</v>
      </c>
      <c r="D14" t="s">
        <v>1051</v>
      </c>
      <c r="E14" t="s">
        <v>466</v>
      </c>
      <c r="F14" t="s">
        <v>1052</v>
      </c>
      <c r="G14" t="s">
        <v>1053</v>
      </c>
      <c r="H14" t="s">
        <v>1012</v>
      </c>
      <c r="I14">
        <v>381581.2</v>
      </c>
      <c r="J14">
        <v>79.099999999999994</v>
      </c>
      <c r="K14">
        <v>0</v>
      </c>
      <c r="L14">
        <v>0</v>
      </c>
      <c r="M14">
        <v>381581.2</v>
      </c>
      <c r="N14">
        <v>79.099999999999994</v>
      </c>
      <c r="O14">
        <v>381502.10000000003</v>
      </c>
    </row>
    <row r="15" spans="1:15">
      <c r="A15" t="s">
        <v>687</v>
      </c>
      <c r="B15" t="s">
        <v>1588</v>
      </c>
      <c r="C15" t="s">
        <v>2217</v>
      </c>
      <c r="D15" t="s">
        <v>1051</v>
      </c>
      <c r="E15" t="s">
        <v>466</v>
      </c>
      <c r="F15" t="s">
        <v>1052</v>
      </c>
      <c r="G15" t="s">
        <v>1053</v>
      </c>
      <c r="H15" t="s">
        <v>1019</v>
      </c>
      <c r="K15">
        <v>0</v>
      </c>
      <c r="L15">
        <v>0</v>
      </c>
      <c r="M15">
        <v>0</v>
      </c>
      <c r="N15">
        <v>0</v>
      </c>
      <c r="O15">
        <v>0</v>
      </c>
    </row>
    <row r="16" spans="1:15">
      <c r="A16" t="s">
        <v>688</v>
      </c>
      <c r="B16" t="s">
        <v>1589</v>
      </c>
      <c r="C16" t="s">
        <v>2218</v>
      </c>
      <c r="D16" t="s">
        <v>1051</v>
      </c>
      <c r="E16" t="s">
        <v>466</v>
      </c>
      <c r="F16" t="s">
        <v>1052</v>
      </c>
      <c r="G16" t="s">
        <v>1053</v>
      </c>
      <c r="H16" t="s">
        <v>974</v>
      </c>
      <c r="I16">
        <v>351956.05</v>
      </c>
      <c r="J16">
        <v>347588.39999999997</v>
      </c>
      <c r="K16">
        <v>0</v>
      </c>
      <c r="L16">
        <v>0</v>
      </c>
      <c r="M16">
        <v>351956.05</v>
      </c>
      <c r="N16">
        <v>347588.39999999997</v>
      </c>
      <c r="O16">
        <v>4367.6500000000233</v>
      </c>
    </row>
    <row r="17" spans="1:15">
      <c r="A17" t="s">
        <v>688</v>
      </c>
      <c r="B17" t="s">
        <v>1589</v>
      </c>
      <c r="C17" t="s">
        <v>2218</v>
      </c>
      <c r="D17" t="s">
        <v>1051</v>
      </c>
      <c r="E17" t="s">
        <v>466</v>
      </c>
      <c r="F17" t="s">
        <v>1052</v>
      </c>
      <c r="G17" t="s">
        <v>1053</v>
      </c>
      <c r="H17" t="s">
        <v>1021</v>
      </c>
      <c r="K17">
        <v>0</v>
      </c>
      <c r="L17">
        <v>0</v>
      </c>
      <c r="M17">
        <v>0</v>
      </c>
      <c r="N17">
        <v>0</v>
      </c>
      <c r="O17">
        <v>0</v>
      </c>
    </row>
    <row r="18" spans="1:15">
      <c r="A18" t="s">
        <v>688</v>
      </c>
      <c r="B18" t="s">
        <v>1589</v>
      </c>
      <c r="C18" t="s">
        <v>2218</v>
      </c>
      <c r="D18" t="s">
        <v>1051</v>
      </c>
      <c r="E18" t="s">
        <v>466</v>
      </c>
      <c r="F18" t="s">
        <v>1052</v>
      </c>
      <c r="G18" t="s">
        <v>1053</v>
      </c>
      <c r="H18" t="s">
        <v>1025</v>
      </c>
      <c r="I18">
        <v>351956.05</v>
      </c>
      <c r="J18">
        <v>347588.39999999997</v>
      </c>
      <c r="K18">
        <v>0</v>
      </c>
      <c r="L18">
        <v>0</v>
      </c>
      <c r="M18">
        <v>351956.05</v>
      </c>
      <c r="N18">
        <v>347588.39999999997</v>
      </c>
      <c r="O18">
        <v>4367.6500000000233</v>
      </c>
    </row>
    <row r="19" spans="1:15">
      <c r="A19" t="s">
        <v>689</v>
      </c>
      <c r="B19" t="s">
        <v>1590</v>
      </c>
      <c r="C19" t="s">
        <v>2219</v>
      </c>
      <c r="D19" t="s">
        <v>1051</v>
      </c>
      <c r="E19" t="s">
        <v>466</v>
      </c>
      <c r="F19" t="s">
        <v>1052</v>
      </c>
      <c r="G19" t="s">
        <v>1053</v>
      </c>
      <c r="H19" t="s">
        <v>1013</v>
      </c>
      <c r="I19">
        <v>100.6</v>
      </c>
      <c r="J19">
        <v>79.099999999999994</v>
      </c>
      <c r="K19">
        <v>0</v>
      </c>
      <c r="L19">
        <v>0</v>
      </c>
      <c r="M19">
        <v>100.6</v>
      </c>
      <c r="N19">
        <v>79.099999999999994</v>
      </c>
      <c r="O19">
        <v>21.5</v>
      </c>
    </row>
    <row r="20" spans="1:15">
      <c r="A20" t="s">
        <v>689</v>
      </c>
      <c r="B20" t="s">
        <v>1590</v>
      </c>
      <c r="C20" t="s">
        <v>2219</v>
      </c>
      <c r="D20" t="s">
        <v>1051</v>
      </c>
      <c r="E20" t="s">
        <v>466</v>
      </c>
      <c r="F20" t="s">
        <v>1052</v>
      </c>
      <c r="G20" t="s">
        <v>1053</v>
      </c>
      <c r="H20" t="s">
        <v>974</v>
      </c>
      <c r="K20">
        <v>0</v>
      </c>
      <c r="L20">
        <v>0</v>
      </c>
      <c r="M20">
        <v>0</v>
      </c>
      <c r="N20">
        <v>0</v>
      </c>
      <c r="O20">
        <v>0</v>
      </c>
    </row>
    <row r="21" spans="1:15">
      <c r="A21" t="s">
        <v>689</v>
      </c>
      <c r="B21" t="s">
        <v>1590</v>
      </c>
      <c r="C21" t="s">
        <v>2219</v>
      </c>
      <c r="D21" t="s">
        <v>1051</v>
      </c>
      <c r="E21" t="s">
        <v>466</v>
      </c>
      <c r="F21" t="s">
        <v>1052</v>
      </c>
      <c r="G21" t="s">
        <v>1053</v>
      </c>
      <c r="H21" t="s">
        <v>1026</v>
      </c>
      <c r="K21">
        <v>0</v>
      </c>
      <c r="L21">
        <v>0</v>
      </c>
      <c r="M21">
        <v>0</v>
      </c>
      <c r="N21">
        <v>0</v>
      </c>
      <c r="O21">
        <v>0</v>
      </c>
    </row>
    <row r="22" spans="1:15">
      <c r="A22" t="s">
        <v>689</v>
      </c>
      <c r="B22" t="s">
        <v>1590</v>
      </c>
      <c r="C22" t="s">
        <v>2219</v>
      </c>
      <c r="D22" t="s">
        <v>1051</v>
      </c>
      <c r="E22" t="s">
        <v>466</v>
      </c>
      <c r="F22" t="s">
        <v>1052</v>
      </c>
      <c r="G22" t="s">
        <v>1053</v>
      </c>
      <c r="H22" t="s">
        <v>992</v>
      </c>
      <c r="K22">
        <v>0</v>
      </c>
      <c r="L22">
        <v>0</v>
      </c>
      <c r="M22">
        <v>0</v>
      </c>
      <c r="N22">
        <v>0</v>
      </c>
      <c r="O22">
        <v>0</v>
      </c>
    </row>
    <row r="23" spans="1:15">
      <c r="A23" t="s">
        <v>690</v>
      </c>
      <c r="B23" t="s">
        <v>1591</v>
      </c>
      <c r="C23" t="s">
        <v>2220</v>
      </c>
      <c r="D23" t="s">
        <v>1051</v>
      </c>
      <c r="E23" t="s">
        <v>466</v>
      </c>
      <c r="F23" t="s">
        <v>1052</v>
      </c>
      <c r="G23" t="s">
        <v>1053</v>
      </c>
      <c r="H23" t="s">
        <v>1014</v>
      </c>
      <c r="I23">
        <v>100</v>
      </c>
      <c r="J23">
        <v>1024795.76</v>
      </c>
      <c r="K23">
        <v>0</v>
      </c>
      <c r="L23">
        <v>0</v>
      </c>
      <c r="M23">
        <v>100</v>
      </c>
      <c r="N23">
        <v>1024795.76</v>
      </c>
      <c r="O23">
        <v>-1024695.76</v>
      </c>
    </row>
    <row r="24" spans="1:15">
      <c r="A24" t="s">
        <v>690</v>
      </c>
      <c r="B24" t="s">
        <v>1591</v>
      </c>
      <c r="C24" t="s">
        <v>2220</v>
      </c>
      <c r="D24" t="s">
        <v>1051</v>
      </c>
      <c r="E24" t="s">
        <v>466</v>
      </c>
      <c r="F24" t="s">
        <v>1052</v>
      </c>
      <c r="G24" t="s">
        <v>1053</v>
      </c>
      <c r="H24" t="s">
        <v>974</v>
      </c>
      <c r="K24">
        <v>0</v>
      </c>
      <c r="L24">
        <v>0</v>
      </c>
      <c r="M24">
        <v>0</v>
      </c>
      <c r="N24">
        <v>0</v>
      </c>
      <c r="O24">
        <v>0</v>
      </c>
    </row>
    <row r="25" spans="1:15">
      <c r="A25" t="s">
        <v>690</v>
      </c>
      <c r="B25" t="s">
        <v>1591</v>
      </c>
      <c r="C25" t="s">
        <v>2220</v>
      </c>
      <c r="D25" t="s">
        <v>1051</v>
      </c>
      <c r="E25" t="s">
        <v>466</v>
      </c>
      <c r="F25" t="s">
        <v>1052</v>
      </c>
      <c r="G25" t="s">
        <v>1053</v>
      </c>
      <c r="H25" t="s">
        <v>1020</v>
      </c>
      <c r="K25">
        <v>0</v>
      </c>
      <c r="L25">
        <v>0</v>
      </c>
      <c r="M25">
        <v>0</v>
      </c>
      <c r="N25">
        <v>0</v>
      </c>
      <c r="O25">
        <v>0</v>
      </c>
    </row>
    <row r="26" spans="1:15">
      <c r="A26" t="s">
        <v>690</v>
      </c>
      <c r="B26" t="s">
        <v>1591</v>
      </c>
      <c r="C26" t="s">
        <v>2220</v>
      </c>
      <c r="D26" t="s">
        <v>1051</v>
      </c>
      <c r="E26" t="s">
        <v>466</v>
      </c>
      <c r="F26" t="s">
        <v>1052</v>
      </c>
      <c r="G26" t="s">
        <v>1053</v>
      </c>
      <c r="H26" t="s">
        <v>1027</v>
      </c>
      <c r="K26">
        <v>0</v>
      </c>
      <c r="L26">
        <v>0</v>
      </c>
      <c r="M26">
        <v>0</v>
      </c>
      <c r="N26">
        <v>0</v>
      </c>
      <c r="O26">
        <v>0</v>
      </c>
    </row>
    <row r="27" spans="1:15">
      <c r="A27" t="s">
        <v>691</v>
      </c>
      <c r="B27" t="s">
        <v>1592</v>
      </c>
      <c r="C27" t="s">
        <v>2221</v>
      </c>
      <c r="D27" t="s">
        <v>1051</v>
      </c>
      <c r="E27" t="s">
        <v>466</v>
      </c>
      <c r="F27" t="s">
        <v>1052</v>
      </c>
      <c r="G27" t="s">
        <v>1053</v>
      </c>
      <c r="H27" t="s">
        <v>974</v>
      </c>
      <c r="K27">
        <v>0</v>
      </c>
      <c r="L27">
        <v>0</v>
      </c>
      <c r="M27">
        <v>0</v>
      </c>
      <c r="N27">
        <v>0</v>
      </c>
      <c r="O27">
        <v>0</v>
      </c>
    </row>
    <row r="28" spans="1:15">
      <c r="A28" t="s">
        <v>691</v>
      </c>
      <c r="B28" t="s">
        <v>1592</v>
      </c>
      <c r="C28" t="s">
        <v>2221</v>
      </c>
      <c r="D28" t="s">
        <v>1051</v>
      </c>
      <c r="E28" t="s">
        <v>466</v>
      </c>
      <c r="F28" t="s">
        <v>1052</v>
      </c>
      <c r="G28" t="s">
        <v>1053</v>
      </c>
      <c r="H28" t="s">
        <v>1276</v>
      </c>
      <c r="K28">
        <v>0</v>
      </c>
      <c r="L28">
        <v>0</v>
      </c>
      <c r="M28">
        <v>0</v>
      </c>
      <c r="N28">
        <v>0</v>
      </c>
      <c r="O28">
        <v>0</v>
      </c>
    </row>
    <row r="29" spans="1:15">
      <c r="A29" t="s">
        <v>691</v>
      </c>
      <c r="B29" t="s">
        <v>1592</v>
      </c>
      <c r="C29" t="s">
        <v>2221</v>
      </c>
      <c r="D29" t="s">
        <v>1051</v>
      </c>
      <c r="E29" t="s">
        <v>466</v>
      </c>
      <c r="F29" t="s">
        <v>1052</v>
      </c>
      <c r="G29" t="s">
        <v>1053</v>
      </c>
      <c r="H29" t="s">
        <v>1275</v>
      </c>
      <c r="I29">
        <v>22826301.579999998</v>
      </c>
      <c r="J29">
        <v>23721004.059999999</v>
      </c>
      <c r="K29">
        <v>11052908.869999999</v>
      </c>
      <c r="L29">
        <v>12216127.390000001</v>
      </c>
      <c r="M29">
        <v>33879210.449999996</v>
      </c>
      <c r="N29">
        <v>35937131.450000003</v>
      </c>
      <c r="O29">
        <v>-2057921.0000000075</v>
      </c>
    </row>
    <row r="30" spans="1:15">
      <c r="A30" t="s">
        <v>691</v>
      </c>
      <c r="B30" t="s">
        <v>1592</v>
      </c>
      <c r="C30" t="s">
        <v>2221</v>
      </c>
      <c r="D30" t="s">
        <v>1051</v>
      </c>
      <c r="E30" t="s">
        <v>466</v>
      </c>
      <c r="F30" t="s">
        <v>1052</v>
      </c>
      <c r="G30" t="s">
        <v>1053</v>
      </c>
      <c r="H30" t="s">
        <v>1723</v>
      </c>
      <c r="K30">
        <v>12465578.85</v>
      </c>
      <c r="L30">
        <v>12795457.789999999</v>
      </c>
      <c r="M30">
        <v>12465578.85</v>
      </c>
      <c r="N30">
        <v>12795457.789999999</v>
      </c>
      <c r="O30">
        <v>-329878.93999999948</v>
      </c>
    </row>
    <row r="31" spans="1:15">
      <c r="A31" t="s">
        <v>692</v>
      </c>
      <c r="B31" t="s">
        <v>1593</v>
      </c>
      <c r="C31" t="s">
        <v>2222</v>
      </c>
      <c r="D31" t="s">
        <v>1051</v>
      </c>
      <c r="E31" t="s">
        <v>466</v>
      </c>
      <c r="F31" t="s">
        <v>1052</v>
      </c>
      <c r="G31" t="s">
        <v>1053</v>
      </c>
      <c r="H31" t="s">
        <v>974</v>
      </c>
      <c r="I31">
        <v>6261.86</v>
      </c>
      <c r="J31">
        <v>0</v>
      </c>
      <c r="K31">
        <v>0</v>
      </c>
      <c r="L31">
        <v>0</v>
      </c>
      <c r="M31">
        <v>6261.86</v>
      </c>
      <c r="N31">
        <v>0</v>
      </c>
      <c r="O31">
        <v>6261.86</v>
      </c>
    </row>
    <row r="32" spans="1:15">
      <c r="A32" t="s">
        <v>693</v>
      </c>
      <c r="B32" t="s">
        <v>1594</v>
      </c>
      <c r="C32" t="s">
        <v>2223</v>
      </c>
      <c r="D32" t="s">
        <v>1051</v>
      </c>
      <c r="E32" t="s">
        <v>466</v>
      </c>
      <c r="F32" t="s">
        <v>1052</v>
      </c>
      <c r="G32" t="s">
        <v>1053</v>
      </c>
      <c r="H32" t="s">
        <v>1015</v>
      </c>
      <c r="I32">
        <v>70646.14</v>
      </c>
      <c r="J32">
        <v>79.099999999999994</v>
      </c>
      <c r="K32">
        <v>0</v>
      </c>
      <c r="L32">
        <v>0</v>
      </c>
      <c r="M32">
        <v>70646.14</v>
      </c>
      <c r="N32">
        <v>79.099999999999994</v>
      </c>
      <c r="O32">
        <v>70567.039999999994</v>
      </c>
    </row>
    <row r="33" spans="1:15">
      <c r="A33" t="s">
        <v>693</v>
      </c>
      <c r="B33" t="s">
        <v>1594</v>
      </c>
      <c r="C33" t="s">
        <v>2223</v>
      </c>
      <c r="D33" t="s">
        <v>1051</v>
      </c>
      <c r="E33" t="s">
        <v>466</v>
      </c>
      <c r="F33" t="s">
        <v>1052</v>
      </c>
      <c r="G33" t="s">
        <v>1053</v>
      </c>
      <c r="H33" t="s">
        <v>2072</v>
      </c>
      <c r="K33">
        <v>0</v>
      </c>
      <c r="L33">
        <v>0</v>
      </c>
      <c r="M33">
        <v>0</v>
      </c>
      <c r="N33">
        <v>0</v>
      </c>
      <c r="O33">
        <v>0</v>
      </c>
    </row>
    <row r="34" spans="1:15">
      <c r="A34" t="s">
        <v>694</v>
      </c>
      <c r="B34" t="s">
        <v>1595</v>
      </c>
      <c r="C34" t="s">
        <v>2224</v>
      </c>
      <c r="D34" t="s">
        <v>1051</v>
      </c>
      <c r="E34" t="s">
        <v>466</v>
      </c>
      <c r="F34" t="s">
        <v>1052</v>
      </c>
      <c r="G34" t="s">
        <v>1053</v>
      </c>
      <c r="H34" t="s">
        <v>1016</v>
      </c>
      <c r="I34">
        <v>260.10000000000002</v>
      </c>
      <c r="J34">
        <v>0</v>
      </c>
      <c r="K34">
        <v>0</v>
      </c>
      <c r="L34">
        <v>0</v>
      </c>
      <c r="M34">
        <v>260.10000000000002</v>
      </c>
      <c r="N34">
        <v>0</v>
      </c>
      <c r="O34">
        <v>260.10000000000002</v>
      </c>
    </row>
    <row r="35" spans="1:15">
      <c r="A35" t="s">
        <v>694</v>
      </c>
      <c r="B35" t="s">
        <v>1595</v>
      </c>
      <c r="C35" t="s">
        <v>2224</v>
      </c>
      <c r="D35" t="s">
        <v>1051</v>
      </c>
      <c r="E35" t="s">
        <v>466</v>
      </c>
      <c r="F35" t="s">
        <v>1052</v>
      </c>
      <c r="G35" t="s">
        <v>1053</v>
      </c>
      <c r="H35" t="s">
        <v>1024</v>
      </c>
      <c r="J35">
        <v>0</v>
      </c>
      <c r="K35">
        <v>0</v>
      </c>
      <c r="L35">
        <v>0</v>
      </c>
      <c r="M35">
        <v>0</v>
      </c>
      <c r="N35">
        <v>0</v>
      </c>
      <c r="O35">
        <v>0</v>
      </c>
    </row>
    <row r="36" spans="1:15">
      <c r="A36" t="s">
        <v>695</v>
      </c>
      <c r="B36" t="s">
        <v>1596</v>
      </c>
      <c r="C36" t="s">
        <v>2225</v>
      </c>
      <c r="D36" t="s">
        <v>1051</v>
      </c>
      <c r="E36" t="s">
        <v>466</v>
      </c>
      <c r="F36" t="s">
        <v>1052</v>
      </c>
      <c r="G36" t="s">
        <v>1053</v>
      </c>
      <c r="H36" t="s">
        <v>974</v>
      </c>
      <c r="I36">
        <v>13399790.25</v>
      </c>
      <c r="J36">
        <v>13189765.82</v>
      </c>
      <c r="K36">
        <v>0</v>
      </c>
      <c r="L36">
        <v>0</v>
      </c>
      <c r="M36">
        <v>13399790.25</v>
      </c>
      <c r="N36">
        <v>13189765.82</v>
      </c>
      <c r="O36">
        <v>210024.4299999997</v>
      </c>
    </row>
    <row r="37" spans="1:15">
      <c r="A37" t="s">
        <v>695</v>
      </c>
      <c r="B37" t="s">
        <v>1596</v>
      </c>
      <c r="C37" t="s">
        <v>2225</v>
      </c>
      <c r="D37" t="s">
        <v>1051</v>
      </c>
      <c r="E37" t="s">
        <v>466</v>
      </c>
      <c r="F37" t="s">
        <v>1052</v>
      </c>
      <c r="G37" t="s">
        <v>1053</v>
      </c>
      <c r="H37" t="s">
        <v>1276</v>
      </c>
      <c r="K37">
        <v>0</v>
      </c>
      <c r="L37">
        <v>0</v>
      </c>
      <c r="M37">
        <v>0</v>
      </c>
      <c r="N37">
        <v>0</v>
      </c>
      <c r="O37">
        <v>0</v>
      </c>
    </row>
    <row r="38" spans="1:15">
      <c r="A38" t="s">
        <v>695</v>
      </c>
      <c r="B38" t="s">
        <v>1596</v>
      </c>
      <c r="C38" t="s">
        <v>2225</v>
      </c>
      <c r="D38" t="s">
        <v>1051</v>
      </c>
      <c r="E38" t="s">
        <v>466</v>
      </c>
      <c r="F38" t="s">
        <v>1057</v>
      </c>
      <c r="G38" t="s">
        <v>1053</v>
      </c>
      <c r="H38" t="s">
        <v>992</v>
      </c>
      <c r="K38">
        <v>0</v>
      </c>
      <c r="L38">
        <v>0</v>
      </c>
      <c r="M38">
        <v>0</v>
      </c>
      <c r="N38">
        <v>0</v>
      </c>
      <c r="O38">
        <v>0</v>
      </c>
    </row>
    <row r="39" spans="1:15">
      <c r="A39" t="s">
        <v>696</v>
      </c>
      <c r="B39" t="s">
        <v>2073</v>
      </c>
      <c r="C39" t="s">
        <v>508</v>
      </c>
      <c r="D39" t="s">
        <v>330</v>
      </c>
      <c r="E39" t="s">
        <v>330</v>
      </c>
      <c r="F39" t="s">
        <v>330</v>
      </c>
      <c r="G39" t="s">
        <v>330</v>
      </c>
      <c r="H39" t="s">
        <v>974</v>
      </c>
      <c r="I39">
        <v>0</v>
      </c>
      <c r="J39">
        <v>14070</v>
      </c>
      <c r="K39">
        <v>0</v>
      </c>
      <c r="L39">
        <v>0</v>
      </c>
      <c r="M39">
        <v>0</v>
      </c>
      <c r="N39">
        <v>14070</v>
      </c>
      <c r="O39">
        <v>-14070</v>
      </c>
    </row>
    <row r="40" spans="1:15">
      <c r="A40" t="s">
        <v>697</v>
      </c>
      <c r="B40" t="s">
        <v>1597</v>
      </c>
      <c r="C40" t="s">
        <v>508</v>
      </c>
      <c r="D40" t="s">
        <v>330</v>
      </c>
      <c r="E40" t="s">
        <v>330</v>
      </c>
      <c r="F40" t="s">
        <v>330</v>
      </c>
      <c r="G40" t="s">
        <v>330</v>
      </c>
      <c r="H40" t="s">
        <v>1014</v>
      </c>
      <c r="I40">
        <v>7638</v>
      </c>
      <c r="J40">
        <v>0</v>
      </c>
      <c r="K40">
        <v>0</v>
      </c>
      <c r="L40">
        <v>0</v>
      </c>
      <c r="M40">
        <v>7638</v>
      </c>
      <c r="N40">
        <v>0</v>
      </c>
      <c r="O40">
        <v>7638</v>
      </c>
    </row>
    <row r="41" spans="1:15">
      <c r="A41" t="s">
        <v>697</v>
      </c>
      <c r="B41" t="s">
        <v>1597</v>
      </c>
      <c r="C41" t="s">
        <v>508</v>
      </c>
      <c r="D41" t="s">
        <v>330</v>
      </c>
      <c r="E41" t="s">
        <v>330</v>
      </c>
      <c r="F41" t="s">
        <v>330</v>
      </c>
      <c r="G41" t="s">
        <v>330</v>
      </c>
      <c r="H41" t="s">
        <v>974</v>
      </c>
      <c r="J41">
        <v>0</v>
      </c>
      <c r="K41">
        <v>0</v>
      </c>
      <c r="L41">
        <v>0</v>
      </c>
      <c r="M41">
        <v>0</v>
      </c>
      <c r="N41">
        <v>0</v>
      </c>
      <c r="O41">
        <v>0</v>
      </c>
    </row>
    <row r="42" spans="1:15">
      <c r="A42" t="s">
        <v>698</v>
      </c>
      <c r="B42" t="s">
        <v>2074</v>
      </c>
      <c r="C42" t="s">
        <v>508</v>
      </c>
      <c r="D42" t="s">
        <v>330</v>
      </c>
      <c r="E42" t="s">
        <v>330</v>
      </c>
      <c r="F42" t="s">
        <v>330</v>
      </c>
      <c r="G42" t="s">
        <v>330</v>
      </c>
      <c r="H42" t="s">
        <v>974</v>
      </c>
      <c r="I42">
        <v>398399</v>
      </c>
      <c r="J42">
        <v>0</v>
      </c>
      <c r="K42">
        <v>0</v>
      </c>
      <c r="L42">
        <v>0</v>
      </c>
      <c r="M42">
        <v>398399</v>
      </c>
      <c r="N42">
        <v>0</v>
      </c>
      <c r="O42">
        <v>398399</v>
      </c>
    </row>
    <row r="43" spans="1:15">
      <c r="A43" t="s">
        <v>699</v>
      </c>
      <c r="B43" t="s">
        <v>2075</v>
      </c>
      <c r="C43" t="s">
        <v>508</v>
      </c>
      <c r="D43" t="s">
        <v>330</v>
      </c>
      <c r="E43" t="s">
        <v>330</v>
      </c>
      <c r="F43" t="s">
        <v>330</v>
      </c>
      <c r="G43" t="s">
        <v>330</v>
      </c>
      <c r="H43" t="s">
        <v>1013</v>
      </c>
      <c r="I43">
        <v>95515</v>
      </c>
      <c r="J43">
        <v>0</v>
      </c>
      <c r="K43">
        <v>0</v>
      </c>
      <c r="L43">
        <v>0</v>
      </c>
      <c r="M43">
        <v>95515</v>
      </c>
      <c r="N43">
        <v>0</v>
      </c>
      <c r="O43">
        <v>95515</v>
      </c>
    </row>
    <row r="44" spans="1:15">
      <c r="A44" t="s">
        <v>699</v>
      </c>
      <c r="B44" t="s">
        <v>2075</v>
      </c>
      <c r="C44" t="s">
        <v>508</v>
      </c>
      <c r="D44" t="s">
        <v>330</v>
      </c>
      <c r="E44" t="s">
        <v>330</v>
      </c>
      <c r="F44" t="s">
        <v>330</v>
      </c>
      <c r="G44" t="s">
        <v>330</v>
      </c>
      <c r="H44" t="s">
        <v>974</v>
      </c>
      <c r="J44">
        <v>0</v>
      </c>
      <c r="K44">
        <v>0</v>
      </c>
      <c r="L44">
        <v>0</v>
      </c>
      <c r="M44">
        <v>0</v>
      </c>
      <c r="N44">
        <v>0</v>
      </c>
      <c r="O44">
        <v>0</v>
      </c>
    </row>
    <row r="45" spans="1:15">
      <c r="A45" t="s">
        <v>700</v>
      </c>
      <c r="B45" t="s">
        <v>1598</v>
      </c>
      <c r="C45" t="s">
        <v>2226</v>
      </c>
      <c r="D45" t="s">
        <v>1051</v>
      </c>
      <c r="E45" t="s">
        <v>466</v>
      </c>
      <c r="F45" t="s">
        <v>1057</v>
      </c>
      <c r="G45" t="s">
        <v>1058</v>
      </c>
      <c r="H45" t="s">
        <v>974</v>
      </c>
      <c r="I45">
        <v>8160</v>
      </c>
      <c r="J45">
        <v>0</v>
      </c>
      <c r="K45">
        <v>0</v>
      </c>
      <c r="L45">
        <v>0</v>
      </c>
      <c r="M45">
        <v>8160</v>
      </c>
      <c r="N45">
        <v>0</v>
      </c>
      <c r="O45">
        <v>8160</v>
      </c>
    </row>
    <row r="46" spans="1:15">
      <c r="A46" t="s">
        <v>701</v>
      </c>
      <c r="B46" t="s">
        <v>1599</v>
      </c>
      <c r="C46" t="s">
        <v>2227</v>
      </c>
      <c r="D46" t="s">
        <v>1051</v>
      </c>
      <c r="E46" t="s">
        <v>466</v>
      </c>
      <c r="F46" t="s">
        <v>1057</v>
      </c>
      <c r="G46" t="s">
        <v>1058</v>
      </c>
      <c r="H46" t="s">
        <v>1276</v>
      </c>
      <c r="I46">
        <v>0</v>
      </c>
      <c r="J46">
        <v>8065</v>
      </c>
      <c r="K46">
        <v>0</v>
      </c>
      <c r="L46">
        <v>0</v>
      </c>
      <c r="M46">
        <v>0</v>
      </c>
      <c r="N46">
        <v>8065</v>
      </c>
      <c r="O46">
        <v>-8065</v>
      </c>
    </row>
    <row r="47" spans="1:15">
      <c r="A47" t="s">
        <v>702</v>
      </c>
      <c r="B47" t="s">
        <v>2076</v>
      </c>
      <c r="C47" t="s">
        <v>508</v>
      </c>
      <c r="D47" t="s">
        <v>330</v>
      </c>
      <c r="E47" t="s">
        <v>330</v>
      </c>
      <c r="F47" t="s">
        <v>330</v>
      </c>
      <c r="G47" t="s">
        <v>330</v>
      </c>
      <c r="H47" t="s">
        <v>974</v>
      </c>
      <c r="I47">
        <v>11000</v>
      </c>
      <c r="J47">
        <v>0</v>
      </c>
      <c r="K47">
        <v>0</v>
      </c>
      <c r="L47">
        <v>0</v>
      </c>
      <c r="M47">
        <v>11000</v>
      </c>
      <c r="N47">
        <v>0</v>
      </c>
      <c r="O47">
        <v>11000</v>
      </c>
    </row>
    <row r="48" spans="1:15">
      <c r="A48" t="s">
        <v>704</v>
      </c>
      <c r="B48" t="s">
        <v>1600</v>
      </c>
      <c r="C48" t="s">
        <v>2228</v>
      </c>
      <c r="D48" t="s">
        <v>1051</v>
      </c>
      <c r="E48" t="s">
        <v>466</v>
      </c>
      <c r="F48" t="s">
        <v>1057</v>
      </c>
      <c r="G48" t="s">
        <v>332</v>
      </c>
      <c r="H48" t="s">
        <v>1014</v>
      </c>
      <c r="I48">
        <v>4846426</v>
      </c>
      <c r="J48">
        <v>10746897</v>
      </c>
      <c r="K48">
        <v>0</v>
      </c>
      <c r="L48">
        <v>0</v>
      </c>
      <c r="M48">
        <v>4846426</v>
      </c>
      <c r="N48">
        <v>10746897</v>
      </c>
      <c r="O48">
        <v>-5900471</v>
      </c>
    </row>
    <row r="49" spans="1:15">
      <c r="A49" t="s">
        <v>704</v>
      </c>
      <c r="B49" t="s">
        <v>1600</v>
      </c>
      <c r="C49" t="s">
        <v>2228</v>
      </c>
      <c r="D49" t="s">
        <v>1051</v>
      </c>
      <c r="E49" t="s">
        <v>466</v>
      </c>
      <c r="F49" t="s">
        <v>1057</v>
      </c>
      <c r="G49" t="s">
        <v>332</v>
      </c>
      <c r="H49" t="s">
        <v>974</v>
      </c>
      <c r="K49">
        <v>0</v>
      </c>
      <c r="L49">
        <v>0</v>
      </c>
      <c r="M49">
        <v>0</v>
      </c>
      <c r="N49">
        <v>0</v>
      </c>
      <c r="O49">
        <v>0</v>
      </c>
    </row>
    <row r="50" spans="1:15">
      <c r="A50" t="s">
        <v>704</v>
      </c>
      <c r="B50" t="s">
        <v>1600</v>
      </c>
      <c r="C50" t="s">
        <v>2228</v>
      </c>
      <c r="D50" t="s">
        <v>1051</v>
      </c>
      <c r="E50" t="s">
        <v>466</v>
      </c>
      <c r="F50" t="s">
        <v>1057</v>
      </c>
      <c r="G50" t="s">
        <v>332</v>
      </c>
      <c r="H50" t="s">
        <v>1023</v>
      </c>
      <c r="K50">
        <v>0</v>
      </c>
      <c r="L50">
        <v>0</v>
      </c>
      <c r="M50">
        <v>0</v>
      </c>
      <c r="N50">
        <v>0</v>
      </c>
      <c r="O50">
        <v>0</v>
      </c>
    </row>
    <row r="51" spans="1:15">
      <c r="A51" t="s">
        <v>704</v>
      </c>
      <c r="B51" t="s">
        <v>1600</v>
      </c>
      <c r="C51" t="s">
        <v>2228</v>
      </c>
      <c r="D51" t="s">
        <v>1051</v>
      </c>
      <c r="E51" t="s">
        <v>466</v>
      </c>
      <c r="F51" t="s">
        <v>1057</v>
      </c>
      <c r="G51" t="s">
        <v>332</v>
      </c>
      <c r="H51" t="s">
        <v>1011</v>
      </c>
      <c r="K51">
        <v>0</v>
      </c>
      <c r="L51">
        <v>0</v>
      </c>
      <c r="M51">
        <v>0</v>
      </c>
      <c r="N51">
        <v>0</v>
      </c>
      <c r="O51">
        <v>0</v>
      </c>
    </row>
    <row r="52" spans="1:15">
      <c r="A52" t="s">
        <v>704</v>
      </c>
      <c r="B52" t="s">
        <v>1600</v>
      </c>
      <c r="C52" t="s">
        <v>2228</v>
      </c>
      <c r="D52" t="s">
        <v>1051</v>
      </c>
      <c r="E52" t="s">
        <v>466</v>
      </c>
      <c r="F52" t="s">
        <v>1057</v>
      </c>
      <c r="G52" t="s">
        <v>332</v>
      </c>
      <c r="H52" t="s">
        <v>1276</v>
      </c>
      <c r="K52">
        <v>0</v>
      </c>
      <c r="L52">
        <v>0</v>
      </c>
      <c r="M52">
        <v>0</v>
      </c>
      <c r="N52">
        <v>0</v>
      </c>
      <c r="O52">
        <v>0</v>
      </c>
    </row>
    <row r="53" spans="1:15">
      <c r="A53" t="s">
        <v>704</v>
      </c>
      <c r="B53" t="s">
        <v>1600</v>
      </c>
      <c r="C53" t="s">
        <v>2228</v>
      </c>
      <c r="D53" t="s">
        <v>1051</v>
      </c>
      <c r="E53" t="s">
        <v>466</v>
      </c>
      <c r="F53" t="s">
        <v>1057</v>
      </c>
      <c r="G53" t="s">
        <v>332</v>
      </c>
      <c r="H53" t="s">
        <v>2072</v>
      </c>
      <c r="K53">
        <v>0</v>
      </c>
      <c r="L53">
        <v>0</v>
      </c>
      <c r="M53">
        <v>0</v>
      </c>
      <c r="N53">
        <v>0</v>
      </c>
      <c r="O53">
        <v>0</v>
      </c>
    </row>
    <row r="54" spans="1:15">
      <c r="A54" t="s">
        <v>705</v>
      </c>
      <c r="B54" t="s">
        <v>1601</v>
      </c>
      <c r="C54" t="s">
        <v>2229</v>
      </c>
      <c r="D54" t="s">
        <v>1051</v>
      </c>
      <c r="E54" t="s">
        <v>466</v>
      </c>
      <c r="F54" t="s">
        <v>1057</v>
      </c>
      <c r="G54" t="s">
        <v>1058</v>
      </c>
      <c r="H54" t="s">
        <v>1014</v>
      </c>
      <c r="I54">
        <v>12147.56</v>
      </c>
      <c r="J54">
        <v>0</v>
      </c>
      <c r="K54">
        <v>0</v>
      </c>
      <c r="L54">
        <v>0</v>
      </c>
      <c r="M54">
        <v>12147.56</v>
      </c>
      <c r="N54">
        <v>0</v>
      </c>
      <c r="O54">
        <v>12147.56</v>
      </c>
    </row>
    <row r="55" spans="1:15">
      <c r="A55" t="s">
        <v>705</v>
      </c>
      <c r="B55" t="s">
        <v>1601</v>
      </c>
      <c r="C55" t="s">
        <v>2229</v>
      </c>
      <c r="D55" t="s">
        <v>1051</v>
      </c>
      <c r="E55" t="s">
        <v>466</v>
      </c>
      <c r="F55" t="s">
        <v>1057</v>
      </c>
      <c r="G55" t="s">
        <v>1058</v>
      </c>
      <c r="H55" t="s">
        <v>974</v>
      </c>
      <c r="J55">
        <v>0</v>
      </c>
      <c r="K55">
        <v>0</v>
      </c>
      <c r="L55">
        <v>0</v>
      </c>
      <c r="M55">
        <v>0</v>
      </c>
      <c r="N55">
        <v>0</v>
      </c>
      <c r="O55">
        <v>0</v>
      </c>
    </row>
    <row r="56" spans="1:15">
      <c r="A56" t="s">
        <v>705</v>
      </c>
      <c r="B56" t="s">
        <v>1601</v>
      </c>
      <c r="C56" t="s">
        <v>2229</v>
      </c>
      <c r="D56" t="s">
        <v>1051</v>
      </c>
      <c r="E56" t="s">
        <v>466</v>
      </c>
      <c r="F56" t="s">
        <v>1057</v>
      </c>
      <c r="G56" t="s">
        <v>1058</v>
      </c>
      <c r="H56" t="s">
        <v>1011</v>
      </c>
      <c r="J56">
        <v>0</v>
      </c>
      <c r="K56">
        <v>0</v>
      </c>
      <c r="L56">
        <v>0</v>
      </c>
      <c r="M56">
        <v>0</v>
      </c>
      <c r="N56">
        <v>0</v>
      </c>
      <c r="O56">
        <v>0</v>
      </c>
    </row>
    <row r="57" spans="1:15">
      <c r="A57" t="s">
        <v>705</v>
      </c>
      <c r="B57" t="s">
        <v>1601</v>
      </c>
      <c r="C57" t="s">
        <v>2229</v>
      </c>
      <c r="D57" t="s">
        <v>1051</v>
      </c>
      <c r="E57" t="s">
        <v>466</v>
      </c>
      <c r="F57" t="s">
        <v>1057</v>
      </c>
      <c r="G57" t="s">
        <v>1058</v>
      </c>
      <c r="H57" t="s">
        <v>1276</v>
      </c>
      <c r="J57">
        <v>0</v>
      </c>
      <c r="K57">
        <v>0</v>
      </c>
      <c r="L57">
        <v>0</v>
      </c>
      <c r="M57">
        <v>0</v>
      </c>
      <c r="N57">
        <v>0</v>
      </c>
      <c r="O57">
        <v>0</v>
      </c>
    </row>
    <row r="58" spans="1:15">
      <c r="A58" t="s">
        <v>705</v>
      </c>
      <c r="B58" t="s">
        <v>1601</v>
      </c>
      <c r="C58" t="s">
        <v>2229</v>
      </c>
      <c r="D58" t="s">
        <v>1051</v>
      </c>
      <c r="E58" t="s">
        <v>466</v>
      </c>
      <c r="F58" t="s">
        <v>1057</v>
      </c>
      <c r="G58" t="s">
        <v>1058</v>
      </c>
      <c r="H58" t="s">
        <v>1025</v>
      </c>
      <c r="J58">
        <v>0</v>
      </c>
      <c r="K58">
        <v>0</v>
      </c>
      <c r="L58">
        <v>0</v>
      </c>
      <c r="M58">
        <v>0</v>
      </c>
      <c r="N58">
        <v>0</v>
      </c>
      <c r="O58">
        <v>0</v>
      </c>
    </row>
    <row r="59" spans="1:15">
      <c r="A59" t="s">
        <v>705</v>
      </c>
      <c r="B59" t="s">
        <v>1601</v>
      </c>
      <c r="C59" t="s">
        <v>2229</v>
      </c>
      <c r="D59" t="s">
        <v>1051</v>
      </c>
      <c r="E59" t="s">
        <v>466</v>
      </c>
      <c r="F59" t="s">
        <v>1057</v>
      </c>
      <c r="G59" t="s">
        <v>1058</v>
      </c>
      <c r="H59" t="s">
        <v>1024</v>
      </c>
      <c r="J59">
        <v>0</v>
      </c>
      <c r="K59">
        <v>0</v>
      </c>
      <c r="L59">
        <v>0</v>
      </c>
      <c r="M59">
        <v>0</v>
      </c>
      <c r="N59">
        <v>0</v>
      </c>
      <c r="O59">
        <v>0</v>
      </c>
    </row>
    <row r="60" spans="1:15">
      <c r="A60" t="s">
        <v>705</v>
      </c>
      <c r="B60" t="s">
        <v>1601</v>
      </c>
      <c r="C60" t="s">
        <v>2229</v>
      </c>
      <c r="D60" t="s">
        <v>1051</v>
      </c>
      <c r="E60" t="s">
        <v>466</v>
      </c>
      <c r="F60" t="s">
        <v>1057</v>
      </c>
      <c r="G60" t="s">
        <v>1058</v>
      </c>
      <c r="H60" t="s">
        <v>2072</v>
      </c>
      <c r="J60">
        <v>0</v>
      </c>
      <c r="K60">
        <v>0</v>
      </c>
      <c r="L60">
        <v>0</v>
      </c>
      <c r="M60">
        <v>0</v>
      </c>
      <c r="N60">
        <v>0</v>
      </c>
      <c r="O60">
        <v>0</v>
      </c>
    </row>
    <row r="61" spans="1:15">
      <c r="A61" t="s">
        <v>705</v>
      </c>
      <c r="B61" t="s">
        <v>1601</v>
      </c>
      <c r="C61" t="s">
        <v>2229</v>
      </c>
      <c r="D61" t="s">
        <v>1051</v>
      </c>
      <c r="E61" t="s">
        <v>466</v>
      </c>
      <c r="F61" t="s">
        <v>1057</v>
      </c>
      <c r="G61" t="s">
        <v>1058</v>
      </c>
      <c r="H61" t="s">
        <v>1019</v>
      </c>
      <c r="J61">
        <v>0</v>
      </c>
      <c r="K61">
        <v>0</v>
      </c>
      <c r="L61">
        <v>0</v>
      </c>
      <c r="M61">
        <v>0</v>
      </c>
      <c r="N61">
        <v>0</v>
      </c>
      <c r="O61">
        <v>0</v>
      </c>
    </row>
    <row r="62" spans="1:15">
      <c r="A62" t="s">
        <v>705</v>
      </c>
      <c r="B62" t="s">
        <v>1601</v>
      </c>
      <c r="C62" t="s">
        <v>2229</v>
      </c>
      <c r="D62" t="s">
        <v>1051</v>
      </c>
      <c r="E62" t="s">
        <v>466</v>
      </c>
      <c r="F62" t="s">
        <v>1057</v>
      </c>
      <c r="G62" t="s">
        <v>1058</v>
      </c>
      <c r="H62" t="s">
        <v>1026</v>
      </c>
      <c r="J62">
        <v>0</v>
      </c>
      <c r="K62">
        <v>0</v>
      </c>
      <c r="L62">
        <v>0</v>
      </c>
      <c r="M62">
        <v>0</v>
      </c>
      <c r="N62">
        <v>0</v>
      </c>
      <c r="O62">
        <v>0</v>
      </c>
    </row>
    <row r="63" spans="1:15">
      <c r="A63" t="s">
        <v>705</v>
      </c>
      <c r="B63" t="s">
        <v>1601</v>
      </c>
      <c r="C63" t="s">
        <v>2229</v>
      </c>
      <c r="D63" t="s">
        <v>1051</v>
      </c>
      <c r="E63" t="s">
        <v>466</v>
      </c>
      <c r="F63" t="s">
        <v>1057</v>
      </c>
      <c r="G63" t="s">
        <v>1058</v>
      </c>
      <c r="H63" t="s">
        <v>1027</v>
      </c>
      <c r="J63">
        <v>0</v>
      </c>
      <c r="K63">
        <v>0</v>
      </c>
      <c r="L63">
        <v>0</v>
      </c>
      <c r="M63">
        <v>0</v>
      </c>
      <c r="N63">
        <v>0</v>
      </c>
      <c r="O63">
        <v>0</v>
      </c>
    </row>
    <row r="64" spans="1:15">
      <c r="A64" t="s">
        <v>705</v>
      </c>
      <c r="B64" t="s">
        <v>1601</v>
      </c>
      <c r="C64" t="s">
        <v>2229</v>
      </c>
      <c r="D64" t="s">
        <v>1051</v>
      </c>
      <c r="E64" t="s">
        <v>466</v>
      </c>
      <c r="F64" t="s">
        <v>1057</v>
      </c>
      <c r="G64" t="s">
        <v>1058</v>
      </c>
      <c r="H64" t="s">
        <v>992</v>
      </c>
      <c r="J64">
        <v>0</v>
      </c>
      <c r="K64">
        <v>0</v>
      </c>
      <c r="L64">
        <v>0</v>
      </c>
      <c r="M64">
        <v>0</v>
      </c>
      <c r="N64">
        <v>0</v>
      </c>
      <c r="O64">
        <v>0</v>
      </c>
    </row>
    <row r="65" spans="1:15">
      <c r="A65" t="s">
        <v>706</v>
      </c>
      <c r="B65" t="s">
        <v>1602</v>
      </c>
      <c r="C65" t="s">
        <v>2230</v>
      </c>
      <c r="D65" t="s">
        <v>1051</v>
      </c>
      <c r="E65" t="s">
        <v>466</v>
      </c>
      <c r="F65" t="s">
        <v>1057</v>
      </c>
      <c r="G65" t="s">
        <v>1058</v>
      </c>
      <c r="H65" t="s">
        <v>974</v>
      </c>
      <c r="I65">
        <v>319700</v>
      </c>
      <c r="J65">
        <v>200000</v>
      </c>
      <c r="K65">
        <v>0</v>
      </c>
      <c r="L65">
        <v>0</v>
      </c>
      <c r="M65">
        <v>319700</v>
      </c>
      <c r="N65">
        <v>200000</v>
      </c>
      <c r="O65">
        <v>119700</v>
      </c>
    </row>
    <row r="66" spans="1:15">
      <c r="A66" t="s">
        <v>707</v>
      </c>
      <c r="B66" t="s">
        <v>1603</v>
      </c>
      <c r="C66" t="s">
        <v>2231</v>
      </c>
      <c r="D66" t="s">
        <v>1051</v>
      </c>
      <c r="E66" t="s">
        <v>466</v>
      </c>
      <c r="F66" t="s">
        <v>1057</v>
      </c>
      <c r="G66" t="s">
        <v>1058</v>
      </c>
      <c r="H66" t="s">
        <v>974</v>
      </c>
      <c r="I66">
        <v>2810000</v>
      </c>
      <c r="J66">
        <v>2750000</v>
      </c>
      <c r="K66">
        <v>0</v>
      </c>
      <c r="L66">
        <v>0</v>
      </c>
      <c r="M66">
        <v>2810000</v>
      </c>
      <c r="N66">
        <v>2750000</v>
      </c>
      <c r="O66">
        <v>60000</v>
      </c>
    </row>
    <row r="67" spans="1:15">
      <c r="A67" t="s">
        <v>707</v>
      </c>
      <c r="B67" t="s">
        <v>1603</v>
      </c>
      <c r="C67" t="s">
        <v>2231</v>
      </c>
      <c r="D67" t="s">
        <v>1051</v>
      </c>
      <c r="E67" t="s">
        <v>466</v>
      </c>
      <c r="F67" t="s">
        <v>1057</v>
      </c>
      <c r="G67" t="s">
        <v>1058</v>
      </c>
      <c r="H67" t="s">
        <v>1276</v>
      </c>
      <c r="K67">
        <v>0</v>
      </c>
      <c r="L67">
        <v>0</v>
      </c>
      <c r="M67">
        <v>0</v>
      </c>
      <c r="N67">
        <v>0</v>
      </c>
      <c r="O67">
        <v>0</v>
      </c>
    </row>
    <row r="68" spans="1:15">
      <c r="A68" t="s">
        <v>707</v>
      </c>
      <c r="B68" t="s">
        <v>1603</v>
      </c>
      <c r="C68" t="s">
        <v>2231</v>
      </c>
      <c r="D68" t="s">
        <v>1051</v>
      </c>
      <c r="E68" t="s">
        <v>466</v>
      </c>
      <c r="F68" t="s">
        <v>1057</v>
      </c>
      <c r="G68" t="s">
        <v>1058</v>
      </c>
      <c r="H68" t="s">
        <v>1021</v>
      </c>
      <c r="K68">
        <v>0</v>
      </c>
      <c r="L68">
        <v>0</v>
      </c>
      <c r="M68">
        <v>0</v>
      </c>
      <c r="N68">
        <v>0</v>
      </c>
      <c r="O68">
        <v>0</v>
      </c>
    </row>
    <row r="69" spans="1:15">
      <c r="A69" t="s">
        <v>707</v>
      </c>
      <c r="B69" t="s">
        <v>1603</v>
      </c>
      <c r="C69" t="s">
        <v>2231</v>
      </c>
      <c r="D69" t="s">
        <v>1051</v>
      </c>
      <c r="E69" t="s">
        <v>466</v>
      </c>
      <c r="F69" t="s">
        <v>1057</v>
      </c>
      <c r="G69" t="s">
        <v>1058</v>
      </c>
      <c r="H69" t="s">
        <v>2072</v>
      </c>
      <c r="K69">
        <v>0</v>
      </c>
      <c r="L69">
        <v>0</v>
      </c>
      <c r="M69">
        <v>0</v>
      </c>
      <c r="N69">
        <v>0</v>
      </c>
      <c r="O69">
        <v>0</v>
      </c>
    </row>
    <row r="70" spans="1:15">
      <c r="A70" t="s">
        <v>708</v>
      </c>
      <c r="B70" t="s">
        <v>2077</v>
      </c>
      <c r="C70" t="s">
        <v>508</v>
      </c>
      <c r="D70" t="s">
        <v>330</v>
      </c>
      <c r="E70" t="s">
        <v>330</v>
      </c>
      <c r="F70" t="s">
        <v>330</v>
      </c>
      <c r="G70" t="s">
        <v>330</v>
      </c>
      <c r="H70" t="s">
        <v>1013</v>
      </c>
      <c r="I70">
        <v>3591736</v>
      </c>
      <c r="J70">
        <v>0</v>
      </c>
      <c r="K70">
        <v>0</v>
      </c>
      <c r="L70">
        <v>0</v>
      </c>
      <c r="M70">
        <v>3591736</v>
      </c>
      <c r="N70">
        <v>0</v>
      </c>
      <c r="O70">
        <v>3591736</v>
      </c>
    </row>
    <row r="71" spans="1:15">
      <c r="A71" t="s">
        <v>708</v>
      </c>
      <c r="B71" t="s">
        <v>2077</v>
      </c>
      <c r="C71" t="s">
        <v>508</v>
      </c>
      <c r="D71" t="s">
        <v>330</v>
      </c>
      <c r="E71" t="s">
        <v>330</v>
      </c>
      <c r="F71" t="s">
        <v>330</v>
      </c>
      <c r="G71" t="s">
        <v>330</v>
      </c>
      <c r="H71" t="s">
        <v>1014</v>
      </c>
      <c r="J71">
        <v>0</v>
      </c>
      <c r="K71">
        <v>0</v>
      </c>
      <c r="L71">
        <v>0</v>
      </c>
      <c r="M71">
        <v>0</v>
      </c>
      <c r="N71">
        <v>0</v>
      </c>
      <c r="O71">
        <v>0</v>
      </c>
    </row>
    <row r="72" spans="1:15">
      <c r="A72" t="s">
        <v>708</v>
      </c>
      <c r="B72" t="s">
        <v>2077</v>
      </c>
      <c r="C72" t="s">
        <v>508</v>
      </c>
      <c r="D72" t="s">
        <v>330</v>
      </c>
      <c r="E72" t="s">
        <v>330</v>
      </c>
      <c r="F72" t="s">
        <v>330</v>
      </c>
      <c r="G72" t="s">
        <v>330</v>
      </c>
      <c r="H72" t="s">
        <v>974</v>
      </c>
      <c r="J72">
        <v>0</v>
      </c>
      <c r="K72">
        <v>0</v>
      </c>
      <c r="L72">
        <v>0</v>
      </c>
      <c r="M72">
        <v>0</v>
      </c>
      <c r="N72">
        <v>0</v>
      </c>
      <c r="O72">
        <v>0</v>
      </c>
    </row>
    <row r="73" spans="1:15">
      <c r="A73" t="s">
        <v>708</v>
      </c>
      <c r="B73" t="s">
        <v>2077</v>
      </c>
      <c r="C73" t="s">
        <v>508</v>
      </c>
      <c r="D73" t="s">
        <v>330</v>
      </c>
      <c r="E73" t="s">
        <v>330</v>
      </c>
      <c r="F73" t="s">
        <v>330</v>
      </c>
      <c r="G73" t="s">
        <v>330</v>
      </c>
      <c r="H73" t="s">
        <v>1276</v>
      </c>
      <c r="J73">
        <v>0</v>
      </c>
      <c r="K73">
        <v>0</v>
      </c>
      <c r="L73">
        <v>0</v>
      </c>
      <c r="M73">
        <v>0</v>
      </c>
      <c r="N73">
        <v>0</v>
      </c>
      <c r="O73">
        <v>0</v>
      </c>
    </row>
    <row r="74" spans="1:15">
      <c r="A74" t="s">
        <v>708</v>
      </c>
      <c r="B74" t="s">
        <v>2077</v>
      </c>
      <c r="C74" t="s">
        <v>508</v>
      </c>
      <c r="D74" t="s">
        <v>330</v>
      </c>
      <c r="E74" t="s">
        <v>330</v>
      </c>
      <c r="F74" t="s">
        <v>330</v>
      </c>
      <c r="G74" t="s">
        <v>330</v>
      </c>
      <c r="H74" t="s">
        <v>1025</v>
      </c>
      <c r="J74">
        <v>0</v>
      </c>
      <c r="K74">
        <v>0</v>
      </c>
      <c r="L74">
        <v>0</v>
      </c>
      <c r="M74">
        <v>0</v>
      </c>
      <c r="N74">
        <v>0</v>
      </c>
      <c r="O74">
        <v>0</v>
      </c>
    </row>
    <row r="75" spans="1:15">
      <c r="A75" t="s">
        <v>708</v>
      </c>
      <c r="B75" t="s">
        <v>2077</v>
      </c>
      <c r="C75" t="s">
        <v>508</v>
      </c>
      <c r="D75" t="s">
        <v>330</v>
      </c>
      <c r="E75" t="s">
        <v>330</v>
      </c>
      <c r="F75" t="s">
        <v>330</v>
      </c>
      <c r="G75" t="s">
        <v>330</v>
      </c>
      <c r="H75" t="s">
        <v>2072</v>
      </c>
      <c r="J75">
        <v>0</v>
      </c>
      <c r="K75">
        <v>0</v>
      </c>
      <c r="L75">
        <v>0</v>
      </c>
      <c r="M75">
        <v>0</v>
      </c>
      <c r="N75">
        <v>0</v>
      </c>
      <c r="O75">
        <v>0</v>
      </c>
    </row>
    <row r="76" spans="1:15">
      <c r="A76" t="s">
        <v>708</v>
      </c>
      <c r="B76" t="s">
        <v>2077</v>
      </c>
      <c r="C76" t="s">
        <v>508</v>
      </c>
      <c r="D76" t="s">
        <v>330</v>
      </c>
      <c r="E76" t="s">
        <v>330</v>
      </c>
      <c r="F76" t="s">
        <v>330</v>
      </c>
      <c r="G76" t="s">
        <v>330</v>
      </c>
      <c r="H76" t="s">
        <v>1019</v>
      </c>
      <c r="J76">
        <v>0</v>
      </c>
      <c r="K76">
        <v>0</v>
      </c>
      <c r="L76">
        <v>0</v>
      </c>
      <c r="M76">
        <v>0</v>
      </c>
      <c r="N76">
        <v>0</v>
      </c>
      <c r="O76">
        <v>0</v>
      </c>
    </row>
    <row r="77" spans="1:15">
      <c r="A77" t="s">
        <v>708</v>
      </c>
      <c r="B77" t="s">
        <v>2077</v>
      </c>
      <c r="C77" t="s">
        <v>508</v>
      </c>
      <c r="D77" t="s">
        <v>330</v>
      </c>
      <c r="E77" t="s">
        <v>330</v>
      </c>
      <c r="F77" t="s">
        <v>330</v>
      </c>
      <c r="G77" t="s">
        <v>330</v>
      </c>
      <c r="H77" t="s">
        <v>1027</v>
      </c>
      <c r="J77">
        <v>0</v>
      </c>
      <c r="K77">
        <v>0</v>
      </c>
      <c r="L77">
        <v>0</v>
      </c>
      <c r="M77">
        <v>0</v>
      </c>
      <c r="N77">
        <v>0</v>
      </c>
      <c r="O77">
        <v>0</v>
      </c>
    </row>
    <row r="78" spans="1:15">
      <c r="A78" t="s">
        <v>708</v>
      </c>
      <c r="B78" t="s">
        <v>2077</v>
      </c>
      <c r="C78" t="s">
        <v>508</v>
      </c>
      <c r="D78" t="s">
        <v>330</v>
      </c>
      <c r="E78" t="s">
        <v>330</v>
      </c>
      <c r="F78" t="s">
        <v>330</v>
      </c>
      <c r="G78" t="s">
        <v>330</v>
      </c>
      <c r="H78" t="s">
        <v>992</v>
      </c>
      <c r="J78">
        <v>0</v>
      </c>
      <c r="K78">
        <v>0</v>
      </c>
      <c r="L78">
        <v>0</v>
      </c>
      <c r="M78">
        <v>0</v>
      </c>
      <c r="N78">
        <v>0</v>
      </c>
      <c r="O78">
        <v>0</v>
      </c>
    </row>
    <row r="79" spans="1:15">
      <c r="A79" t="s">
        <v>708</v>
      </c>
      <c r="B79" t="s">
        <v>2077</v>
      </c>
      <c r="C79" t="s">
        <v>508</v>
      </c>
      <c r="D79" t="s">
        <v>330</v>
      </c>
      <c r="E79" t="s">
        <v>330</v>
      </c>
      <c r="F79" t="s">
        <v>330</v>
      </c>
      <c r="G79" t="s">
        <v>330</v>
      </c>
      <c r="H79" t="s">
        <v>1275</v>
      </c>
      <c r="J79">
        <v>0</v>
      </c>
      <c r="K79">
        <v>500000</v>
      </c>
      <c r="L79">
        <v>500000</v>
      </c>
      <c r="M79">
        <v>500000</v>
      </c>
      <c r="N79">
        <v>500000</v>
      </c>
      <c r="O79">
        <v>0</v>
      </c>
    </row>
    <row r="80" spans="1:15">
      <c r="A80" t="s">
        <v>708</v>
      </c>
      <c r="B80" t="s">
        <v>2077</v>
      </c>
      <c r="C80" t="s">
        <v>508</v>
      </c>
      <c r="D80" t="s">
        <v>330</v>
      </c>
      <c r="E80" t="s">
        <v>330</v>
      </c>
      <c r="F80" t="s">
        <v>330</v>
      </c>
      <c r="G80" t="s">
        <v>330</v>
      </c>
      <c r="H80" t="s">
        <v>1723</v>
      </c>
      <c r="J80">
        <v>0</v>
      </c>
      <c r="K80">
        <v>10000</v>
      </c>
      <c r="L80">
        <v>0</v>
      </c>
      <c r="M80">
        <v>10000</v>
      </c>
      <c r="N80">
        <v>0</v>
      </c>
      <c r="O80">
        <v>10000</v>
      </c>
    </row>
    <row r="81" spans="1:15">
      <c r="A81" t="s">
        <v>709</v>
      </c>
      <c r="B81" t="s">
        <v>2078</v>
      </c>
      <c r="C81" t="s">
        <v>508</v>
      </c>
      <c r="D81" t="s">
        <v>330</v>
      </c>
      <c r="E81" t="s">
        <v>330</v>
      </c>
      <c r="F81" t="s">
        <v>330</v>
      </c>
      <c r="G81" t="s">
        <v>330</v>
      </c>
      <c r="H81" t="s">
        <v>974</v>
      </c>
      <c r="I81">
        <v>16440</v>
      </c>
      <c r="J81">
        <v>0</v>
      </c>
      <c r="K81">
        <v>0</v>
      </c>
      <c r="L81">
        <v>0</v>
      </c>
      <c r="M81">
        <v>16440</v>
      </c>
      <c r="N81">
        <v>0</v>
      </c>
      <c r="O81">
        <v>16440</v>
      </c>
    </row>
    <row r="82" spans="1:15">
      <c r="A82" t="s">
        <v>709</v>
      </c>
      <c r="B82" t="s">
        <v>2078</v>
      </c>
      <c r="C82" t="s">
        <v>508</v>
      </c>
      <c r="D82" t="s">
        <v>330</v>
      </c>
      <c r="E82" t="s">
        <v>330</v>
      </c>
      <c r="F82" t="s">
        <v>330</v>
      </c>
      <c r="G82" t="s">
        <v>330</v>
      </c>
      <c r="H82" t="s">
        <v>1020</v>
      </c>
      <c r="J82">
        <v>0</v>
      </c>
      <c r="K82">
        <v>0</v>
      </c>
      <c r="L82">
        <v>0</v>
      </c>
      <c r="M82">
        <v>0</v>
      </c>
      <c r="N82">
        <v>0</v>
      </c>
      <c r="O82">
        <v>0</v>
      </c>
    </row>
    <row r="83" spans="1:15">
      <c r="A83" t="s">
        <v>710</v>
      </c>
      <c r="B83" t="s">
        <v>2079</v>
      </c>
      <c r="C83" t="s">
        <v>508</v>
      </c>
      <c r="D83" t="s">
        <v>330</v>
      </c>
      <c r="E83" t="s">
        <v>330</v>
      </c>
      <c r="F83" t="s">
        <v>330</v>
      </c>
      <c r="G83" t="s">
        <v>330</v>
      </c>
      <c r="H83" t="s">
        <v>974</v>
      </c>
      <c r="I83">
        <v>3268048</v>
      </c>
      <c r="J83">
        <v>0</v>
      </c>
      <c r="K83">
        <v>0</v>
      </c>
      <c r="L83">
        <v>0</v>
      </c>
      <c r="M83">
        <v>3268048</v>
      </c>
      <c r="N83">
        <v>0</v>
      </c>
      <c r="O83">
        <v>3268048</v>
      </c>
    </row>
    <row r="84" spans="1:15">
      <c r="A84" t="s">
        <v>710</v>
      </c>
      <c r="B84" t="s">
        <v>2079</v>
      </c>
      <c r="C84" t="s">
        <v>508</v>
      </c>
      <c r="D84" t="s">
        <v>330</v>
      </c>
      <c r="E84" t="s">
        <v>330</v>
      </c>
      <c r="F84" t="s">
        <v>330</v>
      </c>
      <c r="G84" t="s">
        <v>330</v>
      </c>
      <c r="H84" t="s">
        <v>1276</v>
      </c>
      <c r="J84">
        <v>0</v>
      </c>
      <c r="K84">
        <v>0</v>
      </c>
      <c r="L84">
        <v>0</v>
      </c>
      <c r="M84">
        <v>0</v>
      </c>
      <c r="N84">
        <v>0</v>
      </c>
      <c r="O84">
        <v>0</v>
      </c>
    </row>
    <row r="85" spans="1:15">
      <c r="A85" t="s">
        <v>711</v>
      </c>
      <c r="B85" t="s">
        <v>2080</v>
      </c>
      <c r="C85" t="s">
        <v>508</v>
      </c>
      <c r="D85" t="s">
        <v>330</v>
      </c>
      <c r="E85" t="s">
        <v>330</v>
      </c>
      <c r="F85" t="s">
        <v>330</v>
      </c>
      <c r="G85" t="s">
        <v>330</v>
      </c>
      <c r="H85" t="s">
        <v>974</v>
      </c>
      <c r="I85">
        <v>693696</v>
      </c>
      <c r="J85">
        <v>0</v>
      </c>
      <c r="K85">
        <v>0</v>
      </c>
      <c r="L85">
        <v>0</v>
      </c>
      <c r="M85">
        <v>693696</v>
      </c>
      <c r="N85">
        <v>0</v>
      </c>
      <c r="O85">
        <v>693696</v>
      </c>
    </row>
    <row r="86" spans="1:15">
      <c r="A86" t="s">
        <v>711</v>
      </c>
      <c r="B86" t="s">
        <v>2080</v>
      </c>
      <c r="C86" t="s">
        <v>508</v>
      </c>
      <c r="D86" t="s">
        <v>330</v>
      </c>
      <c r="E86" t="s">
        <v>330</v>
      </c>
      <c r="F86" t="s">
        <v>330</v>
      </c>
      <c r="G86" t="s">
        <v>330</v>
      </c>
      <c r="H86" t="s">
        <v>1276</v>
      </c>
      <c r="J86">
        <v>0</v>
      </c>
      <c r="K86">
        <v>0</v>
      </c>
      <c r="L86">
        <v>0</v>
      </c>
      <c r="M86">
        <v>0</v>
      </c>
      <c r="N86">
        <v>0</v>
      </c>
      <c r="O86">
        <v>0</v>
      </c>
    </row>
    <row r="87" spans="1:15">
      <c r="A87" t="s">
        <v>711</v>
      </c>
      <c r="B87" t="s">
        <v>2080</v>
      </c>
      <c r="C87" t="s">
        <v>508</v>
      </c>
      <c r="D87" t="s">
        <v>330</v>
      </c>
      <c r="E87" t="s">
        <v>330</v>
      </c>
      <c r="F87" t="s">
        <v>330</v>
      </c>
      <c r="G87" t="s">
        <v>330</v>
      </c>
      <c r="H87" t="s">
        <v>1025</v>
      </c>
      <c r="J87">
        <v>0</v>
      </c>
      <c r="K87">
        <v>0</v>
      </c>
      <c r="L87">
        <v>0</v>
      </c>
      <c r="M87">
        <v>0</v>
      </c>
      <c r="N87">
        <v>0</v>
      </c>
      <c r="O87">
        <v>0</v>
      </c>
    </row>
    <row r="88" spans="1:15">
      <c r="A88" t="s">
        <v>712</v>
      </c>
      <c r="B88" t="s">
        <v>1604</v>
      </c>
      <c r="C88" t="s">
        <v>2232</v>
      </c>
      <c r="D88" t="s">
        <v>1051</v>
      </c>
      <c r="E88" t="s">
        <v>466</v>
      </c>
      <c r="F88" t="s">
        <v>1057</v>
      </c>
      <c r="G88" t="s">
        <v>1058</v>
      </c>
      <c r="H88" t="s">
        <v>974</v>
      </c>
      <c r="I88">
        <v>1400</v>
      </c>
      <c r="J88">
        <v>0</v>
      </c>
      <c r="K88">
        <v>0</v>
      </c>
      <c r="L88">
        <v>0</v>
      </c>
      <c r="M88">
        <v>1400</v>
      </c>
      <c r="N88">
        <v>0</v>
      </c>
      <c r="O88">
        <v>1400</v>
      </c>
    </row>
    <row r="89" spans="1:15">
      <c r="A89" t="s">
        <v>713</v>
      </c>
      <c r="B89" t="s">
        <v>2081</v>
      </c>
      <c r="C89" t="s">
        <v>508</v>
      </c>
      <c r="D89" t="s">
        <v>330</v>
      </c>
      <c r="E89" t="s">
        <v>330</v>
      </c>
      <c r="F89" t="s">
        <v>330</v>
      </c>
      <c r="G89" t="s">
        <v>330</v>
      </c>
      <c r="H89" t="s">
        <v>974</v>
      </c>
      <c r="I89">
        <v>367608</v>
      </c>
      <c r="J89">
        <v>0</v>
      </c>
      <c r="K89">
        <v>0</v>
      </c>
      <c r="L89">
        <v>0</v>
      </c>
      <c r="M89">
        <v>367608</v>
      </c>
      <c r="N89">
        <v>0</v>
      </c>
      <c r="O89">
        <v>367608</v>
      </c>
    </row>
    <row r="90" spans="1:15">
      <c r="A90" t="s">
        <v>714</v>
      </c>
      <c r="B90" t="s">
        <v>2082</v>
      </c>
      <c r="C90" t="s">
        <v>508</v>
      </c>
      <c r="D90" t="s">
        <v>330</v>
      </c>
      <c r="E90" t="s">
        <v>330</v>
      </c>
      <c r="F90" t="s">
        <v>330</v>
      </c>
      <c r="G90" t="s">
        <v>330</v>
      </c>
      <c r="H90" t="s">
        <v>974</v>
      </c>
      <c r="I90">
        <v>233849</v>
      </c>
      <c r="J90">
        <v>0</v>
      </c>
      <c r="K90">
        <v>0</v>
      </c>
      <c r="L90">
        <v>0</v>
      </c>
      <c r="M90">
        <v>233849</v>
      </c>
      <c r="N90">
        <v>0</v>
      </c>
      <c r="O90">
        <v>233849</v>
      </c>
    </row>
    <row r="91" spans="1:15">
      <c r="A91" t="s">
        <v>714</v>
      </c>
      <c r="B91" t="s">
        <v>2082</v>
      </c>
      <c r="C91" t="s">
        <v>508</v>
      </c>
      <c r="D91" t="s">
        <v>330</v>
      </c>
      <c r="E91" t="s">
        <v>330</v>
      </c>
      <c r="F91" t="s">
        <v>330</v>
      </c>
      <c r="G91" t="s">
        <v>330</v>
      </c>
      <c r="H91" t="s">
        <v>1011</v>
      </c>
      <c r="J91">
        <v>0</v>
      </c>
      <c r="K91">
        <v>0</v>
      </c>
      <c r="L91">
        <v>0</v>
      </c>
      <c r="M91">
        <v>0</v>
      </c>
      <c r="N91">
        <v>0</v>
      </c>
      <c r="O91">
        <v>0</v>
      </c>
    </row>
    <row r="92" spans="1:15">
      <c r="A92" t="s">
        <v>714</v>
      </c>
      <c r="B92" t="s">
        <v>2082</v>
      </c>
      <c r="C92" t="s">
        <v>508</v>
      </c>
      <c r="D92" t="s">
        <v>330</v>
      </c>
      <c r="E92" t="s">
        <v>330</v>
      </c>
      <c r="F92" t="s">
        <v>330</v>
      </c>
      <c r="G92" t="s">
        <v>330</v>
      </c>
      <c r="H92" t="s">
        <v>1276</v>
      </c>
      <c r="J92">
        <v>0</v>
      </c>
      <c r="K92">
        <v>0</v>
      </c>
      <c r="L92">
        <v>0</v>
      </c>
      <c r="M92">
        <v>0</v>
      </c>
      <c r="N92">
        <v>0</v>
      </c>
      <c r="O92">
        <v>0</v>
      </c>
    </row>
    <row r="93" spans="1:15">
      <c r="A93" t="s">
        <v>715</v>
      </c>
      <c r="B93" t="s">
        <v>2083</v>
      </c>
      <c r="C93" t="s">
        <v>2233</v>
      </c>
      <c r="D93" t="s">
        <v>1051</v>
      </c>
      <c r="E93" t="s">
        <v>466</v>
      </c>
      <c r="F93" t="s">
        <v>1057</v>
      </c>
      <c r="G93" t="s">
        <v>1058</v>
      </c>
      <c r="H93" t="s">
        <v>974</v>
      </c>
      <c r="I93">
        <v>66466</v>
      </c>
      <c r="J93">
        <v>0</v>
      </c>
      <c r="K93">
        <v>0</v>
      </c>
      <c r="L93">
        <v>0</v>
      </c>
      <c r="M93">
        <v>66466</v>
      </c>
      <c r="N93">
        <v>0</v>
      </c>
      <c r="O93">
        <v>66466</v>
      </c>
    </row>
    <row r="94" spans="1:15">
      <c r="A94" t="s">
        <v>716</v>
      </c>
      <c r="B94" t="s">
        <v>1605</v>
      </c>
      <c r="C94" t="s">
        <v>2234</v>
      </c>
      <c r="D94" t="s">
        <v>1051</v>
      </c>
      <c r="E94" t="s">
        <v>466</v>
      </c>
      <c r="F94" t="s">
        <v>1057</v>
      </c>
      <c r="G94" t="s">
        <v>1058</v>
      </c>
      <c r="H94" t="s">
        <v>974</v>
      </c>
      <c r="I94">
        <v>372335</v>
      </c>
      <c r="J94">
        <v>340773</v>
      </c>
      <c r="K94">
        <v>0</v>
      </c>
      <c r="L94">
        <v>0</v>
      </c>
      <c r="M94">
        <v>372335</v>
      </c>
      <c r="N94">
        <v>340773</v>
      </c>
      <c r="O94">
        <v>31562</v>
      </c>
    </row>
    <row r="95" spans="1:15">
      <c r="A95" t="s">
        <v>717</v>
      </c>
      <c r="B95" t="s">
        <v>1606</v>
      </c>
      <c r="C95" t="s">
        <v>2235</v>
      </c>
      <c r="D95" t="s">
        <v>1051</v>
      </c>
      <c r="E95" t="s">
        <v>466</v>
      </c>
      <c r="F95" t="s">
        <v>1057</v>
      </c>
      <c r="G95" t="s">
        <v>1058</v>
      </c>
      <c r="H95" t="s">
        <v>1019</v>
      </c>
      <c r="I95">
        <v>17670</v>
      </c>
      <c r="J95">
        <v>0</v>
      </c>
      <c r="K95">
        <v>0</v>
      </c>
      <c r="L95">
        <v>0</v>
      </c>
      <c r="M95">
        <v>17670</v>
      </c>
      <c r="N95">
        <v>0</v>
      </c>
      <c r="O95">
        <v>17670</v>
      </c>
    </row>
    <row r="96" spans="1:15">
      <c r="A96" t="s">
        <v>719</v>
      </c>
      <c r="B96" t="s">
        <v>1607</v>
      </c>
      <c r="C96" t="s">
        <v>2236</v>
      </c>
      <c r="D96" t="s">
        <v>1051</v>
      </c>
      <c r="E96" t="s">
        <v>466</v>
      </c>
      <c r="F96" t="s">
        <v>1057</v>
      </c>
      <c r="G96" t="s">
        <v>1058</v>
      </c>
      <c r="H96" t="s">
        <v>974</v>
      </c>
      <c r="I96">
        <v>95</v>
      </c>
      <c r="J96">
        <v>0</v>
      </c>
      <c r="K96">
        <v>0</v>
      </c>
      <c r="L96">
        <v>0</v>
      </c>
      <c r="M96">
        <v>95</v>
      </c>
      <c r="N96">
        <v>0</v>
      </c>
      <c r="O96">
        <v>95</v>
      </c>
    </row>
    <row r="97" spans="1:15">
      <c r="A97" t="s">
        <v>719</v>
      </c>
      <c r="B97" t="s">
        <v>1607</v>
      </c>
      <c r="C97" t="s">
        <v>2236</v>
      </c>
      <c r="D97" t="s">
        <v>1051</v>
      </c>
      <c r="E97" t="s">
        <v>466</v>
      </c>
      <c r="F97" t="s">
        <v>1057</v>
      </c>
      <c r="G97" t="s">
        <v>1058</v>
      </c>
      <c r="H97" t="s">
        <v>1021</v>
      </c>
      <c r="J97">
        <v>0</v>
      </c>
      <c r="K97">
        <v>0</v>
      </c>
      <c r="L97">
        <v>0</v>
      </c>
      <c r="M97">
        <v>0</v>
      </c>
      <c r="N97">
        <v>0</v>
      </c>
      <c r="O97">
        <v>0</v>
      </c>
    </row>
    <row r="98" spans="1:15">
      <c r="A98" t="s">
        <v>720</v>
      </c>
      <c r="B98" t="s">
        <v>2084</v>
      </c>
      <c r="C98" t="s">
        <v>508</v>
      </c>
      <c r="D98" t="s">
        <v>330</v>
      </c>
      <c r="E98" t="s">
        <v>330</v>
      </c>
      <c r="F98" t="s">
        <v>330</v>
      </c>
      <c r="G98" t="s">
        <v>330</v>
      </c>
      <c r="H98" t="s">
        <v>974</v>
      </c>
      <c r="I98">
        <v>0</v>
      </c>
      <c r="J98">
        <v>849896</v>
      </c>
      <c r="K98">
        <v>0</v>
      </c>
      <c r="L98">
        <v>0</v>
      </c>
      <c r="M98">
        <v>0</v>
      </c>
      <c r="N98">
        <v>849896</v>
      </c>
      <c r="O98">
        <v>-849896</v>
      </c>
    </row>
    <row r="99" spans="1:15">
      <c r="A99" t="s">
        <v>722</v>
      </c>
      <c r="B99" t="s">
        <v>2085</v>
      </c>
      <c r="C99" t="s">
        <v>508</v>
      </c>
      <c r="D99" t="s">
        <v>330</v>
      </c>
      <c r="E99" t="s">
        <v>330</v>
      </c>
      <c r="F99" t="s">
        <v>330</v>
      </c>
      <c r="G99" t="s">
        <v>330</v>
      </c>
      <c r="H99" t="s">
        <v>974</v>
      </c>
      <c r="I99">
        <v>0</v>
      </c>
      <c r="J99">
        <v>186921</v>
      </c>
      <c r="K99">
        <v>0</v>
      </c>
      <c r="L99">
        <v>0</v>
      </c>
      <c r="M99">
        <v>0</v>
      </c>
      <c r="N99">
        <v>186921</v>
      </c>
      <c r="O99">
        <v>-186921</v>
      </c>
    </row>
    <row r="100" spans="1:15">
      <c r="A100" t="s">
        <v>723</v>
      </c>
      <c r="B100" t="s">
        <v>1608</v>
      </c>
      <c r="C100" t="s">
        <v>2237</v>
      </c>
      <c r="D100" t="s">
        <v>1051</v>
      </c>
      <c r="E100" t="s">
        <v>466</v>
      </c>
      <c r="F100" t="s">
        <v>1057</v>
      </c>
      <c r="G100" t="s">
        <v>1058</v>
      </c>
      <c r="H100" t="s">
        <v>1013</v>
      </c>
      <c r="I100">
        <v>50</v>
      </c>
      <c r="J100">
        <v>0</v>
      </c>
      <c r="K100">
        <v>0</v>
      </c>
      <c r="L100">
        <v>0</v>
      </c>
      <c r="M100">
        <v>50</v>
      </c>
      <c r="N100">
        <v>0</v>
      </c>
      <c r="O100">
        <v>50</v>
      </c>
    </row>
    <row r="101" spans="1:15">
      <c r="A101" t="s">
        <v>724</v>
      </c>
      <c r="B101" t="s">
        <v>1609</v>
      </c>
      <c r="C101" t="s">
        <v>2238</v>
      </c>
      <c r="D101" t="s">
        <v>1051</v>
      </c>
      <c r="E101" t="s">
        <v>466</v>
      </c>
      <c r="F101" t="s">
        <v>1057</v>
      </c>
      <c r="G101" t="s">
        <v>1058</v>
      </c>
      <c r="H101" t="s">
        <v>1013</v>
      </c>
      <c r="J101">
        <v>0</v>
      </c>
      <c r="K101">
        <v>0</v>
      </c>
      <c r="L101">
        <v>0</v>
      </c>
      <c r="M101">
        <v>0</v>
      </c>
      <c r="N101">
        <v>0</v>
      </c>
      <c r="O101">
        <v>0</v>
      </c>
    </row>
    <row r="102" spans="1:15">
      <c r="A102" t="s">
        <v>724</v>
      </c>
      <c r="B102" t="s">
        <v>1609</v>
      </c>
      <c r="C102" t="s">
        <v>2238</v>
      </c>
      <c r="D102" t="s">
        <v>1051</v>
      </c>
      <c r="E102" t="s">
        <v>466</v>
      </c>
      <c r="F102" t="s">
        <v>1057</v>
      </c>
      <c r="G102" t="s">
        <v>1058</v>
      </c>
      <c r="H102" t="s">
        <v>974</v>
      </c>
      <c r="J102">
        <v>0</v>
      </c>
      <c r="K102">
        <v>0</v>
      </c>
      <c r="L102">
        <v>0</v>
      </c>
      <c r="M102">
        <v>0</v>
      </c>
      <c r="N102">
        <v>0</v>
      </c>
      <c r="O102">
        <v>0</v>
      </c>
    </row>
    <row r="103" spans="1:15">
      <c r="A103" t="s">
        <v>725</v>
      </c>
      <c r="B103" t="s">
        <v>2086</v>
      </c>
      <c r="C103" t="s">
        <v>508</v>
      </c>
      <c r="D103" t="s">
        <v>330</v>
      </c>
      <c r="E103" t="s">
        <v>330</v>
      </c>
      <c r="F103" t="s">
        <v>330</v>
      </c>
      <c r="G103" t="s">
        <v>330</v>
      </c>
      <c r="H103" t="s">
        <v>1020</v>
      </c>
      <c r="I103">
        <v>918</v>
      </c>
      <c r="J103">
        <v>0</v>
      </c>
      <c r="K103">
        <v>0</v>
      </c>
      <c r="L103">
        <v>0</v>
      </c>
      <c r="M103">
        <v>918</v>
      </c>
      <c r="N103">
        <v>0</v>
      </c>
      <c r="O103">
        <v>918</v>
      </c>
    </row>
    <row r="104" spans="1:15">
      <c r="A104" t="s">
        <v>726</v>
      </c>
      <c r="B104" t="s">
        <v>1610</v>
      </c>
      <c r="C104" t="s">
        <v>2239</v>
      </c>
      <c r="D104" t="s">
        <v>1051</v>
      </c>
      <c r="E104" t="s">
        <v>466</v>
      </c>
      <c r="F104" t="s">
        <v>1057</v>
      </c>
      <c r="G104" t="s">
        <v>1058</v>
      </c>
      <c r="H104" t="s">
        <v>1014</v>
      </c>
      <c r="I104">
        <v>11780</v>
      </c>
      <c r="J104">
        <v>0</v>
      </c>
      <c r="K104">
        <v>0</v>
      </c>
      <c r="L104">
        <v>0</v>
      </c>
      <c r="M104">
        <v>11780</v>
      </c>
      <c r="N104">
        <v>0</v>
      </c>
      <c r="O104">
        <v>11780</v>
      </c>
    </row>
    <row r="105" spans="1:15">
      <c r="A105" t="s">
        <v>726</v>
      </c>
      <c r="B105" t="s">
        <v>1610</v>
      </c>
      <c r="C105" t="s">
        <v>2239</v>
      </c>
      <c r="D105" t="s">
        <v>1051</v>
      </c>
      <c r="E105" t="s">
        <v>466</v>
      </c>
      <c r="F105" t="s">
        <v>1057</v>
      </c>
      <c r="G105" t="s">
        <v>1058</v>
      </c>
      <c r="H105" t="s">
        <v>974</v>
      </c>
      <c r="J105">
        <v>0</v>
      </c>
      <c r="K105">
        <v>0</v>
      </c>
      <c r="L105">
        <v>0</v>
      </c>
      <c r="M105">
        <v>0</v>
      </c>
      <c r="N105">
        <v>0</v>
      </c>
      <c r="O105">
        <v>0</v>
      </c>
    </row>
    <row r="106" spans="1:15">
      <c r="A106" t="s">
        <v>727</v>
      </c>
      <c r="B106" t="s">
        <v>2087</v>
      </c>
      <c r="C106" t="s">
        <v>508</v>
      </c>
      <c r="D106" t="s">
        <v>330</v>
      </c>
      <c r="E106" t="s">
        <v>330</v>
      </c>
      <c r="F106" t="s">
        <v>330</v>
      </c>
      <c r="G106" t="s">
        <v>330</v>
      </c>
      <c r="H106" t="s">
        <v>974</v>
      </c>
      <c r="I106">
        <v>2901</v>
      </c>
      <c r="J106">
        <v>0</v>
      </c>
      <c r="K106">
        <v>0</v>
      </c>
      <c r="L106">
        <v>0</v>
      </c>
      <c r="M106">
        <v>2901</v>
      </c>
      <c r="N106">
        <v>0</v>
      </c>
      <c r="O106">
        <v>2901</v>
      </c>
    </row>
    <row r="107" spans="1:15">
      <c r="A107" t="s">
        <v>727</v>
      </c>
      <c r="B107" t="s">
        <v>2087</v>
      </c>
      <c r="C107" t="s">
        <v>508</v>
      </c>
      <c r="D107" t="s">
        <v>330</v>
      </c>
      <c r="E107" t="s">
        <v>330</v>
      </c>
      <c r="F107" t="s">
        <v>330</v>
      </c>
      <c r="G107" t="s">
        <v>330</v>
      </c>
      <c r="H107" t="s">
        <v>1020</v>
      </c>
      <c r="J107">
        <v>0</v>
      </c>
      <c r="K107">
        <v>0</v>
      </c>
      <c r="L107">
        <v>0</v>
      </c>
      <c r="M107">
        <v>0</v>
      </c>
      <c r="N107">
        <v>0</v>
      </c>
      <c r="O107">
        <v>0</v>
      </c>
    </row>
    <row r="108" spans="1:15">
      <c r="A108" t="s">
        <v>728</v>
      </c>
      <c r="B108" t="s">
        <v>1611</v>
      </c>
      <c r="C108" t="s">
        <v>2240</v>
      </c>
      <c r="D108" t="s">
        <v>1051</v>
      </c>
      <c r="E108" t="s">
        <v>466</v>
      </c>
      <c r="F108" t="s">
        <v>1057</v>
      </c>
      <c r="G108" t="s">
        <v>1058</v>
      </c>
      <c r="H108" t="s">
        <v>1013</v>
      </c>
      <c r="I108">
        <v>50</v>
      </c>
      <c r="J108">
        <v>0</v>
      </c>
      <c r="K108">
        <v>0</v>
      </c>
      <c r="L108">
        <v>0</v>
      </c>
      <c r="M108">
        <v>50</v>
      </c>
      <c r="N108">
        <v>0</v>
      </c>
      <c r="O108">
        <v>50</v>
      </c>
    </row>
    <row r="109" spans="1:15">
      <c r="A109" t="s">
        <v>728</v>
      </c>
      <c r="B109" t="s">
        <v>1611</v>
      </c>
      <c r="C109" t="s">
        <v>2240</v>
      </c>
      <c r="D109" t="s">
        <v>1051</v>
      </c>
      <c r="E109" t="s">
        <v>466</v>
      </c>
      <c r="F109" t="s">
        <v>1057</v>
      </c>
      <c r="G109" t="s">
        <v>1058</v>
      </c>
      <c r="H109" t="s">
        <v>1019</v>
      </c>
      <c r="J109">
        <v>0</v>
      </c>
      <c r="K109">
        <v>0</v>
      </c>
      <c r="L109">
        <v>0</v>
      </c>
      <c r="M109">
        <v>0</v>
      </c>
      <c r="N109">
        <v>0</v>
      </c>
      <c r="O109">
        <v>0</v>
      </c>
    </row>
    <row r="110" spans="1:15">
      <c r="A110" t="s">
        <v>729</v>
      </c>
      <c r="B110" t="s">
        <v>1612</v>
      </c>
      <c r="C110" t="s">
        <v>2241</v>
      </c>
      <c r="D110" t="s">
        <v>1051</v>
      </c>
      <c r="E110" t="s">
        <v>466</v>
      </c>
      <c r="F110" t="s">
        <v>1057</v>
      </c>
      <c r="G110" t="s">
        <v>1058</v>
      </c>
      <c r="H110" t="s">
        <v>1014</v>
      </c>
      <c r="I110">
        <v>80</v>
      </c>
      <c r="J110">
        <v>0</v>
      </c>
      <c r="K110">
        <v>0</v>
      </c>
      <c r="L110">
        <v>0</v>
      </c>
      <c r="M110">
        <v>80</v>
      </c>
      <c r="N110">
        <v>0</v>
      </c>
      <c r="O110">
        <v>80</v>
      </c>
    </row>
    <row r="111" spans="1:15">
      <c r="A111" t="s">
        <v>729</v>
      </c>
      <c r="B111" t="s">
        <v>1612</v>
      </c>
      <c r="C111" t="s">
        <v>2241</v>
      </c>
      <c r="D111" t="s">
        <v>1051</v>
      </c>
      <c r="E111" t="s">
        <v>466</v>
      </c>
      <c r="F111" t="s">
        <v>1057</v>
      </c>
      <c r="G111" t="s">
        <v>1058</v>
      </c>
      <c r="H111" t="s">
        <v>974</v>
      </c>
      <c r="J111">
        <v>0</v>
      </c>
      <c r="K111">
        <v>0</v>
      </c>
      <c r="L111">
        <v>0</v>
      </c>
      <c r="M111">
        <v>0</v>
      </c>
      <c r="N111">
        <v>0</v>
      </c>
      <c r="O111">
        <v>0</v>
      </c>
    </row>
    <row r="112" spans="1:15">
      <c r="A112" t="s">
        <v>729</v>
      </c>
      <c r="B112" t="s">
        <v>1612</v>
      </c>
      <c r="C112" t="s">
        <v>2241</v>
      </c>
      <c r="D112" t="s">
        <v>1051</v>
      </c>
      <c r="E112" t="s">
        <v>466</v>
      </c>
      <c r="F112" t="s">
        <v>1057</v>
      </c>
      <c r="G112" t="s">
        <v>1058</v>
      </c>
      <c r="H112" t="s">
        <v>1276</v>
      </c>
      <c r="J112">
        <v>0</v>
      </c>
      <c r="K112">
        <v>0</v>
      </c>
      <c r="L112">
        <v>0</v>
      </c>
      <c r="M112">
        <v>0</v>
      </c>
      <c r="N112">
        <v>0</v>
      </c>
      <c r="O112">
        <v>0</v>
      </c>
    </row>
    <row r="113" spans="1:15">
      <c r="A113" t="s">
        <v>729</v>
      </c>
      <c r="B113" t="s">
        <v>1612</v>
      </c>
      <c r="C113" t="s">
        <v>2241</v>
      </c>
      <c r="D113" t="s">
        <v>1051</v>
      </c>
      <c r="E113" t="s">
        <v>466</v>
      </c>
      <c r="F113" t="s">
        <v>1057</v>
      </c>
      <c r="G113" t="s">
        <v>1058</v>
      </c>
      <c r="H113" t="s">
        <v>1021</v>
      </c>
      <c r="J113">
        <v>0</v>
      </c>
      <c r="K113">
        <v>0</v>
      </c>
      <c r="L113">
        <v>0</v>
      </c>
      <c r="M113">
        <v>0</v>
      </c>
      <c r="N113">
        <v>0</v>
      </c>
      <c r="O113">
        <v>0</v>
      </c>
    </row>
    <row r="114" spans="1:15">
      <c r="A114" t="s">
        <v>729</v>
      </c>
      <c r="B114" t="s">
        <v>1612</v>
      </c>
      <c r="C114" t="s">
        <v>2241</v>
      </c>
      <c r="D114" t="s">
        <v>1051</v>
      </c>
      <c r="E114" t="s">
        <v>466</v>
      </c>
      <c r="F114" t="s">
        <v>1057</v>
      </c>
      <c r="G114" t="s">
        <v>1058</v>
      </c>
      <c r="H114" t="s">
        <v>1027</v>
      </c>
      <c r="J114">
        <v>0</v>
      </c>
      <c r="K114">
        <v>0</v>
      </c>
      <c r="L114">
        <v>0</v>
      </c>
      <c r="M114">
        <v>0</v>
      </c>
      <c r="N114">
        <v>0</v>
      </c>
      <c r="O114">
        <v>0</v>
      </c>
    </row>
    <row r="115" spans="1:15">
      <c r="A115" t="s">
        <v>730</v>
      </c>
      <c r="B115" t="s">
        <v>2088</v>
      </c>
      <c r="C115" t="s">
        <v>508</v>
      </c>
      <c r="D115" t="s">
        <v>330</v>
      </c>
      <c r="E115" t="s">
        <v>330</v>
      </c>
      <c r="F115" t="s">
        <v>330</v>
      </c>
      <c r="G115" t="s">
        <v>330</v>
      </c>
      <c r="H115" t="s">
        <v>1014</v>
      </c>
      <c r="I115">
        <v>250000</v>
      </c>
      <c r="J115">
        <v>0</v>
      </c>
      <c r="K115">
        <v>0</v>
      </c>
      <c r="L115">
        <v>0</v>
      </c>
      <c r="M115">
        <v>250000</v>
      </c>
      <c r="N115">
        <v>0</v>
      </c>
      <c r="O115">
        <v>250000</v>
      </c>
    </row>
    <row r="116" spans="1:15">
      <c r="A116" t="s">
        <v>730</v>
      </c>
      <c r="B116" t="s">
        <v>2088</v>
      </c>
      <c r="C116" t="s">
        <v>508</v>
      </c>
      <c r="D116" t="s">
        <v>330</v>
      </c>
      <c r="E116" t="s">
        <v>330</v>
      </c>
      <c r="F116" t="s">
        <v>330</v>
      </c>
      <c r="G116" t="s">
        <v>330</v>
      </c>
      <c r="H116" t="s">
        <v>974</v>
      </c>
      <c r="J116">
        <v>0</v>
      </c>
      <c r="K116">
        <v>0</v>
      </c>
      <c r="L116">
        <v>0</v>
      </c>
      <c r="M116">
        <v>0</v>
      </c>
      <c r="N116">
        <v>0</v>
      </c>
      <c r="O116">
        <v>0</v>
      </c>
    </row>
    <row r="117" spans="1:15">
      <c r="A117" t="s">
        <v>730</v>
      </c>
      <c r="B117" t="s">
        <v>2088</v>
      </c>
      <c r="C117" t="s">
        <v>508</v>
      </c>
      <c r="D117" t="s">
        <v>330</v>
      </c>
      <c r="E117" t="s">
        <v>330</v>
      </c>
      <c r="F117" t="s">
        <v>330</v>
      </c>
      <c r="G117" t="s">
        <v>330</v>
      </c>
      <c r="H117" t="s">
        <v>1021</v>
      </c>
      <c r="J117">
        <v>0</v>
      </c>
      <c r="K117">
        <v>0</v>
      </c>
      <c r="L117">
        <v>0</v>
      </c>
      <c r="M117">
        <v>0</v>
      </c>
      <c r="N117">
        <v>0</v>
      </c>
      <c r="O117">
        <v>0</v>
      </c>
    </row>
    <row r="118" spans="1:15">
      <c r="A118" t="s">
        <v>730</v>
      </c>
      <c r="B118" t="s">
        <v>2088</v>
      </c>
      <c r="C118" t="s">
        <v>508</v>
      </c>
      <c r="D118" t="s">
        <v>330</v>
      </c>
      <c r="E118" t="s">
        <v>330</v>
      </c>
      <c r="F118" t="s">
        <v>330</v>
      </c>
      <c r="G118" t="s">
        <v>330</v>
      </c>
      <c r="H118" t="s">
        <v>1027</v>
      </c>
      <c r="J118">
        <v>0</v>
      </c>
      <c r="K118">
        <v>0</v>
      </c>
      <c r="L118">
        <v>0</v>
      </c>
      <c r="M118">
        <v>0</v>
      </c>
      <c r="N118">
        <v>0</v>
      </c>
      <c r="O118">
        <v>0</v>
      </c>
    </row>
    <row r="119" spans="1:15">
      <c r="A119" t="s">
        <v>1082</v>
      </c>
      <c r="B119" t="s">
        <v>2089</v>
      </c>
      <c r="C119" t="s">
        <v>508</v>
      </c>
      <c r="D119" t="s">
        <v>330</v>
      </c>
      <c r="E119" t="s">
        <v>330</v>
      </c>
      <c r="F119" t="s">
        <v>330</v>
      </c>
      <c r="G119" t="s">
        <v>330</v>
      </c>
      <c r="H119" t="s">
        <v>974</v>
      </c>
      <c r="I119">
        <v>886184</v>
      </c>
      <c r="J119">
        <v>1382523</v>
      </c>
      <c r="K119">
        <v>0</v>
      </c>
      <c r="L119">
        <v>0</v>
      </c>
      <c r="M119">
        <v>886184</v>
      </c>
      <c r="N119">
        <v>1382523</v>
      </c>
      <c r="O119">
        <v>-496339</v>
      </c>
    </row>
    <row r="120" spans="1:15">
      <c r="A120" t="s">
        <v>731</v>
      </c>
      <c r="B120" t="s">
        <v>1613</v>
      </c>
      <c r="C120" t="s">
        <v>2242</v>
      </c>
      <c r="D120" t="s">
        <v>1051</v>
      </c>
      <c r="E120" t="s">
        <v>466</v>
      </c>
      <c r="F120" t="s">
        <v>1057</v>
      </c>
      <c r="G120" t="s">
        <v>1058</v>
      </c>
      <c r="H120" t="s">
        <v>1012</v>
      </c>
      <c r="I120">
        <v>50</v>
      </c>
      <c r="J120">
        <v>0</v>
      </c>
      <c r="K120">
        <v>0</v>
      </c>
      <c r="L120">
        <v>0</v>
      </c>
      <c r="M120">
        <v>50</v>
      </c>
      <c r="N120">
        <v>0</v>
      </c>
      <c r="O120">
        <v>50</v>
      </c>
    </row>
    <row r="121" spans="1:15">
      <c r="A121" t="s">
        <v>732</v>
      </c>
      <c r="B121" t="s">
        <v>1614</v>
      </c>
      <c r="C121" t="s">
        <v>2243</v>
      </c>
      <c r="D121" t="s">
        <v>1051</v>
      </c>
      <c r="E121" t="s">
        <v>466</v>
      </c>
      <c r="F121" t="s">
        <v>1057</v>
      </c>
      <c r="G121" t="s">
        <v>1058</v>
      </c>
      <c r="H121" t="s">
        <v>1012</v>
      </c>
      <c r="J121">
        <v>0</v>
      </c>
      <c r="K121">
        <v>0</v>
      </c>
      <c r="L121">
        <v>0</v>
      </c>
      <c r="M121">
        <v>0</v>
      </c>
      <c r="N121">
        <v>0</v>
      </c>
      <c r="O121">
        <v>0</v>
      </c>
    </row>
    <row r="122" spans="1:15">
      <c r="A122" t="s">
        <v>733</v>
      </c>
      <c r="B122" t="s">
        <v>2090</v>
      </c>
      <c r="C122" t="s">
        <v>508</v>
      </c>
      <c r="D122" t="s">
        <v>330</v>
      </c>
      <c r="E122" t="s">
        <v>330</v>
      </c>
      <c r="F122" t="s">
        <v>330</v>
      </c>
      <c r="G122" t="s">
        <v>330</v>
      </c>
      <c r="H122" t="s">
        <v>1014</v>
      </c>
      <c r="I122">
        <v>0</v>
      </c>
      <c r="J122">
        <v>210640</v>
      </c>
      <c r="K122">
        <v>0</v>
      </c>
      <c r="L122">
        <v>0</v>
      </c>
      <c r="M122">
        <v>0</v>
      </c>
      <c r="N122">
        <v>210640</v>
      </c>
      <c r="O122">
        <v>-210640</v>
      </c>
    </row>
    <row r="123" spans="1:15">
      <c r="A123" t="s">
        <v>733</v>
      </c>
      <c r="B123" t="s">
        <v>2090</v>
      </c>
      <c r="C123" t="s">
        <v>508</v>
      </c>
      <c r="D123" t="s">
        <v>330</v>
      </c>
      <c r="E123" t="s">
        <v>330</v>
      </c>
      <c r="F123" t="s">
        <v>330</v>
      </c>
      <c r="G123" t="s">
        <v>330</v>
      </c>
      <c r="H123" t="s">
        <v>974</v>
      </c>
      <c r="I123">
        <v>0</v>
      </c>
      <c r="K123">
        <v>0</v>
      </c>
      <c r="L123">
        <v>0</v>
      </c>
      <c r="M123">
        <v>0</v>
      </c>
      <c r="N123">
        <v>0</v>
      </c>
      <c r="O123">
        <v>0</v>
      </c>
    </row>
    <row r="124" spans="1:15">
      <c r="A124" t="s">
        <v>734</v>
      </c>
      <c r="B124" t="s">
        <v>1615</v>
      </c>
      <c r="C124" t="s">
        <v>2244</v>
      </c>
      <c r="D124" t="s">
        <v>1051</v>
      </c>
      <c r="E124" t="s">
        <v>466</v>
      </c>
      <c r="F124" t="s">
        <v>1057</v>
      </c>
      <c r="G124" t="s">
        <v>1058</v>
      </c>
      <c r="H124" t="s">
        <v>1013</v>
      </c>
      <c r="I124">
        <v>50</v>
      </c>
      <c r="J124">
        <v>0</v>
      </c>
      <c r="K124">
        <v>0</v>
      </c>
      <c r="L124">
        <v>0</v>
      </c>
      <c r="M124">
        <v>50</v>
      </c>
      <c r="N124">
        <v>0</v>
      </c>
      <c r="O124">
        <v>50</v>
      </c>
    </row>
    <row r="125" spans="1:15">
      <c r="A125" t="s">
        <v>735</v>
      </c>
      <c r="B125" t="s">
        <v>1616</v>
      </c>
      <c r="C125" t="s">
        <v>2245</v>
      </c>
      <c r="D125" t="s">
        <v>1051</v>
      </c>
      <c r="E125" t="s">
        <v>466</v>
      </c>
      <c r="F125" t="s">
        <v>1057</v>
      </c>
      <c r="G125" t="s">
        <v>1058</v>
      </c>
      <c r="H125" t="s">
        <v>1013</v>
      </c>
      <c r="J125">
        <v>0</v>
      </c>
      <c r="K125">
        <v>0</v>
      </c>
      <c r="L125">
        <v>0</v>
      </c>
      <c r="M125">
        <v>0</v>
      </c>
      <c r="N125">
        <v>0</v>
      </c>
      <c r="O125">
        <v>0</v>
      </c>
    </row>
    <row r="126" spans="1:15">
      <c r="A126" t="s">
        <v>736</v>
      </c>
      <c r="B126" t="s">
        <v>1617</v>
      </c>
      <c r="C126" t="s">
        <v>2246</v>
      </c>
      <c r="D126" t="s">
        <v>1051</v>
      </c>
      <c r="E126" t="s">
        <v>466</v>
      </c>
      <c r="F126" t="s">
        <v>1057</v>
      </c>
      <c r="G126" t="s">
        <v>1058</v>
      </c>
      <c r="H126" t="s">
        <v>1013</v>
      </c>
      <c r="J126">
        <v>0</v>
      </c>
      <c r="K126">
        <v>0</v>
      </c>
      <c r="L126">
        <v>0</v>
      </c>
      <c r="M126">
        <v>0</v>
      </c>
      <c r="N126">
        <v>0</v>
      </c>
      <c r="O126">
        <v>0</v>
      </c>
    </row>
    <row r="127" spans="1:15">
      <c r="A127" t="s">
        <v>737</v>
      </c>
      <c r="B127" t="s">
        <v>1618</v>
      </c>
      <c r="C127" t="s">
        <v>2247</v>
      </c>
      <c r="D127" t="s">
        <v>1051</v>
      </c>
      <c r="E127" t="s">
        <v>466</v>
      </c>
      <c r="F127" t="s">
        <v>1057</v>
      </c>
      <c r="G127" t="s">
        <v>1058</v>
      </c>
      <c r="H127" t="s">
        <v>1014</v>
      </c>
      <c r="I127">
        <v>0</v>
      </c>
      <c r="J127">
        <v>240</v>
      </c>
      <c r="K127">
        <v>0</v>
      </c>
      <c r="L127">
        <v>0</v>
      </c>
      <c r="M127">
        <v>0</v>
      </c>
      <c r="N127">
        <v>240</v>
      </c>
      <c r="O127">
        <v>-240</v>
      </c>
    </row>
    <row r="128" spans="1:15">
      <c r="A128" t="s">
        <v>737</v>
      </c>
      <c r="B128" t="s">
        <v>1618</v>
      </c>
      <c r="C128" t="s">
        <v>2247</v>
      </c>
      <c r="D128" t="s">
        <v>1051</v>
      </c>
      <c r="E128" t="s">
        <v>466</v>
      </c>
      <c r="F128" t="s">
        <v>1057</v>
      </c>
      <c r="G128" t="s">
        <v>1058</v>
      </c>
      <c r="H128" t="s">
        <v>974</v>
      </c>
      <c r="I128">
        <v>0</v>
      </c>
      <c r="K128">
        <v>0</v>
      </c>
      <c r="L128">
        <v>0</v>
      </c>
      <c r="M128">
        <v>0</v>
      </c>
      <c r="N128">
        <v>0</v>
      </c>
      <c r="O128">
        <v>0</v>
      </c>
    </row>
    <row r="129" spans="1:15">
      <c r="A129" t="s">
        <v>737</v>
      </c>
      <c r="B129" t="s">
        <v>1618</v>
      </c>
      <c r="C129" t="s">
        <v>2247</v>
      </c>
      <c r="D129" t="s">
        <v>1051</v>
      </c>
      <c r="E129" t="s">
        <v>466</v>
      </c>
      <c r="F129" t="s">
        <v>1057</v>
      </c>
      <c r="G129" t="s">
        <v>1058</v>
      </c>
      <c r="H129" t="s">
        <v>1021</v>
      </c>
      <c r="I129">
        <v>0</v>
      </c>
      <c r="K129">
        <v>0</v>
      </c>
      <c r="L129">
        <v>0</v>
      </c>
      <c r="M129">
        <v>0</v>
      </c>
      <c r="N129">
        <v>0</v>
      </c>
      <c r="O129">
        <v>0</v>
      </c>
    </row>
    <row r="130" spans="1:15">
      <c r="A130" t="s">
        <v>738</v>
      </c>
      <c r="B130" t="s">
        <v>1619</v>
      </c>
      <c r="C130" t="s">
        <v>2248</v>
      </c>
      <c r="D130" t="s">
        <v>1051</v>
      </c>
      <c r="E130" t="s">
        <v>466</v>
      </c>
      <c r="F130" t="s">
        <v>1057</v>
      </c>
      <c r="G130" t="s">
        <v>1058</v>
      </c>
      <c r="H130" t="s">
        <v>1021</v>
      </c>
      <c r="I130">
        <v>50</v>
      </c>
      <c r="J130">
        <v>0</v>
      </c>
      <c r="K130">
        <v>0</v>
      </c>
      <c r="L130">
        <v>0</v>
      </c>
      <c r="M130">
        <v>50</v>
      </c>
      <c r="N130">
        <v>0</v>
      </c>
      <c r="O130">
        <v>50</v>
      </c>
    </row>
    <row r="131" spans="1:15">
      <c r="A131" t="s">
        <v>739</v>
      </c>
      <c r="B131" t="s">
        <v>1620</v>
      </c>
      <c r="C131" t="s">
        <v>2249</v>
      </c>
      <c r="D131" t="s">
        <v>1051</v>
      </c>
      <c r="E131" t="s">
        <v>466</v>
      </c>
      <c r="F131" t="s">
        <v>1057</v>
      </c>
      <c r="G131" t="s">
        <v>1058</v>
      </c>
      <c r="H131" t="s">
        <v>1021</v>
      </c>
      <c r="J131">
        <v>0</v>
      </c>
      <c r="K131">
        <v>0</v>
      </c>
      <c r="L131">
        <v>0</v>
      </c>
      <c r="M131">
        <v>0</v>
      </c>
      <c r="N131">
        <v>0</v>
      </c>
      <c r="O131">
        <v>0</v>
      </c>
    </row>
    <row r="132" spans="1:15">
      <c r="A132" t="s">
        <v>740</v>
      </c>
      <c r="B132" t="s">
        <v>1621</v>
      </c>
      <c r="C132" t="s">
        <v>2250</v>
      </c>
      <c r="D132" t="s">
        <v>1051</v>
      </c>
      <c r="E132" t="s">
        <v>466</v>
      </c>
      <c r="F132" t="s">
        <v>1057</v>
      </c>
      <c r="G132" t="s">
        <v>1058</v>
      </c>
      <c r="H132" t="s">
        <v>1021</v>
      </c>
      <c r="J132">
        <v>0</v>
      </c>
      <c r="K132">
        <v>0</v>
      </c>
      <c r="L132">
        <v>0</v>
      </c>
      <c r="M132">
        <v>0</v>
      </c>
      <c r="N132">
        <v>0</v>
      </c>
      <c r="O132">
        <v>0</v>
      </c>
    </row>
    <row r="133" spans="1:15">
      <c r="A133" t="s">
        <v>741</v>
      </c>
      <c r="B133" t="s">
        <v>2091</v>
      </c>
      <c r="C133" t="s">
        <v>508</v>
      </c>
      <c r="D133" t="s">
        <v>330</v>
      </c>
      <c r="E133" t="s">
        <v>330</v>
      </c>
      <c r="F133" t="s">
        <v>330</v>
      </c>
      <c r="G133" t="s">
        <v>330</v>
      </c>
      <c r="H133" t="s">
        <v>974</v>
      </c>
      <c r="I133">
        <v>65268</v>
      </c>
      <c r="J133">
        <v>0</v>
      </c>
      <c r="K133">
        <v>0</v>
      </c>
      <c r="L133">
        <v>0</v>
      </c>
      <c r="M133">
        <v>65268</v>
      </c>
      <c r="N133">
        <v>0</v>
      </c>
      <c r="O133">
        <v>65268</v>
      </c>
    </row>
    <row r="134" spans="1:15">
      <c r="A134" t="s">
        <v>742</v>
      </c>
      <c r="B134" t="s">
        <v>2092</v>
      </c>
      <c r="C134" t="s">
        <v>508</v>
      </c>
      <c r="D134" t="s">
        <v>330</v>
      </c>
      <c r="E134" t="s">
        <v>330</v>
      </c>
      <c r="F134" t="s">
        <v>330</v>
      </c>
      <c r="G134" t="s">
        <v>330</v>
      </c>
      <c r="H134" t="s">
        <v>974</v>
      </c>
      <c r="I134">
        <v>124685</v>
      </c>
      <c r="J134">
        <v>0</v>
      </c>
      <c r="K134">
        <v>0</v>
      </c>
      <c r="L134">
        <v>0</v>
      </c>
      <c r="M134">
        <v>124685</v>
      </c>
      <c r="N134">
        <v>0</v>
      </c>
      <c r="O134">
        <v>124685</v>
      </c>
    </row>
    <row r="135" spans="1:15">
      <c r="A135" t="s">
        <v>743</v>
      </c>
      <c r="B135" t="s">
        <v>2093</v>
      </c>
      <c r="C135" t="s">
        <v>508</v>
      </c>
      <c r="D135" t="s">
        <v>330</v>
      </c>
      <c r="E135" t="s">
        <v>330</v>
      </c>
      <c r="F135" t="s">
        <v>330</v>
      </c>
      <c r="G135" t="s">
        <v>330</v>
      </c>
      <c r="H135" t="s">
        <v>1013</v>
      </c>
      <c r="I135">
        <v>2100</v>
      </c>
      <c r="J135">
        <v>0</v>
      </c>
      <c r="K135">
        <v>0</v>
      </c>
      <c r="L135">
        <v>0</v>
      </c>
      <c r="M135">
        <v>2100</v>
      </c>
      <c r="N135">
        <v>0</v>
      </c>
      <c r="O135">
        <v>2100</v>
      </c>
    </row>
    <row r="136" spans="1:15">
      <c r="A136" t="s">
        <v>743</v>
      </c>
      <c r="B136" t="s">
        <v>2093</v>
      </c>
      <c r="C136" t="s">
        <v>508</v>
      </c>
      <c r="D136" t="s">
        <v>330</v>
      </c>
      <c r="E136" t="s">
        <v>330</v>
      </c>
      <c r="F136" t="s">
        <v>330</v>
      </c>
      <c r="G136" t="s">
        <v>330</v>
      </c>
      <c r="H136" t="s">
        <v>974</v>
      </c>
      <c r="J136">
        <v>0</v>
      </c>
      <c r="K136">
        <v>0</v>
      </c>
      <c r="L136">
        <v>0</v>
      </c>
      <c r="M136">
        <v>0</v>
      </c>
      <c r="N136">
        <v>0</v>
      </c>
      <c r="O136">
        <v>0</v>
      </c>
    </row>
    <row r="137" spans="1:15">
      <c r="A137" t="s">
        <v>743</v>
      </c>
      <c r="B137" t="s">
        <v>2093</v>
      </c>
      <c r="C137" t="s">
        <v>508</v>
      </c>
      <c r="D137" t="s">
        <v>330</v>
      </c>
      <c r="E137" t="s">
        <v>330</v>
      </c>
      <c r="F137" t="s">
        <v>330</v>
      </c>
      <c r="G137" t="s">
        <v>330</v>
      </c>
      <c r="H137" t="s">
        <v>1025</v>
      </c>
      <c r="J137">
        <v>0</v>
      </c>
      <c r="K137">
        <v>0</v>
      </c>
      <c r="L137">
        <v>0</v>
      </c>
      <c r="M137">
        <v>0</v>
      </c>
      <c r="N137">
        <v>0</v>
      </c>
      <c r="O137">
        <v>0</v>
      </c>
    </row>
    <row r="138" spans="1:15">
      <c r="A138" t="s">
        <v>744</v>
      </c>
      <c r="B138" t="s">
        <v>2094</v>
      </c>
      <c r="C138" t="s">
        <v>508</v>
      </c>
      <c r="D138" t="s">
        <v>330</v>
      </c>
      <c r="E138" t="s">
        <v>330</v>
      </c>
      <c r="F138" t="s">
        <v>330</v>
      </c>
      <c r="G138" t="s">
        <v>330</v>
      </c>
      <c r="H138" t="s">
        <v>1013</v>
      </c>
      <c r="I138">
        <v>33907</v>
      </c>
      <c r="J138">
        <v>0</v>
      </c>
      <c r="K138">
        <v>0</v>
      </c>
      <c r="L138">
        <v>0</v>
      </c>
      <c r="M138">
        <v>33907</v>
      </c>
      <c r="N138">
        <v>0</v>
      </c>
      <c r="O138">
        <v>33907</v>
      </c>
    </row>
    <row r="139" spans="1:15">
      <c r="A139" t="s">
        <v>744</v>
      </c>
      <c r="B139" t="s">
        <v>2094</v>
      </c>
      <c r="C139" t="s">
        <v>508</v>
      </c>
      <c r="D139" t="s">
        <v>330</v>
      </c>
      <c r="E139" t="s">
        <v>330</v>
      </c>
      <c r="F139" t="s">
        <v>330</v>
      </c>
      <c r="G139" t="s">
        <v>330</v>
      </c>
      <c r="H139" t="s">
        <v>1014</v>
      </c>
      <c r="J139">
        <v>0</v>
      </c>
      <c r="K139">
        <v>0</v>
      </c>
      <c r="L139">
        <v>0</v>
      </c>
      <c r="M139">
        <v>0</v>
      </c>
      <c r="N139">
        <v>0</v>
      </c>
      <c r="O139">
        <v>0</v>
      </c>
    </row>
    <row r="140" spans="1:15">
      <c r="A140" t="s">
        <v>744</v>
      </c>
      <c r="B140" t="s">
        <v>2094</v>
      </c>
      <c r="C140" t="s">
        <v>508</v>
      </c>
      <c r="D140" t="s">
        <v>330</v>
      </c>
      <c r="E140" t="s">
        <v>330</v>
      </c>
      <c r="F140" t="s">
        <v>330</v>
      </c>
      <c r="G140" t="s">
        <v>330</v>
      </c>
      <c r="H140" t="s">
        <v>974</v>
      </c>
      <c r="J140">
        <v>0</v>
      </c>
      <c r="K140">
        <v>0</v>
      </c>
      <c r="L140">
        <v>0</v>
      </c>
      <c r="M140">
        <v>0</v>
      </c>
      <c r="N140">
        <v>0</v>
      </c>
      <c r="O140">
        <v>0</v>
      </c>
    </row>
    <row r="141" spans="1:15">
      <c r="A141" t="s">
        <v>744</v>
      </c>
      <c r="B141" t="s">
        <v>2094</v>
      </c>
      <c r="C141" t="s">
        <v>508</v>
      </c>
      <c r="D141" t="s">
        <v>330</v>
      </c>
      <c r="E141" t="s">
        <v>330</v>
      </c>
      <c r="F141" t="s">
        <v>330</v>
      </c>
      <c r="G141" t="s">
        <v>330</v>
      </c>
      <c r="H141" t="s">
        <v>1012</v>
      </c>
      <c r="J141">
        <v>0</v>
      </c>
      <c r="K141">
        <v>0</v>
      </c>
      <c r="L141">
        <v>0</v>
      </c>
      <c r="M141">
        <v>0</v>
      </c>
      <c r="N141">
        <v>0</v>
      </c>
      <c r="O141">
        <v>0</v>
      </c>
    </row>
    <row r="142" spans="1:15">
      <c r="A142" t="s">
        <v>744</v>
      </c>
      <c r="B142" t="s">
        <v>2094</v>
      </c>
      <c r="C142" t="s">
        <v>508</v>
      </c>
      <c r="D142" t="s">
        <v>330</v>
      </c>
      <c r="E142" t="s">
        <v>330</v>
      </c>
      <c r="F142" t="s">
        <v>330</v>
      </c>
      <c r="G142" t="s">
        <v>330</v>
      </c>
      <c r="H142" t="s">
        <v>1276</v>
      </c>
      <c r="J142">
        <v>0</v>
      </c>
      <c r="K142">
        <v>0</v>
      </c>
      <c r="L142">
        <v>0</v>
      </c>
      <c r="M142">
        <v>0</v>
      </c>
      <c r="N142">
        <v>0</v>
      </c>
      <c r="O142">
        <v>0</v>
      </c>
    </row>
    <row r="143" spans="1:15">
      <c r="A143" t="s">
        <v>745</v>
      </c>
      <c r="B143" t="s">
        <v>2095</v>
      </c>
      <c r="C143" t="s">
        <v>508</v>
      </c>
      <c r="D143" t="s">
        <v>330</v>
      </c>
      <c r="E143" t="s">
        <v>330</v>
      </c>
      <c r="F143" t="s">
        <v>330</v>
      </c>
      <c r="G143" t="s">
        <v>330</v>
      </c>
      <c r="H143" t="s">
        <v>974</v>
      </c>
      <c r="I143">
        <v>22000</v>
      </c>
      <c r="J143">
        <v>0</v>
      </c>
      <c r="K143">
        <v>0</v>
      </c>
      <c r="L143">
        <v>0</v>
      </c>
      <c r="M143">
        <v>22000</v>
      </c>
      <c r="N143">
        <v>0</v>
      </c>
      <c r="O143">
        <v>22000</v>
      </c>
    </row>
    <row r="144" spans="1:15">
      <c r="A144" t="s">
        <v>746</v>
      </c>
      <c r="B144" t="s">
        <v>2096</v>
      </c>
      <c r="C144" t="s">
        <v>508</v>
      </c>
      <c r="D144" t="s">
        <v>330</v>
      </c>
      <c r="E144" t="s">
        <v>330</v>
      </c>
      <c r="F144" t="s">
        <v>330</v>
      </c>
      <c r="G144" t="s">
        <v>330</v>
      </c>
      <c r="H144" t="s">
        <v>974</v>
      </c>
      <c r="I144">
        <v>115</v>
      </c>
      <c r="J144">
        <v>0</v>
      </c>
      <c r="K144">
        <v>0</v>
      </c>
      <c r="L144">
        <v>0</v>
      </c>
      <c r="M144">
        <v>115</v>
      </c>
      <c r="N144">
        <v>0</v>
      </c>
      <c r="O144">
        <v>115</v>
      </c>
    </row>
    <row r="145" spans="1:15">
      <c r="A145" t="s">
        <v>747</v>
      </c>
      <c r="B145" t="s">
        <v>2097</v>
      </c>
      <c r="C145" t="s">
        <v>508</v>
      </c>
      <c r="D145" t="s">
        <v>330</v>
      </c>
      <c r="E145" t="s">
        <v>330</v>
      </c>
      <c r="F145" t="s">
        <v>330</v>
      </c>
      <c r="G145" t="s">
        <v>330</v>
      </c>
      <c r="H145" t="s">
        <v>974</v>
      </c>
      <c r="I145">
        <v>15372</v>
      </c>
      <c r="J145">
        <v>0</v>
      </c>
      <c r="K145">
        <v>0</v>
      </c>
      <c r="L145">
        <v>0</v>
      </c>
      <c r="M145">
        <v>15372</v>
      </c>
      <c r="N145">
        <v>0</v>
      </c>
      <c r="O145">
        <v>15372</v>
      </c>
    </row>
    <row r="146" spans="1:15">
      <c r="A146" t="s">
        <v>748</v>
      </c>
      <c r="B146" t="s">
        <v>2098</v>
      </c>
      <c r="C146" t="s">
        <v>508</v>
      </c>
      <c r="D146" t="s">
        <v>330</v>
      </c>
      <c r="E146" t="s">
        <v>330</v>
      </c>
      <c r="F146" t="s">
        <v>330</v>
      </c>
      <c r="G146" t="s">
        <v>330</v>
      </c>
      <c r="H146" t="s">
        <v>1014</v>
      </c>
      <c r="I146">
        <v>61500</v>
      </c>
      <c r="J146">
        <v>0</v>
      </c>
      <c r="K146">
        <v>0</v>
      </c>
      <c r="L146">
        <v>0</v>
      </c>
      <c r="M146">
        <v>61500</v>
      </c>
      <c r="N146">
        <v>0</v>
      </c>
      <c r="O146">
        <v>61500</v>
      </c>
    </row>
    <row r="147" spans="1:15">
      <c r="A147" t="s">
        <v>748</v>
      </c>
      <c r="B147" t="s">
        <v>2098</v>
      </c>
      <c r="C147" t="s">
        <v>508</v>
      </c>
      <c r="D147" t="s">
        <v>330</v>
      </c>
      <c r="E147" t="s">
        <v>330</v>
      </c>
      <c r="F147" t="s">
        <v>330</v>
      </c>
      <c r="G147" t="s">
        <v>330</v>
      </c>
      <c r="H147" t="s">
        <v>974</v>
      </c>
      <c r="J147">
        <v>0</v>
      </c>
      <c r="K147">
        <v>0</v>
      </c>
      <c r="L147">
        <v>0</v>
      </c>
      <c r="M147">
        <v>0</v>
      </c>
      <c r="N147">
        <v>0</v>
      </c>
      <c r="O147">
        <v>0</v>
      </c>
    </row>
    <row r="148" spans="1:15">
      <c r="A148" t="s">
        <v>748</v>
      </c>
      <c r="B148" t="s">
        <v>2098</v>
      </c>
      <c r="C148" t="s">
        <v>508</v>
      </c>
      <c r="D148" t="s">
        <v>330</v>
      </c>
      <c r="E148" t="s">
        <v>330</v>
      </c>
      <c r="F148" t="s">
        <v>330</v>
      </c>
      <c r="G148" t="s">
        <v>330</v>
      </c>
      <c r="H148" t="s">
        <v>1019</v>
      </c>
      <c r="J148">
        <v>0</v>
      </c>
      <c r="K148">
        <v>0</v>
      </c>
      <c r="L148">
        <v>0</v>
      </c>
      <c r="M148">
        <v>0</v>
      </c>
      <c r="N148">
        <v>0</v>
      </c>
      <c r="O148">
        <v>0</v>
      </c>
    </row>
    <row r="149" spans="1:15">
      <c r="A149" t="s">
        <v>748</v>
      </c>
      <c r="B149" t="s">
        <v>2098</v>
      </c>
      <c r="C149" t="s">
        <v>508</v>
      </c>
      <c r="D149" t="s">
        <v>330</v>
      </c>
      <c r="E149" t="s">
        <v>330</v>
      </c>
      <c r="F149" t="s">
        <v>330</v>
      </c>
      <c r="G149" t="s">
        <v>330</v>
      </c>
      <c r="H149" t="s">
        <v>1027</v>
      </c>
      <c r="J149">
        <v>0</v>
      </c>
      <c r="K149">
        <v>0</v>
      </c>
      <c r="L149">
        <v>0</v>
      </c>
      <c r="M149">
        <v>0</v>
      </c>
      <c r="N149">
        <v>0</v>
      </c>
      <c r="O149">
        <v>0</v>
      </c>
    </row>
    <row r="150" spans="1:15">
      <c r="A150" t="s">
        <v>749</v>
      </c>
      <c r="B150" t="s">
        <v>2099</v>
      </c>
      <c r="C150" t="s">
        <v>508</v>
      </c>
      <c r="D150" t="s">
        <v>330</v>
      </c>
      <c r="E150" t="s">
        <v>330</v>
      </c>
      <c r="F150" t="s">
        <v>330</v>
      </c>
      <c r="G150" t="s">
        <v>330</v>
      </c>
      <c r="H150" t="s">
        <v>974</v>
      </c>
      <c r="I150">
        <v>12822</v>
      </c>
      <c r="J150">
        <v>1264793</v>
      </c>
      <c r="K150">
        <v>0</v>
      </c>
      <c r="L150">
        <v>0</v>
      </c>
      <c r="M150">
        <v>12822</v>
      </c>
      <c r="N150">
        <v>1264793</v>
      </c>
      <c r="O150">
        <v>-1251971</v>
      </c>
    </row>
    <row r="151" spans="1:15">
      <c r="A151" t="s">
        <v>750</v>
      </c>
      <c r="B151" t="s">
        <v>2100</v>
      </c>
      <c r="C151" t="s">
        <v>508</v>
      </c>
      <c r="D151" t="s">
        <v>330</v>
      </c>
      <c r="E151" t="s">
        <v>330</v>
      </c>
      <c r="F151" t="s">
        <v>330</v>
      </c>
      <c r="G151" t="s">
        <v>330</v>
      </c>
      <c r="H151" t="s">
        <v>974</v>
      </c>
      <c r="I151">
        <v>427177</v>
      </c>
      <c r="J151">
        <v>0</v>
      </c>
      <c r="K151">
        <v>0</v>
      </c>
      <c r="L151">
        <v>0</v>
      </c>
      <c r="M151">
        <v>427177</v>
      </c>
      <c r="N151">
        <v>0</v>
      </c>
      <c r="O151">
        <v>427177</v>
      </c>
    </row>
    <row r="152" spans="1:15">
      <c r="A152" t="s">
        <v>750</v>
      </c>
      <c r="B152" t="s">
        <v>2100</v>
      </c>
      <c r="C152" t="s">
        <v>508</v>
      </c>
      <c r="D152" t="s">
        <v>330</v>
      </c>
      <c r="E152" t="s">
        <v>330</v>
      </c>
      <c r="F152" t="s">
        <v>330</v>
      </c>
      <c r="G152" t="s">
        <v>330</v>
      </c>
      <c r="H152" t="s">
        <v>1027</v>
      </c>
      <c r="J152">
        <v>0</v>
      </c>
      <c r="K152">
        <v>0</v>
      </c>
      <c r="L152">
        <v>0</v>
      </c>
      <c r="M152">
        <v>0</v>
      </c>
      <c r="N152">
        <v>0</v>
      </c>
      <c r="O152">
        <v>0</v>
      </c>
    </row>
    <row r="153" spans="1:15">
      <c r="A153" t="s">
        <v>751</v>
      </c>
      <c r="B153" t="s">
        <v>2101</v>
      </c>
      <c r="C153" t="s">
        <v>508</v>
      </c>
      <c r="D153" t="s">
        <v>330</v>
      </c>
      <c r="E153" t="s">
        <v>330</v>
      </c>
      <c r="F153" t="s">
        <v>330</v>
      </c>
      <c r="G153" t="s">
        <v>330</v>
      </c>
      <c r="H153" t="s">
        <v>974</v>
      </c>
      <c r="I153">
        <v>35108</v>
      </c>
      <c r="J153">
        <v>0</v>
      </c>
      <c r="K153">
        <v>0</v>
      </c>
      <c r="L153">
        <v>0</v>
      </c>
      <c r="M153">
        <v>35108</v>
      </c>
      <c r="N153">
        <v>0</v>
      </c>
      <c r="O153">
        <v>35108</v>
      </c>
    </row>
    <row r="154" spans="1:15">
      <c r="A154" t="s">
        <v>752</v>
      </c>
      <c r="B154" t="s">
        <v>2102</v>
      </c>
      <c r="C154" t="s">
        <v>508</v>
      </c>
      <c r="D154" t="s">
        <v>330</v>
      </c>
      <c r="E154" t="s">
        <v>330</v>
      </c>
      <c r="F154" t="s">
        <v>330</v>
      </c>
      <c r="G154" t="s">
        <v>330</v>
      </c>
      <c r="H154" t="s">
        <v>974</v>
      </c>
      <c r="I154">
        <v>28375</v>
      </c>
      <c r="J154">
        <v>0</v>
      </c>
      <c r="K154">
        <v>0</v>
      </c>
      <c r="L154">
        <v>0</v>
      </c>
      <c r="M154">
        <v>28375</v>
      </c>
      <c r="N154">
        <v>0</v>
      </c>
      <c r="O154">
        <v>28375</v>
      </c>
    </row>
    <row r="155" spans="1:15">
      <c r="A155" t="s">
        <v>753</v>
      </c>
      <c r="B155" t="s">
        <v>2103</v>
      </c>
      <c r="C155" t="s">
        <v>508</v>
      </c>
      <c r="D155" t="s">
        <v>330</v>
      </c>
      <c r="E155" t="s">
        <v>330</v>
      </c>
      <c r="F155" t="s">
        <v>330</v>
      </c>
      <c r="G155" t="s">
        <v>330</v>
      </c>
      <c r="H155" t="s">
        <v>1014</v>
      </c>
      <c r="I155">
        <v>50000</v>
      </c>
      <c r="J155">
        <v>0</v>
      </c>
      <c r="K155">
        <v>0</v>
      </c>
      <c r="L155">
        <v>0</v>
      </c>
      <c r="M155">
        <v>50000</v>
      </c>
      <c r="N155">
        <v>0</v>
      </c>
      <c r="O155">
        <v>50000</v>
      </c>
    </row>
    <row r="156" spans="1:15">
      <c r="A156" t="s">
        <v>753</v>
      </c>
      <c r="B156" t="s">
        <v>2103</v>
      </c>
      <c r="C156" t="s">
        <v>508</v>
      </c>
      <c r="D156" t="s">
        <v>330</v>
      </c>
      <c r="E156" t="s">
        <v>330</v>
      </c>
      <c r="F156" t="s">
        <v>330</v>
      </c>
      <c r="G156" t="s">
        <v>330</v>
      </c>
      <c r="H156" t="s">
        <v>974</v>
      </c>
      <c r="J156">
        <v>0</v>
      </c>
      <c r="K156">
        <v>0</v>
      </c>
      <c r="L156">
        <v>0</v>
      </c>
      <c r="M156">
        <v>0</v>
      </c>
      <c r="N156">
        <v>0</v>
      </c>
      <c r="O156">
        <v>0</v>
      </c>
    </row>
    <row r="157" spans="1:15">
      <c r="A157" t="s">
        <v>753</v>
      </c>
      <c r="B157" t="s">
        <v>2103</v>
      </c>
      <c r="C157" t="s">
        <v>508</v>
      </c>
      <c r="D157" t="s">
        <v>330</v>
      </c>
      <c r="E157" t="s">
        <v>330</v>
      </c>
      <c r="F157" t="s">
        <v>330</v>
      </c>
      <c r="G157" t="s">
        <v>330</v>
      </c>
      <c r="H157" t="s">
        <v>1276</v>
      </c>
      <c r="J157">
        <v>0</v>
      </c>
      <c r="K157">
        <v>0</v>
      </c>
      <c r="L157">
        <v>0</v>
      </c>
      <c r="M157">
        <v>0</v>
      </c>
      <c r="N157">
        <v>0</v>
      </c>
      <c r="O157">
        <v>0</v>
      </c>
    </row>
    <row r="158" spans="1:15">
      <c r="A158" t="s">
        <v>753</v>
      </c>
      <c r="B158" t="s">
        <v>2103</v>
      </c>
      <c r="C158" t="s">
        <v>508</v>
      </c>
      <c r="D158" t="s">
        <v>330</v>
      </c>
      <c r="E158" t="s">
        <v>330</v>
      </c>
      <c r="F158" t="s">
        <v>330</v>
      </c>
      <c r="G158" t="s">
        <v>330</v>
      </c>
      <c r="H158" t="s">
        <v>2072</v>
      </c>
      <c r="J158">
        <v>0</v>
      </c>
      <c r="K158">
        <v>0</v>
      </c>
      <c r="L158">
        <v>0</v>
      </c>
      <c r="M158">
        <v>0</v>
      </c>
      <c r="N158">
        <v>0</v>
      </c>
      <c r="O158">
        <v>0</v>
      </c>
    </row>
    <row r="159" spans="1:15">
      <c r="A159" t="s">
        <v>754</v>
      </c>
      <c r="B159" t="s">
        <v>993</v>
      </c>
      <c r="C159" t="s">
        <v>508</v>
      </c>
      <c r="D159" t="s">
        <v>330</v>
      </c>
      <c r="E159" t="s">
        <v>330</v>
      </c>
      <c r="F159" t="s">
        <v>330</v>
      </c>
      <c r="G159" t="s">
        <v>330</v>
      </c>
      <c r="H159" t="s">
        <v>974</v>
      </c>
      <c r="I159">
        <v>0</v>
      </c>
      <c r="J159">
        <v>2662608</v>
      </c>
      <c r="K159">
        <v>0</v>
      </c>
      <c r="L159">
        <v>0</v>
      </c>
      <c r="M159">
        <v>0</v>
      </c>
      <c r="N159">
        <v>2662608</v>
      </c>
      <c r="O159">
        <v>-2662608</v>
      </c>
    </row>
    <row r="160" spans="1:15">
      <c r="A160" t="s">
        <v>755</v>
      </c>
      <c r="B160" t="s">
        <v>2104</v>
      </c>
      <c r="C160" t="s">
        <v>508</v>
      </c>
      <c r="D160" t="s">
        <v>330</v>
      </c>
      <c r="E160" t="s">
        <v>330</v>
      </c>
      <c r="F160" t="s">
        <v>330</v>
      </c>
      <c r="G160" t="s">
        <v>330</v>
      </c>
      <c r="H160" t="s">
        <v>974</v>
      </c>
      <c r="I160">
        <v>0</v>
      </c>
      <c r="J160">
        <v>913998</v>
      </c>
      <c r="K160">
        <v>0</v>
      </c>
      <c r="L160">
        <v>0</v>
      </c>
      <c r="M160">
        <v>0</v>
      </c>
      <c r="N160">
        <v>913998</v>
      </c>
      <c r="O160">
        <v>-913998</v>
      </c>
    </row>
    <row r="161" spans="1:15">
      <c r="A161" t="s">
        <v>756</v>
      </c>
      <c r="B161" t="s">
        <v>2105</v>
      </c>
      <c r="C161" t="s">
        <v>508</v>
      </c>
      <c r="D161" t="s">
        <v>330</v>
      </c>
      <c r="E161" t="s">
        <v>330</v>
      </c>
      <c r="F161" t="s">
        <v>330</v>
      </c>
      <c r="G161" t="s">
        <v>330</v>
      </c>
      <c r="H161" t="s">
        <v>974</v>
      </c>
      <c r="I161">
        <v>74085</v>
      </c>
      <c r="J161">
        <v>389994</v>
      </c>
      <c r="K161">
        <v>0</v>
      </c>
      <c r="L161">
        <v>0</v>
      </c>
      <c r="M161">
        <v>74085</v>
      </c>
      <c r="N161">
        <v>389994</v>
      </c>
      <c r="O161">
        <v>-315909</v>
      </c>
    </row>
    <row r="162" spans="1:15">
      <c r="A162" t="s">
        <v>756</v>
      </c>
      <c r="B162" t="s">
        <v>2105</v>
      </c>
      <c r="C162" t="s">
        <v>508</v>
      </c>
      <c r="D162" t="s">
        <v>330</v>
      </c>
      <c r="E162" t="s">
        <v>330</v>
      </c>
      <c r="F162" t="s">
        <v>330</v>
      </c>
      <c r="G162" t="s">
        <v>330</v>
      </c>
      <c r="H162" t="s">
        <v>1019</v>
      </c>
      <c r="I162">
        <v>74085</v>
      </c>
      <c r="J162">
        <v>389994</v>
      </c>
      <c r="K162">
        <v>0</v>
      </c>
      <c r="L162">
        <v>0</v>
      </c>
      <c r="M162">
        <v>74085</v>
      </c>
      <c r="N162">
        <v>389994</v>
      </c>
      <c r="O162">
        <v>-315909</v>
      </c>
    </row>
    <row r="163" spans="1:15">
      <c r="A163" t="s">
        <v>757</v>
      </c>
      <c r="B163" t="s">
        <v>2106</v>
      </c>
      <c r="C163" t="s">
        <v>508</v>
      </c>
      <c r="D163" t="s">
        <v>330</v>
      </c>
      <c r="E163" t="s">
        <v>330</v>
      </c>
      <c r="F163" t="s">
        <v>330</v>
      </c>
      <c r="G163" t="s">
        <v>330</v>
      </c>
      <c r="H163" t="s">
        <v>974</v>
      </c>
      <c r="I163">
        <v>432467</v>
      </c>
      <c r="J163">
        <v>16000</v>
      </c>
      <c r="K163">
        <v>0</v>
      </c>
      <c r="L163">
        <v>0</v>
      </c>
      <c r="M163">
        <v>432467</v>
      </c>
      <c r="N163">
        <v>16000</v>
      </c>
      <c r="O163">
        <v>416467</v>
      </c>
    </row>
    <row r="164" spans="1:15">
      <c r="A164" t="s">
        <v>757</v>
      </c>
      <c r="B164" t="s">
        <v>2106</v>
      </c>
      <c r="C164" t="s">
        <v>508</v>
      </c>
      <c r="D164" t="s">
        <v>330</v>
      </c>
      <c r="E164" t="s">
        <v>330</v>
      </c>
      <c r="F164" t="s">
        <v>330</v>
      </c>
      <c r="G164" t="s">
        <v>330</v>
      </c>
      <c r="H164" t="s">
        <v>1276</v>
      </c>
      <c r="K164">
        <v>0</v>
      </c>
      <c r="L164">
        <v>0</v>
      </c>
      <c r="M164">
        <v>0</v>
      </c>
      <c r="N164">
        <v>0</v>
      </c>
      <c r="O164">
        <v>0</v>
      </c>
    </row>
    <row r="165" spans="1:15">
      <c r="A165" t="s">
        <v>757</v>
      </c>
      <c r="B165" t="s">
        <v>2106</v>
      </c>
      <c r="C165" t="s">
        <v>508</v>
      </c>
      <c r="D165" t="s">
        <v>330</v>
      </c>
      <c r="E165" t="s">
        <v>330</v>
      </c>
      <c r="F165" t="s">
        <v>330</v>
      </c>
      <c r="G165" t="s">
        <v>330</v>
      </c>
      <c r="H165" t="s">
        <v>2072</v>
      </c>
      <c r="K165">
        <v>0</v>
      </c>
      <c r="L165">
        <v>0</v>
      </c>
      <c r="M165">
        <v>0</v>
      </c>
      <c r="N165">
        <v>0</v>
      </c>
      <c r="O165">
        <v>0</v>
      </c>
    </row>
    <row r="166" spans="1:15">
      <c r="A166" t="s">
        <v>758</v>
      </c>
      <c r="B166" t="s">
        <v>2107</v>
      </c>
      <c r="C166" t="s">
        <v>508</v>
      </c>
      <c r="D166" t="s">
        <v>330</v>
      </c>
      <c r="E166" t="s">
        <v>330</v>
      </c>
      <c r="F166" t="s">
        <v>330</v>
      </c>
      <c r="G166" t="s">
        <v>330</v>
      </c>
      <c r="H166" t="s">
        <v>974</v>
      </c>
      <c r="I166">
        <v>0</v>
      </c>
      <c r="J166">
        <v>809850</v>
      </c>
      <c r="K166">
        <v>0</v>
      </c>
      <c r="L166">
        <v>0</v>
      </c>
      <c r="M166">
        <v>0</v>
      </c>
      <c r="N166">
        <v>809850</v>
      </c>
      <c r="O166">
        <v>-809850</v>
      </c>
    </row>
    <row r="167" spans="1:15">
      <c r="A167" t="s">
        <v>760</v>
      </c>
      <c r="B167" t="s">
        <v>2108</v>
      </c>
      <c r="C167" t="s">
        <v>508</v>
      </c>
      <c r="D167" t="s">
        <v>330</v>
      </c>
      <c r="E167" t="s">
        <v>330</v>
      </c>
      <c r="F167" t="s">
        <v>330</v>
      </c>
      <c r="G167" t="s">
        <v>330</v>
      </c>
      <c r="H167" t="s">
        <v>974</v>
      </c>
      <c r="I167">
        <v>3947407</v>
      </c>
      <c r="J167">
        <v>0</v>
      </c>
      <c r="K167">
        <v>0</v>
      </c>
      <c r="L167">
        <v>0</v>
      </c>
      <c r="M167">
        <v>3947407</v>
      </c>
      <c r="N167">
        <v>0</v>
      </c>
      <c r="O167">
        <v>3947407</v>
      </c>
    </row>
    <row r="168" spans="1:15">
      <c r="A168" t="s">
        <v>760</v>
      </c>
      <c r="B168" t="s">
        <v>2108</v>
      </c>
      <c r="C168" t="s">
        <v>508</v>
      </c>
      <c r="D168" t="s">
        <v>330</v>
      </c>
      <c r="E168" t="s">
        <v>330</v>
      </c>
      <c r="F168" t="s">
        <v>330</v>
      </c>
      <c r="G168" t="s">
        <v>330</v>
      </c>
      <c r="H168" t="s">
        <v>1019</v>
      </c>
      <c r="J168">
        <v>0</v>
      </c>
      <c r="K168">
        <v>0</v>
      </c>
      <c r="L168">
        <v>0</v>
      </c>
      <c r="M168">
        <v>0</v>
      </c>
      <c r="N168">
        <v>0</v>
      </c>
      <c r="O168">
        <v>0</v>
      </c>
    </row>
    <row r="169" spans="1:15">
      <c r="A169" t="s">
        <v>1105</v>
      </c>
      <c r="B169" t="s">
        <v>2109</v>
      </c>
      <c r="C169" t="s">
        <v>508</v>
      </c>
      <c r="D169" t="s">
        <v>330</v>
      </c>
      <c r="E169" t="s">
        <v>330</v>
      </c>
      <c r="F169" t="s">
        <v>330</v>
      </c>
      <c r="G169" t="s">
        <v>330</v>
      </c>
      <c r="H169" t="s">
        <v>974</v>
      </c>
      <c r="I169">
        <v>84000</v>
      </c>
      <c r="J169">
        <v>284000</v>
      </c>
      <c r="K169">
        <v>0</v>
      </c>
      <c r="L169">
        <v>0</v>
      </c>
      <c r="M169">
        <v>84000</v>
      </c>
      <c r="N169">
        <v>284000</v>
      </c>
      <c r="O169">
        <v>-200000</v>
      </c>
    </row>
    <row r="170" spans="1:15">
      <c r="A170" t="s">
        <v>1107</v>
      </c>
      <c r="B170" t="s">
        <v>2110</v>
      </c>
      <c r="C170" t="s">
        <v>508</v>
      </c>
      <c r="D170" t="s">
        <v>330</v>
      </c>
      <c r="E170" t="s">
        <v>330</v>
      </c>
      <c r="F170" t="s">
        <v>330</v>
      </c>
      <c r="G170" t="s">
        <v>330</v>
      </c>
      <c r="H170" t="s">
        <v>974</v>
      </c>
      <c r="I170">
        <v>11309746</v>
      </c>
      <c r="J170">
        <v>11966726</v>
      </c>
      <c r="K170">
        <v>0</v>
      </c>
      <c r="L170">
        <v>0</v>
      </c>
      <c r="M170">
        <v>11309746</v>
      </c>
      <c r="N170">
        <v>11966726</v>
      </c>
      <c r="O170">
        <v>-656980</v>
      </c>
    </row>
    <row r="171" spans="1:15">
      <c r="A171" t="s">
        <v>1107</v>
      </c>
      <c r="B171" t="s">
        <v>2110</v>
      </c>
      <c r="C171" t="s">
        <v>508</v>
      </c>
      <c r="D171" t="s">
        <v>330</v>
      </c>
      <c r="E171" t="s">
        <v>330</v>
      </c>
      <c r="F171" t="s">
        <v>330</v>
      </c>
      <c r="G171" t="s">
        <v>330</v>
      </c>
      <c r="H171" t="s">
        <v>992</v>
      </c>
      <c r="K171">
        <v>0</v>
      </c>
      <c r="L171">
        <v>0</v>
      </c>
      <c r="M171">
        <v>0</v>
      </c>
      <c r="N171">
        <v>0</v>
      </c>
      <c r="O171">
        <v>0</v>
      </c>
    </row>
    <row r="172" spans="1:15">
      <c r="A172" t="s">
        <v>1109</v>
      </c>
      <c r="B172" t="s">
        <v>2111</v>
      </c>
      <c r="C172" t="s">
        <v>508</v>
      </c>
      <c r="D172" t="s">
        <v>330</v>
      </c>
      <c r="E172" t="s">
        <v>330</v>
      </c>
      <c r="F172" t="s">
        <v>330</v>
      </c>
      <c r="G172" t="s">
        <v>330</v>
      </c>
      <c r="H172" t="s">
        <v>974</v>
      </c>
      <c r="I172">
        <v>1896469</v>
      </c>
      <c r="J172">
        <v>1781500</v>
      </c>
      <c r="K172">
        <v>0</v>
      </c>
      <c r="L172">
        <v>0</v>
      </c>
      <c r="M172">
        <v>1896469</v>
      </c>
      <c r="N172">
        <v>1781500</v>
      </c>
      <c r="O172">
        <v>114969</v>
      </c>
    </row>
    <row r="173" spans="1:15">
      <c r="A173" t="s">
        <v>1109</v>
      </c>
      <c r="B173" t="s">
        <v>2111</v>
      </c>
      <c r="C173" t="s">
        <v>508</v>
      </c>
      <c r="D173" t="s">
        <v>330</v>
      </c>
      <c r="E173" t="s">
        <v>330</v>
      </c>
      <c r="F173" t="s">
        <v>330</v>
      </c>
      <c r="G173" t="s">
        <v>330</v>
      </c>
      <c r="H173" t="s">
        <v>2072</v>
      </c>
      <c r="K173">
        <v>0</v>
      </c>
      <c r="L173">
        <v>0</v>
      </c>
      <c r="M173">
        <v>0</v>
      </c>
      <c r="N173">
        <v>0</v>
      </c>
      <c r="O173">
        <v>0</v>
      </c>
    </row>
    <row r="174" spans="1:15">
      <c r="A174" t="s">
        <v>1248</v>
      </c>
      <c r="B174" t="s">
        <v>1260</v>
      </c>
      <c r="C174" t="s">
        <v>508</v>
      </c>
      <c r="D174" t="s">
        <v>330</v>
      </c>
      <c r="E174" t="s">
        <v>330</v>
      </c>
      <c r="F174" t="s">
        <v>330</v>
      </c>
      <c r="G174" t="s">
        <v>330</v>
      </c>
      <c r="H174" t="s">
        <v>974</v>
      </c>
      <c r="I174">
        <v>3489328.21</v>
      </c>
      <c r="J174">
        <v>5153996.7</v>
      </c>
      <c r="K174">
        <v>736997</v>
      </c>
      <c r="L174">
        <v>1509464</v>
      </c>
      <c r="M174">
        <v>4226325.21</v>
      </c>
      <c r="N174">
        <v>6663460.7000000002</v>
      </c>
      <c r="O174">
        <v>-2437135.4900000002</v>
      </c>
    </row>
    <row r="175" spans="1:15">
      <c r="A175" t="s">
        <v>1248</v>
      </c>
      <c r="B175" t="s">
        <v>1260</v>
      </c>
      <c r="C175" t="s">
        <v>508</v>
      </c>
      <c r="D175" t="s">
        <v>330</v>
      </c>
      <c r="E175" t="s">
        <v>330</v>
      </c>
      <c r="F175" t="s">
        <v>330</v>
      </c>
      <c r="G175" t="s">
        <v>330</v>
      </c>
      <c r="H175" t="s">
        <v>1275</v>
      </c>
      <c r="K175">
        <v>0</v>
      </c>
      <c r="L175">
        <v>0</v>
      </c>
      <c r="M175">
        <v>0</v>
      </c>
      <c r="N175">
        <v>0</v>
      </c>
      <c r="O175">
        <v>0</v>
      </c>
    </row>
    <row r="176" spans="1:15">
      <c r="A176" t="s">
        <v>1248</v>
      </c>
      <c r="B176" t="s">
        <v>1260</v>
      </c>
      <c r="C176" t="s">
        <v>508</v>
      </c>
      <c r="D176" t="s">
        <v>330</v>
      </c>
      <c r="E176" t="s">
        <v>330</v>
      </c>
      <c r="F176" t="s">
        <v>330</v>
      </c>
      <c r="G176" t="s">
        <v>330</v>
      </c>
      <c r="H176" t="s">
        <v>1723</v>
      </c>
      <c r="K176">
        <v>5818.88</v>
      </c>
      <c r="L176">
        <v>0</v>
      </c>
      <c r="M176">
        <v>5818.88</v>
      </c>
      <c r="N176">
        <v>0</v>
      </c>
      <c r="O176">
        <v>5818.88</v>
      </c>
    </row>
    <row r="177" spans="1:15">
      <c r="A177" t="s">
        <v>1330</v>
      </c>
      <c r="B177" t="s">
        <v>1331</v>
      </c>
      <c r="C177" t="s">
        <v>508</v>
      </c>
      <c r="D177" t="s">
        <v>330</v>
      </c>
      <c r="E177" t="s">
        <v>330</v>
      </c>
      <c r="F177" t="s">
        <v>330</v>
      </c>
      <c r="G177" t="s">
        <v>330</v>
      </c>
      <c r="H177" t="s">
        <v>974</v>
      </c>
      <c r="I177">
        <v>765582</v>
      </c>
      <c r="J177">
        <v>779095</v>
      </c>
      <c r="K177">
        <v>1142710</v>
      </c>
      <c r="L177">
        <v>333765</v>
      </c>
      <c r="M177">
        <v>1908292</v>
      </c>
      <c r="N177">
        <v>1112860</v>
      </c>
      <c r="O177">
        <v>795432</v>
      </c>
    </row>
    <row r="178" spans="1:15">
      <c r="A178" t="s">
        <v>1330</v>
      </c>
      <c r="B178" t="s">
        <v>1331</v>
      </c>
      <c r="C178" t="s">
        <v>508</v>
      </c>
      <c r="D178" t="s">
        <v>330</v>
      </c>
      <c r="E178" t="s">
        <v>330</v>
      </c>
      <c r="F178" t="s">
        <v>330</v>
      </c>
      <c r="G178" t="s">
        <v>330</v>
      </c>
      <c r="H178" t="s">
        <v>1275</v>
      </c>
      <c r="K178">
        <v>0</v>
      </c>
      <c r="L178">
        <v>0</v>
      </c>
      <c r="M178">
        <v>0</v>
      </c>
      <c r="N178">
        <v>0</v>
      </c>
      <c r="O178">
        <v>0</v>
      </c>
    </row>
    <row r="179" spans="1:15">
      <c r="A179" t="s">
        <v>1330</v>
      </c>
      <c r="B179" t="s">
        <v>1331</v>
      </c>
      <c r="C179" t="s">
        <v>508</v>
      </c>
      <c r="D179" t="s">
        <v>330</v>
      </c>
      <c r="E179" t="s">
        <v>330</v>
      </c>
      <c r="F179" t="s">
        <v>330</v>
      </c>
      <c r="G179" t="s">
        <v>330</v>
      </c>
      <c r="H179" t="s">
        <v>1723</v>
      </c>
      <c r="K179">
        <v>944720.92</v>
      </c>
      <c r="L179">
        <v>881253.33</v>
      </c>
      <c r="M179">
        <v>944720.92</v>
      </c>
      <c r="N179">
        <v>881253.33</v>
      </c>
      <c r="O179">
        <v>63467.590000000084</v>
      </c>
    </row>
    <row r="180" spans="1:15">
      <c r="A180" t="s">
        <v>762</v>
      </c>
      <c r="B180" t="s">
        <v>1622</v>
      </c>
      <c r="C180" t="s">
        <v>2251</v>
      </c>
      <c r="D180" t="s">
        <v>1051</v>
      </c>
      <c r="E180" t="s">
        <v>466</v>
      </c>
      <c r="F180" t="s">
        <v>1057</v>
      </c>
      <c r="G180" t="s">
        <v>1112</v>
      </c>
      <c r="H180" t="s">
        <v>974</v>
      </c>
      <c r="I180">
        <v>2450</v>
      </c>
      <c r="J180">
        <v>0</v>
      </c>
      <c r="K180">
        <v>0</v>
      </c>
      <c r="L180">
        <v>0</v>
      </c>
      <c r="M180">
        <v>2450</v>
      </c>
      <c r="N180">
        <v>0</v>
      </c>
      <c r="O180">
        <v>2450</v>
      </c>
    </row>
    <row r="181" spans="1:15">
      <c r="A181" t="s">
        <v>762</v>
      </c>
      <c r="B181" t="s">
        <v>1622</v>
      </c>
      <c r="C181" t="s">
        <v>2251</v>
      </c>
      <c r="D181" t="s">
        <v>1051</v>
      </c>
      <c r="E181" t="s">
        <v>466</v>
      </c>
      <c r="F181" t="s">
        <v>1057</v>
      </c>
      <c r="G181" t="s">
        <v>1112</v>
      </c>
      <c r="H181" t="s">
        <v>1020</v>
      </c>
      <c r="J181">
        <v>0</v>
      </c>
      <c r="K181">
        <v>0</v>
      </c>
      <c r="L181">
        <v>0</v>
      </c>
      <c r="M181">
        <v>0</v>
      </c>
      <c r="N181">
        <v>0</v>
      </c>
      <c r="O181">
        <v>0</v>
      </c>
    </row>
    <row r="182" spans="1:15">
      <c r="A182" t="s">
        <v>763</v>
      </c>
      <c r="B182" t="s">
        <v>1623</v>
      </c>
      <c r="C182" t="s">
        <v>2252</v>
      </c>
      <c r="D182" t="s">
        <v>1051</v>
      </c>
      <c r="E182" t="s">
        <v>466</v>
      </c>
      <c r="F182" t="s">
        <v>1057</v>
      </c>
      <c r="G182" t="s">
        <v>1112</v>
      </c>
      <c r="H182" t="s">
        <v>974</v>
      </c>
      <c r="I182">
        <v>4754398</v>
      </c>
      <c r="J182">
        <v>4754398</v>
      </c>
      <c r="K182">
        <v>4137000</v>
      </c>
      <c r="L182">
        <v>4137000</v>
      </c>
      <c r="M182">
        <v>8891398</v>
      </c>
      <c r="N182">
        <v>8891398</v>
      </c>
      <c r="O182">
        <v>0</v>
      </c>
    </row>
    <row r="183" spans="1:15">
      <c r="A183" t="s">
        <v>763</v>
      </c>
      <c r="B183" t="s">
        <v>1623</v>
      </c>
      <c r="C183" t="s">
        <v>2252</v>
      </c>
      <c r="D183" t="s">
        <v>1051</v>
      </c>
      <c r="E183" t="s">
        <v>466</v>
      </c>
      <c r="F183" t="s">
        <v>1057</v>
      </c>
      <c r="G183" t="s">
        <v>1112</v>
      </c>
      <c r="H183" t="s">
        <v>1023</v>
      </c>
      <c r="K183">
        <v>0</v>
      </c>
      <c r="L183">
        <v>0</v>
      </c>
      <c r="M183">
        <v>0</v>
      </c>
      <c r="N183">
        <v>0</v>
      </c>
      <c r="O183">
        <v>0</v>
      </c>
    </row>
    <row r="184" spans="1:15">
      <c r="A184" t="s">
        <v>763</v>
      </c>
      <c r="B184" t="s">
        <v>1623</v>
      </c>
      <c r="C184" t="s">
        <v>2252</v>
      </c>
      <c r="D184" t="s">
        <v>1051</v>
      </c>
      <c r="E184" t="s">
        <v>466</v>
      </c>
      <c r="F184" t="s">
        <v>1057</v>
      </c>
      <c r="G184" t="s">
        <v>1112</v>
      </c>
      <c r="H184" t="s">
        <v>1276</v>
      </c>
      <c r="K184">
        <v>0</v>
      </c>
      <c r="L184">
        <v>0</v>
      </c>
      <c r="M184">
        <v>0</v>
      </c>
      <c r="N184">
        <v>0</v>
      </c>
      <c r="O184">
        <v>0</v>
      </c>
    </row>
    <row r="185" spans="1:15">
      <c r="A185" t="s">
        <v>763</v>
      </c>
      <c r="B185" t="s">
        <v>1623</v>
      </c>
      <c r="C185" t="s">
        <v>2252</v>
      </c>
      <c r="D185" t="s">
        <v>1051</v>
      </c>
      <c r="E185" t="s">
        <v>466</v>
      </c>
      <c r="F185" t="s">
        <v>1057</v>
      </c>
      <c r="G185" t="s">
        <v>1112</v>
      </c>
      <c r="H185" t="s">
        <v>992</v>
      </c>
      <c r="K185">
        <v>0</v>
      </c>
      <c r="L185">
        <v>0</v>
      </c>
      <c r="M185">
        <v>0</v>
      </c>
      <c r="N185">
        <v>0</v>
      </c>
      <c r="O185">
        <v>0</v>
      </c>
    </row>
    <row r="186" spans="1:15">
      <c r="A186" t="s">
        <v>763</v>
      </c>
      <c r="B186" t="s">
        <v>1623</v>
      </c>
      <c r="C186" t="s">
        <v>2252</v>
      </c>
      <c r="D186" t="s">
        <v>1051</v>
      </c>
      <c r="E186" t="s">
        <v>466</v>
      </c>
      <c r="F186" t="s">
        <v>1057</v>
      </c>
      <c r="G186" t="s">
        <v>1112</v>
      </c>
      <c r="H186" t="s">
        <v>1275</v>
      </c>
      <c r="I186">
        <v>4754398</v>
      </c>
      <c r="J186">
        <v>4754398</v>
      </c>
      <c r="K186">
        <v>1063000</v>
      </c>
      <c r="L186">
        <v>1063000</v>
      </c>
      <c r="M186">
        <v>5817398</v>
      </c>
      <c r="N186">
        <v>5817398</v>
      </c>
      <c r="O186">
        <v>0</v>
      </c>
    </row>
    <row r="187" spans="1:15">
      <c r="A187" t="s">
        <v>763</v>
      </c>
      <c r="B187" t="s">
        <v>1623</v>
      </c>
      <c r="C187" t="s">
        <v>2252</v>
      </c>
      <c r="D187" t="s">
        <v>1051</v>
      </c>
      <c r="E187" t="s">
        <v>466</v>
      </c>
      <c r="F187" t="s">
        <v>1057</v>
      </c>
      <c r="G187" t="s">
        <v>1112</v>
      </c>
      <c r="H187" t="s">
        <v>1723</v>
      </c>
      <c r="K187">
        <v>0</v>
      </c>
      <c r="L187">
        <v>186000</v>
      </c>
      <c r="M187">
        <v>0</v>
      </c>
      <c r="N187">
        <v>186000</v>
      </c>
      <c r="O187">
        <v>-186000</v>
      </c>
    </row>
    <row r="188" spans="1:15">
      <c r="A188" t="s">
        <v>768</v>
      </c>
      <c r="B188" t="s">
        <v>1624</v>
      </c>
      <c r="C188" t="s">
        <v>2253</v>
      </c>
      <c r="D188" t="s">
        <v>1051</v>
      </c>
      <c r="E188" t="s">
        <v>466</v>
      </c>
      <c r="F188" t="s">
        <v>1057</v>
      </c>
      <c r="G188" t="s">
        <v>1112</v>
      </c>
      <c r="H188" t="s">
        <v>974</v>
      </c>
      <c r="I188">
        <v>606350</v>
      </c>
      <c r="J188">
        <v>564350</v>
      </c>
      <c r="K188">
        <v>35000</v>
      </c>
      <c r="L188">
        <v>0</v>
      </c>
      <c r="M188">
        <v>641350</v>
      </c>
      <c r="N188">
        <v>564350</v>
      </c>
      <c r="O188">
        <v>77000</v>
      </c>
    </row>
    <row r="189" spans="1:15">
      <c r="A189" t="s">
        <v>768</v>
      </c>
      <c r="B189" t="s">
        <v>1624</v>
      </c>
      <c r="C189" t="s">
        <v>2253</v>
      </c>
      <c r="D189" t="s">
        <v>1051</v>
      </c>
      <c r="E189" t="s">
        <v>466</v>
      </c>
      <c r="F189" t="s">
        <v>1057</v>
      </c>
      <c r="G189" t="s">
        <v>1112</v>
      </c>
      <c r="H189" t="s">
        <v>1276</v>
      </c>
      <c r="I189">
        <v>606350</v>
      </c>
      <c r="J189">
        <v>564350</v>
      </c>
      <c r="K189">
        <v>0</v>
      </c>
      <c r="L189">
        <v>0</v>
      </c>
      <c r="M189">
        <v>606350</v>
      </c>
      <c r="N189">
        <v>564350</v>
      </c>
      <c r="O189">
        <v>42000</v>
      </c>
    </row>
    <row r="190" spans="1:15">
      <c r="A190" t="s">
        <v>768</v>
      </c>
      <c r="B190" t="s">
        <v>1624</v>
      </c>
      <c r="C190" t="s">
        <v>2253</v>
      </c>
      <c r="D190" t="s">
        <v>1051</v>
      </c>
      <c r="E190" t="s">
        <v>466</v>
      </c>
      <c r="F190" t="s">
        <v>1057</v>
      </c>
      <c r="G190" t="s">
        <v>1112</v>
      </c>
      <c r="H190" t="s">
        <v>1024</v>
      </c>
      <c r="K190">
        <v>0</v>
      </c>
      <c r="L190">
        <v>0</v>
      </c>
      <c r="M190">
        <v>0</v>
      </c>
      <c r="N190">
        <v>0</v>
      </c>
      <c r="O190">
        <v>0</v>
      </c>
    </row>
    <row r="191" spans="1:15">
      <c r="A191" t="s">
        <v>768</v>
      </c>
      <c r="B191" t="s">
        <v>1624</v>
      </c>
      <c r="C191" t="s">
        <v>2253</v>
      </c>
      <c r="D191" t="s">
        <v>1051</v>
      </c>
      <c r="E191" t="s">
        <v>466</v>
      </c>
      <c r="F191" t="s">
        <v>1057</v>
      </c>
      <c r="G191" t="s">
        <v>1112</v>
      </c>
      <c r="H191" t="s">
        <v>1275</v>
      </c>
      <c r="K191">
        <v>30000</v>
      </c>
      <c r="L191">
        <v>0</v>
      </c>
      <c r="M191">
        <v>30000</v>
      </c>
      <c r="N191">
        <v>0</v>
      </c>
      <c r="O191">
        <v>30000</v>
      </c>
    </row>
    <row r="192" spans="1:15">
      <c r="A192" t="s">
        <v>773</v>
      </c>
      <c r="B192" t="s">
        <v>1626</v>
      </c>
      <c r="C192" t="s">
        <v>2254</v>
      </c>
      <c r="D192" t="s">
        <v>1051</v>
      </c>
      <c r="E192" t="s">
        <v>466</v>
      </c>
      <c r="F192" t="s">
        <v>1057</v>
      </c>
      <c r="G192" t="s">
        <v>1112</v>
      </c>
      <c r="H192" t="s">
        <v>974</v>
      </c>
      <c r="I192">
        <v>391000</v>
      </c>
      <c r="J192">
        <v>391000</v>
      </c>
      <c r="K192">
        <v>130000</v>
      </c>
      <c r="L192">
        <v>10000</v>
      </c>
      <c r="M192">
        <v>521000</v>
      </c>
      <c r="N192">
        <v>401000</v>
      </c>
      <c r="O192">
        <v>120000</v>
      </c>
    </row>
    <row r="193" spans="1:15">
      <c r="A193" t="s">
        <v>1334</v>
      </c>
      <c r="B193" t="s">
        <v>1335</v>
      </c>
      <c r="C193" t="s">
        <v>1336</v>
      </c>
      <c r="D193" t="s">
        <v>1051</v>
      </c>
      <c r="E193" t="s">
        <v>466</v>
      </c>
      <c r="F193" t="s">
        <v>1057</v>
      </c>
      <c r="G193" t="s">
        <v>1112</v>
      </c>
      <c r="H193" t="s">
        <v>974</v>
      </c>
      <c r="I193">
        <v>791782</v>
      </c>
      <c r="J193">
        <v>740500</v>
      </c>
      <c r="K193">
        <v>609500</v>
      </c>
      <c r="L193">
        <v>404500</v>
      </c>
      <c r="M193">
        <v>1401282</v>
      </c>
      <c r="N193">
        <v>1145000</v>
      </c>
      <c r="O193">
        <v>256282</v>
      </c>
    </row>
    <row r="194" spans="1:15">
      <c r="A194" t="s">
        <v>1334</v>
      </c>
      <c r="B194" t="s">
        <v>1335</v>
      </c>
      <c r="C194" t="s">
        <v>1336</v>
      </c>
      <c r="D194" t="s">
        <v>1051</v>
      </c>
      <c r="E194" t="s">
        <v>466</v>
      </c>
      <c r="F194" t="s">
        <v>1057</v>
      </c>
      <c r="G194" t="s">
        <v>1112</v>
      </c>
      <c r="H194" t="s">
        <v>1723</v>
      </c>
      <c r="K194">
        <v>15000</v>
      </c>
      <c r="L194">
        <v>15000</v>
      </c>
      <c r="M194">
        <v>15000</v>
      </c>
      <c r="N194">
        <v>15000</v>
      </c>
      <c r="O194">
        <v>0</v>
      </c>
    </row>
    <row r="195" spans="1:15">
      <c r="A195" t="s">
        <v>2112</v>
      </c>
      <c r="B195" t="s">
        <v>2113</v>
      </c>
      <c r="C195" t="s">
        <v>2255</v>
      </c>
      <c r="D195" t="s">
        <v>1051</v>
      </c>
      <c r="E195" t="s">
        <v>466</v>
      </c>
      <c r="F195" t="s">
        <v>1057</v>
      </c>
      <c r="G195" t="s">
        <v>1112</v>
      </c>
      <c r="H195" t="s">
        <v>974</v>
      </c>
      <c r="I195">
        <v>0</v>
      </c>
      <c r="J195">
        <v>0</v>
      </c>
      <c r="K195">
        <v>144000</v>
      </c>
      <c r="L195">
        <v>144000</v>
      </c>
      <c r="M195">
        <v>144000</v>
      </c>
      <c r="N195">
        <v>144000</v>
      </c>
      <c r="O195">
        <v>0</v>
      </c>
    </row>
    <row r="196" spans="1:15">
      <c r="A196" t="s">
        <v>774</v>
      </c>
      <c r="B196" t="s">
        <v>335</v>
      </c>
      <c r="C196" t="s">
        <v>2256</v>
      </c>
      <c r="D196" t="s">
        <v>1051</v>
      </c>
      <c r="E196" t="s">
        <v>466</v>
      </c>
      <c r="F196" t="s">
        <v>1057</v>
      </c>
      <c r="G196" t="s">
        <v>1112</v>
      </c>
      <c r="H196" t="s">
        <v>974</v>
      </c>
      <c r="I196">
        <v>2926182</v>
      </c>
      <c r="J196">
        <v>2886182</v>
      </c>
      <c r="K196">
        <v>244277</v>
      </c>
      <c r="L196">
        <v>254277</v>
      </c>
      <c r="M196">
        <v>3170459</v>
      </c>
      <c r="N196">
        <v>3140459</v>
      </c>
      <c r="O196">
        <v>30000</v>
      </c>
    </row>
    <row r="197" spans="1:15">
      <c r="A197" t="s">
        <v>774</v>
      </c>
      <c r="B197" t="s">
        <v>335</v>
      </c>
      <c r="C197" t="s">
        <v>2256</v>
      </c>
      <c r="D197" t="s">
        <v>1051</v>
      </c>
      <c r="E197" t="s">
        <v>466</v>
      </c>
      <c r="F197" t="s">
        <v>1057</v>
      </c>
      <c r="G197" t="s">
        <v>1112</v>
      </c>
      <c r="H197" t="s">
        <v>1276</v>
      </c>
      <c r="K197">
        <v>0</v>
      </c>
      <c r="L197">
        <v>0</v>
      </c>
      <c r="M197">
        <v>0</v>
      </c>
      <c r="N197">
        <v>0</v>
      </c>
      <c r="O197">
        <v>0</v>
      </c>
    </row>
    <row r="198" spans="1:15">
      <c r="A198" t="s">
        <v>774</v>
      </c>
      <c r="B198" t="s">
        <v>335</v>
      </c>
      <c r="C198" t="s">
        <v>2256</v>
      </c>
      <c r="D198" t="s">
        <v>1051</v>
      </c>
      <c r="E198" t="s">
        <v>466</v>
      </c>
      <c r="F198" t="s">
        <v>1057</v>
      </c>
      <c r="G198" t="s">
        <v>1112</v>
      </c>
      <c r="H198" t="s">
        <v>1275</v>
      </c>
      <c r="K198">
        <v>0</v>
      </c>
      <c r="L198">
        <v>15000</v>
      </c>
      <c r="M198">
        <v>0</v>
      </c>
      <c r="N198">
        <v>15000</v>
      </c>
      <c r="O198">
        <v>-15000</v>
      </c>
    </row>
    <row r="199" spans="1:15">
      <c r="A199" t="s">
        <v>774</v>
      </c>
      <c r="B199" t="s">
        <v>335</v>
      </c>
      <c r="C199" t="s">
        <v>2256</v>
      </c>
      <c r="D199" t="s">
        <v>1051</v>
      </c>
      <c r="E199" t="s">
        <v>466</v>
      </c>
      <c r="F199" t="s">
        <v>1057</v>
      </c>
      <c r="G199" t="s">
        <v>1112</v>
      </c>
      <c r="H199" t="s">
        <v>1723</v>
      </c>
      <c r="K199">
        <v>70000</v>
      </c>
      <c r="L199">
        <v>110000</v>
      </c>
      <c r="M199">
        <v>70000</v>
      </c>
      <c r="N199">
        <v>110000</v>
      </c>
      <c r="O199">
        <v>-40000</v>
      </c>
    </row>
    <row r="200" spans="1:15">
      <c r="A200" t="s">
        <v>775</v>
      </c>
      <c r="B200" t="s">
        <v>1627</v>
      </c>
      <c r="C200" t="s">
        <v>2257</v>
      </c>
      <c r="D200" t="s">
        <v>1051</v>
      </c>
      <c r="E200" t="s">
        <v>466</v>
      </c>
      <c r="F200" t="s">
        <v>1057</v>
      </c>
      <c r="G200" t="s">
        <v>1112</v>
      </c>
      <c r="H200" t="s">
        <v>974</v>
      </c>
      <c r="I200">
        <v>305000</v>
      </c>
      <c r="J200">
        <v>73000</v>
      </c>
      <c r="K200">
        <v>120000</v>
      </c>
      <c r="L200">
        <v>198000</v>
      </c>
      <c r="M200">
        <v>425000</v>
      </c>
      <c r="N200">
        <v>271000</v>
      </c>
      <c r="O200">
        <v>154000</v>
      </c>
    </row>
    <row r="201" spans="1:15">
      <c r="A201" t="s">
        <v>775</v>
      </c>
      <c r="B201" t="s">
        <v>1627</v>
      </c>
      <c r="C201" t="s">
        <v>2257</v>
      </c>
      <c r="D201" t="s">
        <v>1051</v>
      </c>
      <c r="E201" t="s">
        <v>466</v>
      </c>
      <c r="F201" t="s">
        <v>1057</v>
      </c>
      <c r="G201" t="s">
        <v>1112</v>
      </c>
      <c r="H201" t="s">
        <v>1275</v>
      </c>
      <c r="K201">
        <v>100000</v>
      </c>
      <c r="L201">
        <v>62500</v>
      </c>
      <c r="M201">
        <v>100000</v>
      </c>
      <c r="N201">
        <v>62500</v>
      </c>
      <c r="O201">
        <v>37500</v>
      </c>
    </row>
    <row r="202" spans="1:15">
      <c r="A202" t="s">
        <v>775</v>
      </c>
      <c r="B202" t="s">
        <v>1627</v>
      </c>
      <c r="C202" t="s">
        <v>2257</v>
      </c>
      <c r="D202" t="s">
        <v>1051</v>
      </c>
      <c r="E202" t="s">
        <v>466</v>
      </c>
      <c r="F202" t="s">
        <v>1057</v>
      </c>
      <c r="G202" t="s">
        <v>1112</v>
      </c>
      <c r="H202" t="s">
        <v>1723</v>
      </c>
      <c r="K202">
        <v>54000</v>
      </c>
      <c r="L202">
        <v>48000</v>
      </c>
      <c r="M202">
        <v>54000</v>
      </c>
      <c r="N202">
        <v>48000</v>
      </c>
      <c r="O202">
        <v>6000</v>
      </c>
    </row>
    <row r="203" spans="1:15">
      <c r="A203" t="s">
        <v>1120</v>
      </c>
      <c r="B203" t="s">
        <v>1628</v>
      </c>
      <c r="C203" t="s">
        <v>2258</v>
      </c>
      <c r="D203" t="s">
        <v>1051</v>
      </c>
      <c r="E203" t="s">
        <v>466</v>
      </c>
      <c r="F203" t="s">
        <v>1057</v>
      </c>
      <c r="G203" t="s">
        <v>1112</v>
      </c>
      <c r="H203" t="s">
        <v>974</v>
      </c>
      <c r="I203">
        <v>116000</v>
      </c>
      <c r="J203">
        <v>116000</v>
      </c>
      <c r="K203">
        <v>35000</v>
      </c>
      <c r="L203">
        <v>35000</v>
      </c>
      <c r="M203">
        <v>151000</v>
      </c>
      <c r="N203">
        <v>151000</v>
      </c>
      <c r="O203">
        <v>0</v>
      </c>
    </row>
    <row r="204" spans="1:15">
      <c r="A204" t="s">
        <v>1225</v>
      </c>
      <c r="B204" t="s">
        <v>1629</v>
      </c>
      <c r="C204" t="s">
        <v>2259</v>
      </c>
      <c r="D204" t="s">
        <v>1051</v>
      </c>
      <c r="E204" t="s">
        <v>466</v>
      </c>
      <c r="F204" t="s">
        <v>1057</v>
      </c>
      <c r="G204" t="s">
        <v>337</v>
      </c>
      <c r="H204" t="s">
        <v>974</v>
      </c>
      <c r="I204">
        <v>0</v>
      </c>
      <c r="J204">
        <v>0</v>
      </c>
      <c r="K204">
        <v>0</v>
      </c>
      <c r="L204">
        <v>0</v>
      </c>
      <c r="M204">
        <v>0</v>
      </c>
      <c r="N204">
        <v>0</v>
      </c>
      <c r="O204">
        <v>0</v>
      </c>
    </row>
    <row r="205" spans="1:15">
      <c r="A205" t="s">
        <v>776</v>
      </c>
      <c r="B205" t="s">
        <v>1630</v>
      </c>
      <c r="C205" t="s">
        <v>2260</v>
      </c>
      <c r="D205" t="s">
        <v>1051</v>
      </c>
      <c r="E205" t="s">
        <v>466</v>
      </c>
      <c r="F205" t="s">
        <v>1057</v>
      </c>
      <c r="G205" t="s">
        <v>337</v>
      </c>
      <c r="H205" t="s">
        <v>974</v>
      </c>
      <c r="I205">
        <v>9167</v>
      </c>
      <c r="J205">
        <v>9167</v>
      </c>
      <c r="K205">
        <v>0</v>
      </c>
      <c r="L205">
        <v>0</v>
      </c>
      <c r="M205">
        <v>9167</v>
      </c>
      <c r="N205">
        <v>9167</v>
      </c>
      <c r="O205">
        <v>0</v>
      </c>
    </row>
    <row r="206" spans="1:15">
      <c r="A206" t="s">
        <v>777</v>
      </c>
      <c r="B206" t="s">
        <v>1631</v>
      </c>
      <c r="C206" t="s">
        <v>2185</v>
      </c>
      <c r="D206" t="s">
        <v>1051</v>
      </c>
      <c r="E206" t="s">
        <v>637</v>
      </c>
      <c r="F206" t="s">
        <v>638</v>
      </c>
      <c r="G206" t="s">
        <v>1122</v>
      </c>
      <c r="H206" t="s">
        <v>974</v>
      </c>
      <c r="I206">
        <v>1721000</v>
      </c>
      <c r="J206">
        <v>0</v>
      </c>
      <c r="K206">
        <v>0</v>
      </c>
      <c r="L206">
        <v>0</v>
      </c>
      <c r="M206">
        <v>1721000</v>
      </c>
      <c r="N206">
        <v>0</v>
      </c>
      <c r="O206">
        <v>1721000</v>
      </c>
    </row>
    <row r="207" spans="1:15">
      <c r="A207" t="s">
        <v>778</v>
      </c>
      <c r="B207" t="s">
        <v>1632</v>
      </c>
      <c r="C207" t="s">
        <v>2186</v>
      </c>
      <c r="D207" t="s">
        <v>1051</v>
      </c>
      <c r="E207" t="s">
        <v>637</v>
      </c>
      <c r="F207" t="s">
        <v>638</v>
      </c>
      <c r="G207" t="s">
        <v>1123</v>
      </c>
      <c r="H207" t="s">
        <v>974</v>
      </c>
      <c r="I207">
        <v>22763814</v>
      </c>
      <c r="J207">
        <v>0</v>
      </c>
      <c r="K207">
        <v>0</v>
      </c>
      <c r="L207">
        <v>0</v>
      </c>
      <c r="M207">
        <v>22763814</v>
      </c>
      <c r="N207">
        <v>0</v>
      </c>
      <c r="O207">
        <v>22763814</v>
      </c>
    </row>
    <row r="208" spans="1:15">
      <c r="A208" t="s">
        <v>779</v>
      </c>
      <c r="B208" t="s">
        <v>1633</v>
      </c>
      <c r="C208" t="s">
        <v>2187</v>
      </c>
      <c r="D208" t="s">
        <v>1051</v>
      </c>
      <c r="E208" t="s">
        <v>637</v>
      </c>
      <c r="F208" t="s">
        <v>638</v>
      </c>
      <c r="G208" t="s">
        <v>1124</v>
      </c>
      <c r="H208" t="s">
        <v>974</v>
      </c>
      <c r="I208">
        <v>0</v>
      </c>
      <c r="J208">
        <v>10086624</v>
      </c>
      <c r="K208">
        <v>0</v>
      </c>
      <c r="L208">
        <v>455276</v>
      </c>
      <c r="M208">
        <v>0</v>
      </c>
      <c r="N208">
        <v>10541900</v>
      </c>
      <c r="O208">
        <v>-10541900</v>
      </c>
    </row>
    <row r="209" spans="1:15">
      <c r="A209" t="s">
        <v>780</v>
      </c>
      <c r="B209" t="s">
        <v>1634</v>
      </c>
      <c r="C209" t="s">
        <v>2188</v>
      </c>
      <c r="D209" t="s">
        <v>1051</v>
      </c>
      <c r="E209" t="s">
        <v>637</v>
      </c>
      <c r="F209" t="s">
        <v>638</v>
      </c>
      <c r="G209" t="s">
        <v>342</v>
      </c>
      <c r="H209" t="s">
        <v>974</v>
      </c>
      <c r="I209">
        <v>1244075</v>
      </c>
      <c r="J209">
        <v>0</v>
      </c>
      <c r="K209">
        <v>0</v>
      </c>
      <c r="L209">
        <v>0</v>
      </c>
      <c r="M209">
        <v>1244075</v>
      </c>
      <c r="N209">
        <v>0</v>
      </c>
      <c r="O209">
        <v>1244075</v>
      </c>
    </row>
    <row r="210" spans="1:15">
      <c r="A210" t="s">
        <v>781</v>
      </c>
      <c r="B210" t="s">
        <v>1635</v>
      </c>
      <c r="C210" t="s">
        <v>2189</v>
      </c>
      <c r="D210" t="s">
        <v>1051</v>
      </c>
      <c r="E210" t="s">
        <v>637</v>
      </c>
      <c r="F210" t="s">
        <v>638</v>
      </c>
      <c r="G210" t="s">
        <v>343</v>
      </c>
      <c r="H210" t="s">
        <v>974</v>
      </c>
      <c r="I210">
        <v>30249</v>
      </c>
      <c r="J210">
        <v>1255975</v>
      </c>
      <c r="K210">
        <v>0</v>
      </c>
      <c r="L210">
        <v>42323</v>
      </c>
      <c r="M210">
        <v>30249</v>
      </c>
      <c r="N210">
        <v>1298298</v>
      </c>
      <c r="O210">
        <v>-1268049</v>
      </c>
    </row>
    <row r="211" spans="1:15">
      <c r="A211" t="s">
        <v>782</v>
      </c>
      <c r="B211" t="s">
        <v>1636</v>
      </c>
      <c r="C211" t="s">
        <v>2190</v>
      </c>
      <c r="D211" t="s">
        <v>1051</v>
      </c>
      <c r="E211" t="s">
        <v>637</v>
      </c>
      <c r="F211" t="s">
        <v>638</v>
      </c>
      <c r="G211" t="s">
        <v>524</v>
      </c>
      <c r="H211" t="s">
        <v>974</v>
      </c>
      <c r="I211">
        <v>4970458</v>
      </c>
      <c r="J211">
        <v>0</v>
      </c>
      <c r="K211">
        <v>0</v>
      </c>
      <c r="L211">
        <v>0</v>
      </c>
      <c r="M211">
        <v>4970458</v>
      </c>
      <c r="N211">
        <v>0</v>
      </c>
      <c r="O211">
        <v>4970458</v>
      </c>
    </row>
    <row r="212" spans="1:15">
      <c r="A212" t="s">
        <v>783</v>
      </c>
      <c r="B212" t="s">
        <v>1637</v>
      </c>
      <c r="C212" t="s">
        <v>2191</v>
      </c>
      <c r="D212" t="s">
        <v>1051</v>
      </c>
      <c r="E212" t="s">
        <v>637</v>
      </c>
      <c r="F212" t="s">
        <v>638</v>
      </c>
      <c r="G212" t="s">
        <v>1125</v>
      </c>
      <c r="H212" t="s">
        <v>974</v>
      </c>
      <c r="I212">
        <v>68126</v>
      </c>
      <c r="J212">
        <v>4204569</v>
      </c>
      <c r="K212">
        <v>0</v>
      </c>
      <c r="L212">
        <v>358157</v>
      </c>
      <c r="M212">
        <v>68126</v>
      </c>
      <c r="N212">
        <v>4562726</v>
      </c>
      <c r="O212">
        <v>-4494600</v>
      </c>
    </row>
    <row r="213" spans="1:15">
      <c r="A213" t="s">
        <v>784</v>
      </c>
      <c r="B213" t="s">
        <v>1638</v>
      </c>
      <c r="C213" t="s">
        <v>2192</v>
      </c>
      <c r="D213" t="s">
        <v>1051</v>
      </c>
      <c r="E213" t="s">
        <v>637</v>
      </c>
      <c r="F213" t="s">
        <v>638</v>
      </c>
      <c r="G213" t="s">
        <v>525</v>
      </c>
      <c r="H213" t="s">
        <v>974</v>
      </c>
      <c r="I213">
        <v>911914</v>
      </c>
      <c r="J213">
        <v>0</v>
      </c>
      <c r="K213">
        <v>0</v>
      </c>
      <c r="L213">
        <v>0</v>
      </c>
      <c r="M213">
        <v>911914</v>
      </c>
      <c r="N213">
        <v>0</v>
      </c>
      <c r="O213">
        <v>911914</v>
      </c>
    </row>
    <row r="214" spans="1:15">
      <c r="A214" t="s">
        <v>785</v>
      </c>
      <c r="B214" t="s">
        <v>1639</v>
      </c>
      <c r="C214" t="s">
        <v>2193</v>
      </c>
      <c r="D214" t="s">
        <v>1051</v>
      </c>
      <c r="E214" t="s">
        <v>637</v>
      </c>
      <c r="F214" t="s">
        <v>638</v>
      </c>
      <c r="G214" t="s">
        <v>1126</v>
      </c>
      <c r="H214" t="s">
        <v>974</v>
      </c>
      <c r="I214">
        <v>77185</v>
      </c>
      <c r="J214">
        <v>965663</v>
      </c>
      <c r="K214">
        <v>0</v>
      </c>
      <c r="L214">
        <v>892</v>
      </c>
      <c r="M214">
        <v>77185</v>
      </c>
      <c r="N214">
        <v>966555</v>
      </c>
      <c r="O214">
        <v>-889370</v>
      </c>
    </row>
    <row r="215" spans="1:15">
      <c r="A215" t="s">
        <v>786</v>
      </c>
      <c r="B215" t="s">
        <v>1640</v>
      </c>
      <c r="C215" t="s">
        <v>2194</v>
      </c>
      <c r="D215" t="s">
        <v>1051</v>
      </c>
      <c r="E215" t="s">
        <v>637</v>
      </c>
      <c r="F215" t="s">
        <v>638</v>
      </c>
      <c r="G215" t="s">
        <v>1128</v>
      </c>
      <c r="H215" t="s">
        <v>974</v>
      </c>
      <c r="I215">
        <v>170000</v>
      </c>
      <c r="J215">
        <v>170000</v>
      </c>
      <c r="K215">
        <v>0</v>
      </c>
      <c r="L215">
        <v>0</v>
      </c>
      <c r="M215">
        <v>170000</v>
      </c>
      <c r="N215">
        <v>170000</v>
      </c>
      <c r="O215">
        <v>0</v>
      </c>
    </row>
    <row r="216" spans="1:15">
      <c r="A216" t="s">
        <v>787</v>
      </c>
      <c r="B216" t="s">
        <v>1641</v>
      </c>
      <c r="C216" t="s">
        <v>2195</v>
      </c>
      <c r="D216" t="s">
        <v>1051</v>
      </c>
      <c r="E216" t="s">
        <v>637</v>
      </c>
      <c r="F216" t="s">
        <v>638</v>
      </c>
      <c r="G216" t="s">
        <v>1129</v>
      </c>
      <c r="H216" t="s">
        <v>974</v>
      </c>
      <c r="I216">
        <v>45012</v>
      </c>
      <c r="J216">
        <v>892293</v>
      </c>
      <c r="K216">
        <v>0</v>
      </c>
      <c r="L216">
        <v>1093</v>
      </c>
      <c r="M216">
        <v>45012</v>
      </c>
      <c r="N216">
        <v>893386</v>
      </c>
      <c r="O216">
        <v>-848374</v>
      </c>
    </row>
    <row r="217" spans="1:15">
      <c r="A217" t="s">
        <v>788</v>
      </c>
      <c r="B217" t="s">
        <v>1642</v>
      </c>
      <c r="C217" t="s">
        <v>2196</v>
      </c>
      <c r="D217" t="s">
        <v>1051</v>
      </c>
      <c r="E217" t="s">
        <v>637</v>
      </c>
      <c r="F217" t="s">
        <v>638</v>
      </c>
      <c r="G217" t="s">
        <v>1130</v>
      </c>
      <c r="H217" t="s">
        <v>974</v>
      </c>
      <c r="I217">
        <v>2903533</v>
      </c>
      <c r="J217">
        <v>0</v>
      </c>
      <c r="K217">
        <v>3000</v>
      </c>
      <c r="L217">
        <v>0</v>
      </c>
      <c r="M217">
        <v>2906533</v>
      </c>
      <c r="N217">
        <v>0</v>
      </c>
      <c r="O217">
        <v>2906533</v>
      </c>
    </row>
    <row r="218" spans="1:15">
      <c r="A218" t="s">
        <v>789</v>
      </c>
      <c r="B218" t="s">
        <v>1643</v>
      </c>
      <c r="C218" t="s">
        <v>2197</v>
      </c>
      <c r="D218" t="s">
        <v>1051</v>
      </c>
      <c r="E218" t="s">
        <v>637</v>
      </c>
      <c r="F218" t="s">
        <v>638</v>
      </c>
      <c r="G218" t="s">
        <v>1131</v>
      </c>
      <c r="H218" t="s">
        <v>974</v>
      </c>
      <c r="I218">
        <v>5854</v>
      </c>
      <c r="J218">
        <v>2909388</v>
      </c>
      <c r="K218">
        <v>0</v>
      </c>
      <c r="L218">
        <v>0</v>
      </c>
      <c r="M218">
        <v>5854</v>
      </c>
      <c r="N218">
        <v>2909388</v>
      </c>
      <c r="O218">
        <v>-2903534</v>
      </c>
    </row>
    <row r="219" spans="1:15">
      <c r="A219" t="s">
        <v>790</v>
      </c>
      <c r="B219" t="s">
        <v>1644</v>
      </c>
      <c r="C219" t="s">
        <v>2198</v>
      </c>
      <c r="D219" t="s">
        <v>1051</v>
      </c>
      <c r="E219" t="s">
        <v>637</v>
      </c>
      <c r="F219" t="s">
        <v>639</v>
      </c>
      <c r="G219" t="s">
        <v>352</v>
      </c>
      <c r="H219" t="s">
        <v>974</v>
      </c>
      <c r="I219">
        <v>886711</v>
      </c>
      <c r="J219">
        <v>429522</v>
      </c>
      <c r="K219">
        <v>0</v>
      </c>
      <c r="L219">
        <v>0</v>
      </c>
      <c r="M219">
        <v>886711</v>
      </c>
      <c r="N219">
        <v>429522</v>
      </c>
      <c r="O219">
        <v>457189</v>
      </c>
    </row>
    <row r="220" spans="1:15">
      <c r="A220" t="s">
        <v>791</v>
      </c>
      <c r="B220" t="s">
        <v>1645</v>
      </c>
      <c r="C220" t="s">
        <v>2199</v>
      </c>
      <c r="D220" t="s">
        <v>1051</v>
      </c>
      <c r="E220" t="s">
        <v>637</v>
      </c>
      <c r="F220" t="s">
        <v>639</v>
      </c>
      <c r="G220" t="s">
        <v>1133</v>
      </c>
      <c r="H220" t="s">
        <v>974</v>
      </c>
      <c r="I220">
        <v>122813</v>
      </c>
      <c r="J220">
        <v>574186.66666666674</v>
      </c>
      <c r="K220">
        <v>0</v>
      </c>
      <c r="L220">
        <v>76888</v>
      </c>
      <c r="M220">
        <v>122813</v>
      </c>
      <c r="N220">
        <v>651074.66666666674</v>
      </c>
      <c r="O220">
        <v>-528261.66666666674</v>
      </c>
    </row>
    <row r="221" spans="1:15">
      <c r="A221" t="s">
        <v>791</v>
      </c>
      <c r="B221" t="s">
        <v>1645</v>
      </c>
      <c r="C221" t="s">
        <v>2199</v>
      </c>
      <c r="D221" t="s">
        <v>1051</v>
      </c>
      <c r="E221" t="s">
        <v>637</v>
      </c>
      <c r="F221" t="s">
        <v>639</v>
      </c>
      <c r="G221" t="s">
        <v>1133</v>
      </c>
      <c r="H221" t="s">
        <v>1019</v>
      </c>
      <c r="I221">
        <v>122813</v>
      </c>
      <c r="J221">
        <v>574186.66666666674</v>
      </c>
      <c r="K221">
        <v>0</v>
      </c>
      <c r="L221">
        <v>0</v>
      </c>
      <c r="M221">
        <v>122813</v>
      </c>
      <c r="N221">
        <v>574186.66666666674</v>
      </c>
      <c r="O221">
        <v>-451373.66666666674</v>
      </c>
    </row>
    <row r="222" spans="1:15">
      <c r="A222" t="s">
        <v>792</v>
      </c>
      <c r="B222" t="s">
        <v>1646</v>
      </c>
      <c r="C222" t="s">
        <v>2200</v>
      </c>
      <c r="D222" t="s">
        <v>1051</v>
      </c>
      <c r="E222" t="s">
        <v>637</v>
      </c>
      <c r="F222" t="s">
        <v>638</v>
      </c>
      <c r="G222" t="s">
        <v>354</v>
      </c>
      <c r="H222" t="s">
        <v>974</v>
      </c>
      <c r="I222">
        <v>2534605</v>
      </c>
      <c r="J222">
        <v>1426000</v>
      </c>
      <c r="K222">
        <v>0</v>
      </c>
      <c r="L222">
        <v>0</v>
      </c>
      <c r="M222">
        <v>2534605</v>
      </c>
      <c r="N222">
        <v>1426000</v>
      </c>
      <c r="O222">
        <v>1108605</v>
      </c>
    </row>
    <row r="223" spans="1:15">
      <c r="A223" t="s">
        <v>793</v>
      </c>
      <c r="B223" t="s">
        <v>1647</v>
      </c>
      <c r="C223" t="s">
        <v>2201</v>
      </c>
      <c r="D223" t="s">
        <v>1051</v>
      </c>
      <c r="E223" t="s">
        <v>637</v>
      </c>
      <c r="F223" t="s">
        <v>638</v>
      </c>
      <c r="G223" t="s">
        <v>355</v>
      </c>
      <c r="H223" t="s">
        <v>974</v>
      </c>
      <c r="I223">
        <v>1384994</v>
      </c>
      <c r="J223">
        <v>2493599</v>
      </c>
      <c r="K223">
        <v>0</v>
      </c>
      <c r="L223">
        <v>0</v>
      </c>
      <c r="M223">
        <v>1384994</v>
      </c>
      <c r="N223">
        <v>2493599</v>
      </c>
      <c r="O223">
        <v>-1108605</v>
      </c>
    </row>
    <row r="224" spans="1:15">
      <c r="A224" t="s">
        <v>794</v>
      </c>
      <c r="B224" t="s">
        <v>1648</v>
      </c>
      <c r="C224" t="s">
        <v>2202</v>
      </c>
      <c r="D224" t="s">
        <v>1051</v>
      </c>
      <c r="E224" t="s">
        <v>637</v>
      </c>
      <c r="F224" t="s">
        <v>638</v>
      </c>
      <c r="G224" t="s">
        <v>356</v>
      </c>
      <c r="H224" t="s">
        <v>974</v>
      </c>
      <c r="I224">
        <v>308439</v>
      </c>
      <c r="J224">
        <v>0</v>
      </c>
      <c r="K224">
        <v>0</v>
      </c>
      <c r="L224">
        <v>0</v>
      </c>
      <c r="M224">
        <v>308439</v>
      </c>
      <c r="N224">
        <v>0</v>
      </c>
      <c r="O224">
        <v>308439</v>
      </c>
    </row>
    <row r="225" spans="1:15">
      <c r="A225" t="s">
        <v>795</v>
      </c>
      <c r="B225" t="s">
        <v>1649</v>
      </c>
      <c r="C225" t="s">
        <v>2203</v>
      </c>
      <c r="D225" t="s">
        <v>1051</v>
      </c>
      <c r="E225" t="s">
        <v>637</v>
      </c>
      <c r="F225" t="s">
        <v>638</v>
      </c>
      <c r="G225" t="s">
        <v>357</v>
      </c>
      <c r="H225" t="s">
        <v>974</v>
      </c>
      <c r="I225">
        <v>0</v>
      </c>
      <c r="J225">
        <v>308439</v>
      </c>
      <c r="K225">
        <v>0</v>
      </c>
      <c r="L225">
        <v>0</v>
      </c>
      <c r="M225">
        <v>0</v>
      </c>
      <c r="N225">
        <v>308439</v>
      </c>
      <c r="O225">
        <v>-308439</v>
      </c>
    </row>
    <row r="226" spans="1:15">
      <c r="A226" t="s">
        <v>796</v>
      </c>
      <c r="B226" t="s">
        <v>1650</v>
      </c>
      <c r="C226" t="s">
        <v>2261</v>
      </c>
      <c r="D226" t="s">
        <v>1051</v>
      </c>
      <c r="E226" t="s">
        <v>473</v>
      </c>
      <c r="F226" t="s">
        <v>1134</v>
      </c>
      <c r="G226" t="s">
        <v>1135</v>
      </c>
      <c r="H226" t="s">
        <v>974</v>
      </c>
      <c r="I226">
        <v>2565440</v>
      </c>
      <c r="J226">
        <v>3257362</v>
      </c>
      <c r="K226">
        <v>432000</v>
      </c>
      <c r="L226">
        <v>0</v>
      </c>
      <c r="M226">
        <v>2997440</v>
      </c>
      <c r="N226">
        <v>3257362</v>
      </c>
      <c r="O226">
        <v>-259922</v>
      </c>
    </row>
    <row r="227" spans="1:15">
      <c r="A227" t="s">
        <v>797</v>
      </c>
      <c r="B227" t="s">
        <v>2114</v>
      </c>
      <c r="C227" t="s">
        <v>2262</v>
      </c>
      <c r="D227" t="s">
        <v>1051</v>
      </c>
      <c r="E227" t="s">
        <v>473</v>
      </c>
      <c r="F227" t="s">
        <v>1134</v>
      </c>
      <c r="G227" t="s">
        <v>1137</v>
      </c>
      <c r="H227" t="s">
        <v>974</v>
      </c>
      <c r="I227">
        <v>0</v>
      </c>
      <c r="J227">
        <v>368297</v>
      </c>
      <c r="K227">
        <v>0</v>
      </c>
      <c r="L227">
        <v>0</v>
      </c>
      <c r="M227">
        <v>0</v>
      </c>
      <c r="N227">
        <v>368297</v>
      </c>
      <c r="O227">
        <v>-368297</v>
      </c>
    </row>
    <row r="228" spans="1:15">
      <c r="A228" t="s">
        <v>798</v>
      </c>
      <c r="B228" t="s">
        <v>1651</v>
      </c>
      <c r="C228" t="s">
        <v>2263</v>
      </c>
      <c r="D228" t="s">
        <v>1051</v>
      </c>
      <c r="E228" t="s">
        <v>473</v>
      </c>
      <c r="F228" t="s">
        <v>1134</v>
      </c>
      <c r="G228" t="s">
        <v>1137</v>
      </c>
      <c r="H228" t="s">
        <v>974</v>
      </c>
      <c r="I228">
        <v>0</v>
      </c>
      <c r="J228">
        <v>177</v>
      </c>
      <c r="K228">
        <v>0</v>
      </c>
      <c r="L228">
        <v>0</v>
      </c>
      <c r="M228">
        <v>0</v>
      </c>
      <c r="N228">
        <v>177</v>
      </c>
      <c r="O228">
        <v>-177</v>
      </c>
    </row>
    <row r="229" spans="1:15">
      <c r="A229" t="s">
        <v>799</v>
      </c>
      <c r="B229" t="s">
        <v>2115</v>
      </c>
      <c r="C229" t="s">
        <v>2264</v>
      </c>
      <c r="D229" t="s">
        <v>1051</v>
      </c>
      <c r="E229" t="s">
        <v>473</v>
      </c>
      <c r="F229" t="s">
        <v>1134</v>
      </c>
      <c r="G229" t="s">
        <v>1137</v>
      </c>
      <c r="H229" t="s">
        <v>974</v>
      </c>
      <c r="I229">
        <v>0</v>
      </c>
      <c r="J229">
        <v>251835</v>
      </c>
      <c r="K229">
        <v>0</v>
      </c>
      <c r="L229">
        <v>0</v>
      </c>
      <c r="M229">
        <v>0</v>
      </c>
      <c r="N229">
        <v>251835</v>
      </c>
      <c r="O229">
        <v>-251835</v>
      </c>
    </row>
    <row r="230" spans="1:15">
      <c r="A230" t="s">
        <v>799</v>
      </c>
      <c r="B230" t="s">
        <v>2115</v>
      </c>
      <c r="C230" t="s">
        <v>2264</v>
      </c>
      <c r="D230" t="s">
        <v>1051</v>
      </c>
      <c r="E230" t="s">
        <v>473</v>
      </c>
      <c r="F230" t="s">
        <v>1134</v>
      </c>
      <c r="G230" t="s">
        <v>1137</v>
      </c>
      <c r="H230" t="s">
        <v>1722</v>
      </c>
      <c r="I230">
        <v>0</v>
      </c>
      <c r="J230">
        <v>251835</v>
      </c>
      <c r="K230">
        <v>0</v>
      </c>
      <c r="L230">
        <v>0</v>
      </c>
      <c r="M230">
        <v>0</v>
      </c>
      <c r="N230">
        <v>251835</v>
      </c>
      <c r="O230">
        <v>-251835</v>
      </c>
    </row>
    <row r="231" spans="1:15">
      <c r="A231" t="s">
        <v>800</v>
      </c>
      <c r="B231" t="s">
        <v>1652</v>
      </c>
      <c r="C231" t="s">
        <v>2265</v>
      </c>
      <c r="D231" t="s">
        <v>1051</v>
      </c>
      <c r="E231" t="s">
        <v>473</v>
      </c>
      <c r="F231" t="s">
        <v>1134</v>
      </c>
      <c r="G231" t="s">
        <v>1137</v>
      </c>
      <c r="H231" t="s">
        <v>1013</v>
      </c>
      <c r="I231">
        <v>0</v>
      </c>
      <c r="J231">
        <v>50</v>
      </c>
      <c r="K231">
        <v>0</v>
      </c>
      <c r="L231">
        <v>0</v>
      </c>
      <c r="M231">
        <v>0</v>
      </c>
      <c r="N231">
        <v>50</v>
      </c>
      <c r="O231">
        <v>-50</v>
      </c>
    </row>
    <row r="232" spans="1:15">
      <c r="A232" t="s">
        <v>800</v>
      </c>
      <c r="B232" t="s">
        <v>1652</v>
      </c>
      <c r="C232" t="s">
        <v>2265</v>
      </c>
      <c r="D232" t="s">
        <v>1051</v>
      </c>
      <c r="E232" t="s">
        <v>473</v>
      </c>
      <c r="F232" t="s">
        <v>1134</v>
      </c>
      <c r="G232" t="s">
        <v>1137</v>
      </c>
      <c r="H232" t="s">
        <v>2072</v>
      </c>
      <c r="I232">
        <v>0</v>
      </c>
      <c r="J232">
        <v>50</v>
      </c>
      <c r="K232">
        <v>0</v>
      </c>
      <c r="L232">
        <v>0</v>
      </c>
      <c r="M232">
        <v>0</v>
      </c>
      <c r="N232">
        <v>50</v>
      </c>
      <c r="O232">
        <v>-50</v>
      </c>
    </row>
    <row r="233" spans="1:15">
      <c r="A233" t="s">
        <v>801</v>
      </c>
      <c r="B233" t="s">
        <v>1653</v>
      </c>
      <c r="C233" t="s">
        <v>2266</v>
      </c>
      <c r="D233" t="s">
        <v>1051</v>
      </c>
      <c r="E233" t="s">
        <v>473</v>
      </c>
      <c r="F233" t="s">
        <v>1134</v>
      </c>
      <c r="G233" t="s">
        <v>1137</v>
      </c>
      <c r="H233" t="s">
        <v>974</v>
      </c>
      <c r="I233">
        <v>0</v>
      </c>
      <c r="J233">
        <v>75698</v>
      </c>
      <c r="K233">
        <v>0</v>
      </c>
      <c r="L233">
        <v>0</v>
      </c>
      <c r="M233">
        <v>0</v>
      </c>
      <c r="N233">
        <v>75698</v>
      </c>
      <c r="O233">
        <v>-75698</v>
      </c>
    </row>
    <row r="234" spans="1:15">
      <c r="A234" t="s">
        <v>802</v>
      </c>
      <c r="B234" t="s">
        <v>1654</v>
      </c>
      <c r="C234" t="s">
        <v>2267</v>
      </c>
      <c r="D234" t="s">
        <v>1051</v>
      </c>
      <c r="E234" t="s">
        <v>473</v>
      </c>
      <c r="F234" t="s">
        <v>1134</v>
      </c>
      <c r="G234" t="s">
        <v>1137</v>
      </c>
      <c r="H234" t="s">
        <v>1012</v>
      </c>
      <c r="I234">
        <v>0</v>
      </c>
      <c r="J234">
        <v>464</v>
      </c>
      <c r="K234">
        <v>0</v>
      </c>
      <c r="L234">
        <v>0</v>
      </c>
      <c r="M234">
        <v>0</v>
      </c>
      <c r="N234">
        <v>464</v>
      </c>
      <c r="O234">
        <v>-464</v>
      </c>
    </row>
    <row r="235" spans="1:15">
      <c r="A235" t="s">
        <v>803</v>
      </c>
      <c r="B235" t="s">
        <v>1655</v>
      </c>
      <c r="C235" t="s">
        <v>2268</v>
      </c>
      <c r="D235" t="s">
        <v>1051</v>
      </c>
      <c r="E235" t="s">
        <v>473</v>
      </c>
      <c r="F235" t="s">
        <v>1134</v>
      </c>
      <c r="G235" t="s">
        <v>1137</v>
      </c>
      <c r="H235" t="s">
        <v>974</v>
      </c>
      <c r="I235">
        <v>0</v>
      </c>
      <c r="J235">
        <v>500</v>
      </c>
      <c r="K235">
        <v>0</v>
      </c>
      <c r="L235">
        <v>0</v>
      </c>
      <c r="M235">
        <v>0</v>
      </c>
      <c r="N235">
        <v>500</v>
      </c>
      <c r="O235">
        <v>-500</v>
      </c>
    </row>
    <row r="236" spans="1:15">
      <c r="A236" t="s">
        <v>804</v>
      </c>
      <c r="B236" t="s">
        <v>1656</v>
      </c>
      <c r="C236" t="s">
        <v>2269</v>
      </c>
      <c r="D236" t="s">
        <v>1051</v>
      </c>
      <c r="E236" t="s">
        <v>473</v>
      </c>
      <c r="F236" t="s">
        <v>1134</v>
      </c>
      <c r="G236" t="s">
        <v>1137</v>
      </c>
      <c r="H236" t="s">
        <v>1021</v>
      </c>
      <c r="I236">
        <v>0</v>
      </c>
      <c r="J236">
        <v>35940</v>
      </c>
      <c r="K236">
        <v>0</v>
      </c>
      <c r="L236">
        <v>0</v>
      </c>
      <c r="M236">
        <v>0</v>
      </c>
      <c r="N236">
        <v>35940</v>
      </c>
      <c r="O236">
        <v>-35940</v>
      </c>
    </row>
    <row r="237" spans="1:15">
      <c r="A237" t="s">
        <v>805</v>
      </c>
      <c r="B237" t="s">
        <v>1657</v>
      </c>
      <c r="C237" t="s">
        <v>2270</v>
      </c>
      <c r="D237" t="s">
        <v>1051</v>
      </c>
      <c r="E237" t="s">
        <v>473</v>
      </c>
      <c r="F237" t="s">
        <v>1134</v>
      </c>
      <c r="G237" t="s">
        <v>1137</v>
      </c>
      <c r="H237" t="s">
        <v>974</v>
      </c>
      <c r="I237">
        <v>0</v>
      </c>
      <c r="J237">
        <v>68623</v>
      </c>
      <c r="K237">
        <v>0</v>
      </c>
      <c r="L237">
        <v>0</v>
      </c>
      <c r="M237">
        <v>0</v>
      </c>
      <c r="N237">
        <v>68623</v>
      </c>
      <c r="O237">
        <v>-68623</v>
      </c>
    </row>
    <row r="238" spans="1:15">
      <c r="A238" t="s">
        <v>806</v>
      </c>
      <c r="B238" t="s">
        <v>1658</v>
      </c>
      <c r="C238" t="s">
        <v>2271</v>
      </c>
      <c r="D238" t="s">
        <v>1051</v>
      </c>
      <c r="E238" t="s">
        <v>473</v>
      </c>
      <c r="F238" t="s">
        <v>1134</v>
      </c>
      <c r="G238" t="s">
        <v>1137</v>
      </c>
      <c r="H238" t="s">
        <v>992</v>
      </c>
      <c r="I238">
        <v>0</v>
      </c>
      <c r="J238">
        <v>275</v>
      </c>
      <c r="K238">
        <v>0</v>
      </c>
      <c r="L238">
        <v>0</v>
      </c>
      <c r="M238">
        <v>0</v>
      </c>
      <c r="N238">
        <v>275</v>
      </c>
      <c r="O238">
        <v>-275</v>
      </c>
    </row>
    <row r="239" spans="1:15">
      <c r="A239" t="s">
        <v>807</v>
      </c>
      <c r="B239" t="s">
        <v>1659</v>
      </c>
      <c r="C239" t="s">
        <v>2272</v>
      </c>
      <c r="D239" t="s">
        <v>1051</v>
      </c>
      <c r="E239" t="s">
        <v>473</v>
      </c>
      <c r="F239" t="s">
        <v>1134</v>
      </c>
      <c r="G239" t="s">
        <v>1137</v>
      </c>
      <c r="H239" t="s">
        <v>2072</v>
      </c>
      <c r="I239">
        <v>0</v>
      </c>
      <c r="J239">
        <v>370</v>
      </c>
      <c r="K239">
        <v>0</v>
      </c>
      <c r="L239">
        <v>0</v>
      </c>
      <c r="M239">
        <v>0</v>
      </c>
      <c r="N239">
        <v>370</v>
      </c>
      <c r="O239">
        <v>-370</v>
      </c>
    </row>
    <row r="240" spans="1:15">
      <c r="A240" t="s">
        <v>808</v>
      </c>
      <c r="B240" t="s">
        <v>1660</v>
      </c>
      <c r="C240" t="s">
        <v>2273</v>
      </c>
      <c r="D240" t="s">
        <v>1051</v>
      </c>
      <c r="E240" t="s">
        <v>473</v>
      </c>
      <c r="F240" t="s">
        <v>1064</v>
      </c>
      <c r="G240" t="s">
        <v>332</v>
      </c>
      <c r="H240" t="s">
        <v>974</v>
      </c>
      <c r="I240">
        <v>8323684</v>
      </c>
      <c r="J240">
        <v>8323684</v>
      </c>
      <c r="K240">
        <v>0</v>
      </c>
      <c r="L240">
        <v>0</v>
      </c>
      <c r="M240">
        <v>8323684</v>
      </c>
      <c r="N240">
        <v>8323684</v>
      </c>
      <c r="O240">
        <v>0</v>
      </c>
    </row>
    <row r="241" spans="1:15">
      <c r="A241" t="s">
        <v>810</v>
      </c>
      <c r="B241" t="s">
        <v>2116</v>
      </c>
      <c r="C241" t="s">
        <v>2274</v>
      </c>
      <c r="D241" t="s">
        <v>1051</v>
      </c>
      <c r="E241" t="s">
        <v>473</v>
      </c>
      <c r="F241" t="s">
        <v>1134</v>
      </c>
      <c r="G241" t="s">
        <v>1137</v>
      </c>
      <c r="H241" t="s">
        <v>974</v>
      </c>
      <c r="I241">
        <v>0</v>
      </c>
      <c r="J241">
        <v>143529</v>
      </c>
      <c r="K241">
        <v>0</v>
      </c>
      <c r="L241">
        <v>0</v>
      </c>
      <c r="M241">
        <v>0</v>
      </c>
      <c r="N241">
        <v>143529</v>
      </c>
      <c r="O241">
        <v>-143529</v>
      </c>
    </row>
    <row r="242" spans="1:15">
      <c r="A242" t="s">
        <v>810</v>
      </c>
      <c r="B242" t="s">
        <v>2116</v>
      </c>
      <c r="C242" t="s">
        <v>2274</v>
      </c>
      <c r="D242" t="s">
        <v>1051</v>
      </c>
      <c r="E242" t="s">
        <v>473</v>
      </c>
      <c r="F242" t="s">
        <v>1134</v>
      </c>
      <c r="G242" t="s">
        <v>1137</v>
      </c>
      <c r="H242" t="s">
        <v>1012</v>
      </c>
      <c r="I242">
        <v>0</v>
      </c>
      <c r="J242">
        <v>143529</v>
      </c>
      <c r="K242">
        <v>0</v>
      </c>
      <c r="L242">
        <v>0</v>
      </c>
      <c r="M242">
        <v>0</v>
      </c>
      <c r="N242">
        <v>143529</v>
      </c>
      <c r="O242">
        <v>-143529</v>
      </c>
    </row>
    <row r="243" spans="1:15">
      <c r="A243" t="s">
        <v>810</v>
      </c>
      <c r="B243" t="s">
        <v>2116</v>
      </c>
      <c r="C243" t="s">
        <v>2274</v>
      </c>
      <c r="D243" t="s">
        <v>1051</v>
      </c>
      <c r="E243" t="s">
        <v>473</v>
      </c>
      <c r="F243" t="s">
        <v>1134</v>
      </c>
      <c r="G243" t="s">
        <v>1137</v>
      </c>
      <c r="H243" t="s">
        <v>1276</v>
      </c>
      <c r="I243">
        <v>0</v>
      </c>
      <c r="J243">
        <v>143529</v>
      </c>
      <c r="K243">
        <v>0</v>
      </c>
      <c r="L243">
        <v>0</v>
      </c>
      <c r="M243">
        <v>0</v>
      </c>
      <c r="N243">
        <v>143529</v>
      </c>
      <c r="O243">
        <v>-143529</v>
      </c>
    </row>
    <row r="244" spans="1:15">
      <c r="A244" t="s">
        <v>810</v>
      </c>
      <c r="B244" t="s">
        <v>2116</v>
      </c>
      <c r="C244" t="s">
        <v>2274</v>
      </c>
      <c r="D244" t="s">
        <v>1051</v>
      </c>
      <c r="E244" t="s">
        <v>473</v>
      </c>
      <c r="F244" t="s">
        <v>1134</v>
      </c>
      <c r="G244" t="s">
        <v>1137</v>
      </c>
      <c r="H244" t="s">
        <v>1025</v>
      </c>
      <c r="I244">
        <v>0</v>
      </c>
      <c r="J244">
        <v>143529</v>
      </c>
      <c r="K244">
        <v>0</v>
      </c>
      <c r="L244">
        <v>0</v>
      </c>
      <c r="M244">
        <v>0</v>
      </c>
      <c r="N244">
        <v>143529</v>
      </c>
      <c r="O244">
        <v>-143529</v>
      </c>
    </row>
    <row r="245" spans="1:15">
      <c r="A245" t="s">
        <v>811</v>
      </c>
      <c r="B245" t="s">
        <v>1006</v>
      </c>
      <c r="C245" t="s">
        <v>2275</v>
      </c>
      <c r="D245" t="s">
        <v>1051</v>
      </c>
      <c r="E245" t="s">
        <v>473</v>
      </c>
      <c r="F245" t="s">
        <v>1134</v>
      </c>
      <c r="G245" t="s">
        <v>1137</v>
      </c>
      <c r="H245" t="s">
        <v>1018</v>
      </c>
      <c r="I245">
        <v>384219</v>
      </c>
      <c r="J245">
        <v>2640536</v>
      </c>
      <c r="K245">
        <v>0</v>
      </c>
      <c r="L245">
        <v>0</v>
      </c>
      <c r="M245">
        <v>384219</v>
      </c>
      <c r="N245">
        <v>2640536</v>
      </c>
      <c r="O245">
        <v>-2256317</v>
      </c>
    </row>
    <row r="246" spans="1:15">
      <c r="A246" t="s">
        <v>811</v>
      </c>
      <c r="B246" t="s">
        <v>1006</v>
      </c>
      <c r="C246" t="s">
        <v>2275</v>
      </c>
      <c r="D246" t="s">
        <v>1051</v>
      </c>
      <c r="E246" t="s">
        <v>473</v>
      </c>
      <c r="F246" t="s">
        <v>1134</v>
      </c>
      <c r="G246" t="s">
        <v>1137</v>
      </c>
      <c r="H246" t="s">
        <v>1013</v>
      </c>
      <c r="K246">
        <v>0</v>
      </c>
      <c r="L246">
        <v>0</v>
      </c>
      <c r="M246">
        <v>0</v>
      </c>
      <c r="N246">
        <v>0</v>
      </c>
      <c r="O246">
        <v>0</v>
      </c>
    </row>
    <row r="247" spans="1:15">
      <c r="A247" t="s">
        <v>811</v>
      </c>
      <c r="B247" t="s">
        <v>1006</v>
      </c>
      <c r="C247" t="s">
        <v>2275</v>
      </c>
      <c r="D247" t="s">
        <v>1051</v>
      </c>
      <c r="E247" t="s">
        <v>473</v>
      </c>
      <c r="F247" t="s">
        <v>1134</v>
      </c>
      <c r="G247" t="s">
        <v>1137</v>
      </c>
      <c r="H247" t="s">
        <v>1014</v>
      </c>
      <c r="K247">
        <v>0</v>
      </c>
      <c r="L247">
        <v>0</v>
      </c>
      <c r="M247">
        <v>0</v>
      </c>
      <c r="N247">
        <v>0</v>
      </c>
      <c r="O247">
        <v>0</v>
      </c>
    </row>
    <row r="248" spans="1:15">
      <c r="A248" t="s">
        <v>811</v>
      </c>
      <c r="B248" t="s">
        <v>1006</v>
      </c>
      <c r="C248" t="s">
        <v>2275</v>
      </c>
      <c r="D248" t="s">
        <v>1051</v>
      </c>
      <c r="E248" t="s">
        <v>473</v>
      </c>
      <c r="F248" t="s">
        <v>1134</v>
      </c>
      <c r="G248" t="s">
        <v>1137</v>
      </c>
      <c r="H248" t="s">
        <v>974</v>
      </c>
      <c r="K248">
        <v>0</v>
      </c>
      <c r="L248">
        <v>27914</v>
      </c>
      <c r="M248">
        <v>0</v>
      </c>
      <c r="N248">
        <v>27914</v>
      </c>
      <c r="O248">
        <v>-27914</v>
      </c>
    </row>
    <row r="249" spans="1:15">
      <c r="A249" t="s">
        <v>811</v>
      </c>
      <c r="B249" t="s">
        <v>1006</v>
      </c>
      <c r="C249" t="s">
        <v>2275</v>
      </c>
      <c r="D249" t="s">
        <v>1051</v>
      </c>
      <c r="E249" t="s">
        <v>473</v>
      </c>
      <c r="F249" t="s">
        <v>1134</v>
      </c>
      <c r="G249" t="s">
        <v>1137</v>
      </c>
      <c r="H249" t="s">
        <v>1023</v>
      </c>
      <c r="K249">
        <v>0</v>
      </c>
      <c r="L249">
        <v>0</v>
      </c>
      <c r="M249">
        <v>0</v>
      </c>
      <c r="N249">
        <v>0</v>
      </c>
      <c r="O249">
        <v>0</v>
      </c>
    </row>
    <row r="250" spans="1:15">
      <c r="A250" t="s">
        <v>811</v>
      </c>
      <c r="B250" t="s">
        <v>1006</v>
      </c>
      <c r="C250" t="s">
        <v>2275</v>
      </c>
      <c r="D250" t="s">
        <v>1051</v>
      </c>
      <c r="E250" t="s">
        <v>473</v>
      </c>
      <c r="F250" t="s">
        <v>1134</v>
      </c>
      <c r="G250" t="s">
        <v>1137</v>
      </c>
      <c r="H250" t="s">
        <v>1011</v>
      </c>
      <c r="K250">
        <v>0</v>
      </c>
      <c r="L250">
        <v>0</v>
      </c>
      <c r="M250">
        <v>0</v>
      </c>
      <c r="N250">
        <v>0</v>
      </c>
      <c r="O250">
        <v>0</v>
      </c>
    </row>
    <row r="251" spans="1:15">
      <c r="A251" t="s">
        <v>811</v>
      </c>
      <c r="B251" t="s">
        <v>1006</v>
      </c>
      <c r="C251" t="s">
        <v>2275</v>
      </c>
      <c r="D251" t="s">
        <v>1051</v>
      </c>
      <c r="E251" t="s">
        <v>473</v>
      </c>
      <c r="F251" t="s">
        <v>1134</v>
      </c>
      <c r="G251" t="s">
        <v>1137</v>
      </c>
      <c r="H251" t="s">
        <v>1012</v>
      </c>
      <c r="I251">
        <v>384219</v>
      </c>
      <c r="J251">
        <v>2640536</v>
      </c>
      <c r="K251">
        <v>0</v>
      </c>
      <c r="L251">
        <v>0</v>
      </c>
      <c r="M251">
        <v>384219</v>
      </c>
      <c r="N251">
        <v>2640536</v>
      </c>
      <c r="O251">
        <v>-2256317</v>
      </c>
    </row>
    <row r="252" spans="1:15">
      <c r="A252" t="s">
        <v>811</v>
      </c>
      <c r="B252" t="s">
        <v>1006</v>
      </c>
      <c r="C252" t="s">
        <v>2275</v>
      </c>
      <c r="D252" t="s">
        <v>1051</v>
      </c>
      <c r="E252" t="s">
        <v>473</v>
      </c>
      <c r="F252" t="s">
        <v>1134</v>
      </c>
      <c r="G252" t="s">
        <v>1137</v>
      </c>
      <c r="H252" t="s">
        <v>1020</v>
      </c>
      <c r="K252">
        <v>0</v>
      </c>
      <c r="L252">
        <v>0</v>
      </c>
      <c r="M252">
        <v>0</v>
      </c>
      <c r="N252">
        <v>0</v>
      </c>
      <c r="O252">
        <v>0</v>
      </c>
    </row>
    <row r="253" spans="1:15">
      <c r="A253" t="s">
        <v>811</v>
      </c>
      <c r="B253" t="s">
        <v>1006</v>
      </c>
      <c r="C253" t="s">
        <v>2275</v>
      </c>
      <c r="D253" t="s">
        <v>1051</v>
      </c>
      <c r="E253" t="s">
        <v>473</v>
      </c>
      <c r="F253" t="s">
        <v>1134</v>
      </c>
      <c r="G253" t="s">
        <v>1137</v>
      </c>
      <c r="H253" t="s">
        <v>1276</v>
      </c>
      <c r="K253">
        <v>0</v>
      </c>
      <c r="L253">
        <v>0</v>
      </c>
      <c r="M253">
        <v>0</v>
      </c>
      <c r="N253">
        <v>0</v>
      </c>
      <c r="O253">
        <v>0</v>
      </c>
    </row>
    <row r="254" spans="1:15">
      <c r="A254" t="s">
        <v>811</v>
      </c>
      <c r="B254" t="s">
        <v>1006</v>
      </c>
      <c r="C254" t="s">
        <v>2275</v>
      </c>
      <c r="D254" t="s">
        <v>1051</v>
      </c>
      <c r="E254" t="s">
        <v>473</v>
      </c>
      <c r="F254" t="s">
        <v>1134</v>
      </c>
      <c r="G254" t="s">
        <v>1137</v>
      </c>
      <c r="H254" t="s">
        <v>1021</v>
      </c>
      <c r="K254">
        <v>0</v>
      </c>
      <c r="L254">
        <v>0</v>
      </c>
      <c r="M254">
        <v>0</v>
      </c>
      <c r="N254">
        <v>0</v>
      </c>
      <c r="O254">
        <v>0</v>
      </c>
    </row>
    <row r="255" spans="1:15">
      <c r="A255" t="s">
        <v>811</v>
      </c>
      <c r="B255" t="s">
        <v>1006</v>
      </c>
      <c r="C255" t="s">
        <v>2275</v>
      </c>
      <c r="D255" t="s">
        <v>1051</v>
      </c>
      <c r="E255" t="s">
        <v>473</v>
      </c>
      <c r="F255" t="s">
        <v>1134</v>
      </c>
      <c r="G255" t="s">
        <v>1137</v>
      </c>
      <c r="H255" t="s">
        <v>1025</v>
      </c>
      <c r="K255">
        <v>0</v>
      </c>
      <c r="L255">
        <v>0</v>
      </c>
      <c r="M255">
        <v>0</v>
      </c>
      <c r="N255">
        <v>0</v>
      </c>
      <c r="O255">
        <v>0</v>
      </c>
    </row>
    <row r="256" spans="1:15">
      <c r="A256" t="s">
        <v>811</v>
      </c>
      <c r="B256" t="s">
        <v>1006</v>
      </c>
      <c r="C256" t="s">
        <v>2275</v>
      </c>
      <c r="D256" t="s">
        <v>1051</v>
      </c>
      <c r="E256" t="s">
        <v>473</v>
      </c>
      <c r="F256" t="s">
        <v>1134</v>
      </c>
      <c r="G256" t="s">
        <v>1137</v>
      </c>
      <c r="H256" t="s">
        <v>1024</v>
      </c>
      <c r="K256">
        <v>0</v>
      </c>
      <c r="L256">
        <v>0</v>
      </c>
      <c r="M256">
        <v>0</v>
      </c>
      <c r="N256">
        <v>0</v>
      </c>
      <c r="O256">
        <v>0</v>
      </c>
    </row>
    <row r="257" spans="1:15">
      <c r="A257" t="s">
        <v>811</v>
      </c>
      <c r="B257" t="s">
        <v>1006</v>
      </c>
      <c r="C257" t="s">
        <v>2275</v>
      </c>
      <c r="D257" t="s">
        <v>1051</v>
      </c>
      <c r="E257" t="s">
        <v>473</v>
      </c>
      <c r="F257" t="s">
        <v>1134</v>
      </c>
      <c r="G257" t="s">
        <v>1137</v>
      </c>
      <c r="H257" t="s">
        <v>2072</v>
      </c>
      <c r="K257">
        <v>0</v>
      </c>
      <c r="L257">
        <v>0</v>
      </c>
      <c r="M257">
        <v>0</v>
      </c>
      <c r="N257">
        <v>0</v>
      </c>
      <c r="O257">
        <v>0</v>
      </c>
    </row>
    <row r="258" spans="1:15">
      <c r="A258" t="s">
        <v>811</v>
      </c>
      <c r="B258" t="s">
        <v>1006</v>
      </c>
      <c r="C258" t="s">
        <v>2275</v>
      </c>
      <c r="D258" t="s">
        <v>1051</v>
      </c>
      <c r="E258" t="s">
        <v>473</v>
      </c>
      <c r="F258" t="s">
        <v>1134</v>
      </c>
      <c r="G258" t="s">
        <v>1137</v>
      </c>
      <c r="H258" t="s">
        <v>1019</v>
      </c>
      <c r="K258">
        <v>0</v>
      </c>
      <c r="L258">
        <v>0</v>
      </c>
      <c r="M258">
        <v>0</v>
      </c>
      <c r="N258">
        <v>0</v>
      </c>
      <c r="O258">
        <v>0</v>
      </c>
    </row>
    <row r="259" spans="1:15">
      <c r="A259" t="s">
        <v>811</v>
      </c>
      <c r="B259" t="s">
        <v>1006</v>
      </c>
      <c r="C259" t="s">
        <v>2275</v>
      </c>
      <c r="D259" t="s">
        <v>1051</v>
      </c>
      <c r="E259" t="s">
        <v>473</v>
      </c>
      <c r="F259" t="s">
        <v>1134</v>
      </c>
      <c r="G259" t="s">
        <v>1137</v>
      </c>
      <c r="H259" t="s">
        <v>1026</v>
      </c>
      <c r="K259">
        <v>0</v>
      </c>
      <c r="L259">
        <v>0</v>
      </c>
      <c r="M259">
        <v>0</v>
      </c>
      <c r="N259">
        <v>0</v>
      </c>
      <c r="O259">
        <v>0</v>
      </c>
    </row>
    <row r="260" spans="1:15">
      <c r="A260" t="s">
        <v>811</v>
      </c>
      <c r="B260" t="s">
        <v>1006</v>
      </c>
      <c r="C260" t="s">
        <v>2275</v>
      </c>
      <c r="D260" t="s">
        <v>1051</v>
      </c>
      <c r="E260" t="s">
        <v>473</v>
      </c>
      <c r="F260" t="s">
        <v>1134</v>
      </c>
      <c r="G260" t="s">
        <v>1137</v>
      </c>
      <c r="H260" t="s">
        <v>1027</v>
      </c>
      <c r="K260">
        <v>0</v>
      </c>
      <c r="L260">
        <v>0</v>
      </c>
      <c r="M260">
        <v>0</v>
      </c>
      <c r="N260">
        <v>0</v>
      </c>
      <c r="O260">
        <v>0</v>
      </c>
    </row>
    <row r="261" spans="1:15">
      <c r="A261" t="s">
        <v>811</v>
      </c>
      <c r="B261" t="s">
        <v>1006</v>
      </c>
      <c r="C261" t="s">
        <v>2275</v>
      </c>
      <c r="D261" t="s">
        <v>1051</v>
      </c>
      <c r="E261" t="s">
        <v>473</v>
      </c>
      <c r="F261" t="s">
        <v>1134</v>
      </c>
      <c r="G261" t="s">
        <v>1137</v>
      </c>
      <c r="H261" t="s">
        <v>992</v>
      </c>
      <c r="K261">
        <v>0</v>
      </c>
      <c r="L261">
        <v>0</v>
      </c>
      <c r="M261">
        <v>0</v>
      </c>
      <c r="N261">
        <v>0</v>
      </c>
      <c r="O261">
        <v>0</v>
      </c>
    </row>
    <row r="262" spans="1:15">
      <c r="A262" t="s">
        <v>811</v>
      </c>
      <c r="B262" t="s">
        <v>1006</v>
      </c>
      <c r="C262" t="s">
        <v>2275</v>
      </c>
      <c r="D262" t="s">
        <v>1051</v>
      </c>
      <c r="E262" t="s">
        <v>473</v>
      </c>
      <c r="F262" t="s">
        <v>1134</v>
      </c>
      <c r="G262" t="s">
        <v>1137</v>
      </c>
      <c r="H262" t="s">
        <v>1275</v>
      </c>
      <c r="K262">
        <v>183464</v>
      </c>
      <c r="L262">
        <v>208133</v>
      </c>
      <c r="M262">
        <v>183464</v>
      </c>
      <c r="N262">
        <v>208133</v>
      </c>
      <c r="O262">
        <v>-24669</v>
      </c>
    </row>
    <row r="263" spans="1:15">
      <c r="A263" t="s">
        <v>811</v>
      </c>
      <c r="B263" t="s">
        <v>1006</v>
      </c>
      <c r="C263" t="s">
        <v>2275</v>
      </c>
      <c r="D263" t="s">
        <v>1051</v>
      </c>
      <c r="E263" t="s">
        <v>473</v>
      </c>
      <c r="F263" t="s">
        <v>1134</v>
      </c>
      <c r="G263" t="s">
        <v>1137</v>
      </c>
      <c r="H263" t="s">
        <v>1723</v>
      </c>
      <c r="K263">
        <v>1149765</v>
      </c>
      <c r="L263">
        <v>1143660</v>
      </c>
      <c r="M263">
        <v>1149765</v>
      </c>
      <c r="N263">
        <v>1143660</v>
      </c>
      <c r="O263">
        <v>6105</v>
      </c>
    </row>
    <row r="264" spans="1:15">
      <c r="A264" t="s">
        <v>812</v>
      </c>
      <c r="B264" t="s">
        <v>2117</v>
      </c>
      <c r="C264" t="s">
        <v>2276</v>
      </c>
      <c r="D264" t="s">
        <v>1051</v>
      </c>
      <c r="E264" t="s">
        <v>473</v>
      </c>
      <c r="F264" t="s">
        <v>1134</v>
      </c>
      <c r="G264" t="s">
        <v>1137</v>
      </c>
      <c r="H264" t="s">
        <v>974</v>
      </c>
      <c r="I264">
        <v>0</v>
      </c>
      <c r="J264">
        <v>2935000</v>
      </c>
      <c r="K264">
        <v>0</v>
      </c>
      <c r="L264">
        <v>0</v>
      </c>
      <c r="M264">
        <v>0</v>
      </c>
      <c r="N264">
        <v>2935000</v>
      </c>
      <c r="O264">
        <v>-2935000</v>
      </c>
    </row>
    <row r="265" spans="1:15">
      <c r="A265" t="s">
        <v>813</v>
      </c>
      <c r="B265" t="s">
        <v>2118</v>
      </c>
      <c r="C265" t="s">
        <v>2277</v>
      </c>
      <c r="D265" t="s">
        <v>1051</v>
      </c>
      <c r="E265" t="s">
        <v>473</v>
      </c>
      <c r="F265" t="s">
        <v>1134</v>
      </c>
      <c r="G265" t="s">
        <v>1137</v>
      </c>
      <c r="H265" t="s">
        <v>974</v>
      </c>
      <c r="I265">
        <v>0</v>
      </c>
      <c r="J265">
        <v>1931265</v>
      </c>
      <c r="K265">
        <v>0</v>
      </c>
      <c r="L265">
        <v>0</v>
      </c>
      <c r="M265">
        <v>0</v>
      </c>
      <c r="N265">
        <v>1931265</v>
      </c>
      <c r="O265">
        <v>-1931265</v>
      </c>
    </row>
    <row r="266" spans="1:15">
      <c r="A266" t="s">
        <v>813</v>
      </c>
      <c r="B266" t="s">
        <v>2118</v>
      </c>
      <c r="C266" t="s">
        <v>2277</v>
      </c>
      <c r="D266" t="s">
        <v>1051</v>
      </c>
      <c r="E266" t="s">
        <v>473</v>
      </c>
      <c r="F266" t="s">
        <v>1134</v>
      </c>
      <c r="G266" t="s">
        <v>1137</v>
      </c>
      <c r="H266" t="s">
        <v>1020</v>
      </c>
      <c r="I266">
        <v>0</v>
      </c>
      <c r="K266">
        <v>0</v>
      </c>
      <c r="L266">
        <v>0</v>
      </c>
      <c r="M266">
        <v>0</v>
      </c>
      <c r="N266">
        <v>0</v>
      </c>
      <c r="O266">
        <v>0</v>
      </c>
    </row>
    <row r="267" spans="1:15">
      <c r="A267" t="s">
        <v>814</v>
      </c>
      <c r="B267" t="s">
        <v>2119</v>
      </c>
      <c r="C267" t="s">
        <v>2278</v>
      </c>
      <c r="D267" t="s">
        <v>1051</v>
      </c>
      <c r="E267" t="s">
        <v>473</v>
      </c>
      <c r="F267" t="s">
        <v>1134</v>
      </c>
      <c r="G267" t="s">
        <v>1137</v>
      </c>
      <c r="H267" t="s">
        <v>974</v>
      </c>
      <c r="I267">
        <v>0</v>
      </c>
      <c r="J267">
        <v>299904</v>
      </c>
      <c r="K267">
        <v>0</v>
      </c>
      <c r="L267">
        <v>0</v>
      </c>
      <c r="M267">
        <v>0</v>
      </c>
      <c r="N267">
        <v>299904</v>
      </c>
      <c r="O267">
        <v>-299904</v>
      </c>
    </row>
    <row r="268" spans="1:15">
      <c r="A268" t="s">
        <v>815</v>
      </c>
      <c r="B268" t="s">
        <v>1661</v>
      </c>
      <c r="C268" t="s">
        <v>2279</v>
      </c>
      <c r="D268" t="s">
        <v>1051</v>
      </c>
      <c r="E268" t="s">
        <v>473</v>
      </c>
      <c r="F268" t="s">
        <v>1134</v>
      </c>
      <c r="G268" t="s">
        <v>1137</v>
      </c>
      <c r="H268" t="s">
        <v>974</v>
      </c>
      <c r="I268">
        <v>0</v>
      </c>
      <c r="J268">
        <v>131479</v>
      </c>
      <c r="K268">
        <v>0</v>
      </c>
      <c r="L268">
        <v>0</v>
      </c>
      <c r="M268">
        <v>0</v>
      </c>
      <c r="N268">
        <v>131479</v>
      </c>
      <c r="O268">
        <v>-131479</v>
      </c>
    </row>
    <row r="269" spans="1:15">
      <c r="A269" t="s">
        <v>815</v>
      </c>
      <c r="B269" t="s">
        <v>1661</v>
      </c>
      <c r="C269" t="s">
        <v>2279</v>
      </c>
      <c r="D269" t="s">
        <v>1051</v>
      </c>
      <c r="E269" t="s">
        <v>473</v>
      </c>
      <c r="F269" t="s">
        <v>1134</v>
      </c>
      <c r="G269" t="s">
        <v>1137</v>
      </c>
      <c r="H269" t="s">
        <v>1276</v>
      </c>
      <c r="I269">
        <v>0</v>
      </c>
      <c r="K269">
        <v>0</v>
      </c>
      <c r="L269">
        <v>0</v>
      </c>
      <c r="M269">
        <v>0</v>
      </c>
      <c r="N269">
        <v>0</v>
      </c>
      <c r="O269">
        <v>0</v>
      </c>
    </row>
    <row r="270" spans="1:15">
      <c r="A270" t="s">
        <v>816</v>
      </c>
      <c r="B270" t="s">
        <v>2120</v>
      </c>
      <c r="C270" t="s">
        <v>2280</v>
      </c>
      <c r="D270" t="s">
        <v>1051</v>
      </c>
      <c r="E270" t="s">
        <v>473</v>
      </c>
      <c r="F270" t="s">
        <v>1134</v>
      </c>
      <c r="G270" t="s">
        <v>1137</v>
      </c>
      <c r="H270" t="s">
        <v>974</v>
      </c>
      <c r="I270">
        <v>0</v>
      </c>
      <c r="J270">
        <v>391647</v>
      </c>
      <c r="K270">
        <v>0</v>
      </c>
      <c r="L270">
        <v>0</v>
      </c>
      <c r="M270">
        <v>0</v>
      </c>
      <c r="N270">
        <v>391647</v>
      </c>
      <c r="O270">
        <v>-391647</v>
      </c>
    </row>
    <row r="271" spans="1:15">
      <c r="A271" t="s">
        <v>816</v>
      </c>
      <c r="B271" t="s">
        <v>2120</v>
      </c>
      <c r="C271" t="s">
        <v>2280</v>
      </c>
      <c r="D271" t="s">
        <v>1051</v>
      </c>
      <c r="E271" t="s">
        <v>473</v>
      </c>
      <c r="F271" t="s">
        <v>1134</v>
      </c>
      <c r="G271" t="s">
        <v>1137</v>
      </c>
      <c r="H271" t="s">
        <v>1025</v>
      </c>
      <c r="I271">
        <v>0</v>
      </c>
      <c r="K271">
        <v>0</v>
      </c>
      <c r="L271">
        <v>0</v>
      </c>
      <c r="M271">
        <v>0</v>
      </c>
      <c r="N271">
        <v>0</v>
      </c>
      <c r="O271">
        <v>0</v>
      </c>
    </row>
    <row r="272" spans="1:15">
      <c r="A272" t="s">
        <v>817</v>
      </c>
      <c r="B272" t="s">
        <v>1662</v>
      </c>
      <c r="C272" t="s">
        <v>2281</v>
      </c>
      <c r="D272" t="s">
        <v>1051</v>
      </c>
      <c r="E272" t="s">
        <v>473</v>
      </c>
      <c r="F272" t="s">
        <v>1134</v>
      </c>
      <c r="G272" t="s">
        <v>1137</v>
      </c>
      <c r="H272" t="s">
        <v>1018</v>
      </c>
      <c r="I272">
        <v>0</v>
      </c>
      <c r="J272">
        <v>2020</v>
      </c>
      <c r="K272">
        <v>0</v>
      </c>
      <c r="L272">
        <v>0</v>
      </c>
      <c r="M272">
        <v>0</v>
      </c>
      <c r="N272">
        <v>2020</v>
      </c>
      <c r="O272">
        <v>-2020</v>
      </c>
    </row>
    <row r="273" spans="1:15">
      <c r="A273" t="s">
        <v>817</v>
      </c>
      <c r="B273" t="s">
        <v>1662</v>
      </c>
      <c r="C273" t="s">
        <v>2281</v>
      </c>
      <c r="D273" t="s">
        <v>1051</v>
      </c>
      <c r="E273" t="s">
        <v>473</v>
      </c>
      <c r="F273" t="s">
        <v>1134</v>
      </c>
      <c r="G273" t="s">
        <v>1137</v>
      </c>
      <c r="H273" t="s">
        <v>1014</v>
      </c>
      <c r="I273">
        <v>0</v>
      </c>
      <c r="K273">
        <v>0</v>
      </c>
      <c r="L273">
        <v>0</v>
      </c>
      <c r="M273">
        <v>0</v>
      </c>
      <c r="N273">
        <v>0</v>
      </c>
      <c r="O273">
        <v>0</v>
      </c>
    </row>
    <row r="274" spans="1:15">
      <c r="A274" t="s">
        <v>817</v>
      </c>
      <c r="B274" t="s">
        <v>1662</v>
      </c>
      <c r="C274" t="s">
        <v>2281</v>
      </c>
      <c r="D274" t="s">
        <v>1051</v>
      </c>
      <c r="E274" t="s">
        <v>473</v>
      </c>
      <c r="F274" t="s">
        <v>1134</v>
      </c>
      <c r="G274" t="s">
        <v>1137</v>
      </c>
      <c r="H274" t="s">
        <v>974</v>
      </c>
      <c r="I274">
        <v>0</v>
      </c>
      <c r="K274">
        <v>0</v>
      </c>
      <c r="L274">
        <v>0</v>
      </c>
      <c r="M274">
        <v>0</v>
      </c>
      <c r="N274">
        <v>0</v>
      </c>
      <c r="O274">
        <v>0</v>
      </c>
    </row>
    <row r="275" spans="1:15">
      <c r="A275" t="s">
        <v>817</v>
      </c>
      <c r="B275" t="s">
        <v>1662</v>
      </c>
      <c r="C275" t="s">
        <v>2281</v>
      </c>
      <c r="D275" t="s">
        <v>1051</v>
      </c>
      <c r="E275" t="s">
        <v>473</v>
      </c>
      <c r="F275" t="s">
        <v>1134</v>
      </c>
      <c r="G275" t="s">
        <v>1137</v>
      </c>
      <c r="H275" t="s">
        <v>1276</v>
      </c>
      <c r="I275">
        <v>0</v>
      </c>
      <c r="K275">
        <v>0</v>
      </c>
      <c r="L275">
        <v>0</v>
      </c>
      <c r="M275">
        <v>0</v>
      </c>
      <c r="N275">
        <v>0</v>
      </c>
      <c r="O275">
        <v>0</v>
      </c>
    </row>
    <row r="276" spans="1:15">
      <c r="A276" t="s">
        <v>817</v>
      </c>
      <c r="B276" t="s">
        <v>1662</v>
      </c>
      <c r="C276" t="s">
        <v>2281</v>
      </c>
      <c r="D276" t="s">
        <v>1051</v>
      </c>
      <c r="E276" t="s">
        <v>473</v>
      </c>
      <c r="F276" t="s">
        <v>1134</v>
      </c>
      <c r="G276" t="s">
        <v>1137</v>
      </c>
      <c r="H276" t="s">
        <v>1021</v>
      </c>
      <c r="I276">
        <v>0</v>
      </c>
      <c r="K276">
        <v>0</v>
      </c>
      <c r="L276">
        <v>0</v>
      </c>
      <c r="M276">
        <v>0</v>
      </c>
      <c r="N276">
        <v>0</v>
      </c>
      <c r="O276">
        <v>0</v>
      </c>
    </row>
    <row r="277" spans="1:15">
      <c r="A277" t="s">
        <v>817</v>
      </c>
      <c r="B277" t="s">
        <v>1662</v>
      </c>
      <c r="C277" t="s">
        <v>2281</v>
      </c>
      <c r="D277" t="s">
        <v>1051</v>
      </c>
      <c r="E277" t="s">
        <v>473</v>
      </c>
      <c r="F277" t="s">
        <v>1134</v>
      </c>
      <c r="G277" t="s">
        <v>1137</v>
      </c>
      <c r="H277" t="s">
        <v>992</v>
      </c>
      <c r="I277">
        <v>0</v>
      </c>
      <c r="K277">
        <v>0</v>
      </c>
      <c r="L277">
        <v>0</v>
      </c>
      <c r="M277">
        <v>0</v>
      </c>
      <c r="N277">
        <v>0</v>
      </c>
      <c r="O277">
        <v>0</v>
      </c>
    </row>
    <row r="278" spans="1:15">
      <c r="A278" t="s">
        <v>819</v>
      </c>
      <c r="B278" t="s">
        <v>2121</v>
      </c>
      <c r="C278" t="s">
        <v>2282</v>
      </c>
      <c r="D278" t="s">
        <v>1051</v>
      </c>
      <c r="E278" t="s">
        <v>473</v>
      </c>
      <c r="F278" t="s">
        <v>1134</v>
      </c>
      <c r="G278" t="s">
        <v>1137</v>
      </c>
      <c r="H278" t="s">
        <v>974</v>
      </c>
      <c r="I278">
        <v>0</v>
      </c>
      <c r="J278">
        <v>3516379.55</v>
      </c>
      <c r="K278">
        <v>0</v>
      </c>
      <c r="L278">
        <v>0</v>
      </c>
      <c r="M278">
        <v>0</v>
      </c>
      <c r="N278">
        <v>3516379.55</v>
      </c>
      <c r="O278">
        <v>-3516379.55</v>
      </c>
    </row>
    <row r="279" spans="1:15">
      <c r="A279" t="s">
        <v>819</v>
      </c>
      <c r="B279" t="s">
        <v>2121</v>
      </c>
      <c r="C279" t="s">
        <v>2282</v>
      </c>
      <c r="D279" t="s">
        <v>1051</v>
      </c>
      <c r="E279" t="s">
        <v>473</v>
      </c>
      <c r="F279" t="s">
        <v>1134</v>
      </c>
      <c r="G279" t="s">
        <v>1137</v>
      </c>
      <c r="H279" t="s">
        <v>1276</v>
      </c>
      <c r="I279">
        <v>0</v>
      </c>
      <c r="K279">
        <v>0</v>
      </c>
      <c r="L279">
        <v>0</v>
      </c>
      <c r="M279">
        <v>0</v>
      </c>
      <c r="N279">
        <v>0</v>
      </c>
      <c r="O279">
        <v>0</v>
      </c>
    </row>
    <row r="280" spans="1:15">
      <c r="A280" t="s">
        <v>819</v>
      </c>
      <c r="B280" t="s">
        <v>2121</v>
      </c>
      <c r="C280" t="s">
        <v>2282</v>
      </c>
      <c r="D280" t="s">
        <v>1051</v>
      </c>
      <c r="E280" t="s">
        <v>473</v>
      </c>
      <c r="F280" t="s">
        <v>1134</v>
      </c>
      <c r="G280" t="s">
        <v>1137</v>
      </c>
      <c r="H280" t="s">
        <v>2072</v>
      </c>
      <c r="I280">
        <v>0</v>
      </c>
      <c r="K280">
        <v>0</v>
      </c>
      <c r="L280">
        <v>0</v>
      </c>
      <c r="M280">
        <v>0</v>
      </c>
      <c r="N280">
        <v>0</v>
      </c>
      <c r="O280">
        <v>0</v>
      </c>
    </row>
    <row r="281" spans="1:15">
      <c r="A281" t="s">
        <v>819</v>
      </c>
      <c r="B281" t="s">
        <v>2121</v>
      </c>
      <c r="C281" t="s">
        <v>2282</v>
      </c>
      <c r="D281" t="s">
        <v>1051</v>
      </c>
      <c r="E281" t="s">
        <v>473</v>
      </c>
      <c r="F281" t="s">
        <v>1134</v>
      </c>
      <c r="G281" t="s">
        <v>1137</v>
      </c>
      <c r="H281" t="s">
        <v>1027</v>
      </c>
      <c r="I281">
        <v>0</v>
      </c>
      <c r="K281">
        <v>0</v>
      </c>
      <c r="L281">
        <v>0</v>
      </c>
      <c r="M281">
        <v>0</v>
      </c>
      <c r="N281">
        <v>0</v>
      </c>
      <c r="O281">
        <v>0</v>
      </c>
    </row>
    <row r="282" spans="1:15">
      <c r="A282" t="s">
        <v>820</v>
      </c>
      <c r="B282" t="s">
        <v>1663</v>
      </c>
      <c r="C282" t="s">
        <v>2283</v>
      </c>
      <c r="D282" t="s">
        <v>1051</v>
      </c>
      <c r="E282" t="s">
        <v>473</v>
      </c>
      <c r="F282" t="s">
        <v>1134</v>
      </c>
      <c r="G282" t="s">
        <v>1137</v>
      </c>
      <c r="H282" t="s">
        <v>974</v>
      </c>
      <c r="I282">
        <v>36167146</v>
      </c>
      <c r="J282">
        <v>72802368</v>
      </c>
      <c r="K282">
        <v>0</v>
      </c>
      <c r="L282">
        <v>0</v>
      </c>
      <c r="M282">
        <v>36167146</v>
      </c>
      <c r="N282">
        <v>72802368</v>
      </c>
      <c r="O282">
        <v>-36635222</v>
      </c>
    </row>
    <row r="283" spans="1:15">
      <c r="A283" t="s">
        <v>821</v>
      </c>
      <c r="B283" t="s">
        <v>1664</v>
      </c>
      <c r="C283" t="s">
        <v>2284</v>
      </c>
      <c r="D283" t="s">
        <v>1051</v>
      </c>
      <c r="E283" t="s">
        <v>473</v>
      </c>
      <c r="F283" t="s">
        <v>1134</v>
      </c>
      <c r="G283" t="s">
        <v>1137</v>
      </c>
      <c r="H283" t="s">
        <v>974</v>
      </c>
      <c r="I283">
        <v>0</v>
      </c>
      <c r="J283">
        <v>96906</v>
      </c>
      <c r="K283">
        <v>0</v>
      </c>
      <c r="L283">
        <v>0</v>
      </c>
      <c r="M283">
        <v>0</v>
      </c>
      <c r="N283">
        <v>96906</v>
      </c>
      <c r="O283">
        <v>-96906</v>
      </c>
    </row>
    <row r="284" spans="1:15">
      <c r="A284" t="s">
        <v>822</v>
      </c>
      <c r="B284" t="s">
        <v>1665</v>
      </c>
      <c r="C284" t="s">
        <v>2285</v>
      </c>
      <c r="D284" t="s">
        <v>1051</v>
      </c>
      <c r="E284" t="s">
        <v>473</v>
      </c>
      <c r="F284" t="s">
        <v>1134</v>
      </c>
      <c r="G284" t="s">
        <v>1137</v>
      </c>
      <c r="H284" t="s">
        <v>2072</v>
      </c>
      <c r="I284">
        <v>0</v>
      </c>
      <c r="J284">
        <v>2</v>
      </c>
      <c r="K284">
        <v>0</v>
      </c>
      <c r="L284">
        <v>0</v>
      </c>
      <c r="M284">
        <v>0</v>
      </c>
      <c r="N284">
        <v>2</v>
      </c>
      <c r="O284">
        <v>-2</v>
      </c>
    </row>
    <row r="285" spans="1:15">
      <c r="A285" t="s">
        <v>823</v>
      </c>
      <c r="B285" t="s">
        <v>1007</v>
      </c>
      <c r="C285" t="s">
        <v>2286</v>
      </c>
      <c r="D285" t="s">
        <v>1051</v>
      </c>
      <c r="E285" t="s">
        <v>473</v>
      </c>
      <c r="F285" t="s">
        <v>1134</v>
      </c>
      <c r="G285" t="s">
        <v>1137</v>
      </c>
      <c r="H285" t="s">
        <v>974</v>
      </c>
      <c r="I285">
        <v>22599636</v>
      </c>
      <c r="J285">
        <v>22546028</v>
      </c>
      <c r="K285">
        <v>3178032</v>
      </c>
      <c r="L285">
        <v>3144536</v>
      </c>
      <c r="M285">
        <v>25777668</v>
      </c>
      <c r="N285">
        <v>25690564</v>
      </c>
      <c r="O285">
        <v>87104</v>
      </c>
    </row>
    <row r="286" spans="1:15">
      <c r="A286" t="s">
        <v>823</v>
      </c>
      <c r="B286" t="s">
        <v>1007</v>
      </c>
      <c r="C286" t="s">
        <v>2286</v>
      </c>
      <c r="D286" t="s">
        <v>1051</v>
      </c>
      <c r="E286" t="s">
        <v>473</v>
      </c>
      <c r="F286" t="s">
        <v>1134</v>
      </c>
      <c r="G286" t="s">
        <v>1137</v>
      </c>
      <c r="H286" t="s">
        <v>1025</v>
      </c>
      <c r="K286">
        <v>0</v>
      </c>
      <c r="L286">
        <v>0</v>
      </c>
      <c r="M286">
        <v>0</v>
      </c>
      <c r="N286">
        <v>0</v>
      </c>
      <c r="O286">
        <v>0</v>
      </c>
    </row>
    <row r="287" spans="1:15">
      <c r="A287" t="s">
        <v>823</v>
      </c>
      <c r="B287" t="s">
        <v>1007</v>
      </c>
      <c r="C287" t="s">
        <v>2286</v>
      </c>
      <c r="D287" t="s">
        <v>1051</v>
      </c>
      <c r="E287" t="s">
        <v>473</v>
      </c>
      <c r="F287" t="s">
        <v>1134</v>
      </c>
      <c r="G287" t="s">
        <v>1137</v>
      </c>
      <c r="H287" t="s">
        <v>992</v>
      </c>
      <c r="K287">
        <v>0</v>
      </c>
      <c r="L287">
        <v>0</v>
      </c>
      <c r="M287">
        <v>0</v>
      </c>
      <c r="N287">
        <v>0</v>
      </c>
      <c r="O287">
        <v>0</v>
      </c>
    </row>
    <row r="288" spans="1:15">
      <c r="A288" t="s">
        <v>823</v>
      </c>
      <c r="B288" t="s">
        <v>1007</v>
      </c>
      <c r="C288" t="s">
        <v>2286</v>
      </c>
      <c r="D288" t="s">
        <v>1051</v>
      </c>
      <c r="E288" t="s">
        <v>473</v>
      </c>
      <c r="F288" t="s">
        <v>1134</v>
      </c>
      <c r="G288" t="s">
        <v>1137</v>
      </c>
      <c r="H288" t="s">
        <v>1275</v>
      </c>
      <c r="K288">
        <v>6109243</v>
      </c>
      <c r="L288">
        <v>6142739</v>
      </c>
      <c r="M288">
        <v>6109243</v>
      </c>
      <c r="N288">
        <v>6142739</v>
      </c>
      <c r="O288">
        <v>-33496</v>
      </c>
    </row>
    <row r="289" spans="1:15">
      <c r="A289" t="s">
        <v>824</v>
      </c>
      <c r="B289" t="s">
        <v>1666</v>
      </c>
      <c r="C289" t="s">
        <v>2287</v>
      </c>
      <c r="D289" t="s">
        <v>1051</v>
      </c>
      <c r="E289" t="s">
        <v>473</v>
      </c>
      <c r="F289" t="s">
        <v>1134</v>
      </c>
      <c r="G289" t="s">
        <v>1137</v>
      </c>
      <c r="H289" t="s">
        <v>974</v>
      </c>
      <c r="I289">
        <v>0</v>
      </c>
      <c r="J289">
        <v>0</v>
      </c>
      <c r="K289">
        <v>0</v>
      </c>
      <c r="L289">
        <v>0</v>
      </c>
      <c r="M289">
        <v>0</v>
      </c>
      <c r="N289">
        <v>0</v>
      </c>
      <c r="O289">
        <v>0</v>
      </c>
    </row>
    <row r="290" spans="1:15">
      <c r="A290" t="s">
        <v>825</v>
      </c>
      <c r="B290" t="s">
        <v>1005</v>
      </c>
      <c r="C290" t="s">
        <v>2288</v>
      </c>
      <c r="D290" t="s">
        <v>1051</v>
      </c>
      <c r="E290" t="s">
        <v>473</v>
      </c>
      <c r="F290" t="s">
        <v>1134</v>
      </c>
      <c r="G290" t="s">
        <v>1137</v>
      </c>
      <c r="H290" t="s">
        <v>974</v>
      </c>
      <c r="I290">
        <v>55500</v>
      </c>
      <c r="J290">
        <v>57900</v>
      </c>
      <c r="K290">
        <v>0</v>
      </c>
      <c r="L290">
        <v>0</v>
      </c>
      <c r="M290">
        <v>55500</v>
      </c>
      <c r="N290">
        <v>57900</v>
      </c>
      <c r="O290">
        <v>-2400</v>
      </c>
    </row>
    <row r="291" spans="1:15">
      <c r="A291" t="s">
        <v>1226</v>
      </c>
      <c r="B291" t="s">
        <v>1667</v>
      </c>
      <c r="C291" t="s">
        <v>2289</v>
      </c>
      <c r="D291" t="s">
        <v>1051</v>
      </c>
      <c r="E291" t="s">
        <v>473</v>
      </c>
      <c r="F291" t="s">
        <v>1134</v>
      </c>
      <c r="G291" t="s">
        <v>1137</v>
      </c>
      <c r="H291" t="s">
        <v>974</v>
      </c>
      <c r="I291">
        <v>0</v>
      </c>
      <c r="J291">
        <v>0</v>
      </c>
      <c r="K291">
        <v>0</v>
      </c>
      <c r="L291">
        <v>0</v>
      </c>
      <c r="M291">
        <v>0</v>
      </c>
      <c r="N291">
        <v>0</v>
      </c>
      <c r="O291">
        <v>0</v>
      </c>
    </row>
    <row r="292" spans="1:15">
      <c r="A292" t="s">
        <v>826</v>
      </c>
      <c r="B292" t="s">
        <v>976</v>
      </c>
      <c r="C292" t="s">
        <v>2290</v>
      </c>
      <c r="D292" t="s">
        <v>1051</v>
      </c>
      <c r="E292" t="s">
        <v>473</v>
      </c>
      <c r="F292" t="s">
        <v>1134</v>
      </c>
      <c r="G292" t="s">
        <v>1135</v>
      </c>
      <c r="H292" t="s">
        <v>1013</v>
      </c>
      <c r="I292">
        <v>5519251</v>
      </c>
      <c r="J292">
        <v>4760392.2966282675</v>
      </c>
      <c r="K292">
        <v>0</v>
      </c>
      <c r="L292">
        <v>0</v>
      </c>
      <c r="M292">
        <v>5519251</v>
      </c>
      <c r="N292">
        <v>4760392.2966282675</v>
      </c>
      <c r="O292">
        <v>758858.7033717325</v>
      </c>
    </row>
    <row r="293" spans="1:15">
      <c r="A293" t="s">
        <v>826</v>
      </c>
      <c r="B293" t="s">
        <v>976</v>
      </c>
      <c r="C293" t="s">
        <v>2290</v>
      </c>
      <c r="D293" t="s">
        <v>1051</v>
      </c>
      <c r="E293" t="s">
        <v>473</v>
      </c>
      <c r="F293" t="s">
        <v>1134</v>
      </c>
      <c r="G293" t="s">
        <v>1135</v>
      </c>
      <c r="H293" t="s">
        <v>974</v>
      </c>
      <c r="K293">
        <v>0</v>
      </c>
      <c r="L293">
        <v>0</v>
      </c>
      <c r="M293">
        <v>0</v>
      </c>
      <c r="N293">
        <v>0</v>
      </c>
      <c r="O293">
        <v>0</v>
      </c>
    </row>
    <row r="294" spans="1:15">
      <c r="A294" t="s">
        <v>826</v>
      </c>
      <c r="B294" t="s">
        <v>976</v>
      </c>
      <c r="C294" t="s">
        <v>2290</v>
      </c>
      <c r="D294" t="s">
        <v>1051</v>
      </c>
      <c r="E294" t="s">
        <v>473</v>
      </c>
      <c r="F294" t="s">
        <v>1134</v>
      </c>
      <c r="G294" t="s">
        <v>1135</v>
      </c>
      <c r="H294" t="s">
        <v>1722</v>
      </c>
      <c r="K294">
        <v>0</v>
      </c>
      <c r="L294">
        <v>0</v>
      </c>
      <c r="M294">
        <v>0</v>
      </c>
      <c r="N294">
        <v>0</v>
      </c>
      <c r="O294">
        <v>0</v>
      </c>
    </row>
    <row r="295" spans="1:15">
      <c r="A295" t="s">
        <v>826</v>
      </c>
      <c r="B295" t="s">
        <v>976</v>
      </c>
      <c r="C295" t="s">
        <v>2290</v>
      </c>
      <c r="D295" t="s">
        <v>1051</v>
      </c>
      <c r="E295" t="s">
        <v>473</v>
      </c>
      <c r="F295" t="s">
        <v>1134</v>
      </c>
      <c r="G295" t="s">
        <v>1135</v>
      </c>
      <c r="H295" t="s">
        <v>1276</v>
      </c>
      <c r="K295">
        <v>0</v>
      </c>
      <c r="L295">
        <v>0</v>
      </c>
      <c r="M295">
        <v>0</v>
      </c>
      <c r="N295">
        <v>0</v>
      </c>
      <c r="O295">
        <v>0</v>
      </c>
    </row>
    <row r="296" spans="1:15">
      <c r="A296" t="s">
        <v>826</v>
      </c>
      <c r="B296" t="s">
        <v>976</v>
      </c>
      <c r="C296" t="s">
        <v>2290</v>
      </c>
      <c r="D296" t="s">
        <v>1051</v>
      </c>
      <c r="E296" t="s">
        <v>473</v>
      </c>
      <c r="F296" t="s">
        <v>1134</v>
      </c>
      <c r="G296" t="s">
        <v>1135</v>
      </c>
      <c r="H296" t="s">
        <v>1021</v>
      </c>
      <c r="K296">
        <v>0</v>
      </c>
      <c r="L296">
        <v>0</v>
      </c>
      <c r="M296">
        <v>0</v>
      </c>
      <c r="N296">
        <v>0</v>
      </c>
      <c r="O296">
        <v>0</v>
      </c>
    </row>
    <row r="297" spans="1:15">
      <c r="A297" t="s">
        <v>826</v>
      </c>
      <c r="B297" t="s">
        <v>976</v>
      </c>
      <c r="C297" t="s">
        <v>2290</v>
      </c>
      <c r="D297" t="s">
        <v>1051</v>
      </c>
      <c r="E297" t="s">
        <v>473</v>
      </c>
      <c r="F297" t="s">
        <v>1134</v>
      </c>
      <c r="G297" t="s">
        <v>1135</v>
      </c>
      <c r="H297" t="s">
        <v>2072</v>
      </c>
      <c r="K297">
        <v>0</v>
      </c>
      <c r="L297">
        <v>0</v>
      </c>
      <c r="M297">
        <v>0</v>
      </c>
      <c r="N297">
        <v>0</v>
      </c>
      <c r="O297">
        <v>0</v>
      </c>
    </row>
    <row r="298" spans="1:15">
      <c r="A298" t="s">
        <v>826</v>
      </c>
      <c r="B298" t="s">
        <v>976</v>
      </c>
      <c r="C298" t="s">
        <v>2290</v>
      </c>
      <c r="D298" t="s">
        <v>1051</v>
      </c>
      <c r="E298" t="s">
        <v>473</v>
      </c>
      <c r="F298" t="s">
        <v>1134</v>
      </c>
      <c r="G298" t="s">
        <v>1135</v>
      </c>
      <c r="H298" t="s">
        <v>1019</v>
      </c>
      <c r="K298">
        <v>0</v>
      </c>
      <c r="L298">
        <v>0</v>
      </c>
      <c r="M298">
        <v>0</v>
      </c>
      <c r="N298">
        <v>0</v>
      </c>
      <c r="O298">
        <v>0</v>
      </c>
    </row>
    <row r="299" spans="1:15">
      <c r="A299" t="s">
        <v>826</v>
      </c>
      <c r="B299" t="s">
        <v>976</v>
      </c>
      <c r="C299" t="s">
        <v>2290</v>
      </c>
      <c r="D299" t="s">
        <v>1051</v>
      </c>
      <c r="E299" t="s">
        <v>473</v>
      </c>
      <c r="F299" t="s">
        <v>1134</v>
      </c>
      <c r="G299" t="s">
        <v>1135</v>
      </c>
      <c r="H299" t="s">
        <v>1275</v>
      </c>
      <c r="I299">
        <v>5519251</v>
      </c>
      <c r="J299">
        <v>4760392.2966282675</v>
      </c>
      <c r="K299">
        <v>0</v>
      </c>
      <c r="L299">
        <v>0</v>
      </c>
      <c r="M299">
        <v>5519251</v>
      </c>
      <c r="N299">
        <v>4760392.2966282675</v>
      </c>
      <c r="O299">
        <v>758858.7033717325</v>
      </c>
    </row>
    <row r="300" spans="1:15">
      <c r="A300" t="s">
        <v>827</v>
      </c>
      <c r="B300" t="s">
        <v>1004</v>
      </c>
      <c r="C300" t="s">
        <v>2291</v>
      </c>
      <c r="D300" t="s">
        <v>1051</v>
      </c>
      <c r="E300" t="s">
        <v>473</v>
      </c>
      <c r="F300" t="s">
        <v>1134</v>
      </c>
      <c r="G300" t="s">
        <v>1137</v>
      </c>
      <c r="H300" t="s">
        <v>974</v>
      </c>
      <c r="I300">
        <v>668415</v>
      </c>
      <c r="J300">
        <v>657570</v>
      </c>
      <c r="K300">
        <v>266400</v>
      </c>
      <c r="L300">
        <v>266700</v>
      </c>
      <c r="M300">
        <v>934815</v>
      </c>
      <c r="N300">
        <v>924270</v>
      </c>
      <c r="O300">
        <v>10545</v>
      </c>
    </row>
    <row r="301" spans="1:15">
      <c r="A301" t="s">
        <v>827</v>
      </c>
      <c r="B301" t="s">
        <v>1004</v>
      </c>
      <c r="C301" t="s">
        <v>2291</v>
      </c>
      <c r="D301" t="s">
        <v>1051</v>
      </c>
      <c r="E301" t="s">
        <v>473</v>
      </c>
      <c r="F301" t="s">
        <v>1134</v>
      </c>
      <c r="G301" t="s">
        <v>1137</v>
      </c>
      <c r="H301" t="s">
        <v>1276</v>
      </c>
      <c r="K301">
        <v>0</v>
      </c>
      <c r="L301">
        <v>0</v>
      </c>
      <c r="M301">
        <v>0</v>
      </c>
      <c r="N301">
        <v>0</v>
      </c>
      <c r="O301">
        <v>0</v>
      </c>
    </row>
    <row r="302" spans="1:15">
      <c r="A302" t="s">
        <v>828</v>
      </c>
      <c r="B302" t="s">
        <v>1668</v>
      </c>
      <c r="C302" t="s">
        <v>2292</v>
      </c>
      <c r="D302" t="s">
        <v>1051</v>
      </c>
      <c r="E302" t="s">
        <v>473</v>
      </c>
      <c r="F302" t="s">
        <v>1134</v>
      </c>
      <c r="G302" t="s">
        <v>1137</v>
      </c>
      <c r="H302" t="s">
        <v>974</v>
      </c>
      <c r="I302">
        <v>23896</v>
      </c>
      <c r="J302">
        <v>14100</v>
      </c>
      <c r="K302">
        <v>0</v>
      </c>
      <c r="L302">
        <v>0</v>
      </c>
      <c r="M302">
        <v>23896</v>
      </c>
      <c r="N302">
        <v>14100</v>
      </c>
      <c r="O302">
        <v>9796</v>
      </c>
    </row>
    <row r="303" spans="1:15">
      <c r="A303" t="s">
        <v>829</v>
      </c>
      <c r="B303" t="s">
        <v>1669</v>
      </c>
      <c r="C303" t="s">
        <v>2293</v>
      </c>
      <c r="D303" t="s">
        <v>1051</v>
      </c>
      <c r="E303" t="s">
        <v>473</v>
      </c>
      <c r="F303" t="s">
        <v>1134</v>
      </c>
      <c r="G303" t="s">
        <v>1137</v>
      </c>
      <c r="H303" t="s">
        <v>974</v>
      </c>
      <c r="I303">
        <v>1689810</v>
      </c>
      <c r="J303">
        <v>1859747</v>
      </c>
      <c r="K303">
        <v>431192</v>
      </c>
      <c r="L303">
        <v>431192</v>
      </c>
      <c r="M303">
        <v>2121002</v>
      </c>
      <c r="N303">
        <v>2290939</v>
      </c>
      <c r="O303">
        <v>-169937</v>
      </c>
    </row>
    <row r="304" spans="1:15">
      <c r="A304" t="s">
        <v>829</v>
      </c>
      <c r="B304" t="s">
        <v>1669</v>
      </c>
      <c r="C304" t="s">
        <v>2293</v>
      </c>
      <c r="D304" t="s">
        <v>1051</v>
      </c>
      <c r="E304" t="s">
        <v>473</v>
      </c>
      <c r="F304" t="s">
        <v>1134</v>
      </c>
      <c r="G304" t="s">
        <v>1137</v>
      </c>
      <c r="H304" t="s">
        <v>1275</v>
      </c>
      <c r="K304">
        <v>0</v>
      </c>
      <c r="L304">
        <v>0</v>
      </c>
      <c r="M304">
        <v>0</v>
      </c>
      <c r="N304">
        <v>0</v>
      </c>
      <c r="O304">
        <v>0</v>
      </c>
    </row>
    <row r="305" spans="1:15">
      <c r="A305" t="s">
        <v>829</v>
      </c>
      <c r="B305" t="s">
        <v>1669</v>
      </c>
      <c r="C305" t="s">
        <v>2293</v>
      </c>
      <c r="D305" t="s">
        <v>1051</v>
      </c>
      <c r="E305" t="s">
        <v>473</v>
      </c>
      <c r="F305" t="s">
        <v>1134</v>
      </c>
      <c r="G305" t="s">
        <v>1137</v>
      </c>
      <c r="H305" t="s">
        <v>1723</v>
      </c>
      <c r="K305">
        <v>0</v>
      </c>
      <c r="L305">
        <v>0</v>
      </c>
      <c r="M305">
        <v>0</v>
      </c>
      <c r="N305">
        <v>0</v>
      </c>
      <c r="O305">
        <v>0</v>
      </c>
    </row>
    <row r="306" spans="1:15">
      <c r="A306" t="s">
        <v>830</v>
      </c>
      <c r="B306" t="s">
        <v>1003</v>
      </c>
      <c r="C306" t="s">
        <v>2294</v>
      </c>
      <c r="D306" t="s">
        <v>1051</v>
      </c>
      <c r="E306" t="s">
        <v>473</v>
      </c>
      <c r="F306" t="s">
        <v>1134</v>
      </c>
      <c r="G306" t="s">
        <v>1137</v>
      </c>
      <c r="H306" t="s">
        <v>974</v>
      </c>
      <c r="I306">
        <v>838478</v>
      </c>
      <c r="J306">
        <v>888958</v>
      </c>
      <c r="K306">
        <v>287064</v>
      </c>
      <c r="L306">
        <v>279800</v>
      </c>
      <c r="M306">
        <v>1125542</v>
      </c>
      <c r="N306">
        <v>1168758</v>
      </c>
      <c r="O306">
        <v>-43216</v>
      </c>
    </row>
    <row r="307" spans="1:15">
      <c r="A307" t="s">
        <v>830</v>
      </c>
      <c r="B307" t="s">
        <v>1003</v>
      </c>
      <c r="C307" t="s">
        <v>2294</v>
      </c>
      <c r="D307" t="s">
        <v>1051</v>
      </c>
      <c r="E307" t="s">
        <v>473</v>
      </c>
      <c r="F307" t="s">
        <v>1134</v>
      </c>
      <c r="G307" t="s">
        <v>1137</v>
      </c>
      <c r="H307" t="s">
        <v>1723</v>
      </c>
      <c r="K307">
        <v>0</v>
      </c>
      <c r="L307">
        <v>7263</v>
      </c>
      <c r="M307">
        <v>0</v>
      </c>
      <c r="N307">
        <v>7263</v>
      </c>
      <c r="O307">
        <v>-7263</v>
      </c>
    </row>
    <row r="308" spans="1:15">
      <c r="A308" t="s">
        <v>1341</v>
      </c>
      <c r="B308" t="s">
        <v>1342</v>
      </c>
      <c r="C308" t="s">
        <v>2295</v>
      </c>
      <c r="D308" t="s">
        <v>1051</v>
      </c>
      <c r="E308" t="s">
        <v>473</v>
      </c>
      <c r="F308" t="s">
        <v>1134</v>
      </c>
      <c r="G308" t="s">
        <v>1137</v>
      </c>
      <c r="H308" t="s">
        <v>974</v>
      </c>
      <c r="I308">
        <v>0</v>
      </c>
      <c r="J308">
        <v>0</v>
      </c>
      <c r="K308">
        <v>0</v>
      </c>
      <c r="L308">
        <v>0</v>
      </c>
      <c r="M308">
        <v>0</v>
      </c>
      <c r="N308">
        <v>0</v>
      </c>
      <c r="O308">
        <v>0</v>
      </c>
    </row>
    <row r="309" spans="1:15">
      <c r="A309" t="s">
        <v>831</v>
      </c>
      <c r="B309" t="s">
        <v>1670</v>
      </c>
      <c r="C309" t="s">
        <v>2296</v>
      </c>
      <c r="D309" t="s">
        <v>1051</v>
      </c>
      <c r="E309" t="s">
        <v>473</v>
      </c>
      <c r="F309" t="s">
        <v>1134</v>
      </c>
      <c r="G309" t="s">
        <v>1137</v>
      </c>
      <c r="H309" t="s">
        <v>974</v>
      </c>
      <c r="I309">
        <v>0</v>
      </c>
      <c r="J309">
        <v>3106</v>
      </c>
      <c r="K309">
        <v>0</v>
      </c>
      <c r="L309">
        <v>0</v>
      </c>
      <c r="M309">
        <v>0</v>
      </c>
      <c r="N309">
        <v>3106</v>
      </c>
      <c r="O309">
        <v>-3106</v>
      </c>
    </row>
    <row r="310" spans="1:15">
      <c r="A310" t="s">
        <v>832</v>
      </c>
      <c r="B310" t="s">
        <v>1137</v>
      </c>
      <c r="C310" t="s">
        <v>2297</v>
      </c>
      <c r="D310" t="s">
        <v>1051</v>
      </c>
      <c r="E310" t="s">
        <v>473</v>
      </c>
      <c r="F310" t="s">
        <v>1134</v>
      </c>
      <c r="G310" t="s">
        <v>1137</v>
      </c>
      <c r="H310" t="s">
        <v>974</v>
      </c>
      <c r="I310">
        <v>194400</v>
      </c>
      <c r="J310">
        <v>383288</v>
      </c>
      <c r="K310">
        <v>0</v>
      </c>
      <c r="L310">
        <v>0</v>
      </c>
      <c r="M310">
        <v>194400</v>
      </c>
      <c r="N310">
        <v>383288</v>
      </c>
      <c r="O310">
        <v>-188888</v>
      </c>
    </row>
    <row r="311" spans="1:15">
      <c r="A311" t="s">
        <v>832</v>
      </c>
      <c r="B311" t="s">
        <v>1137</v>
      </c>
      <c r="C311" t="s">
        <v>2297</v>
      </c>
      <c r="D311" t="s">
        <v>1051</v>
      </c>
      <c r="E311" t="s">
        <v>473</v>
      </c>
      <c r="F311" t="s">
        <v>1134</v>
      </c>
      <c r="G311" t="s">
        <v>1137</v>
      </c>
      <c r="H311" t="s">
        <v>1012</v>
      </c>
      <c r="K311">
        <v>0</v>
      </c>
      <c r="L311">
        <v>0</v>
      </c>
      <c r="M311">
        <v>0</v>
      </c>
      <c r="N311">
        <v>0</v>
      </c>
      <c r="O311">
        <v>0</v>
      </c>
    </row>
    <row r="312" spans="1:15">
      <c r="A312" t="s">
        <v>832</v>
      </c>
      <c r="B312" t="s">
        <v>1137</v>
      </c>
      <c r="C312" t="s">
        <v>2297</v>
      </c>
      <c r="D312" t="s">
        <v>1051</v>
      </c>
      <c r="E312" t="s">
        <v>473</v>
      </c>
      <c r="F312" t="s">
        <v>1134</v>
      </c>
      <c r="G312" t="s">
        <v>1137</v>
      </c>
      <c r="H312" t="s">
        <v>2072</v>
      </c>
      <c r="K312">
        <v>0</v>
      </c>
      <c r="L312">
        <v>0</v>
      </c>
      <c r="M312">
        <v>0</v>
      </c>
      <c r="N312">
        <v>0</v>
      </c>
      <c r="O312">
        <v>0</v>
      </c>
    </row>
    <row r="313" spans="1:15">
      <c r="A313" t="s">
        <v>833</v>
      </c>
      <c r="B313" t="s">
        <v>1671</v>
      </c>
      <c r="C313" t="s">
        <v>2298</v>
      </c>
      <c r="D313" t="s">
        <v>1051</v>
      </c>
      <c r="E313" t="s">
        <v>473</v>
      </c>
      <c r="F313" t="s">
        <v>1134</v>
      </c>
      <c r="G313" t="s">
        <v>1137</v>
      </c>
      <c r="H313" t="s">
        <v>974</v>
      </c>
      <c r="I313">
        <v>0</v>
      </c>
      <c r="J313">
        <v>1940564</v>
      </c>
      <c r="K313">
        <v>0</v>
      </c>
      <c r="L313">
        <v>0</v>
      </c>
      <c r="M313">
        <v>0</v>
      </c>
      <c r="N313">
        <v>1940564</v>
      </c>
      <c r="O313">
        <v>-1940564</v>
      </c>
    </row>
    <row r="314" spans="1:15">
      <c r="A314" t="s">
        <v>834</v>
      </c>
      <c r="B314" t="s">
        <v>1672</v>
      </c>
      <c r="C314" t="s">
        <v>2299</v>
      </c>
      <c r="D314" t="s">
        <v>1051</v>
      </c>
      <c r="E314" t="s">
        <v>640</v>
      </c>
      <c r="F314" t="s">
        <v>1151</v>
      </c>
      <c r="G314" t="s">
        <v>1152</v>
      </c>
      <c r="H314" t="s">
        <v>974</v>
      </c>
      <c r="I314">
        <v>105750</v>
      </c>
      <c r="J314">
        <v>615750</v>
      </c>
      <c r="K314">
        <v>0</v>
      </c>
      <c r="L314">
        <v>0</v>
      </c>
      <c r="M314">
        <v>105750</v>
      </c>
      <c r="N314">
        <v>615750</v>
      </c>
      <c r="O314">
        <v>-510000</v>
      </c>
    </row>
    <row r="315" spans="1:15">
      <c r="A315" t="s">
        <v>835</v>
      </c>
      <c r="B315" t="s">
        <v>1673</v>
      </c>
      <c r="C315" t="s">
        <v>2300</v>
      </c>
      <c r="D315" t="s">
        <v>1051</v>
      </c>
      <c r="E315" t="s">
        <v>1153</v>
      </c>
      <c r="F315" t="s">
        <v>1153</v>
      </c>
      <c r="G315" t="s">
        <v>1153</v>
      </c>
      <c r="H315" t="s">
        <v>974</v>
      </c>
      <c r="I315">
        <v>39574329.299999997</v>
      </c>
      <c r="J315">
        <v>0</v>
      </c>
      <c r="K315">
        <v>0</v>
      </c>
      <c r="L315">
        <v>0</v>
      </c>
      <c r="M315">
        <v>39574329.299999997</v>
      </c>
      <c r="N315">
        <v>0</v>
      </c>
      <c r="O315">
        <v>39574329.299999997</v>
      </c>
    </row>
    <row r="316" spans="1:15">
      <c r="A316" t="s">
        <v>843</v>
      </c>
      <c r="B316" t="s">
        <v>1674</v>
      </c>
      <c r="C316" t="s">
        <v>2301</v>
      </c>
      <c r="D316" t="s">
        <v>1051</v>
      </c>
      <c r="E316" t="s">
        <v>1153</v>
      </c>
      <c r="F316" t="s">
        <v>1153</v>
      </c>
      <c r="G316" t="s">
        <v>1153</v>
      </c>
      <c r="H316" t="s">
        <v>1014</v>
      </c>
      <c r="I316">
        <v>0</v>
      </c>
      <c r="J316">
        <v>1641568</v>
      </c>
      <c r="K316">
        <v>0</v>
      </c>
      <c r="L316">
        <v>0</v>
      </c>
      <c r="M316">
        <v>0</v>
      </c>
      <c r="N316">
        <v>1641568</v>
      </c>
      <c r="O316">
        <v>-1641568</v>
      </c>
    </row>
    <row r="317" spans="1:15">
      <c r="A317" t="s">
        <v>1343</v>
      </c>
      <c r="B317" t="s">
        <v>1344</v>
      </c>
      <c r="C317" t="s">
        <v>2302</v>
      </c>
      <c r="D317" t="s">
        <v>1051</v>
      </c>
      <c r="E317" t="s">
        <v>1153</v>
      </c>
      <c r="F317" t="s">
        <v>1153</v>
      </c>
      <c r="G317" t="s">
        <v>1153</v>
      </c>
      <c r="H317" t="s">
        <v>1722</v>
      </c>
      <c r="I317">
        <v>0</v>
      </c>
      <c r="J317">
        <v>0</v>
      </c>
      <c r="K317">
        <v>0</v>
      </c>
      <c r="L317">
        <v>0</v>
      </c>
      <c r="M317">
        <v>0</v>
      </c>
      <c r="N317">
        <v>0</v>
      </c>
      <c r="O317">
        <v>0</v>
      </c>
    </row>
    <row r="318" spans="1:15">
      <c r="A318" t="s">
        <v>847</v>
      </c>
      <c r="B318" t="s">
        <v>1675</v>
      </c>
      <c r="C318" t="s">
        <v>2303</v>
      </c>
      <c r="D318" t="s">
        <v>1164</v>
      </c>
      <c r="E318" t="s">
        <v>1165</v>
      </c>
      <c r="F318" t="s">
        <v>1166</v>
      </c>
      <c r="G318" t="s">
        <v>1166</v>
      </c>
      <c r="H318" t="s">
        <v>974</v>
      </c>
      <c r="K318">
        <v>0</v>
      </c>
      <c r="L318">
        <v>103190.28</v>
      </c>
      <c r="M318">
        <v>0</v>
      </c>
      <c r="N318">
        <v>103190.28</v>
      </c>
      <c r="O318">
        <v>-103190.28</v>
      </c>
    </row>
    <row r="319" spans="1:15">
      <c r="A319" t="s">
        <v>848</v>
      </c>
      <c r="B319" t="s">
        <v>1676</v>
      </c>
      <c r="C319" t="s">
        <v>2304</v>
      </c>
      <c r="D319" t="s">
        <v>1164</v>
      </c>
      <c r="E319" t="s">
        <v>1165</v>
      </c>
      <c r="F319" t="s">
        <v>1166</v>
      </c>
      <c r="G319" t="s">
        <v>1166</v>
      </c>
      <c r="H319" t="s">
        <v>974</v>
      </c>
      <c r="K319">
        <v>0</v>
      </c>
      <c r="L319">
        <v>30000</v>
      </c>
      <c r="M319">
        <v>0</v>
      </c>
      <c r="N319">
        <v>30000</v>
      </c>
      <c r="O319">
        <v>-30000</v>
      </c>
    </row>
    <row r="320" spans="1:15">
      <c r="A320" t="s">
        <v>849</v>
      </c>
      <c r="B320" t="s">
        <v>1677</v>
      </c>
      <c r="C320" t="s">
        <v>2305</v>
      </c>
      <c r="D320" t="s">
        <v>1164</v>
      </c>
      <c r="E320" t="s">
        <v>1167</v>
      </c>
      <c r="F320" t="s">
        <v>1167</v>
      </c>
      <c r="G320" t="s">
        <v>1167</v>
      </c>
      <c r="H320" t="s">
        <v>974</v>
      </c>
      <c r="K320">
        <v>0</v>
      </c>
      <c r="L320">
        <v>10940035</v>
      </c>
      <c r="M320">
        <v>0</v>
      </c>
      <c r="N320">
        <v>10940035</v>
      </c>
      <c r="O320">
        <v>-10940035</v>
      </c>
    </row>
    <row r="321" spans="1:15">
      <c r="A321" t="s">
        <v>1250</v>
      </c>
      <c r="B321" t="s">
        <v>1263</v>
      </c>
      <c r="C321" t="s">
        <v>2306</v>
      </c>
      <c r="D321" t="s">
        <v>1164</v>
      </c>
      <c r="E321" t="s">
        <v>1167</v>
      </c>
      <c r="F321" t="s">
        <v>1167</v>
      </c>
      <c r="G321" t="s">
        <v>1167</v>
      </c>
      <c r="H321" t="s">
        <v>1275</v>
      </c>
      <c r="K321">
        <v>0</v>
      </c>
      <c r="L321">
        <v>10470408.869999999</v>
      </c>
      <c r="M321">
        <v>0</v>
      </c>
      <c r="N321">
        <v>10470408.869999999</v>
      </c>
      <c r="O321">
        <v>-10470408.869999999</v>
      </c>
    </row>
    <row r="322" spans="1:15">
      <c r="A322" t="s">
        <v>2122</v>
      </c>
      <c r="B322" t="s">
        <v>2123</v>
      </c>
      <c r="C322" t="s">
        <v>2307</v>
      </c>
      <c r="D322" t="s">
        <v>1164</v>
      </c>
      <c r="E322" t="s">
        <v>1167</v>
      </c>
      <c r="F322" t="s">
        <v>1167</v>
      </c>
      <c r="G322" t="s">
        <v>1167</v>
      </c>
      <c r="H322" t="s">
        <v>974</v>
      </c>
      <c r="K322">
        <v>0</v>
      </c>
      <c r="L322">
        <v>3694211.23</v>
      </c>
      <c r="M322">
        <v>0</v>
      </c>
      <c r="N322">
        <v>3694211.23</v>
      </c>
      <c r="O322">
        <v>-3694211.23</v>
      </c>
    </row>
    <row r="323" spans="1:15">
      <c r="A323" t="s">
        <v>858</v>
      </c>
      <c r="B323" t="s">
        <v>1264</v>
      </c>
      <c r="C323" t="s">
        <v>2308</v>
      </c>
      <c r="D323" t="s">
        <v>1164</v>
      </c>
      <c r="E323" t="s">
        <v>1165</v>
      </c>
      <c r="F323" t="s">
        <v>1166</v>
      </c>
      <c r="G323" t="s">
        <v>1166</v>
      </c>
      <c r="H323" t="s">
        <v>974</v>
      </c>
      <c r="K323">
        <v>15950</v>
      </c>
      <c r="L323">
        <v>948049</v>
      </c>
      <c r="M323">
        <v>15950</v>
      </c>
      <c r="N323">
        <v>948049</v>
      </c>
      <c r="O323">
        <v>-932099</v>
      </c>
    </row>
    <row r="324" spans="1:15">
      <c r="A324" t="s">
        <v>859</v>
      </c>
      <c r="B324" t="s">
        <v>1679</v>
      </c>
      <c r="C324" t="s">
        <v>2309</v>
      </c>
      <c r="D324" t="s">
        <v>1164</v>
      </c>
      <c r="E324" t="s">
        <v>1171</v>
      </c>
      <c r="F324" t="s">
        <v>1172</v>
      </c>
      <c r="G324" t="s">
        <v>1172</v>
      </c>
      <c r="H324" t="s">
        <v>974</v>
      </c>
      <c r="K324">
        <v>3602809</v>
      </c>
      <c r="L324">
        <v>573216</v>
      </c>
      <c r="M324">
        <v>3602809</v>
      </c>
      <c r="N324">
        <v>573216</v>
      </c>
      <c r="O324">
        <v>3029593</v>
      </c>
    </row>
    <row r="325" spans="1:15">
      <c r="A325" t="s">
        <v>861</v>
      </c>
      <c r="B325" t="s">
        <v>1681</v>
      </c>
      <c r="C325" t="s">
        <v>2310</v>
      </c>
      <c r="D325" t="s">
        <v>1164</v>
      </c>
      <c r="E325" t="s">
        <v>1171</v>
      </c>
      <c r="F325" t="s">
        <v>1173</v>
      </c>
      <c r="G325" t="s">
        <v>1173</v>
      </c>
      <c r="H325" t="s">
        <v>974</v>
      </c>
      <c r="K325">
        <v>899585</v>
      </c>
      <c r="L325">
        <v>361153</v>
      </c>
      <c r="M325">
        <v>899585</v>
      </c>
      <c r="N325">
        <v>361153</v>
      </c>
      <c r="O325">
        <v>538432</v>
      </c>
    </row>
    <row r="326" spans="1:15">
      <c r="A326" t="s">
        <v>862</v>
      </c>
      <c r="B326" t="s">
        <v>1682</v>
      </c>
      <c r="C326" t="s">
        <v>2311</v>
      </c>
      <c r="D326" t="s">
        <v>1164</v>
      </c>
      <c r="E326" t="s">
        <v>1171</v>
      </c>
      <c r="F326" t="s">
        <v>1173</v>
      </c>
      <c r="G326" t="s">
        <v>1173</v>
      </c>
      <c r="H326" t="s">
        <v>974</v>
      </c>
      <c r="K326">
        <v>53000</v>
      </c>
      <c r="L326">
        <v>0</v>
      </c>
      <c r="M326">
        <v>53000</v>
      </c>
      <c r="N326">
        <v>0</v>
      </c>
      <c r="O326">
        <v>53000</v>
      </c>
    </row>
    <row r="327" spans="1:15">
      <c r="A327" t="s">
        <v>863</v>
      </c>
      <c r="B327" t="s">
        <v>1683</v>
      </c>
      <c r="C327" t="s">
        <v>2312</v>
      </c>
      <c r="D327" t="s">
        <v>1164</v>
      </c>
      <c r="E327" t="s">
        <v>1171</v>
      </c>
      <c r="F327" t="s">
        <v>367</v>
      </c>
      <c r="G327" t="s">
        <v>367</v>
      </c>
      <c r="H327" t="s">
        <v>974</v>
      </c>
      <c r="K327">
        <v>245940</v>
      </c>
      <c r="L327">
        <v>0</v>
      </c>
      <c r="M327">
        <v>245940</v>
      </c>
      <c r="N327">
        <v>0</v>
      </c>
      <c r="O327">
        <v>245940</v>
      </c>
    </row>
    <row r="328" spans="1:15">
      <c r="A328" t="s">
        <v>864</v>
      </c>
      <c r="B328" t="s">
        <v>1684</v>
      </c>
      <c r="C328" t="s">
        <v>2313</v>
      </c>
      <c r="D328" t="s">
        <v>1164</v>
      </c>
      <c r="E328" t="s">
        <v>1171</v>
      </c>
      <c r="F328" t="s">
        <v>1173</v>
      </c>
      <c r="G328" t="s">
        <v>1173</v>
      </c>
      <c r="H328" t="s">
        <v>974</v>
      </c>
      <c r="K328">
        <v>127780</v>
      </c>
      <c r="L328">
        <v>93000</v>
      </c>
      <c r="M328">
        <v>127780</v>
      </c>
      <c r="N328">
        <v>93000</v>
      </c>
      <c r="O328">
        <v>34780</v>
      </c>
    </row>
    <row r="329" spans="1:15">
      <c r="A329" t="s">
        <v>865</v>
      </c>
      <c r="B329" t="s">
        <v>983</v>
      </c>
      <c r="C329" t="s">
        <v>2314</v>
      </c>
      <c r="D329" t="s">
        <v>1164</v>
      </c>
      <c r="E329" t="s">
        <v>1171</v>
      </c>
      <c r="F329" t="s">
        <v>1174</v>
      </c>
      <c r="G329" t="s">
        <v>1174</v>
      </c>
      <c r="H329" t="s">
        <v>974</v>
      </c>
      <c r="K329">
        <v>469498</v>
      </c>
      <c r="L329">
        <v>283118</v>
      </c>
      <c r="M329">
        <v>469498</v>
      </c>
      <c r="N329">
        <v>283118</v>
      </c>
      <c r="O329">
        <v>186380</v>
      </c>
    </row>
    <row r="330" spans="1:15">
      <c r="A330" t="s">
        <v>867</v>
      </c>
      <c r="B330" t="s">
        <v>985</v>
      </c>
      <c r="C330" t="s">
        <v>2315</v>
      </c>
      <c r="D330" t="s">
        <v>1164</v>
      </c>
      <c r="E330" t="s">
        <v>1171</v>
      </c>
      <c r="F330" t="s">
        <v>1175</v>
      </c>
      <c r="G330" t="s">
        <v>1175</v>
      </c>
      <c r="H330" t="s">
        <v>974</v>
      </c>
      <c r="K330">
        <v>213040</v>
      </c>
      <c r="L330">
        <v>0</v>
      </c>
      <c r="M330">
        <v>213040</v>
      </c>
      <c r="N330">
        <v>0</v>
      </c>
      <c r="O330">
        <v>213040</v>
      </c>
    </row>
    <row r="331" spans="1:15">
      <c r="A331" t="s">
        <v>869</v>
      </c>
      <c r="B331" t="s">
        <v>1686</v>
      </c>
      <c r="C331" t="s">
        <v>2316</v>
      </c>
      <c r="D331" t="s">
        <v>1164</v>
      </c>
      <c r="E331" t="s">
        <v>1171</v>
      </c>
      <c r="F331" t="s">
        <v>1177</v>
      </c>
      <c r="G331" t="s">
        <v>1177</v>
      </c>
      <c r="H331" t="s">
        <v>974</v>
      </c>
      <c r="K331">
        <v>615490</v>
      </c>
      <c r="L331">
        <v>377220</v>
      </c>
      <c r="M331">
        <v>615490</v>
      </c>
      <c r="N331">
        <v>377220</v>
      </c>
      <c r="O331">
        <v>238270</v>
      </c>
    </row>
    <row r="332" spans="1:15">
      <c r="A332" t="s">
        <v>870</v>
      </c>
      <c r="B332" t="s">
        <v>1687</v>
      </c>
      <c r="C332" t="s">
        <v>2317</v>
      </c>
      <c r="D332" t="s">
        <v>1164</v>
      </c>
      <c r="E332" t="s">
        <v>1171</v>
      </c>
      <c r="F332" t="s">
        <v>1177</v>
      </c>
      <c r="G332" t="s">
        <v>1177</v>
      </c>
      <c r="H332" t="s">
        <v>974</v>
      </c>
      <c r="K332">
        <v>85490</v>
      </c>
      <c r="L332">
        <v>0</v>
      </c>
      <c r="M332">
        <v>85490</v>
      </c>
      <c r="N332">
        <v>0</v>
      </c>
      <c r="O332">
        <v>85490</v>
      </c>
    </row>
    <row r="333" spans="1:15">
      <c r="A333" t="s">
        <v>1227</v>
      </c>
      <c r="B333" t="s">
        <v>1688</v>
      </c>
      <c r="C333" t="s">
        <v>2318</v>
      </c>
      <c r="D333" t="s">
        <v>1164</v>
      </c>
      <c r="E333" t="s">
        <v>1171</v>
      </c>
      <c r="F333" t="s">
        <v>1174</v>
      </c>
      <c r="G333" t="s">
        <v>1174</v>
      </c>
      <c r="H333" t="s">
        <v>974</v>
      </c>
      <c r="K333">
        <v>3110</v>
      </c>
      <c r="L333">
        <v>0</v>
      </c>
      <c r="M333">
        <v>3110</v>
      </c>
      <c r="N333">
        <v>0</v>
      </c>
      <c r="O333">
        <v>3110</v>
      </c>
    </row>
    <row r="334" spans="1:15">
      <c r="A334" t="s">
        <v>871</v>
      </c>
      <c r="B334" t="s">
        <v>979</v>
      </c>
      <c r="C334" t="s">
        <v>2319</v>
      </c>
      <c r="D334" t="s">
        <v>1164</v>
      </c>
      <c r="E334" t="s">
        <v>1171</v>
      </c>
      <c r="F334" t="s">
        <v>1177</v>
      </c>
      <c r="G334" t="s">
        <v>1177</v>
      </c>
      <c r="H334" t="s">
        <v>974</v>
      </c>
      <c r="K334">
        <v>78650</v>
      </c>
      <c r="L334">
        <v>0</v>
      </c>
      <c r="M334">
        <v>78650</v>
      </c>
      <c r="N334">
        <v>0</v>
      </c>
      <c r="O334">
        <v>78650</v>
      </c>
    </row>
    <row r="335" spans="1:15">
      <c r="A335" t="s">
        <v>872</v>
      </c>
      <c r="B335" t="s">
        <v>1689</v>
      </c>
      <c r="C335" t="s">
        <v>2320</v>
      </c>
      <c r="D335" t="s">
        <v>1164</v>
      </c>
      <c r="E335" t="s">
        <v>1171</v>
      </c>
      <c r="F335" t="s">
        <v>1179</v>
      </c>
      <c r="G335" t="s">
        <v>1179</v>
      </c>
      <c r="H335" t="s">
        <v>974</v>
      </c>
      <c r="K335">
        <v>17540</v>
      </c>
      <c r="L335">
        <v>0</v>
      </c>
      <c r="M335">
        <v>17540</v>
      </c>
      <c r="N335">
        <v>0</v>
      </c>
      <c r="O335">
        <v>17540</v>
      </c>
    </row>
    <row r="336" spans="1:15">
      <c r="A336" t="s">
        <v>873</v>
      </c>
      <c r="B336" t="s">
        <v>1690</v>
      </c>
      <c r="C336" t="s">
        <v>2321</v>
      </c>
      <c r="D336" t="s">
        <v>1164</v>
      </c>
      <c r="E336" t="s">
        <v>1171</v>
      </c>
      <c r="F336" t="s">
        <v>1180</v>
      </c>
      <c r="G336" t="s">
        <v>1180</v>
      </c>
      <c r="H336" t="s">
        <v>974</v>
      </c>
      <c r="K336">
        <v>85585</v>
      </c>
      <c r="L336">
        <v>35000</v>
      </c>
      <c r="M336">
        <v>85585</v>
      </c>
      <c r="N336">
        <v>35000</v>
      </c>
      <c r="O336">
        <v>50585</v>
      </c>
    </row>
    <row r="337" spans="1:15">
      <c r="A337" t="s">
        <v>874</v>
      </c>
      <c r="B337" t="s">
        <v>1691</v>
      </c>
      <c r="C337" t="s">
        <v>2322</v>
      </c>
      <c r="D337" t="s">
        <v>1164</v>
      </c>
      <c r="E337" t="s">
        <v>1171</v>
      </c>
      <c r="F337" t="s">
        <v>1180</v>
      </c>
      <c r="G337" t="s">
        <v>1180</v>
      </c>
      <c r="H337" t="s">
        <v>974</v>
      </c>
      <c r="K337">
        <v>8926</v>
      </c>
      <c r="L337">
        <v>0</v>
      </c>
      <c r="M337">
        <v>8926</v>
      </c>
      <c r="N337">
        <v>0</v>
      </c>
      <c r="O337">
        <v>8926</v>
      </c>
    </row>
    <row r="338" spans="1:15">
      <c r="A338" t="s">
        <v>875</v>
      </c>
      <c r="B338" t="s">
        <v>981</v>
      </c>
      <c r="C338" t="s">
        <v>2323</v>
      </c>
      <c r="D338" t="s">
        <v>1164</v>
      </c>
      <c r="E338" t="s">
        <v>1171</v>
      </c>
      <c r="F338" t="s">
        <v>376</v>
      </c>
      <c r="G338" t="s">
        <v>376</v>
      </c>
      <c r="H338" t="s">
        <v>974</v>
      </c>
      <c r="K338">
        <v>502551</v>
      </c>
      <c r="L338">
        <v>485000</v>
      </c>
      <c r="M338">
        <v>502551</v>
      </c>
      <c r="N338">
        <v>485000</v>
      </c>
      <c r="O338">
        <v>17551</v>
      </c>
    </row>
    <row r="339" spans="1:15">
      <c r="A339" t="s">
        <v>876</v>
      </c>
      <c r="B339" t="s">
        <v>986</v>
      </c>
      <c r="C339" t="s">
        <v>2324</v>
      </c>
      <c r="D339" t="s">
        <v>1164</v>
      </c>
      <c r="E339" t="s">
        <v>1171</v>
      </c>
      <c r="F339" t="s">
        <v>1174</v>
      </c>
      <c r="G339" t="s">
        <v>1174</v>
      </c>
      <c r="H339" t="s">
        <v>974</v>
      </c>
      <c r="K339">
        <v>33740</v>
      </c>
      <c r="L339">
        <v>0</v>
      </c>
      <c r="M339">
        <v>33740</v>
      </c>
      <c r="N339">
        <v>0</v>
      </c>
      <c r="O339">
        <v>33740</v>
      </c>
    </row>
    <row r="340" spans="1:15">
      <c r="A340" t="s">
        <v>877</v>
      </c>
      <c r="B340" t="s">
        <v>980</v>
      </c>
      <c r="C340" t="s">
        <v>2325</v>
      </c>
      <c r="D340" t="s">
        <v>1164</v>
      </c>
      <c r="E340" t="s">
        <v>1171</v>
      </c>
      <c r="F340" t="s">
        <v>1174</v>
      </c>
      <c r="G340" t="s">
        <v>1174</v>
      </c>
      <c r="H340" t="s">
        <v>974</v>
      </c>
      <c r="K340">
        <v>39458</v>
      </c>
      <c r="L340">
        <v>0</v>
      </c>
      <c r="M340">
        <v>39458</v>
      </c>
      <c r="N340">
        <v>0</v>
      </c>
      <c r="O340">
        <v>39458</v>
      </c>
    </row>
    <row r="341" spans="1:15">
      <c r="A341" t="s">
        <v>878</v>
      </c>
      <c r="B341" t="s">
        <v>1692</v>
      </c>
      <c r="C341" t="s">
        <v>2326</v>
      </c>
      <c r="D341" t="s">
        <v>1164</v>
      </c>
      <c r="E341" t="s">
        <v>1171</v>
      </c>
      <c r="F341" t="s">
        <v>1174</v>
      </c>
      <c r="G341" t="s">
        <v>1174</v>
      </c>
      <c r="H341" t="s">
        <v>974</v>
      </c>
      <c r="K341">
        <v>203423</v>
      </c>
      <c r="L341">
        <v>15000</v>
      </c>
      <c r="M341">
        <v>203423</v>
      </c>
      <c r="N341">
        <v>15000</v>
      </c>
      <c r="O341">
        <v>188423</v>
      </c>
    </row>
    <row r="342" spans="1:15">
      <c r="A342" t="s">
        <v>880</v>
      </c>
      <c r="B342" t="s">
        <v>1695</v>
      </c>
      <c r="C342" t="s">
        <v>2327</v>
      </c>
      <c r="D342" t="s">
        <v>1164</v>
      </c>
      <c r="E342" t="s">
        <v>1171</v>
      </c>
      <c r="F342" t="s">
        <v>1180</v>
      </c>
      <c r="G342" t="s">
        <v>1180</v>
      </c>
      <c r="H342" t="s">
        <v>974</v>
      </c>
      <c r="K342">
        <v>32460</v>
      </c>
      <c r="L342">
        <v>0</v>
      </c>
      <c r="M342">
        <v>32460</v>
      </c>
      <c r="N342">
        <v>0</v>
      </c>
      <c r="O342">
        <v>32460</v>
      </c>
    </row>
    <row r="343" spans="1:15">
      <c r="A343" t="s">
        <v>881</v>
      </c>
      <c r="B343" t="s">
        <v>973</v>
      </c>
      <c r="C343" t="s">
        <v>2328</v>
      </c>
      <c r="D343" t="s">
        <v>1164</v>
      </c>
      <c r="E343" t="s">
        <v>1171</v>
      </c>
      <c r="F343" t="s">
        <v>1186</v>
      </c>
      <c r="G343" t="s">
        <v>1186</v>
      </c>
      <c r="H343" t="s">
        <v>974</v>
      </c>
      <c r="K343">
        <v>303956</v>
      </c>
      <c r="L343">
        <v>0</v>
      </c>
      <c r="M343">
        <v>303956</v>
      </c>
      <c r="N343">
        <v>0</v>
      </c>
      <c r="O343">
        <v>303956</v>
      </c>
    </row>
    <row r="344" spans="1:15">
      <c r="A344" t="s">
        <v>1187</v>
      </c>
      <c r="B344" t="s">
        <v>1696</v>
      </c>
      <c r="C344" t="s">
        <v>2329</v>
      </c>
      <c r="D344" t="s">
        <v>1164</v>
      </c>
      <c r="E344" t="s">
        <v>1171</v>
      </c>
      <c r="F344" t="s">
        <v>590</v>
      </c>
      <c r="G344" t="s">
        <v>1188</v>
      </c>
      <c r="H344" t="s">
        <v>974</v>
      </c>
      <c r="K344">
        <v>21600</v>
      </c>
      <c r="L344">
        <v>0</v>
      </c>
      <c r="M344">
        <v>21600</v>
      </c>
      <c r="N344">
        <v>0</v>
      </c>
      <c r="O344">
        <v>21600</v>
      </c>
    </row>
    <row r="345" spans="1:15">
      <c r="A345" t="s">
        <v>882</v>
      </c>
      <c r="B345" t="s">
        <v>1697</v>
      </c>
      <c r="C345" t="s">
        <v>2330</v>
      </c>
      <c r="D345" t="s">
        <v>1164</v>
      </c>
      <c r="E345" t="s">
        <v>1171</v>
      </c>
      <c r="F345" t="s">
        <v>1186</v>
      </c>
      <c r="G345" t="s">
        <v>1186</v>
      </c>
      <c r="H345" t="s">
        <v>974</v>
      </c>
      <c r="K345">
        <v>10000</v>
      </c>
      <c r="L345">
        <v>0</v>
      </c>
      <c r="M345">
        <v>10000</v>
      </c>
      <c r="N345">
        <v>0</v>
      </c>
      <c r="O345">
        <v>10000</v>
      </c>
    </row>
    <row r="346" spans="1:15">
      <c r="A346" t="s">
        <v>884</v>
      </c>
      <c r="B346" t="s">
        <v>994</v>
      </c>
      <c r="C346" t="s">
        <v>2331</v>
      </c>
      <c r="D346" t="s">
        <v>1164</v>
      </c>
      <c r="E346" t="s">
        <v>1181</v>
      </c>
      <c r="F346" t="s">
        <v>1189</v>
      </c>
      <c r="G346" t="s">
        <v>1189</v>
      </c>
      <c r="H346" t="s">
        <v>974</v>
      </c>
      <c r="K346">
        <v>222000</v>
      </c>
      <c r="L346">
        <v>49704</v>
      </c>
      <c r="M346">
        <v>222000</v>
      </c>
      <c r="N346">
        <v>49704</v>
      </c>
      <c r="O346">
        <v>172296</v>
      </c>
    </row>
    <row r="347" spans="1:15">
      <c r="A347" t="s">
        <v>884</v>
      </c>
      <c r="B347" t="s">
        <v>994</v>
      </c>
      <c r="C347" t="s">
        <v>2331</v>
      </c>
      <c r="D347" t="s">
        <v>1164</v>
      </c>
      <c r="E347" t="s">
        <v>1181</v>
      </c>
      <c r="F347" t="s">
        <v>1189</v>
      </c>
      <c r="G347" t="s">
        <v>1189</v>
      </c>
      <c r="H347" t="s">
        <v>1275</v>
      </c>
      <c r="K347">
        <v>0</v>
      </c>
      <c r="L347">
        <v>4527</v>
      </c>
      <c r="M347">
        <v>0</v>
      </c>
      <c r="N347">
        <v>4527</v>
      </c>
      <c r="O347">
        <v>-4527</v>
      </c>
    </row>
    <row r="348" spans="1:15">
      <c r="A348" t="s">
        <v>885</v>
      </c>
      <c r="B348" t="s">
        <v>1699</v>
      </c>
      <c r="C348" t="s">
        <v>2332</v>
      </c>
      <c r="D348" t="s">
        <v>1164</v>
      </c>
      <c r="E348" t="s">
        <v>1181</v>
      </c>
      <c r="F348" t="s">
        <v>1189</v>
      </c>
      <c r="G348" t="s">
        <v>1189</v>
      </c>
      <c r="H348" t="s">
        <v>974</v>
      </c>
      <c r="K348">
        <v>239700</v>
      </c>
      <c r="L348">
        <v>0</v>
      </c>
      <c r="M348">
        <v>239700</v>
      </c>
      <c r="N348">
        <v>0</v>
      </c>
      <c r="O348">
        <v>239700</v>
      </c>
    </row>
    <row r="349" spans="1:15">
      <c r="A349" t="s">
        <v>886</v>
      </c>
      <c r="B349" t="s">
        <v>2124</v>
      </c>
      <c r="C349" t="s">
        <v>2333</v>
      </c>
      <c r="D349" t="s">
        <v>1164</v>
      </c>
      <c r="E349" t="s">
        <v>1171</v>
      </c>
      <c r="F349" t="s">
        <v>1189</v>
      </c>
      <c r="G349" t="s">
        <v>1189</v>
      </c>
      <c r="H349" t="s">
        <v>974</v>
      </c>
      <c r="K349">
        <v>18374</v>
      </c>
      <c r="L349">
        <v>0</v>
      </c>
      <c r="M349">
        <v>18374</v>
      </c>
      <c r="N349">
        <v>0</v>
      </c>
      <c r="O349">
        <v>18374</v>
      </c>
    </row>
    <row r="350" spans="1:15">
      <c r="A350" t="s">
        <v>887</v>
      </c>
      <c r="B350" t="s">
        <v>1700</v>
      </c>
      <c r="C350" t="s">
        <v>2334</v>
      </c>
      <c r="D350" t="s">
        <v>1164</v>
      </c>
      <c r="E350" t="s">
        <v>1191</v>
      </c>
      <c r="F350" t="s">
        <v>1190</v>
      </c>
      <c r="G350" t="s">
        <v>1190</v>
      </c>
      <c r="H350" t="s">
        <v>974</v>
      </c>
      <c r="K350">
        <v>12368.25</v>
      </c>
      <c r="L350">
        <v>1</v>
      </c>
      <c r="M350">
        <v>12368.25</v>
      </c>
      <c r="N350">
        <v>1</v>
      </c>
      <c r="O350">
        <v>12367.25</v>
      </c>
    </row>
    <row r="351" spans="1:15">
      <c r="A351" t="s">
        <v>887</v>
      </c>
      <c r="B351" t="s">
        <v>1700</v>
      </c>
      <c r="C351" t="s">
        <v>2334</v>
      </c>
      <c r="D351" t="s">
        <v>1164</v>
      </c>
      <c r="E351" t="s">
        <v>1191</v>
      </c>
      <c r="F351" t="s">
        <v>1190</v>
      </c>
      <c r="G351" t="s">
        <v>1190</v>
      </c>
      <c r="H351" t="s">
        <v>1275</v>
      </c>
      <c r="K351">
        <v>9913.24</v>
      </c>
      <c r="L351">
        <v>0</v>
      </c>
      <c r="M351">
        <v>9913.24</v>
      </c>
      <c r="N351">
        <v>0</v>
      </c>
      <c r="O351">
        <v>9913.24</v>
      </c>
    </row>
    <row r="352" spans="1:15">
      <c r="A352" t="s">
        <v>888</v>
      </c>
      <c r="B352" t="s">
        <v>1701</v>
      </c>
      <c r="C352" t="s">
        <v>2335</v>
      </c>
      <c r="D352" t="s">
        <v>1164</v>
      </c>
      <c r="E352" t="s">
        <v>1171</v>
      </c>
      <c r="F352" t="s">
        <v>1192</v>
      </c>
      <c r="G352" t="s">
        <v>1193</v>
      </c>
      <c r="H352" t="s">
        <v>974</v>
      </c>
      <c r="K352">
        <v>455276</v>
      </c>
      <c r="L352">
        <v>0</v>
      </c>
      <c r="M352">
        <v>455276</v>
      </c>
      <c r="N352">
        <v>0</v>
      </c>
      <c r="O352">
        <v>455276</v>
      </c>
    </row>
    <row r="353" spans="1:15">
      <c r="A353" t="s">
        <v>889</v>
      </c>
      <c r="B353" t="s">
        <v>1702</v>
      </c>
      <c r="C353" t="s">
        <v>2336</v>
      </c>
      <c r="D353" t="s">
        <v>1164</v>
      </c>
      <c r="E353" t="s">
        <v>1171</v>
      </c>
      <c r="F353" t="s">
        <v>1192</v>
      </c>
      <c r="G353" t="s">
        <v>1193</v>
      </c>
      <c r="H353" t="s">
        <v>974</v>
      </c>
      <c r="K353">
        <v>42323</v>
      </c>
      <c r="L353">
        <v>0</v>
      </c>
      <c r="M353">
        <v>42323</v>
      </c>
      <c r="N353">
        <v>0</v>
      </c>
      <c r="O353">
        <v>42323</v>
      </c>
    </row>
    <row r="354" spans="1:15">
      <c r="A354" t="s">
        <v>890</v>
      </c>
      <c r="B354" t="s">
        <v>1703</v>
      </c>
      <c r="C354" t="s">
        <v>2337</v>
      </c>
      <c r="D354" t="s">
        <v>1164</v>
      </c>
      <c r="E354" t="s">
        <v>1171</v>
      </c>
      <c r="F354" t="s">
        <v>1192</v>
      </c>
      <c r="G354" t="s">
        <v>1193</v>
      </c>
      <c r="H354" t="s">
        <v>974</v>
      </c>
      <c r="K354">
        <v>358157</v>
      </c>
      <c r="L354">
        <v>0</v>
      </c>
      <c r="M354">
        <v>358157</v>
      </c>
      <c r="N354">
        <v>0</v>
      </c>
      <c r="O354">
        <v>358157</v>
      </c>
    </row>
    <row r="355" spans="1:15">
      <c r="A355" t="s">
        <v>891</v>
      </c>
      <c r="B355" t="s">
        <v>1704</v>
      </c>
      <c r="C355" t="s">
        <v>2338</v>
      </c>
      <c r="D355" t="s">
        <v>1164</v>
      </c>
      <c r="E355" t="s">
        <v>1171</v>
      </c>
      <c r="F355" t="s">
        <v>1192</v>
      </c>
      <c r="G355" t="s">
        <v>1193</v>
      </c>
      <c r="H355" t="s">
        <v>974</v>
      </c>
      <c r="K355">
        <v>892</v>
      </c>
      <c r="L355">
        <v>0</v>
      </c>
      <c r="M355">
        <v>892</v>
      </c>
      <c r="N355">
        <v>0</v>
      </c>
      <c r="O355">
        <v>892</v>
      </c>
    </row>
    <row r="356" spans="1:15">
      <c r="A356" t="s">
        <v>892</v>
      </c>
      <c r="B356" t="s">
        <v>1705</v>
      </c>
      <c r="C356" t="s">
        <v>2339</v>
      </c>
      <c r="D356" t="s">
        <v>1164</v>
      </c>
      <c r="E356" t="s">
        <v>1171</v>
      </c>
      <c r="F356" t="s">
        <v>1192</v>
      </c>
      <c r="G356" t="s">
        <v>1193</v>
      </c>
      <c r="H356" t="s">
        <v>974</v>
      </c>
      <c r="K356">
        <v>1093</v>
      </c>
      <c r="L356">
        <v>0</v>
      </c>
      <c r="M356">
        <v>1093</v>
      </c>
      <c r="N356">
        <v>0</v>
      </c>
      <c r="O356">
        <v>1093</v>
      </c>
    </row>
    <row r="357" spans="1:15">
      <c r="A357" t="s">
        <v>1195</v>
      </c>
      <c r="B357" t="s">
        <v>1708</v>
      </c>
      <c r="C357" t="s">
        <v>2340</v>
      </c>
      <c r="D357" t="s">
        <v>1164</v>
      </c>
      <c r="E357" t="s">
        <v>1171</v>
      </c>
      <c r="F357" t="s">
        <v>586</v>
      </c>
      <c r="G357" t="s">
        <v>1196</v>
      </c>
      <c r="H357" t="s">
        <v>974</v>
      </c>
      <c r="K357">
        <v>76888</v>
      </c>
      <c r="L357">
        <v>0</v>
      </c>
      <c r="M357">
        <v>76888</v>
      </c>
      <c r="N357">
        <v>0</v>
      </c>
      <c r="O357">
        <v>76888</v>
      </c>
    </row>
    <row r="358" spans="1:15">
      <c r="A358" t="s">
        <v>1197</v>
      </c>
      <c r="B358" t="s">
        <v>1709</v>
      </c>
      <c r="C358" t="s">
        <v>2341</v>
      </c>
      <c r="D358" t="s">
        <v>1164</v>
      </c>
      <c r="E358" t="s">
        <v>484</v>
      </c>
      <c r="F358" t="s">
        <v>1198</v>
      </c>
      <c r="G358" t="s">
        <v>1198</v>
      </c>
      <c r="H358" t="s">
        <v>1275</v>
      </c>
      <c r="K358">
        <v>73015.149999999994</v>
      </c>
      <c r="L358">
        <v>0</v>
      </c>
      <c r="M358">
        <v>73015.149999999994</v>
      </c>
      <c r="N358">
        <v>0</v>
      </c>
      <c r="O358">
        <v>73015.149999999994</v>
      </c>
    </row>
    <row r="359" spans="1:15">
      <c r="A359" t="s">
        <v>1197</v>
      </c>
      <c r="B359" t="s">
        <v>1709</v>
      </c>
      <c r="C359" t="s">
        <v>2341</v>
      </c>
      <c r="D359" t="s">
        <v>1164</v>
      </c>
      <c r="E359" t="s">
        <v>484</v>
      </c>
      <c r="F359" t="s">
        <v>1198</v>
      </c>
      <c r="G359" t="s">
        <v>1198</v>
      </c>
      <c r="H359" t="s">
        <v>1723</v>
      </c>
      <c r="K359">
        <v>105135.79</v>
      </c>
      <c r="L359">
        <v>62900</v>
      </c>
      <c r="M359">
        <v>105135.79</v>
      </c>
      <c r="N359">
        <v>62900</v>
      </c>
      <c r="O359">
        <v>42235.789999999994</v>
      </c>
    </row>
    <row r="360" spans="1:15">
      <c r="A360" t="s">
        <v>894</v>
      </c>
      <c r="B360" t="s">
        <v>982</v>
      </c>
      <c r="C360" t="s">
        <v>2342</v>
      </c>
      <c r="D360" t="s">
        <v>1164</v>
      </c>
      <c r="E360" t="s">
        <v>1171</v>
      </c>
      <c r="F360" t="s">
        <v>376</v>
      </c>
      <c r="G360" t="s">
        <v>376</v>
      </c>
      <c r="H360" t="s">
        <v>974</v>
      </c>
      <c r="K360">
        <v>80045</v>
      </c>
      <c r="L360">
        <v>0</v>
      </c>
      <c r="M360">
        <v>80045</v>
      </c>
      <c r="N360">
        <v>0</v>
      </c>
      <c r="O360">
        <v>80045</v>
      </c>
    </row>
    <row r="361" spans="1:15">
      <c r="A361" t="s">
        <v>1199</v>
      </c>
      <c r="B361" t="s">
        <v>1710</v>
      </c>
      <c r="C361" t="s">
        <v>2343</v>
      </c>
      <c r="D361" t="s">
        <v>1164</v>
      </c>
      <c r="E361" t="s">
        <v>1171</v>
      </c>
      <c r="F361" t="s">
        <v>376</v>
      </c>
      <c r="G361" t="s">
        <v>1200</v>
      </c>
      <c r="H361" t="s">
        <v>974</v>
      </c>
      <c r="K361">
        <v>19400</v>
      </c>
      <c r="L361">
        <v>0</v>
      </c>
      <c r="M361">
        <v>19400</v>
      </c>
      <c r="N361">
        <v>0</v>
      </c>
      <c r="O361">
        <v>19400</v>
      </c>
    </row>
    <row r="362" spans="1:15">
      <c r="A362" t="s">
        <v>1452</v>
      </c>
      <c r="B362" t="s">
        <v>1453</v>
      </c>
      <c r="C362" t="s">
        <v>2344</v>
      </c>
      <c r="D362" t="s">
        <v>1164</v>
      </c>
      <c r="E362" t="s">
        <v>1171</v>
      </c>
      <c r="F362" t="s">
        <v>1180</v>
      </c>
      <c r="G362" t="s">
        <v>1180</v>
      </c>
      <c r="H362" t="s">
        <v>974</v>
      </c>
      <c r="K362">
        <v>81480</v>
      </c>
      <c r="L362">
        <v>0</v>
      </c>
      <c r="M362">
        <v>81480</v>
      </c>
      <c r="N362">
        <v>0</v>
      </c>
      <c r="O362">
        <v>81480</v>
      </c>
    </row>
    <row r="363" spans="1:15">
      <c r="A363" t="s">
        <v>899</v>
      </c>
      <c r="B363" t="s">
        <v>1713</v>
      </c>
      <c r="C363" t="s">
        <v>2345</v>
      </c>
      <c r="D363" t="s">
        <v>1164</v>
      </c>
      <c r="E363" t="s">
        <v>1171</v>
      </c>
      <c r="F363" t="s">
        <v>385</v>
      </c>
      <c r="G363" t="s">
        <v>385</v>
      </c>
      <c r="H363" t="s">
        <v>974</v>
      </c>
      <c r="K363">
        <v>35000</v>
      </c>
      <c r="L363">
        <v>0</v>
      </c>
      <c r="M363">
        <v>35000</v>
      </c>
      <c r="N363">
        <v>0</v>
      </c>
      <c r="O363">
        <v>35000</v>
      </c>
    </row>
    <row r="364" spans="1:15">
      <c r="A364" t="s">
        <v>900</v>
      </c>
      <c r="B364" t="s">
        <v>2125</v>
      </c>
      <c r="C364" t="s">
        <v>2346</v>
      </c>
      <c r="D364" t="s">
        <v>1164</v>
      </c>
      <c r="E364" t="s">
        <v>1181</v>
      </c>
      <c r="F364" t="s">
        <v>1182</v>
      </c>
      <c r="G364" t="s">
        <v>1182</v>
      </c>
      <c r="H364" t="s">
        <v>974</v>
      </c>
      <c r="K364">
        <v>41990</v>
      </c>
      <c r="L364">
        <v>0</v>
      </c>
      <c r="M364">
        <v>41990</v>
      </c>
      <c r="N364">
        <v>0</v>
      </c>
      <c r="O364">
        <v>41990</v>
      </c>
    </row>
    <row r="365" spans="1:15">
      <c r="A365" t="s">
        <v>901</v>
      </c>
      <c r="B365" t="s">
        <v>978</v>
      </c>
      <c r="C365" t="s">
        <v>2347</v>
      </c>
      <c r="D365" t="s">
        <v>1164</v>
      </c>
      <c r="E365" t="s">
        <v>1181</v>
      </c>
      <c r="F365" t="s">
        <v>1182</v>
      </c>
      <c r="G365" t="s">
        <v>1182</v>
      </c>
      <c r="H365" t="s">
        <v>974</v>
      </c>
      <c r="K365">
        <v>56900</v>
      </c>
      <c r="L365">
        <v>0</v>
      </c>
      <c r="M365">
        <v>56900</v>
      </c>
      <c r="N365">
        <v>0</v>
      </c>
      <c r="O365">
        <v>56900</v>
      </c>
    </row>
    <row r="366" spans="1:15">
      <c r="A366" t="s">
        <v>1455</v>
      </c>
      <c r="B366" t="s">
        <v>1456</v>
      </c>
      <c r="C366" t="s">
        <v>2348</v>
      </c>
      <c r="D366" t="s">
        <v>1164</v>
      </c>
      <c r="E366" t="s">
        <v>1181</v>
      </c>
      <c r="F366" t="s">
        <v>1456</v>
      </c>
      <c r="G366" t="s">
        <v>1456</v>
      </c>
      <c r="H366" t="s">
        <v>974</v>
      </c>
      <c r="K366">
        <v>3764557</v>
      </c>
      <c r="L366">
        <v>0</v>
      </c>
      <c r="M366">
        <v>3764557</v>
      </c>
      <c r="N366">
        <v>0</v>
      </c>
      <c r="O366">
        <v>3764557</v>
      </c>
    </row>
    <row r="367" spans="1:15">
      <c r="A367" t="s">
        <v>1467</v>
      </c>
      <c r="B367" t="s">
        <v>1468</v>
      </c>
      <c r="C367" t="s">
        <v>2349</v>
      </c>
      <c r="D367" t="s">
        <v>1164</v>
      </c>
      <c r="E367" t="s">
        <v>1181</v>
      </c>
      <c r="F367" t="s">
        <v>1468</v>
      </c>
      <c r="G367" t="s">
        <v>1468</v>
      </c>
      <c r="H367" t="s">
        <v>974</v>
      </c>
      <c r="K367">
        <v>781000</v>
      </c>
      <c r="L367">
        <v>0</v>
      </c>
      <c r="M367">
        <v>781000</v>
      </c>
      <c r="N367">
        <v>0</v>
      </c>
      <c r="O367">
        <v>781000</v>
      </c>
    </row>
    <row r="368" spans="1:15">
      <c r="A368" t="s">
        <v>2126</v>
      </c>
      <c r="B368" t="s">
        <v>2127</v>
      </c>
      <c r="C368" t="s">
        <v>2350</v>
      </c>
      <c r="D368" t="s">
        <v>1164</v>
      </c>
      <c r="E368" t="s">
        <v>1181</v>
      </c>
      <c r="F368" t="s">
        <v>2127</v>
      </c>
      <c r="G368" t="s">
        <v>2127</v>
      </c>
      <c r="H368" t="s">
        <v>974</v>
      </c>
      <c r="K368">
        <v>5000</v>
      </c>
      <c r="L368">
        <v>0</v>
      </c>
      <c r="M368">
        <v>5000</v>
      </c>
      <c r="N368">
        <v>0</v>
      </c>
      <c r="O368">
        <v>5000</v>
      </c>
    </row>
    <row r="369" spans="1:15">
      <c r="A369" t="s">
        <v>2128</v>
      </c>
      <c r="B369" t="s">
        <v>2129</v>
      </c>
      <c r="C369" t="s">
        <v>2351</v>
      </c>
      <c r="D369" t="s">
        <v>1164</v>
      </c>
      <c r="E369" t="s">
        <v>1181</v>
      </c>
      <c r="F369" t="s">
        <v>2129</v>
      </c>
      <c r="G369" t="s">
        <v>2129</v>
      </c>
      <c r="H369" t="s">
        <v>974</v>
      </c>
      <c r="K369">
        <v>30000</v>
      </c>
      <c r="L369">
        <v>0</v>
      </c>
      <c r="M369">
        <v>30000</v>
      </c>
      <c r="N369">
        <v>0</v>
      </c>
      <c r="O369">
        <v>30000</v>
      </c>
    </row>
    <row r="370" spans="1:15">
      <c r="A370" t="s">
        <v>2130</v>
      </c>
      <c r="B370" t="s">
        <v>2131</v>
      </c>
      <c r="C370" t="s">
        <v>2352</v>
      </c>
      <c r="D370" t="s">
        <v>1164</v>
      </c>
      <c r="E370" t="s">
        <v>1181</v>
      </c>
      <c r="F370" t="s">
        <v>2131</v>
      </c>
      <c r="G370" t="s">
        <v>2131</v>
      </c>
      <c r="H370" t="s">
        <v>974</v>
      </c>
      <c r="K370">
        <v>115000</v>
      </c>
      <c r="L370">
        <v>0</v>
      </c>
      <c r="M370">
        <v>115000</v>
      </c>
      <c r="N370">
        <v>0</v>
      </c>
      <c r="O370">
        <v>115000</v>
      </c>
    </row>
    <row r="371" spans="1:15">
      <c r="A371" t="s">
        <v>2132</v>
      </c>
      <c r="B371" t="s">
        <v>2133</v>
      </c>
      <c r="C371" t="s">
        <v>2353</v>
      </c>
      <c r="D371" t="s">
        <v>1164</v>
      </c>
      <c r="E371" t="s">
        <v>1181</v>
      </c>
      <c r="F371" t="s">
        <v>2133</v>
      </c>
      <c r="G371" t="s">
        <v>2133</v>
      </c>
      <c r="H371" t="s">
        <v>974</v>
      </c>
      <c r="K371">
        <v>480810</v>
      </c>
      <c r="L371">
        <v>0</v>
      </c>
      <c r="M371">
        <v>480810</v>
      </c>
      <c r="N371">
        <v>0</v>
      </c>
      <c r="O371">
        <v>480810</v>
      </c>
    </row>
    <row r="372" spans="1:15">
      <c r="A372" t="s">
        <v>2134</v>
      </c>
      <c r="B372" t="s">
        <v>2135</v>
      </c>
      <c r="C372" t="s">
        <v>2354</v>
      </c>
      <c r="D372" t="s">
        <v>1164</v>
      </c>
      <c r="E372" t="s">
        <v>1181</v>
      </c>
      <c r="F372" t="s">
        <v>2135</v>
      </c>
      <c r="G372" t="s">
        <v>2135</v>
      </c>
      <c r="H372" t="s">
        <v>974</v>
      </c>
      <c r="K372">
        <v>217055</v>
      </c>
      <c r="L372">
        <v>0</v>
      </c>
      <c r="M372">
        <v>217055</v>
      </c>
      <c r="N372">
        <v>0</v>
      </c>
      <c r="O372">
        <v>217055</v>
      </c>
    </row>
    <row r="373" spans="1:15">
      <c r="A373" t="s">
        <v>2136</v>
      </c>
      <c r="B373" t="s">
        <v>2137</v>
      </c>
      <c r="C373" t="s">
        <v>2355</v>
      </c>
      <c r="D373" t="s">
        <v>1164</v>
      </c>
      <c r="E373" t="s">
        <v>1181</v>
      </c>
      <c r="F373" t="s">
        <v>2137</v>
      </c>
      <c r="G373" t="s">
        <v>2137</v>
      </c>
      <c r="H373" t="s">
        <v>974</v>
      </c>
      <c r="K373">
        <v>452000</v>
      </c>
      <c r="L373">
        <v>0</v>
      </c>
      <c r="M373">
        <v>452000</v>
      </c>
      <c r="N373">
        <v>0</v>
      </c>
      <c r="O373">
        <v>452000</v>
      </c>
    </row>
    <row r="374" spans="1:15">
      <c r="A374" t="s">
        <v>2138</v>
      </c>
      <c r="B374" t="s">
        <v>2139</v>
      </c>
      <c r="C374" t="s">
        <v>2356</v>
      </c>
      <c r="D374" t="s">
        <v>1164</v>
      </c>
      <c r="E374" t="s">
        <v>1181</v>
      </c>
      <c r="F374" t="s">
        <v>2139</v>
      </c>
      <c r="G374" t="s">
        <v>2139</v>
      </c>
      <c r="H374" t="s">
        <v>974</v>
      </c>
      <c r="K374">
        <v>605000</v>
      </c>
      <c r="L374">
        <v>0</v>
      </c>
      <c r="M374">
        <v>605000</v>
      </c>
      <c r="N374">
        <v>0</v>
      </c>
      <c r="O374">
        <v>605000</v>
      </c>
    </row>
    <row r="375" spans="1:15">
      <c r="A375" t="s">
        <v>2140</v>
      </c>
      <c r="B375" t="s">
        <v>2141</v>
      </c>
      <c r="C375" t="s">
        <v>2357</v>
      </c>
      <c r="D375" t="s">
        <v>1164</v>
      </c>
      <c r="E375" t="s">
        <v>1181</v>
      </c>
      <c r="F375" t="s">
        <v>2141</v>
      </c>
      <c r="G375" t="s">
        <v>2141</v>
      </c>
      <c r="H375" t="s">
        <v>974</v>
      </c>
      <c r="K375">
        <v>1100</v>
      </c>
      <c r="L375">
        <v>0</v>
      </c>
      <c r="M375">
        <v>1100</v>
      </c>
      <c r="N375">
        <v>0</v>
      </c>
      <c r="O375">
        <v>1100</v>
      </c>
    </row>
    <row r="376" spans="1:15">
      <c r="A376" t="s">
        <v>2142</v>
      </c>
      <c r="B376" t="s">
        <v>2143</v>
      </c>
      <c r="C376" t="s">
        <v>2358</v>
      </c>
      <c r="D376" t="s">
        <v>1164</v>
      </c>
      <c r="E376" t="s">
        <v>1181</v>
      </c>
      <c r="F376" t="s">
        <v>2143</v>
      </c>
      <c r="G376" t="s">
        <v>2143</v>
      </c>
      <c r="H376" t="s">
        <v>974</v>
      </c>
      <c r="K376">
        <v>1100</v>
      </c>
      <c r="L376">
        <v>0</v>
      </c>
      <c r="M376">
        <v>1100</v>
      </c>
      <c r="N376">
        <v>0</v>
      </c>
      <c r="O376">
        <v>1100</v>
      </c>
    </row>
    <row r="377" spans="1:15">
      <c r="A377" t="s">
        <v>2144</v>
      </c>
      <c r="B377" t="s">
        <v>2145</v>
      </c>
      <c r="C377" t="s">
        <v>2359</v>
      </c>
      <c r="D377" t="s">
        <v>1164</v>
      </c>
      <c r="E377" t="s">
        <v>1181</v>
      </c>
      <c r="F377" t="s">
        <v>2145</v>
      </c>
      <c r="G377" t="s">
        <v>2145</v>
      </c>
      <c r="H377" t="s">
        <v>974</v>
      </c>
      <c r="K377">
        <v>163397</v>
      </c>
      <c r="L377">
        <v>0</v>
      </c>
      <c r="M377">
        <v>163397</v>
      </c>
      <c r="N377">
        <v>0</v>
      </c>
      <c r="O377">
        <v>163397</v>
      </c>
    </row>
    <row r="378" spans="1:15">
      <c r="A378" t="s">
        <v>2146</v>
      </c>
      <c r="B378" t="s">
        <v>2147</v>
      </c>
      <c r="C378" t="s">
        <v>2360</v>
      </c>
      <c r="D378" t="s">
        <v>1164</v>
      </c>
      <c r="E378" t="s">
        <v>1181</v>
      </c>
      <c r="F378" t="s">
        <v>2147</v>
      </c>
      <c r="G378" t="s">
        <v>2147</v>
      </c>
      <c r="H378" t="s">
        <v>974</v>
      </c>
      <c r="K378">
        <v>154000</v>
      </c>
      <c r="L378">
        <v>0</v>
      </c>
      <c r="M378">
        <v>154000</v>
      </c>
      <c r="N378">
        <v>0</v>
      </c>
      <c r="O378">
        <v>154000</v>
      </c>
    </row>
    <row r="379" spans="1:15">
      <c r="A379" t="s">
        <v>2148</v>
      </c>
      <c r="B379" t="s">
        <v>2149</v>
      </c>
      <c r="C379" t="s">
        <v>2361</v>
      </c>
      <c r="D379" t="s">
        <v>1164</v>
      </c>
      <c r="E379" t="s">
        <v>1181</v>
      </c>
      <c r="F379" t="s">
        <v>2149</v>
      </c>
      <c r="G379" t="s">
        <v>2149</v>
      </c>
      <c r="H379" t="s">
        <v>974</v>
      </c>
      <c r="K379">
        <v>22000</v>
      </c>
      <c r="L379">
        <v>0</v>
      </c>
      <c r="M379">
        <v>22000</v>
      </c>
      <c r="N379">
        <v>0</v>
      </c>
      <c r="O379">
        <v>22000</v>
      </c>
    </row>
    <row r="380" spans="1:15">
      <c r="A380" t="s">
        <v>2150</v>
      </c>
      <c r="B380" t="s">
        <v>2151</v>
      </c>
      <c r="C380" t="s">
        <v>2362</v>
      </c>
      <c r="D380" t="s">
        <v>1164</v>
      </c>
      <c r="E380" t="s">
        <v>1181</v>
      </c>
      <c r="F380" t="s">
        <v>2151</v>
      </c>
      <c r="G380" t="s">
        <v>2151</v>
      </c>
      <c r="H380" t="s">
        <v>974</v>
      </c>
      <c r="K380">
        <v>521188</v>
      </c>
      <c r="L380">
        <v>0</v>
      </c>
      <c r="M380">
        <v>521188</v>
      </c>
      <c r="N380">
        <v>0</v>
      </c>
      <c r="O380">
        <v>521188</v>
      </c>
    </row>
    <row r="381" spans="1:15">
      <c r="A381" t="s">
        <v>2152</v>
      </c>
      <c r="B381" t="s">
        <v>2153</v>
      </c>
      <c r="C381" t="s">
        <v>2363</v>
      </c>
      <c r="D381" t="s">
        <v>1164</v>
      </c>
      <c r="E381" t="s">
        <v>1181</v>
      </c>
      <c r="F381" t="s">
        <v>2153</v>
      </c>
      <c r="G381" t="s">
        <v>2153</v>
      </c>
      <c r="H381" t="s">
        <v>974</v>
      </c>
      <c r="K381">
        <v>160000</v>
      </c>
      <c r="L381">
        <v>0</v>
      </c>
      <c r="M381">
        <v>160000</v>
      </c>
      <c r="N381">
        <v>0</v>
      </c>
      <c r="O381">
        <v>160000</v>
      </c>
    </row>
    <row r="382" spans="1:15">
      <c r="A382" t="s">
        <v>1257</v>
      </c>
      <c r="B382" t="s">
        <v>1272</v>
      </c>
      <c r="C382" t="s">
        <v>2364</v>
      </c>
      <c r="D382" t="s">
        <v>1164</v>
      </c>
      <c r="E382" t="s">
        <v>1181</v>
      </c>
      <c r="F382" t="s">
        <v>1272</v>
      </c>
      <c r="G382" t="s">
        <v>1272</v>
      </c>
      <c r="H382" t="s">
        <v>1275</v>
      </c>
      <c r="K382">
        <v>0</v>
      </c>
      <c r="L382">
        <v>84000</v>
      </c>
      <c r="M382">
        <v>0</v>
      </c>
      <c r="N382">
        <v>84000</v>
      </c>
      <c r="O382">
        <v>-84000</v>
      </c>
    </row>
    <row r="383" spans="1:15">
      <c r="A383" t="s">
        <v>1257</v>
      </c>
      <c r="B383" t="s">
        <v>1272</v>
      </c>
      <c r="C383" t="s">
        <v>2364</v>
      </c>
      <c r="D383" t="s">
        <v>1164</v>
      </c>
      <c r="E383" t="s">
        <v>1181</v>
      </c>
      <c r="F383" t="s">
        <v>1272</v>
      </c>
      <c r="G383" t="s">
        <v>1272</v>
      </c>
      <c r="H383" t="s">
        <v>1723</v>
      </c>
      <c r="K383">
        <v>862600</v>
      </c>
      <c r="L383">
        <v>768200</v>
      </c>
      <c r="M383">
        <v>862600</v>
      </c>
      <c r="N383">
        <v>768200</v>
      </c>
      <c r="O383">
        <v>94400</v>
      </c>
    </row>
    <row r="384" spans="1:15">
      <c r="A384" t="s">
        <v>1258</v>
      </c>
      <c r="B384" t="s">
        <v>1273</v>
      </c>
      <c r="C384" t="s">
        <v>2365</v>
      </c>
      <c r="D384" t="s">
        <v>1164</v>
      </c>
      <c r="E384" t="s">
        <v>1181</v>
      </c>
      <c r="F384" t="s">
        <v>1273</v>
      </c>
      <c r="G384" t="s">
        <v>1273</v>
      </c>
      <c r="H384" t="s">
        <v>1275</v>
      </c>
      <c r="K384">
        <v>114520</v>
      </c>
      <c r="L384">
        <v>0</v>
      </c>
      <c r="M384">
        <v>114520</v>
      </c>
      <c r="N384">
        <v>0</v>
      </c>
      <c r="O384">
        <v>114520</v>
      </c>
    </row>
    <row r="385" spans="1:15">
      <c r="A385" t="s">
        <v>1367</v>
      </c>
      <c r="B385" t="s">
        <v>1368</v>
      </c>
      <c r="C385" t="s">
        <v>2366</v>
      </c>
      <c r="D385" t="s">
        <v>1164</v>
      </c>
      <c r="E385" t="s">
        <v>1181</v>
      </c>
      <c r="F385" t="s">
        <v>1368</v>
      </c>
      <c r="G385" t="s">
        <v>1368</v>
      </c>
      <c r="H385" t="s">
        <v>1275</v>
      </c>
      <c r="K385">
        <v>4990</v>
      </c>
      <c r="L385">
        <v>0</v>
      </c>
      <c r="M385">
        <v>4990</v>
      </c>
      <c r="N385">
        <v>0</v>
      </c>
      <c r="O385">
        <v>4990</v>
      </c>
    </row>
    <row r="386" spans="1:15">
      <c r="A386" t="s">
        <v>1369</v>
      </c>
      <c r="B386" t="s">
        <v>1721</v>
      </c>
      <c r="C386" t="s">
        <v>2367</v>
      </c>
      <c r="D386" t="s">
        <v>1164</v>
      </c>
      <c r="E386" t="s">
        <v>1181</v>
      </c>
      <c r="F386" t="s">
        <v>1721</v>
      </c>
      <c r="G386" t="s">
        <v>1721</v>
      </c>
      <c r="H386" t="s">
        <v>1275</v>
      </c>
      <c r="K386">
        <v>679879</v>
      </c>
      <c r="L386">
        <v>0</v>
      </c>
      <c r="M386">
        <v>679879</v>
      </c>
      <c r="N386">
        <v>0</v>
      </c>
      <c r="O386">
        <v>679879</v>
      </c>
    </row>
    <row r="387" spans="1:15">
      <c r="A387" t="s">
        <v>1259</v>
      </c>
      <c r="B387" t="s">
        <v>1274</v>
      </c>
      <c r="C387" t="s">
        <v>2368</v>
      </c>
      <c r="D387" t="s">
        <v>1164</v>
      </c>
      <c r="E387" t="s">
        <v>1181</v>
      </c>
      <c r="F387" t="s">
        <v>1274</v>
      </c>
      <c r="G387" t="s">
        <v>1274</v>
      </c>
      <c r="H387" t="s">
        <v>1275</v>
      </c>
      <c r="K387">
        <v>0</v>
      </c>
      <c r="L387">
        <v>691990</v>
      </c>
      <c r="M387">
        <v>0</v>
      </c>
      <c r="N387">
        <v>691990</v>
      </c>
      <c r="O387">
        <v>-691990</v>
      </c>
    </row>
    <row r="388" spans="1:15">
      <c r="A388" t="s">
        <v>1259</v>
      </c>
      <c r="B388" t="s">
        <v>1274</v>
      </c>
      <c r="C388" t="s">
        <v>2368</v>
      </c>
      <c r="D388" t="s">
        <v>1164</v>
      </c>
      <c r="E388" t="s">
        <v>1181</v>
      </c>
      <c r="F388" t="s">
        <v>1274</v>
      </c>
      <c r="G388" t="s">
        <v>1274</v>
      </c>
      <c r="H388" t="s">
        <v>1723</v>
      </c>
      <c r="K388">
        <v>10863930</v>
      </c>
      <c r="L388">
        <v>9751775.3200000003</v>
      </c>
      <c r="M388">
        <v>10863930</v>
      </c>
      <c r="N388">
        <v>9751775.3200000003</v>
      </c>
      <c r="O388">
        <v>1112154.6799999997</v>
      </c>
    </row>
    <row r="389" spans="1:15">
      <c r="A389" t="s">
        <v>1486</v>
      </c>
      <c r="B389" t="s">
        <v>1487</v>
      </c>
      <c r="C389" t="s">
        <v>2369</v>
      </c>
      <c r="D389" t="s">
        <v>1164</v>
      </c>
      <c r="E389" t="s">
        <v>1181</v>
      </c>
      <c r="F389" t="s">
        <v>1487</v>
      </c>
      <c r="G389" t="s">
        <v>1487</v>
      </c>
      <c r="H389" t="s">
        <v>1275</v>
      </c>
      <c r="K389">
        <v>2468400</v>
      </c>
      <c r="L389">
        <v>0</v>
      </c>
      <c r="M389">
        <v>2468400</v>
      </c>
      <c r="N389">
        <v>0</v>
      </c>
      <c r="O389">
        <v>2468400</v>
      </c>
    </row>
    <row r="390" spans="1:15">
      <c r="A390" t="s">
        <v>1489</v>
      </c>
      <c r="B390" t="s">
        <v>1490</v>
      </c>
      <c r="C390" t="s">
        <v>2370</v>
      </c>
      <c r="D390" t="s">
        <v>1164</v>
      </c>
      <c r="E390" t="s">
        <v>1181</v>
      </c>
      <c r="F390" t="s">
        <v>1490</v>
      </c>
      <c r="G390" t="s">
        <v>1490</v>
      </c>
      <c r="H390" t="s">
        <v>1275</v>
      </c>
      <c r="K390">
        <v>1604727</v>
      </c>
      <c r="L390">
        <v>0</v>
      </c>
      <c r="M390">
        <v>1604727</v>
      </c>
      <c r="N390">
        <v>0</v>
      </c>
      <c r="O390">
        <v>1604727</v>
      </c>
    </row>
    <row r="391" spans="1:15">
      <c r="A391" t="s">
        <v>1492</v>
      </c>
      <c r="B391" t="s">
        <v>1493</v>
      </c>
      <c r="C391" t="s">
        <v>2371</v>
      </c>
      <c r="D391" t="s">
        <v>1164</v>
      </c>
      <c r="E391" t="s">
        <v>1181</v>
      </c>
      <c r="F391" t="s">
        <v>1493</v>
      </c>
      <c r="G391" t="s">
        <v>1493</v>
      </c>
      <c r="H391" t="s">
        <v>1275</v>
      </c>
      <c r="K391">
        <v>1205282</v>
      </c>
      <c r="L391">
        <v>0</v>
      </c>
      <c r="M391">
        <v>1205282</v>
      </c>
      <c r="N391">
        <v>0</v>
      </c>
      <c r="O391">
        <v>1205282</v>
      </c>
    </row>
    <row r="392" spans="1:15">
      <c r="A392" t="s">
        <v>1495</v>
      </c>
      <c r="B392" t="s">
        <v>1496</v>
      </c>
      <c r="C392" t="s">
        <v>2372</v>
      </c>
      <c r="D392" t="s">
        <v>1164</v>
      </c>
      <c r="E392" t="s">
        <v>1181</v>
      </c>
      <c r="F392" t="s">
        <v>1496</v>
      </c>
      <c r="G392" t="s">
        <v>1496</v>
      </c>
      <c r="H392" t="s">
        <v>974</v>
      </c>
      <c r="K392">
        <v>88799</v>
      </c>
      <c r="L392">
        <v>0</v>
      </c>
      <c r="M392">
        <v>88799</v>
      </c>
      <c r="N392">
        <v>0</v>
      </c>
      <c r="O392">
        <v>88799</v>
      </c>
    </row>
    <row r="393" spans="1:15">
      <c r="A393" t="s">
        <v>1495</v>
      </c>
      <c r="B393" t="s">
        <v>1496</v>
      </c>
      <c r="C393" t="s">
        <v>2372</v>
      </c>
      <c r="D393" t="s">
        <v>1164</v>
      </c>
      <c r="E393" t="s">
        <v>1181</v>
      </c>
      <c r="F393" t="s">
        <v>1496</v>
      </c>
      <c r="G393" t="s">
        <v>1496</v>
      </c>
      <c r="H393" t="s">
        <v>1275</v>
      </c>
      <c r="K393">
        <v>916237</v>
      </c>
      <c r="L393">
        <v>0</v>
      </c>
      <c r="M393">
        <v>916237</v>
      </c>
      <c r="N393">
        <v>0</v>
      </c>
      <c r="O393">
        <v>916237</v>
      </c>
    </row>
    <row r="394" spans="1:15">
      <c r="A394" t="s">
        <v>1498</v>
      </c>
      <c r="B394" t="s">
        <v>1499</v>
      </c>
      <c r="C394" t="s">
        <v>2373</v>
      </c>
      <c r="D394" t="s">
        <v>1164</v>
      </c>
      <c r="E394" t="s">
        <v>1181</v>
      </c>
      <c r="F394" t="s">
        <v>1499</v>
      </c>
      <c r="G394" t="s">
        <v>1499</v>
      </c>
      <c r="H394" t="s">
        <v>1275</v>
      </c>
      <c r="K394">
        <v>54231</v>
      </c>
      <c r="L394">
        <v>0</v>
      </c>
      <c r="M394">
        <v>54231</v>
      </c>
      <c r="N394">
        <v>0</v>
      </c>
      <c r="O394">
        <v>54231</v>
      </c>
    </row>
    <row r="395" spans="1:15">
      <c r="A395" t="s">
        <v>2154</v>
      </c>
      <c r="B395" t="s">
        <v>2155</v>
      </c>
      <c r="C395" t="s">
        <v>2374</v>
      </c>
      <c r="D395" t="s">
        <v>1164</v>
      </c>
      <c r="E395" t="s">
        <v>1181</v>
      </c>
      <c r="F395" t="s">
        <v>2155</v>
      </c>
      <c r="G395" t="s">
        <v>2155</v>
      </c>
      <c r="H395" t="s">
        <v>1275</v>
      </c>
      <c r="K395">
        <v>148000</v>
      </c>
      <c r="L395">
        <v>0</v>
      </c>
      <c r="M395">
        <v>148000</v>
      </c>
      <c r="N395">
        <v>0</v>
      </c>
      <c r="O395">
        <v>148000</v>
      </c>
    </row>
    <row r="396" spans="1:15">
      <c r="A396" t="s">
        <v>1507</v>
      </c>
      <c r="B396" t="s">
        <v>1508</v>
      </c>
      <c r="C396" t="s">
        <v>2375</v>
      </c>
      <c r="D396" t="s">
        <v>1164</v>
      </c>
      <c r="E396" t="s">
        <v>1181</v>
      </c>
      <c r="F396" t="s">
        <v>1508</v>
      </c>
      <c r="G396" t="s">
        <v>1508</v>
      </c>
      <c r="H396" t="s">
        <v>1275</v>
      </c>
      <c r="K396">
        <v>932099</v>
      </c>
      <c r="L396">
        <v>0</v>
      </c>
      <c r="M396">
        <v>932099</v>
      </c>
      <c r="N396">
        <v>0</v>
      </c>
      <c r="O396">
        <v>932099</v>
      </c>
    </row>
    <row r="397" spans="1:15">
      <c r="A397" t="s">
        <v>2156</v>
      </c>
      <c r="B397" t="s">
        <v>2157</v>
      </c>
      <c r="C397" t="s">
        <v>2376</v>
      </c>
      <c r="D397" t="s">
        <v>1164</v>
      </c>
      <c r="E397" t="s">
        <v>1181</v>
      </c>
      <c r="F397" t="s">
        <v>2157</v>
      </c>
      <c r="G397" t="s">
        <v>2157</v>
      </c>
      <c r="H397" t="s">
        <v>1275</v>
      </c>
      <c r="K397">
        <v>2000369</v>
      </c>
      <c r="L397">
        <v>0</v>
      </c>
      <c r="M397">
        <v>2000369</v>
      </c>
      <c r="N397">
        <v>0</v>
      </c>
      <c r="O397">
        <v>2000369</v>
      </c>
    </row>
    <row r="398" spans="1:15">
      <c r="A398" t="s">
        <v>2158</v>
      </c>
      <c r="B398" t="s">
        <v>2159</v>
      </c>
      <c r="C398" t="s">
        <v>2377</v>
      </c>
      <c r="D398" t="s">
        <v>1164</v>
      </c>
      <c r="E398" t="s">
        <v>1181</v>
      </c>
      <c r="F398" t="s">
        <v>2159</v>
      </c>
      <c r="G398" t="s">
        <v>2159</v>
      </c>
      <c r="H398" t="s">
        <v>1275</v>
      </c>
      <c r="K398">
        <v>785528</v>
      </c>
      <c r="L398">
        <v>0</v>
      </c>
      <c r="M398">
        <v>785528</v>
      </c>
      <c r="N398">
        <v>0</v>
      </c>
      <c r="O398">
        <v>785528</v>
      </c>
    </row>
    <row r="399" spans="1:15">
      <c r="A399" t="s">
        <v>2160</v>
      </c>
      <c r="B399" t="s">
        <v>2161</v>
      </c>
      <c r="C399" t="s">
        <v>2378</v>
      </c>
      <c r="D399" t="s">
        <v>1164</v>
      </c>
      <c r="E399" t="s">
        <v>1181</v>
      </c>
      <c r="F399" t="s">
        <v>2161</v>
      </c>
      <c r="G399" t="s">
        <v>2161</v>
      </c>
      <c r="H399" t="s">
        <v>1275</v>
      </c>
      <c r="K399">
        <v>333058</v>
      </c>
      <c r="L399">
        <v>0</v>
      </c>
      <c r="M399">
        <v>333058</v>
      </c>
      <c r="N399">
        <v>0</v>
      </c>
      <c r="O399">
        <v>333058</v>
      </c>
    </row>
    <row r="400" spans="1:15">
      <c r="A400" t="s">
        <v>2162</v>
      </c>
      <c r="B400" t="s">
        <v>2163</v>
      </c>
      <c r="C400" t="s">
        <v>2379</v>
      </c>
      <c r="D400" t="s">
        <v>1164</v>
      </c>
      <c r="E400" t="s">
        <v>1181</v>
      </c>
      <c r="F400" t="s">
        <v>2163</v>
      </c>
      <c r="G400" t="s">
        <v>2163</v>
      </c>
      <c r="H400" t="s">
        <v>1275</v>
      </c>
      <c r="K400">
        <v>206350</v>
      </c>
      <c r="L400">
        <v>0</v>
      </c>
      <c r="M400">
        <v>206350</v>
      </c>
      <c r="N400">
        <v>0</v>
      </c>
      <c r="O400">
        <v>206350</v>
      </c>
    </row>
    <row r="401" spans="1:15">
      <c r="A401" t="s">
        <v>2164</v>
      </c>
      <c r="B401" t="s">
        <v>2165</v>
      </c>
      <c r="C401" t="s">
        <v>2380</v>
      </c>
      <c r="D401" t="s">
        <v>1164</v>
      </c>
      <c r="E401" t="s">
        <v>1181</v>
      </c>
      <c r="F401" t="s">
        <v>2165</v>
      </c>
      <c r="G401" t="s">
        <v>2165</v>
      </c>
      <c r="H401" t="s">
        <v>974</v>
      </c>
      <c r="K401">
        <v>112360</v>
      </c>
      <c r="L401">
        <v>0</v>
      </c>
      <c r="M401">
        <v>112360</v>
      </c>
      <c r="N401">
        <v>0</v>
      </c>
      <c r="O401">
        <v>112360</v>
      </c>
    </row>
    <row r="402" spans="1:15">
      <c r="A402" t="s">
        <v>2170</v>
      </c>
      <c r="B402" t="s">
        <v>2171</v>
      </c>
      <c r="C402" t="s">
        <v>2381</v>
      </c>
      <c r="D402" t="s">
        <v>1164</v>
      </c>
      <c r="E402" t="s">
        <v>1181</v>
      </c>
      <c r="F402" t="s">
        <v>2171</v>
      </c>
      <c r="G402" t="s">
        <v>2171</v>
      </c>
      <c r="H402" t="s">
        <v>974</v>
      </c>
      <c r="K402">
        <v>235294</v>
      </c>
      <c r="L402">
        <v>0</v>
      </c>
      <c r="M402">
        <v>235294</v>
      </c>
      <c r="N402">
        <v>0</v>
      </c>
    </row>
    <row r="403" spans="1:15">
      <c r="A403" t="s">
        <v>2166</v>
      </c>
      <c r="B403" t="s">
        <v>2167</v>
      </c>
      <c r="C403" t="s">
        <v>2382</v>
      </c>
      <c r="D403" t="s">
        <v>1164</v>
      </c>
      <c r="E403" t="s">
        <v>1181</v>
      </c>
      <c r="F403" t="s">
        <v>2167</v>
      </c>
      <c r="G403" t="s">
        <v>2167</v>
      </c>
      <c r="H403" t="s">
        <v>974</v>
      </c>
      <c r="K403">
        <v>139315</v>
      </c>
      <c r="L403">
        <v>0</v>
      </c>
      <c r="M403">
        <v>139315</v>
      </c>
      <c r="N403">
        <v>0</v>
      </c>
      <c r="O403">
        <v>139315</v>
      </c>
    </row>
    <row r="404" spans="1:15">
      <c r="A404" t="s">
        <v>2168</v>
      </c>
      <c r="B404" t="s">
        <v>2169</v>
      </c>
      <c r="C404" t="s">
        <v>2383</v>
      </c>
      <c r="D404" t="s">
        <v>1164</v>
      </c>
      <c r="E404" t="s">
        <v>1181</v>
      </c>
      <c r="F404" t="s">
        <v>2169</v>
      </c>
      <c r="G404" t="s">
        <v>2169</v>
      </c>
      <c r="H404" t="s">
        <v>974</v>
      </c>
      <c r="K404">
        <v>1553283</v>
      </c>
      <c r="L404">
        <v>0</v>
      </c>
      <c r="M404">
        <v>1553283</v>
      </c>
      <c r="N404">
        <v>0</v>
      </c>
      <c r="O404">
        <v>1553283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D785E-C7BF-4E76-AEE2-B762E805737F}">
  <dimension ref="A3:D7"/>
  <sheetViews>
    <sheetView workbookViewId="0">
      <selection activeCell="H15" sqref="H15"/>
    </sheetView>
  </sheetViews>
  <sheetFormatPr defaultRowHeight="14.5"/>
  <cols>
    <col min="1" max="1" width="21.08984375" bestFit="1" customWidth="1"/>
    <col min="2" max="3" width="12.1796875" hidden="1" customWidth="1"/>
    <col min="4" max="4" width="10.81640625" bestFit="1" customWidth="1"/>
  </cols>
  <sheetData>
    <row r="3" spans="1:4">
      <c r="A3" s="271" t="s">
        <v>644</v>
      </c>
      <c r="B3" s="763" t="s">
        <v>2205</v>
      </c>
      <c r="C3" s="763" t="s">
        <v>2206</v>
      </c>
      <c r="D3" s="763" t="s">
        <v>2207</v>
      </c>
    </row>
    <row r="4" spans="1:4">
      <c r="A4" s="272" t="s">
        <v>1051</v>
      </c>
      <c r="B4" s="2">
        <v>354834104.57999998</v>
      </c>
      <c r="C4" s="2">
        <v>361229085.28658992</v>
      </c>
      <c r="D4" s="2">
        <v>-6394980.7065898702</v>
      </c>
    </row>
    <row r="5" spans="1:4">
      <c r="A5" s="272" t="s">
        <v>330</v>
      </c>
      <c r="B5" s="2">
        <v>36115777.010000005</v>
      </c>
      <c r="C5" s="2">
        <v>32281087.029999997</v>
      </c>
      <c r="D5" s="2">
        <v>3834689.9799999995</v>
      </c>
    </row>
    <row r="6" spans="1:4">
      <c r="A6" s="272" t="s">
        <v>1164</v>
      </c>
      <c r="B6" s="2">
        <v>42381989.43</v>
      </c>
      <c r="C6" s="2">
        <v>39821698.700000003</v>
      </c>
      <c r="D6" s="2">
        <v>2324996.7299999967</v>
      </c>
    </row>
    <row r="7" spans="1:4" hidden="1">
      <c r="A7" s="272" t="s">
        <v>645</v>
      </c>
      <c r="B7" s="2">
        <v>433331871.01999998</v>
      </c>
      <c r="C7" s="2">
        <v>433331871.01658988</v>
      </c>
      <c r="D7" s="2">
        <v>-235293.99658987392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438"/>
  <sheetViews>
    <sheetView tabSelected="1" workbookViewId="0">
      <selection activeCell="C5" sqref="C5"/>
    </sheetView>
  </sheetViews>
  <sheetFormatPr defaultRowHeight="14.5"/>
  <cols>
    <col min="1" max="2" width="16.453125" customWidth="1"/>
    <col min="3" max="3" width="35" customWidth="1"/>
    <col min="4" max="4" width="28.453125" customWidth="1"/>
    <col min="5" max="6" width="35" customWidth="1"/>
    <col min="7" max="7" width="34.7265625" customWidth="1"/>
    <col min="8" max="8" width="35" customWidth="1"/>
    <col min="9" max="9" width="13" customWidth="1"/>
    <col min="10" max="11" width="15" customWidth="1"/>
    <col min="12" max="12" width="14.453125" customWidth="1"/>
    <col min="13" max="15" width="14" customWidth="1"/>
    <col min="16" max="16" width="21.81640625" customWidth="1"/>
    <col min="259" max="259" width="16.453125" customWidth="1"/>
    <col min="260" max="260" width="35" customWidth="1"/>
    <col min="261" max="261" width="5.1796875" customWidth="1"/>
    <col min="262" max="262" width="14.453125" customWidth="1"/>
    <col min="263" max="263" width="4" customWidth="1"/>
    <col min="264" max="264" width="6.7265625" customWidth="1"/>
    <col min="265" max="265" width="3.453125" customWidth="1"/>
    <col min="266" max="266" width="14.453125" customWidth="1"/>
    <col min="267" max="267" width="14" customWidth="1"/>
    <col min="268" max="268" width="0.1796875" customWidth="1"/>
    <col min="269" max="269" width="9" customWidth="1"/>
    <col min="270" max="270" width="5.1796875" customWidth="1"/>
    <col min="271" max="271" width="14.81640625" customWidth="1"/>
    <col min="272" max="272" width="0" hidden="1" customWidth="1"/>
    <col min="273" max="273" width="0.26953125" customWidth="1"/>
    <col min="515" max="515" width="16.453125" customWidth="1"/>
    <col min="516" max="516" width="35" customWidth="1"/>
    <col min="517" max="517" width="5.1796875" customWidth="1"/>
    <col min="518" max="518" width="14.453125" customWidth="1"/>
    <col min="519" max="519" width="4" customWidth="1"/>
    <col min="520" max="520" width="6.7265625" customWidth="1"/>
    <col min="521" max="521" width="3.453125" customWidth="1"/>
    <col min="522" max="522" width="14.453125" customWidth="1"/>
    <col min="523" max="523" width="14" customWidth="1"/>
    <col min="524" max="524" width="0.1796875" customWidth="1"/>
    <col min="525" max="525" width="9" customWidth="1"/>
    <col min="526" max="526" width="5.1796875" customWidth="1"/>
    <col min="527" max="527" width="14.81640625" customWidth="1"/>
    <col min="528" max="528" width="0" hidden="1" customWidth="1"/>
    <col min="529" max="529" width="0.26953125" customWidth="1"/>
    <col min="771" max="771" width="16.453125" customWidth="1"/>
    <col min="772" max="772" width="35" customWidth="1"/>
    <col min="773" max="773" width="5.1796875" customWidth="1"/>
    <col min="774" max="774" width="14.453125" customWidth="1"/>
    <col min="775" max="775" width="4" customWidth="1"/>
    <col min="776" max="776" width="6.7265625" customWidth="1"/>
    <col min="777" max="777" width="3.453125" customWidth="1"/>
    <col min="778" max="778" width="14.453125" customWidth="1"/>
    <col min="779" max="779" width="14" customWidth="1"/>
    <col min="780" max="780" width="0.1796875" customWidth="1"/>
    <col min="781" max="781" width="9" customWidth="1"/>
    <col min="782" max="782" width="5.1796875" customWidth="1"/>
    <col min="783" max="783" width="14.81640625" customWidth="1"/>
    <col min="784" max="784" width="0" hidden="1" customWidth="1"/>
    <col min="785" max="785" width="0.26953125" customWidth="1"/>
    <col min="1027" max="1027" width="16.453125" customWidth="1"/>
    <col min="1028" max="1028" width="35" customWidth="1"/>
    <col min="1029" max="1029" width="5.1796875" customWidth="1"/>
    <col min="1030" max="1030" width="14.453125" customWidth="1"/>
    <col min="1031" max="1031" width="4" customWidth="1"/>
    <col min="1032" max="1032" width="6.7265625" customWidth="1"/>
    <col min="1033" max="1033" width="3.453125" customWidth="1"/>
    <col min="1034" max="1034" width="14.453125" customWidth="1"/>
    <col min="1035" max="1035" width="14" customWidth="1"/>
    <col min="1036" max="1036" width="0.1796875" customWidth="1"/>
    <col min="1037" max="1037" width="9" customWidth="1"/>
    <col min="1038" max="1038" width="5.1796875" customWidth="1"/>
    <col min="1039" max="1039" width="14.81640625" customWidth="1"/>
    <col min="1040" max="1040" width="0" hidden="1" customWidth="1"/>
    <col min="1041" max="1041" width="0.26953125" customWidth="1"/>
    <col min="1283" max="1283" width="16.453125" customWidth="1"/>
    <col min="1284" max="1284" width="35" customWidth="1"/>
    <col min="1285" max="1285" width="5.1796875" customWidth="1"/>
    <col min="1286" max="1286" width="14.453125" customWidth="1"/>
    <col min="1287" max="1287" width="4" customWidth="1"/>
    <col min="1288" max="1288" width="6.7265625" customWidth="1"/>
    <col min="1289" max="1289" width="3.453125" customWidth="1"/>
    <col min="1290" max="1290" width="14.453125" customWidth="1"/>
    <col min="1291" max="1291" width="14" customWidth="1"/>
    <col min="1292" max="1292" width="0.1796875" customWidth="1"/>
    <col min="1293" max="1293" width="9" customWidth="1"/>
    <col min="1294" max="1294" width="5.1796875" customWidth="1"/>
    <col min="1295" max="1295" width="14.81640625" customWidth="1"/>
    <col min="1296" max="1296" width="0" hidden="1" customWidth="1"/>
    <col min="1297" max="1297" width="0.26953125" customWidth="1"/>
    <col min="1539" max="1539" width="16.453125" customWidth="1"/>
    <col min="1540" max="1540" width="35" customWidth="1"/>
    <col min="1541" max="1541" width="5.1796875" customWidth="1"/>
    <col min="1542" max="1542" width="14.453125" customWidth="1"/>
    <col min="1543" max="1543" width="4" customWidth="1"/>
    <col min="1544" max="1544" width="6.7265625" customWidth="1"/>
    <col min="1545" max="1545" width="3.453125" customWidth="1"/>
    <col min="1546" max="1546" width="14.453125" customWidth="1"/>
    <col min="1547" max="1547" width="14" customWidth="1"/>
    <col min="1548" max="1548" width="0.1796875" customWidth="1"/>
    <col min="1549" max="1549" width="9" customWidth="1"/>
    <col min="1550" max="1550" width="5.1796875" customWidth="1"/>
    <col min="1551" max="1551" width="14.81640625" customWidth="1"/>
    <col min="1552" max="1552" width="0" hidden="1" customWidth="1"/>
    <col min="1553" max="1553" width="0.26953125" customWidth="1"/>
    <col min="1795" max="1795" width="16.453125" customWidth="1"/>
    <col min="1796" max="1796" width="35" customWidth="1"/>
    <col min="1797" max="1797" width="5.1796875" customWidth="1"/>
    <col min="1798" max="1798" width="14.453125" customWidth="1"/>
    <col min="1799" max="1799" width="4" customWidth="1"/>
    <col min="1800" max="1800" width="6.7265625" customWidth="1"/>
    <col min="1801" max="1801" width="3.453125" customWidth="1"/>
    <col min="1802" max="1802" width="14.453125" customWidth="1"/>
    <col min="1803" max="1803" width="14" customWidth="1"/>
    <col min="1804" max="1804" width="0.1796875" customWidth="1"/>
    <col min="1805" max="1805" width="9" customWidth="1"/>
    <col min="1806" max="1806" width="5.1796875" customWidth="1"/>
    <col min="1807" max="1807" width="14.81640625" customWidth="1"/>
    <col min="1808" max="1808" width="0" hidden="1" customWidth="1"/>
    <col min="1809" max="1809" width="0.26953125" customWidth="1"/>
    <col min="2051" max="2051" width="16.453125" customWidth="1"/>
    <col min="2052" max="2052" width="35" customWidth="1"/>
    <col min="2053" max="2053" width="5.1796875" customWidth="1"/>
    <col min="2054" max="2054" width="14.453125" customWidth="1"/>
    <col min="2055" max="2055" width="4" customWidth="1"/>
    <col min="2056" max="2056" width="6.7265625" customWidth="1"/>
    <col min="2057" max="2057" width="3.453125" customWidth="1"/>
    <col min="2058" max="2058" width="14.453125" customWidth="1"/>
    <col min="2059" max="2059" width="14" customWidth="1"/>
    <col min="2060" max="2060" width="0.1796875" customWidth="1"/>
    <col min="2061" max="2061" width="9" customWidth="1"/>
    <col min="2062" max="2062" width="5.1796875" customWidth="1"/>
    <col min="2063" max="2063" width="14.81640625" customWidth="1"/>
    <col min="2064" max="2064" width="0" hidden="1" customWidth="1"/>
    <col min="2065" max="2065" width="0.26953125" customWidth="1"/>
    <col min="2307" max="2307" width="16.453125" customWidth="1"/>
    <col min="2308" max="2308" width="35" customWidth="1"/>
    <col min="2309" max="2309" width="5.1796875" customWidth="1"/>
    <col min="2310" max="2310" width="14.453125" customWidth="1"/>
    <col min="2311" max="2311" width="4" customWidth="1"/>
    <col min="2312" max="2312" width="6.7265625" customWidth="1"/>
    <col min="2313" max="2313" width="3.453125" customWidth="1"/>
    <col min="2314" max="2314" width="14.453125" customWidth="1"/>
    <col min="2315" max="2315" width="14" customWidth="1"/>
    <col min="2316" max="2316" width="0.1796875" customWidth="1"/>
    <col min="2317" max="2317" width="9" customWidth="1"/>
    <col min="2318" max="2318" width="5.1796875" customWidth="1"/>
    <col min="2319" max="2319" width="14.81640625" customWidth="1"/>
    <col min="2320" max="2320" width="0" hidden="1" customWidth="1"/>
    <col min="2321" max="2321" width="0.26953125" customWidth="1"/>
    <col min="2563" max="2563" width="16.453125" customWidth="1"/>
    <col min="2564" max="2564" width="35" customWidth="1"/>
    <col min="2565" max="2565" width="5.1796875" customWidth="1"/>
    <col min="2566" max="2566" width="14.453125" customWidth="1"/>
    <col min="2567" max="2567" width="4" customWidth="1"/>
    <col min="2568" max="2568" width="6.7265625" customWidth="1"/>
    <col min="2569" max="2569" width="3.453125" customWidth="1"/>
    <col min="2570" max="2570" width="14.453125" customWidth="1"/>
    <col min="2571" max="2571" width="14" customWidth="1"/>
    <col min="2572" max="2572" width="0.1796875" customWidth="1"/>
    <col min="2573" max="2573" width="9" customWidth="1"/>
    <col min="2574" max="2574" width="5.1796875" customWidth="1"/>
    <col min="2575" max="2575" width="14.81640625" customWidth="1"/>
    <col min="2576" max="2576" width="0" hidden="1" customWidth="1"/>
    <col min="2577" max="2577" width="0.26953125" customWidth="1"/>
    <col min="2819" max="2819" width="16.453125" customWidth="1"/>
    <col min="2820" max="2820" width="35" customWidth="1"/>
    <col min="2821" max="2821" width="5.1796875" customWidth="1"/>
    <col min="2822" max="2822" width="14.453125" customWidth="1"/>
    <col min="2823" max="2823" width="4" customWidth="1"/>
    <col min="2824" max="2824" width="6.7265625" customWidth="1"/>
    <col min="2825" max="2825" width="3.453125" customWidth="1"/>
    <col min="2826" max="2826" width="14.453125" customWidth="1"/>
    <col min="2827" max="2827" width="14" customWidth="1"/>
    <col min="2828" max="2828" width="0.1796875" customWidth="1"/>
    <col min="2829" max="2829" width="9" customWidth="1"/>
    <col min="2830" max="2830" width="5.1796875" customWidth="1"/>
    <col min="2831" max="2831" width="14.81640625" customWidth="1"/>
    <col min="2832" max="2832" width="0" hidden="1" customWidth="1"/>
    <col min="2833" max="2833" width="0.26953125" customWidth="1"/>
    <col min="3075" max="3075" width="16.453125" customWidth="1"/>
    <col min="3076" max="3076" width="35" customWidth="1"/>
    <col min="3077" max="3077" width="5.1796875" customWidth="1"/>
    <col min="3078" max="3078" width="14.453125" customWidth="1"/>
    <col min="3079" max="3079" width="4" customWidth="1"/>
    <col min="3080" max="3080" width="6.7265625" customWidth="1"/>
    <col min="3081" max="3081" width="3.453125" customWidth="1"/>
    <col min="3082" max="3082" width="14.453125" customWidth="1"/>
    <col min="3083" max="3083" width="14" customWidth="1"/>
    <col min="3084" max="3084" width="0.1796875" customWidth="1"/>
    <col min="3085" max="3085" width="9" customWidth="1"/>
    <col min="3086" max="3086" width="5.1796875" customWidth="1"/>
    <col min="3087" max="3087" width="14.81640625" customWidth="1"/>
    <col min="3088" max="3088" width="0" hidden="1" customWidth="1"/>
    <col min="3089" max="3089" width="0.26953125" customWidth="1"/>
    <col min="3331" max="3331" width="16.453125" customWidth="1"/>
    <col min="3332" max="3332" width="35" customWidth="1"/>
    <col min="3333" max="3333" width="5.1796875" customWidth="1"/>
    <col min="3334" max="3334" width="14.453125" customWidth="1"/>
    <col min="3335" max="3335" width="4" customWidth="1"/>
    <col min="3336" max="3336" width="6.7265625" customWidth="1"/>
    <col min="3337" max="3337" width="3.453125" customWidth="1"/>
    <col min="3338" max="3338" width="14.453125" customWidth="1"/>
    <col min="3339" max="3339" width="14" customWidth="1"/>
    <col min="3340" max="3340" width="0.1796875" customWidth="1"/>
    <col min="3341" max="3341" width="9" customWidth="1"/>
    <col min="3342" max="3342" width="5.1796875" customWidth="1"/>
    <col min="3343" max="3343" width="14.81640625" customWidth="1"/>
    <col min="3344" max="3344" width="0" hidden="1" customWidth="1"/>
    <col min="3345" max="3345" width="0.26953125" customWidth="1"/>
    <col min="3587" max="3587" width="16.453125" customWidth="1"/>
    <col min="3588" max="3588" width="35" customWidth="1"/>
    <col min="3589" max="3589" width="5.1796875" customWidth="1"/>
    <col min="3590" max="3590" width="14.453125" customWidth="1"/>
    <col min="3591" max="3591" width="4" customWidth="1"/>
    <col min="3592" max="3592" width="6.7265625" customWidth="1"/>
    <col min="3593" max="3593" width="3.453125" customWidth="1"/>
    <col min="3594" max="3594" width="14.453125" customWidth="1"/>
    <col min="3595" max="3595" width="14" customWidth="1"/>
    <col min="3596" max="3596" width="0.1796875" customWidth="1"/>
    <col min="3597" max="3597" width="9" customWidth="1"/>
    <col min="3598" max="3598" width="5.1796875" customWidth="1"/>
    <col min="3599" max="3599" width="14.81640625" customWidth="1"/>
    <col min="3600" max="3600" width="0" hidden="1" customWidth="1"/>
    <col min="3601" max="3601" width="0.26953125" customWidth="1"/>
    <col min="3843" max="3843" width="16.453125" customWidth="1"/>
    <col min="3844" max="3844" width="35" customWidth="1"/>
    <col min="3845" max="3845" width="5.1796875" customWidth="1"/>
    <col min="3846" max="3846" width="14.453125" customWidth="1"/>
    <col min="3847" max="3847" width="4" customWidth="1"/>
    <col min="3848" max="3848" width="6.7265625" customWidth="1"/>
    <col min="3849" max="3849" width="3.453125" customWidth="1"/>
    <col min="3850" max="3850" width="14.453125" customWidth="1"/>
    <col min="3851" max="3851" width="14" customWidth="1"/>
    <col min="3852" max="3852" width="0.1796875" customWidth="1"/>
    <col min="3853" max="3853" width="9" customWidth="1"/>
    <col min="3854" max="3854" width="5.1796875" customWidth="1"/>
    <col min="3855" max="3855" width="14.81640625" customWidth="1"/>
    <col min="3856" max="3856" width="0" hidden="1" customWidth="1"/>
    <col min="3857" max="3857" width="0.26953125" customWidth="1"/>
    <col min="4099" max="4099" width="16.453125" customWidth="1"/>
    <col min="4100" max="4100" width="35" customWidth="1"/>
    <col min="4101" max="4101" width="5.1796875" customWidth="1"/>
    <col min="4102" max="4102" width="14.453125" customWidth="1"/>
    <col min="4103" max="4103" width="4" customWidth="1"/>
    <col min="4104" max="4104" width="6.7265625" customWidth="1"/>
    <col min="4105" max="4105" width="3.453125" customWidth="1"/>
    <col min="4106" max="4106" width="14.453125" customWidth="1"/>
    <col min="4107" max="4107" width="14" customWidth="1"/>
    <col min="4108" max="4108" width="0.1796875" customWidth="1"/>
    <col min="4109" max="4109" width="9" customWidth="1"/>
    <col min="4110" max="4110" width="5.1796875" customWidth="1"/>
    <col min="4111" max="4111" width="14.81640625" customWidth="1"/>
    <col min="4112" max="4112" width="0" hidden="1" customWidth="1"/>
    <col min="4113" max="4113" width="0.26953125" customWidth="1"/>
    <col min="4355" max="4355" width="16.453125" customWidth="1"/>
    <col min="4356" max="4356" width="35" customWidth="1"/>
    <col min="4357" max="4357" width="5.1796875" customWidth="1"/>
    <col min="4358" max="4358" width="14.453125" customWidth="1"/>
    <col min="4359" max="4359" width="4" customWidth="1"/>
    <col min="4360" max="4360" width="6.7265625" customWidth="1"/>
    <col min="4361" max="4361" width="3.453125" customWidth="1"/>
    <col min="4362" max="4362" width="14.453125" customWidth="1"/>
    <col min="4363" max="4363" width="14" customWidth="1"/>
    <col min="4364" max="4364" width="0.1796875" customWidth="1"/>
    <col min="4365" max="4365" width="9" customWidth="1"/>
    <col min="4366" max="4366" width="5.1796875" customWidth="1"/>
    <col min="4367" max="4367" width="14.81640625" customWidth="1"/>
    <col min="4368" max="4368" width="0" hidden="1" customWidth="1"/>
    <col min="4369" max="4369" width="0.26953125" customWidth="1"/>
    <col min="4611" max="4611" width="16.453125" customWidth="1"/>
    <col min="4612" max="4612" width="35" customWidth="1"/>
    <col min="4613" max="4613" width="5.1796875" customWidth="1"/>
    <col min="4614" max="4614" width="14.453125" customWidth="1"/>
    <col min="4615" max="4615" width="4" customWidth="1"/>
    <col min="4616" max="4616" width="6.7265625" customWidth="1"/>
    <col min="4617" max="4617" width="3.453125" customWidth="1"/>
    <col min="4618" max="4618" width="14.453125" customWidth="1"/>
    <col min="4619" max="4619" width="14" customWidth="1"/>
    <col min="4620" max="4620" width="0.1796875" customWidth="1"/>
    <col min="4621" max="4621" width="9" customWidth="1"/>
    <col min="4622" max="4622" width="5.1796875" customWidth="1"/>
    <col min="4623" max="4623" width="14.81640625" customWidth="1"/>
    <col min="4624" max="4624" width="0" hidden="1" customWidth="1"/>
    <col min="4625" max="4625" width="0.26953125" customWidth="1"/>
    <col min="4867" max="4867" width="16.453125" customWidth="1"/>
    <col min="4868" max="4868" width="35" customWidth="1"/>
    <col min="4869" max="4869" width="5.1796875" customWidth="1"/>
    <col min="4870" max="4870" width="14.453125" customWidth="1"/>
    <col min="4871" max="4871" width="4" customWidth="1"/>
    <col min="4872" max="4872" width="6.7265625" customWidth="1"/>
    <col min="4873" max="4873" width="3.453125" customWidth="1"/>
    <col min="4874" max="4874" width="14.453125" customWidth="1"/>
    <col min="4875" max="4875" width="14" customWidth="1"/>
    <col min="4876" max="4876" width="0.1796875" customWidth="1"/>
    <col min="4877" max="4877" width="9" customWidth="1"/>
    <col min="4878" max="4878" width="5.1796875" customWidth="1"/>
    <col min="4879" max="4879" width="14.81640625" customWidth="1"/>
    <col min="4880" max="4880" width="0" hidden="1" customWidth="1"/>
    <col min="4881" max="4881" width="0.26953125" customWidth="1"/>
    <col min="5123" max="5123" width="16.453125" customWidth="1"/>
    <col min="5124" max="5124" width="35" customWidth="1"/>
    <col min="5125" max="5125" width="5.1796875" customWidth="1"/>
    <col min="5126" max="5126" width="14.453125" customWidth="1"/>
    <col min="5127" max="5127" width="4" customWidth="1"/>
    <col min="5128" max="5128" width="6.7265625" customWidth="1"/>
    <col min="5129" max="5129" width="3.453125" customWidth="1"/>
    <col min="5130" max="5130" width="14.453125" customWidth="1"/>
    <col min="5131" max="5131" width="14" customWidth="1"/>
    <col min="5132" max="5132" width="0.1796875" customWidth="1"/>
    <col min="5133" max="5133" width="9" customWidth="1"/>
    <col min="5134" max="5134" width="5.1796875" customWidth="1"/>
    <col min="5135" max="5135" width="14.81640625" customWidth="1"/>
    <col min="5136" max="5136" width="0" hidden="1" customWidth="1"/>
    <col min="5137" max="5137" width="0.26953125" customWidth="1"/>
    <col min="5379" max="5379" width="16.453125" customWidth="1"/>
    <col min="5380" max="5380" width="35" customWidth="1"/>
    <col min="5381" max="5381" width="5.1796875" customWidth="1"/>
    <col min="5382" max="5382" width="14.453125" customWidth="1"/>
    <col min="5383" max="5383" width="4" customWidth="1"/>
    <col min="5384" max="5384" width="6.7265625" customWidth="1"/>
    <col min="5385" max="5385" width="3.453125" customWidth="1"/>
    <col min="5386" max="5386" width="14.453125" customWidth="1"/>
    <col min="5387" max="5387" width="14" customWidth="1"/>
    <col min="5388" max="5388" width="0.1796875" customWidth="1"/>
    <col min="5389" max="5389" width="9" customWidth="1"/>
    <col min="5390" max="5390" width="5.1796875" customWidth="1"/>
    <col min="5391" max="5391" width="14.81640625" customWidth="1"/>
    <col min="5392" max="5392" width="0" hidden="1" customWidth="1"/>
    <col min="5393" max="5393" width="0.26953125" customWidth="1"/>
    <col min="5635" max="5635" width="16.453125" customWidth="1"/>
    <col min="5636" max="5636" width="35" customWidth="1"/>
    <col min="5637" max="5637" width="5.1796875" customWidth="1"/>
    <col min="5638" max="5638" width="14.453125" customWidth="1"/>
    <col min="5639" max="5639" width="4" customWidth="1"/>
    <col min="5640" max="5640" width="6.7265625" customWidth="1"/>
    <col min="5641" max="5641" width="3.453125" customWidth="1"/>
    <col min="5642" max="5642" width="14.453125" customWidth="1"/>
    <col min="5643" max="5643" width="14" customWidth="1"/>
    <col min="5644" max="5644" width="0.1796875" customWidth="1"/>
    <col min="5645" max="5645" width="9" customWidth="1"/>
    <col min="5646" max="5646" width="5.1796875" customWidth="1"/>
    <col min="5647" max="5647" width="14.81640625" customWidth="1"/>
    <col min="5648" max="5648" width="0" hidden="1" customWidth="1"/>
    <col min="5649" max="5649" width="0.26953125" customWidth="1"/>
    <col min="5891" max="5891" width="16.453125" customWidth="1"/>
    <col min="5892" max="5892" width="35" customWidth="1"/>
    <col min="5893" max="5893" width="5.1796875" customWidth="1"/>
    <col min="5894" max="5894" width="14.453125" customWidth="1"/>
    <col min="5895" max="5895" width="4" customWidth="1"/>
    <col min="5896" max="5896" width="6.7265625" customWidth="1"/>
    <col min="5897" max="5897" width="3.453125" customWidth="1"/>
    <col min="5898" max="5898" width="14.453125" customWidth="1"/>
    <col min="5899" max="5899" width="14" customWidth="1"/>
    <col min="5900" max="5900" width="0.1796875" customWidth="1"/>
    <col min="5901" max="5901" width="9" customWidth="1"/>
    <col min="5902" max="5902" width="5.1796875" customWidth="1"/>
    <col min="5903" max="5903" width="14.81640625" customWidth="1"/>
    <col min="5904" max="5904" width="0" hidden="1" customWidth="1"/>
    <col min="5905" max="5905" width="0.26953125" customWidth="1"/>
    <col min="6147" max="6147" width="16.453125" customWidth="1"/>
    <col min="6148" max="6148" width="35" customWidth="1"/>
    <col min="6149" max="6149" width="5.1796875" customWidth="1"/>
    <col min="6150" max="6150" width="14.453125" customWidth="1"/>
    <col min="6151" max="6151" width="4" customWidth="1"/>
    <col min="6152" max="6152" width="6.7265625" customWidth="1"/>
    <col min="6153" max="6153" width="3.453125" customWidth="1"/>
    <col min="6154" max="6154" width="14.453125" customWidth="1"/>
    <col min="6155" max="6155" width="14" customWidth="1"/>
    <col min="6156" max="6156" width="0.1796875" customWidth="1"/>
    <col min="6157" max="6157" width="9" customWidth="1"/>
    <col min="6158" max="6158" width="5.1796875" customWidth="1"/>
    <col min="6159" max="6159" width="14.81640625" customWidth="1"/>
    <col min="6160" max="6160" width="0" hidden="1" customWidth="1"/>
    <col min="6161" max="6161" width="0.26953125" customWidth="1"/>
    <col min="6403" max="6403" width="16.453125" customWidth="1"/>
    <col min="6404" max="6404" width="35" customWidth="1"/>
    <col min="6405" max="6405" width="5.1796875" customWidth="1"/>
    <col min="6406" max="6406" width="14.453125" customWidth="1"/>
    <col min="6407" max="6407" width="4" customWidth="1"/>
    <col min="6408" max="6408" width="6.7265625" customWidth="1"/>
    <col min="6409" max="6409" width="3.453125" customWidth="1"/>
    <col min="6410" max="6410" width="14.453125" customWidth="1"/>
    <col min="6411" max="6411" width="14" customWidth="1"/>
    <col min="6412" max="6412" width="0.1796875" customWidth="1"/>
    <col min="6413" max="6413" width="9" customWidth="1"/>
    <col min="6414" max="6414" width="5.1796875" customWidth="1"/>
    <col min="6415" max="6415" width="14.81640625" customWidth="1"/>
    <col min="6416" max="6416" width="0" hidden="1" customWidth="1"/>
    <col min="6417" max="6417" width="0.26953125" customWidth="1"/>
    <col min="6659" max="6659" width="16.453125" customWidth="1"/>
    <col min="6660" max="6660" width="35" customWidth="1"/>
    <col min="6661" max="6661" width="5.1796875" customWidth="1"/>
    <col min="6662" max="6662" width="14.453125" customWidth="1"/>
    <col min="6663" max="6663" width="4" customWidth="1"/>
    <col min="6664" max="6664" width="6.7265625" customWidth="1"/>
    <col min="6665" max="6665" width="3.453125" customWidth="1"/>
    <col min="6666" max="6666" width="14.453125" customWidth="1"/>
    <col min="6667" max="6667" width="14" customWidth="1"/>
    <col min="6668" max="6668" width="0.1796875" customWidth="1"/>
    <col min="6669" max="6669" width="9" customWidth="1"/>
    <col min="6670" max="6670" width="5.1796875" customWidth="1"/>
    <col min="6671" max="6671" width="14.81640625" customWidth="1"/>
    <col min="6672" max="6672" width="0" hidden="1" customWidth="1"/>
    <col min="6673" max="6673" width="0.26953125" customWidth="1"/>
    <col min="6915" max="6915" width="16.453125" customWidth="1"/>
    <col min="6916" max="6916" width="35" customWidth="1"/>
    <col min="6917" max="6917" width="5.1796875" customWidth="1"/>
    <col min="6918" max="6918" width="14.453125" customWidth="1"/>
    <col min="6919" max="6919" width="4" customWidth="1"/>
    <col min="6920" max="6920" width="6.7265625" customWidth="1"/>
    <col min="6921" max="6921" width="3.453125" customWidth="1"/>
    <col min="6922" max="6922" width="14.453125" customWidth="1"/>
    <col min="6923" max="6923" width="14" customWidth="1"/>
    <col min="6924" max="6924" width="0.1796875" customWidth="1"/>
    <col min="6925" max="6925" width="9" customWidth="1"/>
    <col min="6926" max="6926" width="5.1796875" customWidth="1"/>
    <col min="6927" max="6927" width="14.81640625" customWidth="1"/>
    <col min="6928" max="6928" width="0" hidden="1" customWidth="1"/>
    <col min="6929" max="6929" width="0.26953125" customWidth="1"/>
    <col min="7171" max="7171" width="16.453125" customWidth="1"/>
    <col min="7172" max="7172" width="35" customWidth="1"/>
    <col min="7173" max="7173" width="5.1796875" customWidth="1"/>
    <col min="7174" max="7174" width="14.453125" customWidth="1"/>
    <col min="7175" max="7175" width="4" customWidth="1"/>
    <col min="7176" max="7176" width="6.7265625" customWidth="1"/>
    <col min="7177" max="7177" width="3.453125" customWidth="1"/>
    <col min="7178" max="7178" width="14.453125" customWidth="1"/>
    <col min="7179" max="7179" width="14" customWidth="1"/>
    <col min="7180" max="7180" width="0.1796875" customWidth="1"/>
    <col min="7181" max="7181" width="9" customWidth="1"/>
    <col min="7182" max="7182" width="5.1796875" customWidth="1"/>
    <col min="7183" max="7183" width="14.81640625" customWidth="1"/>
    <col min="7184" max="7184" width="0" hidden="1" customWidth="1"/>
    <col min="7185" max="7185" width="0.26953125" customWidth="1"/>
    <col min="7427" max="7427" width="16.453125" customWidth="1"/>
    <col min="7428" max="7428" width="35" customWidth="1"/>
    <col min="7429" max="7429" width="5.1796875" customWidth="1"/>
    <col min="7430" max="7430" width="14.453125" customWidth="1"/>
    <col min="7431" max="7431" width="4" customWidth="1"/>
    <col min="7432" max="7432" width="6.7265625" customWidth="1"/>
    <col min="7433" max="7433" width="3.453125" customWidth="1"/>
    <col min="7434" max="7434" width="14.453125" customWidth="1"/>
    <col min="7435" max="7435" width="14" customWidth="1"/>
    <col min="7436" max="7436" width="0.1796875" customWidth="1"/>
    <col min="7437" max="7437" width="9" customWidth="1"/>
    <col min="7438" max="7438" width="5.1796875" customWidth="1"/>
    <col min="7439" max="7439" width="14.81640625" customWidth="1"/>
    <col min="7440" max="7440" width="0" hidden="1" customWidth="1"/>
    <col min="7441" max="7441" width="0.26953125" customWidth="1"/>
    <col min="7683" max="7683" width="16.453125" customWidth="1"/>
    <col min="7684" max="7684" width="35" customWidth="1"/>
    <col min="7685" max="7685" width="5.1796875" customWidth="1"/>
    <col min="7686" max="7686" width="14.453125" customWidth="1"/>
    <col min="7687" max="7687" width="4" customWidth="1"/>
    <col min="7688" max="7688" width="6.7265625" customWidth="1"/>
    <col min="7689" max="7689" width="3.453125" customWidth="1"/>
    <col min="7690" max="7690" width="14.453125" customWidth="1"/>
    <col min="7691" max="7691" width="14" customWidth="1"/>
    <col min="7692" max="7692" width="0.1796875" customWidth="1"/>
    <col min="7693" max="7693" width="9" customWidth="1"/>
    <col min="7694" max="7694" width="5.1796875" customWidth="1"/>
    <col min="7695" max="7695" width="14.81640625" customWidth="1"/>
    <col min="7696" max="7696" width="0" hidden="1" customWidth="1"/>
    <col min="7697" max="7697" width="0.26953125" customWidth="1"/>
    <col min="7939" max="7939" width="16.453125" customWidth="1"/>
    <col min="7940" max="7940" width="35" customWidth="1"/>
    <col min="7941" max="7941" width="5.1796875" customWidth="1"/>
    <col min="7942" max="7942" width="14.453125" customWidth="1"/>
    <col min="7943" max="7943" width="4" customWidth="1"/>
    <col min="7944" max="7944" width="6.7265625" customWidth="1"/>
    <col min="7945" max="7945" width="3.453125" customWidth="1"/>
    <col min="7946" max="7946" width="14.453125" customWidth="1"/>
    <col min="7947" max="7947" width="14" customWidth="1"/>
    <col min="7948" max="7948" width="0.1796875" customWidth="1"/>
    <col min="7949" max="7949" width="9" customWidth="1"/>
    <col min="7950" max="7950" width="5.1796875" customWidth="1"/>
    <col min="7951" max="7951" width="14.81640625" customWidth="1"/>
    <col min="7952" max="7952" width="0" hidden="1" customWidth="1"/>
    <col min="7953" max="7953" width="0.26953125" customWidth="1"/>
    <col min="8195" max="8195" width="16.453125" customWidth="1"/>
    <col min="8196" max="8196" width="35" customWidth="1"/>
    <col min="8197" max="8197" width="5.1796875" customWidth="1"/>
    <col min="8198" max="8198" width="14.453125" customWidth="1"/>
    <col min="8199" max="8199" width="4" customWidth="1"/>
    <col min="8200" max="8200" width="6.7265625" customWidth="1"/>
    <col min="8201" max="8201" width="3.453125" customWidth="1"/>
    <col min="8202" max="8202" width="14.453125" customWidth="1"/>
    <col min="8203" max="8203" width="14" customWidth="1"/>
    <col min="8204" max="8204" width="0.1796875" customWidth="1"/>
    <col min="8205" max="8205" width="9" customWidth="1"/>
    <col min="8206" max="8206" width="5.1796875" customWidth="1"/>
    <col min="8207" max="8207" width="14.81640625" customWidth="1"/>
    <col min="8208" max="8208" width="0" hidden="1" customWidth="1"/>
    <col min="8209" max="8209" width="0.26953125" customWidth="1"/>
    <col min="8451" max="8451" width="16.453125" customWidth="1"/>
    <col min="8452" max="8452" width="35" customWidth="1"/>
    <col min="8453" max="8453" width="5.1796875" customWidth="1"/>
    <col min="8454" max="8454" width="14.453125" customWidth="1"/>
    <col min="8455" max="8455" width="4" customWidth="1"/>
    <col min="8456" max="8456" width="6.7265625" customWidth="1"/>
    <col min="8457" max="8457" width="3.453125" customWidth="1"/>
    <col min="8458" max="8458" width="14.453125" customWidth="1"/>
    <col min="8459" max="8459" width="14" customWidth="1"/>
    <col min="8460" max="8460" width="0.1796875" customWidth="1"/>
    <col min="8461" max="8461" width="9" customWidth="1"/>
    <col min="8462" max="8462" width="5.1796875" customWidth="1"/>
    <col min="8463" max="8463" width="14.81640625" customWidth="1"/>
    <col min="8464" max="8464" width="0" hidden="1" customWidth="1"/>
    <col min="8465" max="8465" width="0.26953125" customWidth="1"/>
    <col min="8707" max="8707" width="16.453125" customWidth="1"/>
    <col min="8708" max="8708" width="35" customWidth="1"/>
    <col min="8709" max="8709" width="5.1796875" customWidth="1"/>
    <col min="8710" max="8710" width="14.453125" customWidth="1"/>
    <col min="8711" max="8711" width="4" customWidth="1"/>
    <col min="8712" max="8712" width="6.7265625" customWidth="1"/>
    <col min="8713" max="8713" width="3.453125" customWidth="1"/>
    <col min="8714" max="8714" width="14.453125" customWidth="1"/>
    <col min="8715" max="8715" width="14" customWidth="1"/>
    <col min="8716" max="8716" width="0.1796875" customWidth="1"/>
    <col min="8717" max="8717" width="9" customWidth="1"/>
    <col min="8718" max="8718" width="5.1796875" customWidth="1"/>
    <col min="8719" max="8719" width="14.81640625" customWidth="1"/>
    <col min="8720" max="8720" width="0" hidden="1" customWidth="1"/>
    <col min="8721" max="8721" width="0.26953125" customWidth="1"/>
    <col min="8963" max="8963" width="16.453125" customWidth="1"/>
    <col min="8964" max="8964" width="35" customWidth="1"/>
    <col min="8965" max="8965" width="5.1796875" customWidth="1"/>
    <col min="8966" max="8966" width="14.453125" customWidth="1"/>
    <col min="8967" max="8967" width="4" customWidth="1"/>
    <col min="8968" max="8968" width="6.7265625" customWidth="1"/>
    <col min="8969" max="8969" width="3.453125" customWidth="1"/>
    <col min="8970" max="8970" width="14.453125" customWidth="1"/>
    <col min="8971" max="8971" width="14" customWidth="1"/>
    <col min="8972" max="8972" width="0.1796875" customWidth="1"/>
    <col min="8973" max="8973" width="9" customWidth="1"/>
    <col min="8974" max="8974" width="5.1796875" customWidth="1"/>
    <col min="8975" max="8975" width="14.81640625" customWidth="1"/>
    <col min="8976" max="8976" width="0" hidden="1" customWidth="1"/>
    <col min="8977" max="8977" width="0.26953125" customWidth="1"/>
    <col min="9219" max="9219" width="16.453125" customWidth="1"/>
    <col min="9220" max="9220" width="35" customWidth="1"/>
    <col min="9221" max="9221" width="5.1796875" customWidth="1"/>
    <col min="9222" max="9222" width="14.453125" customWidth="1"/>
    <col min="9223" max="9223" width="4" customWidth="1"/>
    <col min="9224" max="9224" width="6.7265625" customWidth="1"/>
    <col min="9225" max="9225" width="3.453125" customWidth="1"/>
    <col min="9226" max="9226" width="14.453125" customWidth="1"/>
    <col min="9227" max="9227" width="14" customWidth="1"/>
    <col min="9228" max="9228" width="0.1796875" customWidth="1"/>
    <col min="9229" max="9229" width="9" customWidth="1"/>
    <col min="9230" max="9230" width="5.1796875" customWidth="1"/>
    <col min="9231" max="9231" width="14.81640625" customWidth="1"/>
    <col min="9232" max="9232" width="0" hidden="1" customWidth="1"/>
    <col min="9233" max="9233" width="0.26953125" customWidth="1"/>
    <col min="9475" max="9475" width="16.453125" customWidth="1"/>
    <col min="9476" max="9476" width="35" customWidth="1"/>
    <col min="9477" max="9477" width="5.1796875" customWidth="1"/>
    <col min="9478" max="9478" width="14.453125" customWidth="1"/>
    <col min="9479" max="9479" width="4" customWidth="1"/>
    <col min="9480" max="9480" width="6.7265625" customWidth="1"/>
    <col min="9481" max="9481" width="3.453125" customWidth="1"/>
    <col min="9482" max="9482" width="14.453125" customWidth="1"/>
    <col min="9483" max="9483" width="14" customWidth="1"/>
    <col min="9484" max="9484" width="0.1796875" customWidth="1"/>
    <col min="9485" max="9485" width="9" customWidth="1"/>
    <col min="9486" max="9486" width="5.1796875" customWidth="1"/>
    <col min="9487" max="9487" width="14.81640625" customWidth="1"/>
    <col min="9488" max="9488" width="0" hidden="1" customWidth="1"/>
    <col min="9489" max="9489" width="0.26953125" customWidth="1"/>
    <col min="9731" max="9731" width="16.453125" customWidth="1"/>
    <col min="9732" max="9732" width="35" customWidth="1"/>
    <col min="9733" max="9733" width="5.1796875" customWidth="1"/>
    <col min="9734" max="9734" width="14.453125" customWidth="1"/>
    <col min="9735" max="9735" width="4" customWidth="1"/>
    <col min="9736" max="9736" width="6.7265625" customWidth="1"/>
    <col min="9737" max="9737" width="3.453125" customWidth="1"/>
    <col min="9738" max="9738" width="14.453125" customWidth="1"/>
    <col min="9739" max="9739" width="14" customWidth="1"/>
    <col min="9740" max="9740" width="0.1796875" customWidth="1"/>
    <col min="9741" max="9741" width="9" customWidth="1"/>
    <col min="9742" max="9742" width="5.1796875" customWidth="1"/>
    <col min="9743" max="9743" width="14.81640625" customWidth="1"/>
    <col min="9744" max="9744" width="0" hidden="1" customWidth="1"/>
    <col min="9745" max="9745" width="0.26953125" customWidth="1"/>
    <col min="9987" max="9987" width="16.453125" customWidth="1"/>
    <col min="9988" max="9988" width="35" customWidth="1"/>
    <col min="9989" max="9989" width="5.1796875" customWidth="1"/>
    <col min="9990" max="9990" width="14.453125" customWidth="1"/>
    <col min="9991" max="9991" width="4" customWidth="1"/>
    <col min="9992" max="9992" width="6.7265625" customWidth="1"/>
    <col min="9993" max="9993" width="3.453125" customWidth="1"/>
    <col min="9994" max="9994" width="14.453125" customWidth="1"/>
    <col min="9995" max="9995" width="14" customWidth="1"/>
    <col min="9996" max="9996" width="0.1796875" customWidth="1"/>
    <col min="9997" max="9997" width="9" customWidth="1"/>
    <col min="9998" max="9998" width="5.1796875" customWidth="1"/>
    <col min="9999" max="9999" width="14.81640625" customWidth="1"/>
    <col min="10000" max="10000" width="0" hidden="1" customWidth="1"/>
    <col min="10001" max="10001" width="0.26953125" customWidth="1"/>
    <col min="10243" max="10243" width="16.453125" customWidth="1"/>
    <col min="10244" max="10244" width="35" customWidth="1"/>
    <col min="10245" max="10245" width="5.1796875" customWidth="1"/>
    <col min="10246" max="10246" width="14.453125" customWidth="1"/>
    <col min="10247" max="10247" width="4" customWidth="1"/>
    <col min="10248" max="10248" width="6.7265625" customWidth="1"/>
    <col min="10249" max="10249" width="3.453125" customWidth="1"/>
    <col min="10250" max="10250" width="14.453125" customWidth="1"/>
    <col min="10251" max="10251" width="14" customWidth="1"/>
    <col min="10252" max="10252" width="0.1796875" customWidth="1"/>
    <col min="10253" max="10253" width="9" customWidth="1"/>
    <col min="10254" max="10254" width="5.1796875" customWidth="1"/>
    <col min="10255" max="10255" width="14.81640625" customWidth="1"/>
    <col min="10256" max="10256" width="0" hidden="1" customWidth="1"/>
    <col min="10257" max="10257" width="0.26953125" customWidth="1"/>
    <col min="10499" max="10499" width="16.453125" customWidth="1"/>
    <col min="10500" max="10500" width="35" customWidth="1"/>
    <col min="10501" max="10501" width="5.1796875" customWidth="1"/>
    <col min="10502" max="10502" width="14.453125" customWidth="1"/>
    <col min="10503" max="10503" width="4" customWidth="1"/>
    <col min="10504" max="10504" width="6.7265625" customWidth="1"/>
    <col min="10505" max="10505" width="3.453125" customWidth="1"/>
    <col min="10506" max="10506" width="14.453125" customWidth="1"/>
    <col min="10507" max="10507" width="14" customWidth="1"/>
    <col min="10508" max="10508" width="0.1796875" customWidth="1"/>
    <col min="10509" max="10509" width="9" customWidth="1"/>
    <col min="10510" max="10510" width="5.1796875" customWidth="1"/>
    <col min="10511" max="10511" width="14.81640625" customWidth="1"/>
    <col min="10512" max="10512" width="0" hidden="1" customWidth="1"/>
    <col min="10513" max="10513" width="0.26953125" customWidth="1"/>
    <col min="10755" max="10755" width="16.453125" customWidth="1"/>
    <col min="10756" max="10756" width="35" customWidth="1"/>
    <col min="10757" max="10757" width="5.1796875" customWidth="1"/>
    <col min="10758" max="10758" width="14.453125" customWidth="1"/>
    <col min="10759" max="10759" width="4" customWidth="1"/>
    <col min="10760" max="10760" width="6.7265625" customWidth="1"/>
    <col min="10761" max="10761" width="3.453125" customWidth="1"/>
    <col min="10762" max="10762" width="14.453125" customWidth="1"/>
    <col min="10763" max="10763" width="14" customWidth="1"/>
    <col min="10764" max="10764" width="0.1796875" customWidth="1"/>
    <col min="10765" max="10765" width="9" customWidth="1"/>
    <col min="10766" max="10766" width="5.1796875" customWidth="1"/>
    <col min="10767" max="10767" width="14.81640625" customWidth="1"/>
    <col min="10768" max="10768" width="0" hidden="1" customWidth="1"/>
    <col min="10769" max="10769" width="0.26953125" customWidth="1"/>
    <col min="11011" max="11011" width="16.453125" customWidth="1"/>
    <col min="11012" max="11012" width="35" customWidth="1"/>
    <col min="11013" max="11013" width="5.1796875" customWidth="1"/>
    <col min="11014" max="11014" width="14.453125" customWidth="1"/>
    <col min="11015" max="11015" width="4" customWidth="1"/>
    <col min="11016" max="11016" width="6.7265625" customWidth="1"/>
    <col min="11017" max="11017" width="3.453125" customWidth="1"/>
    <col min="11018" max="11018" width="14.453125" customWidth="1"/>
    <col min="11019" max="11019" width="14" customWidth="1"/>
    <col min="11020" max="11020" width="0.1796875" customWidth="1"/>
    <col min="11021" max="11021" width="9" customWidth="1"/>
    <col min="11022" max="11022" width="5.1796875" customWidth="1"/>
    <col min="11023" max="11023" width="14.81640625" customWidth="1"/>
    <col min="11024" max="11024" width="0" hidden="1" customWidth="1"/>
    <col min="11025" max="11025" width="0.26953125" customWidth="1"/>
    <col min="11267" max="11267" width="16.453125" customWidth="1"/>
    <col min="11268" max="11268" width="35" customWidth="1"/>
    <col min="11269" max="11269" width="5.1796875" customWidth="1"/>
    <col min="11270" max="11270" width="14.453125" customWidth="1"/>
    <col min="11271" max="11271" width="4" customWidth="1"/>
    <col min="11272" max="11272" width="6.7265625" customWidth="1"/>
    <col min="11273" max="11273" width="3.453125" customWidth="1"/>
    <col min="11274" max="11274" width="14.453125" customWidth="1"/>
    <col min="11275" max="11275" width="14" customWidth="1"/>
    <col min="11276" max="11276" width="0.1796875" customWidth="1"/>
    <col min="11277" max="11277" width="9" customWidth="1"/>
    <col min="11278" max="11278" width="5.1796875" customWidth="1"/>
    <col min="11279" max="11279" width="14.81640625" customWidth="1"/>
    <col min="11280" max="11280" width="0" hidden="1" customWidth="1"/>
    <col min="11281" max="11281" width="0.26953125" customWidth="1"/>
    <col min="11523" max="11523" width="16.453125" customWidth="1"/>
    <col min="11524" max="11524" width="35" customWidth="1"/>
    <col min="11525" max="11525" width="5.1796875" customWidth="1"/>
    <col min="11526" max="11526" width="14.453125" customWidth="1"/>
    <col min="11527" max="11527" width="4" customWidth="1"/>
    <col min="11528" max="11528" width="6.7265625" customWidth="1"/>
    <col min="11529" max="11529" width="3.453125" customWidth="1"/>
    <col min="11530" max="11530" width="14.453125" customWidth="1"/>
    <col min="11531" max="11531" width="14" customWidth="1"/>
    <col min="11532" max="11532" width="0.1796875" customWidth="1"/>
    <col min="11533" max="11533" width="9" customWidth="1"/>
    <col min="11534" max="11534" width="5.1796875" customWidth="1"/>
    <col min="11535" max="11535" width="14.81640625" customWidth="1"/>
    <col min="11536" max="11536" width="0" hidden="1" customWidth="1"/>
    <col min="11537" max="11537" width="0.26953125" customWidth="1"/>
    <col min="11779" max="11779" width="16.453125" customWidth="1"/>
    <col min="11780" max="11780" width="35" customWidth="1"/>
    <col min="11781" max="11781" width="5.1796875" customWidth="1"/>
    <col min="11782" max="11782" width="14.453125" customWidth="1"/>
    <col min="11783" max="11783" width="4" customWidth="1"/>
    <col min="11784" max="11784" width="6.7265625" customWidth="1"/>
    <col min="11785" max="11785" width="3.453125" customWidth="1"/>
    <col min="11786" max="11786" width="14.453125" customWidth="1"/>
    <col min="11787" max="11787" width="14" customWidth="1"/>
    <col min="11788" max="11788" width="0.1796875" customWidth="1"/>
    <col min="11789" max="11789" width="9" customWidth="1"/>
    <col min="11790" max="11790" width="5.1796875" customWidth="1"/>
    <col min="11791" max="11791" width="14.81640625" customWidth="1"/>
    <col min="11792" max="11792" width="0" hidden="1" customWidth="1"/>
    <col min="11793" max="11793" width="0.26953125" customWidth="1"/>
    <col min="12035" max="12035" width="16.453125" customWidth="1"/>
    <col min="12036" max="12036" width="35" customWidth="1"/>
    <col min="12037" max="12037" width="5.1796875" customWidth="1"/>
    <col min="12038" max="12038" width="14.453125" customWidth="1"/>
    <col min="12039" max="12039" width="4" customWidth="1"/>
    <col min="12040" max="12040" width="6.7265625" customWidth="1"/>
    <col min="12041" max="12041" width="3.453125" customWidth="1"/>
    <col min="12042" max="12042" width="14.453125" customWidth="1"/>
    <col min="12043" max="12043" width="14" customWidth="1"/>
    <col min="12044" max="12044" width="0.1796875" customWidth="1"/>
    <col min="12045" max="12045" width="9" customWidth="1"/>
    <col min="12046" max="12046" width="5.1796875" customWidth="1"/>
    <col min="12047" max="12047" width="14.81640625" customWidth="1"/>
    <col min="12048" max="12048" width="0" hidden="1" customWidth="1"/>
    <col min="12049" max="12049" width="0.26953125" customWidth="1"/>
    <col min="12291" max="12291" width="16.453125" customWidth="1"/>
    <col min="12292" max="12292" width="35" customWidth="1"/>
    <col min="12293" max="12293" width="5.1796875" customWidth="1"/>
    <col min="12294" max="12294" width="14.453125" customWidth="1"/>
    <col min="12295" max="12295" width="4" customWidth="1"/>
    <col min="12296" max="12296" width="6.7265625" customWidth="1"/>
    <col min="12297" max="12297" width="3.453125" customWidth="1"/>
    <col min="12298" max="12298" width="14.453125" customWidth="1"/>
    <col min="12299" max="12299" width="14" customWidth="1"/>
    <col min="12300" max="12300" width="0.1796875" customWidth="1"/>
    <col min="12301" max="12301" width="9" customWidth="1"/>
    <col min="12302" max="12302" width="5.1796875" customWidth="1"/>
    <col min="12303" max="12303" width="14.81640625" customWidth="1"/>
    <col min="12304" max="12304" width="0" hidden="1" customWidth="1"/>
    <col min="12305" max="12305" width="0.26953125" customWidth="1"/>
    <col min="12547" max="12547" width="16.453125" customWidth="1"/>
    <col min="12548" max="12548" width="35" customWidth="1"/>
    <col min="12549" max="12549" width="5.1796875" customWidth="1"/>
    <col min="12550" max="12550" width="14.453125" customWidth="1"/>
    <col min="12551" max="12551" width="4" customWidth="1"/>
    <col min="12552" max="12552" width="6.7265625" customWidth="1"/>
    <col min="12553" max="12553" width="3.453125" customWidth="1"/>
    <col min="12554" max="12554" width="14.453125" customWidth="1"/>
    <col min="12555" max="12555" width="14" customWidth="1"/>
    <col min="12556" max="12556" width="0.1796875" customWidth="1"/>
    <col min="12557" max="12557" width="9" customWidth="1"/>
    <col min="12558" max="12558" width="5.1796875" customWidth="1"/>
    <col min="12559" max="12559" width="14.81640625" customWidth="1"/>
    <col min="12560" max="12560" width="0" hidden="1" customWidth="1"/>
    <col min="12561" max="12561" width="0.26953125" customWidth="1"/>
    <col min="12803" max="12803" width="16.453125" customWidth="1"/>
    <col min="12804" max="12804" width="35" customWidth="1"/>
    <col min="12805" max="12805" width="5.1796875" customWidth="1"/>
    <col min="12806" max="12806" width="14.453125" customWidth="1"/>
    <col min="12807" max="12807" width="4" customWidth="1"/>
    <col min="12808" max="12808" width="6.7265625" customWidth="1"/>
    <col min="12809" max="12809" width="3.453125" customWidth="1"/>
    <col min="12810" max="12810" width="14.453125" customWidth="1"/>
    <col min="12811" max="12811" width="14" customWidth="1"/>
    <col min="12812" max="12812" width="0.1796875" customWidth="1"/>
    <col min="12813" max="12813" width="9" customWidth="1"/>
    <col min="12814" max="12814" width="5.1796875" customWidth="1"/>
    <col min="12815" max="12815" width="14.81640625" customWidth="1"/>
    <col min="12816" max="12816" width="0" hidden="1" customWidth="1"/>
    <col min="12817" max="12817" width="0.26953125" customWidth="1"/>
    <col min="13059" max="13059" width="16.453125" customWidth="1"/>
    <col min="13060" max="13060" width="35" customWidth="1"/>
    <col min="13061" max="13061" width="5.1796875" customWidth="1"/>
    <col min="13062" max="13062" width="14.453125" customWidth="1"/>
    <col min="13063" max="13063" width="4" customWidth="1"/>
    <col min="13064" max="13064" width="6.7265625" customWidth="1"/>
    <col min="13065" max="13065" width="3.453125" customWidth="1"/>
    <col min="13066" max="13066" width="14.453125" customWidth="1"/>
    <col min="13067" max="13067" width="14" customWidth="1"/>
    <col min="13068" max="13068" width="0.1796875" customWidth="1"/>
    <col min="13069" max="13069" width="9" customWidth="1"/>
    <col min="13070" max="13070" width="5.1796875" customWidth="1"/>
    <col min="13071" max="13071" width="14.81640625" customWidth="1"/>
    <col min="13072" max="13072" width="0" hidden="1" customWidth="1"/>
    <col min="13073" max="13073" width="0.26953125" customWidth="1"/>
    <col min="13315" max="13315" width="16.453125" customWidth="1"/>
    <col min="13316" max="13316" width="35" customWidth="1"/>
    <col min="13317" max="13317" width="5.1796875" customWidth="1"/>
    <col min="13318" max="13318" width="14.453125" customWidth="1"/>
    <col min="13319" max="13319" width="4" customWidth="1"/>
    <col min="13320" max="13320" width="6.7265625" customWidth="1"/>
    <col min="13321" max="13321" width="3.453125" customWidth="1"/>
    <col min="13322" max="13322" width="14.453125" customWidth="1"/>
    <col min="13323" max="13323" width="14" customWidth="1"/>
    <col min="13324" max="13324" width="0.1796875" customWidth="1"/>
    <col min="13325" max="13325" width="9" customWidth="1"/>
    <col min="13326" max="13326" width="5.1796875" customWidth="1"/>
    <col min="13327" max="13327" width="14.81640625" customWidth="1"/>
    <col min="13328" max="13328" width="0" hidden="1" customWidth="1"/>
    <col min="13329" max="13329" width="0.26953125" customWidth="1"/>
    <col min="13571" max="13571" width="16.453125" customWidth="1"/>
    <col min="13572" max="13572" width="35" customWidth="1"/>
    <col min="13573" max="13573" width="5.1796875" customWidth="1"/>
    <col min="13574" max="13574" width="14.453125" customWidth="1"/>
    <col min="13575" max="13575" width="4" customWidth="1"/>
    <col min="13576" max="13576" width="6.7265625" customWidth="1"/>
    <col min="13577" max="13577" width="3.453125" customWidth="1"/>
    <col min="13578" max="13578" width="14.453125" customWidth="1"/>
    <col min="13579" max="13579" width="14" customWidth="1"/>
    <col min="13580" max="13580" width="0.1796875" customWidth="1"/>
    <col min="13581" max="13581" width="9" customWidth="1"/>
    <col min="13582" max="13582" width="5.1796875" customWidth="1"/>
    <col min="13583" max="13583" width="14.81640625" customWidth="1"/>
    <col min="13584" max="13584" width="0" hidden="1" customWidth="1"/>
    <col min="13585" max="13585" width="0.26953125" customWidth="1"/>
    <col min="13827" max="13827" width="16.453125" customWidth="1"/>
    <col min="13828" max="13828" width="35" customWidth="1"/>
    <col min="13829" max="13829" width="5.1796875" customWidth="1"/>
    <col min="13830" max="13830" width="14.453125" customWidth="1"/>
    <col min="13831" max="13831" width="4" customWidth="1"/>
    <col min="13832" max="13832" width="6.7265625" customWidth="1"/>
    <col min="13833" max="13833" width="3.453125" customWidth="1"/>
    <col min="13834" max="13834" width="14.453125" customWidth="1"/>
    <col min="13835" max="13835" width="14" customWidth="1"/>
    <col min="13836" max="13836" width="0.1796875" customWidth="1"/>
    <col min="13837" max="13837" width="9" customWidth="1"/>
    <col min="13838" max="13838" width="5.1796875" customWidth="1"/>
    <col min="13839" max="13839" width="14.81640625" customWidth="1"/>
    <col min="13840" max="13840" width="0" hidden="1" customWidth="1"/>
    <col min="13841" max="13841" width="0.26953125" customWidth="1"/>
    <col min="14083" max="14083" width="16.453125" customWidth="1"/>
    <col min="14084" max="14084" width="35" customWidth="1"/>
    <col min="14085" max="14085" width="5.1796875" customWidth="1"/>
    <col min="14086" max="14086" width="14.453125" customWidth="1"/>
    <col min="14087" max="14087" width="4" customWidth="1"/>
    <col min="14088" max="14088" width="6.7265625" customWidth="1"/>
    <col min="14089" max="14089" width="3.453125" customWidth="1"/>
    <col min="14090" max="14090" width="14.453125" customWidth="1"/>
    <col min="14091" max="14091" width="14" customWidth="1"/>
    <col min="14092" max="14092" width="0.1796875" customWidth="1"/>
    <col min="14093" max="14093" width="9" customWidth="1"/>
    <col min="14094" max="14094" width="5.1796875" customWidth="1"/>
    <col min="14095" max="14095" width="14.81640625" customWidth="1"/>
    <col min="14096" max="14096" width="0" hidden="1" customWidth="1"/>
    <col min="14097" max="14097" width="0.26953125" customWidth="1"/>
    <col min="14339" max="14339" width="16.453125" customWidth="1"/>
    <col min="14340" max="14340" width="35" customWidth="1"/>
    <col min="14341" max="14341" width="5.1796875" customWidth="1"/>
    <col min="14342" max="14342" width="14.453125" customWidth="1"/>
    <col min="14343" max="14343" width="4" customWidth="1"/>
    <col min="14344" max="14344" width="6.7265625" customWidth="1"/>
    <col min="14345" max="14345" width="3.453125" customWidth="1"/>
    <col min="14346" max="14346" width="14.453125" customWidth="1"/>
    <col min="14347" max="14347" width="14" customWidth="1"/>
    <col min="14348" max="14348" width="0.1796875" customWidth="1"/>
    <col min="14349" max="14349" width="9" customWidth="1"/>
    <col min="14350" max="14350" width="5.1796875" customWidth="1"/>
    <col min="14351" max="14351" width="14.81640625" customWidth="1"/>
    <col min="14352" max="14352" width="0" hidden="1" customWidth="1"/>
    <col min="14353" max="14353" width="0.26953125" customWidth="1"/>
    <col min="14595" max="14595" width="16.453125" customWidth="1"/>
    <col min="14596" max="14596" width="35" customWidth="1"/>
    <col min="14597" max="14597" width="5.1796875" customWidth="1"/>
    <col min="14598" max="14598" width="14.453125" customWidth="1"/>
    <col min="14599" max="14599" width="4" customWidth="1"/>
    <col min="14600" max="14600" width="6.7265625" customWidth="1"/>
    <col min="14601" max="14601" width="3.453125" customWidth="1"/>
    <col min="14602" max="14602" width="14.453125" customWidth="1"/>
    <col min="14603" max="14603" width="14" customWidth="1"/>
    <col min="14604" max="14604" width="0.1796875" customWidth="1"/>
    <col min="14605" max="14605" width="9" customWidth="1"/>
    <col min="14606" max="14606" width="5.1796875" customWidth="1"/>
    <col min="14607" max="14607" width="14.81640625" customWidth="1"/>
    <col min="14608" max="14608" width="0" hidden="1" customWidth="1"/>
    <col min="14609" max="14609" width="0.26953125" customWidth="1"/>
    <col min="14851" max="14851" width="16.453125" customWidth="1"/>
    <col min="14852" max="14852" width="35" customWidth="1"/>
    <col min="14853" max="14853" width="5.1796875" customWidth="1"/>
    <col min="14854" max="14854" width="14.453125" customWidth="1"/>
    <col min="14855" max="14855" width="4" customWidth="1"/>
    <col min="14856" max="14856" width="6.7265625" customWidth="1"/>
    <col min="14857" max="14857" width="3.453125" customWidth="1"/>
    <col min="14858" max="14858" width="14.453125" customWidth="1"/>
    <col min="14859" max="14859" width="14" customWidth="1"/>
    <col min="14860" max="14860" width="0.1796875" customWidth="1"/>
    <col min="14861" max="14861" width="9" customWidth="1"/>
    <col min="14862" max="14862" width="5.1796875" customWidth="1"/>
    <col min="14863" max="14863" width="14.81640625" customWidth="1"/>
    <col min="14864" max="14864" width="0" hidden="1" customWidth="1"/>
    <col min="14865" max="14865" width="0.26953125" customWidth="1"/>
    <col min="15107" max="15107" width="16.453125" customWidth="1"/>
    <col min="15108" max="15108" width="35" customWidth="1"/>
    <col min="15109" max="15109" width="5.1796875" customWidth="1"/>
    <col min="15110" max="15110" width="14.453125" customWidth="1"/>
    <col min="15111" max="15111" width="4" customWidth="1"/>
    <col min="15112" max="15112" width="6.7265625" customWidth="1"/>
    <col min="15113" max="15113" width="3.453125" customWidth="1"/>
    <col min="15114" max="15114" width="14.453125" customWidth="1"/>
    <col min="15115" max="15115" width="14" customWidth="1"/>
    <col min="15116" max="15116" width="0.1796875" customWidth="1"/>
    <col min="15117" max="15117" width="9" customWidth="1"/>
    <col min="15118" max="15118" width="5.1796875" customWidth="1"/>
    <col min="15119" max="15119" width="14.81640625" customWidth="1"/>
    <col min="15120" max="15120" width="0" hidden="1" customWidth="1"/>
    <col min="15121" max="15121" width="0.26953125" customWidth="1"/>
    <col min="15363" max="15363" width="16.453125" customWidth="1"/>
    <col min="15364" max="15364" width="35" customWidth="1"/>
    <col min="15365" max="15365" width="5.1796875" customWidth="1"/>
    <col min="15366" max="15366" width="14.453125" customWidth="1"/>
    <col min="15367" max="15367" width="4" customWidth="1"/>
    <col min="15368" max="15368" width="6.7265625" customWidth="1"/>
    <col min="15369" max="15369" width="3.453125" customWidth="1"/>
    <col min="15370" max="15370" width="14.453125" customWidth="1"/>
    <col min="15371" max="15371" width="14" customWidth="1"/>
    <col min="15372" max="15372" width="0.1796875" customWidth="1"/>
    <col min="15373" max="15373" width="9" customWidth="1"/>
    <col min="15374" max="15374" width="5.1796875" customWidth="1"/>
    <col min="15375" max="15375" width="14.81640625" customWidth="1"/>
    <col min="15376" max="15376" width="0" hidden="1" customWidth="1"/>
    <col min="15377" max="15377" width="0.26953125" customWidth="1"/>
    <col min="15619" max="15619" width="16.453125" customWidth="1"/>
    <col min="15620" max="15620" width="35" customWidth="1"/>
    <col min="15621" max="15621" width="5.1796875" customWidth="1"/>
    <col min="15622" max="15622" width="14.453125" customWidth="1"/>
    <col min="15623" max="15623" width="4" customWidth="1"/>
    <col min="15624" max="15624" width="6.7265625" customWidth="1"/>
    <col min="15625" max="15625" width="3.453125" customWidth="1"/>
    <col min="15626" max="15626" width="14.453125" customWidth="1"/>
    <col min="15627" max="15627" width="14" customWidth="1"/>
    <col min="15628" max="15628" width="0.1796875" customWidth="1"/>
    <col min="15629" max="15629" width="9" customWidth="1"/>
    <col min="15630" max="15630" width="5.1796875" customWidth="1"/>
    <col min="15631" max="15631" width="14.81640625" customWidth="1"/>
    <col min="15632" max="15632" width="0" hidden="1" customWidth="1"/>
    <col min="15633" max="15633" width="0.26953125" customWidth="1"/>
    <col min="15875" max="15875" width="16.453125" customWidth="1"/>
    <col min="15876" max="15876" width="35" customWidth="1"/>
    <col min="15877" max="15877" width="5.1796875" customWidth="1"/>
    <col min="15878" max="15878" width="14.453125" customWidth="1"/>
    <col min="15879" max="15879" width="4" customWidth="1"/>
    <col min="15880" max="15880" width="6.7265625" customWidth="1"/>
    <col min="15881" max="15881" width="3.453125" customWidth="1"/>
    <col min="15882" max="15882" width="14.453125" customWidth="1"/>
    <col min="15883" max="15883" width="14" customWidth="1"/>
    <col min="15884" max="15884" width="0.1796875" customWidth="1"/>
    <col min="15885" max="15885" width="9" customWidth="1"/>
    <col min="15886" max="15886" width="5.1796875" customWidth="1"/>
    <col min="15887" max="15887" width="14.81640625" customWidth="1"/>
    <col min="15888" max="15888" width="0" hidden="1" customWidth="1"/>
    <col min="15889" max="15889" width="0.26953125" customWidth="1"/>
    <col min="16131" max="16131" width="16.453125" customWidth="1"/>
    <col min="16132" max="16132" width="35" customWidth="1"/>
    <col min="16133" max="16133" width="5.1796875" customWidth="1"/>
    <col min="16134" max="16134" width="14.453125" customWidth="1"/>
    <col min="16135" max="16135" width="4" customWidth="1"/>
    <col min="16136" max="16136" width="6.7265625" customWidth="1"/>
    <col min="16137" max="16137" width="3.453125" customWidth="1"/>
    <col min="16138" max="16138" width="14.453125" customWidth="1"/>
    <col min="16139" max="16139" width="14" customWidth="1"/>
    <col min="16140" max="16140" width="0.1796875" customWidth="1"/>
    <col min="16141" max="16141" width="9" customWidth="1"/>
    <col min="16142" max="16142" width="5.1796875" customWidth="1"/>
    <col min="16143" max="16143" width="14.81640625" customWidth="1"/>
    <col min="16144" max="16144" width="0" hidden="1" customWidth="1"/>
    <col min="16145" max="16145" width="0.26953125" customWidth="1"/>
  </cols>
  <sheetData>
    <row r="1" spans="1:19">
      <c r="A1" s="848" t="s">
        <v>1043</v>
      </c>
      <c r="B1" s="848"/>
      <c r="C1" s="849"/>
      <c r="D1" s="849"/>
      <c r="E1" s="849"/>
      <c r="F1" s="849"/>
      <c r="G1" s="849"/>
      <c r="H1" s="849"/>
      <c r="I1" s="849"/>
    </row>
    <row r="2" spans="1:19">
      <c r="A2" s="849"/>
      <c r="B2" s="849"/>
      <c r="C2" s="849"/>
      <c r="D2" s="849"/>
      <c r="E2" s="849"/>
      <c r="F2" s="849"/>
      <c r="G2" s="849"/>
      <c r="H2" s="849"/>
      <c r="I2" s="849"/>
    </row>
    <row r="3" spans="1:19">
      <c r="A3" s="850" t="s">
        <v>2071</v>
      </c>
      <c r="B3" s="850"/>
      <c r="C3" s="849"/>
      <c r="D3" s="849"/>
      <c r="E3" s="849"/>
      <c r="F3" s="849"/>
      <c r="G3" s="849"/>
      <c r="H3" s="849"/>
      <c r="I3" s="849"/>
    </row>
    <row r="4" spans="1:19" ht="15" thickBot="1">
      <c r="A4" s="849"/>
      <c r="B4" s="849"/>
      <c r="C4" s="849"/>
      <c r="D4" s="849"/>
      <c r="E4" s="849"/>
      <c r="F4" s="849"/>
      <c r="G4" s="849"/>
      <c r="H4" s="849"/>
      <c r="I4" s="849"/>
      <c r="K4" s="732">
        <f>+J5-K5</f>
        <v>3.4101009368896484E-3</v>
      </c>
      <c r="O4" s="732">
        <f>+N5-O5</f>
        <v>3.4101009368896484E-3</v>
      </c>
    </row>
    <row r="5" spans="1:19" ht="24" customHeight="1" thickBot="1">
      <c r="J5" s="722">
        <f>+SUM(J7:J407)</f>
        <v>325376347.56</v>
      </c>
      <c r="K5" s="722">
        <f t="shared" ref="K5:O5" si="0">+SUM(K7:K407)</f>
        <v>325376347.5565899</v>
      </c>
      <c r="L5" s="722">
        <f t="shared" si="0"/>
        <v>107955523.46000001</v>
      </c>
      <c r="M5" s="722">
        <f t="shared" si="0"/>
        <v>107955523.46000001</v>
      </c>
      <c r="N5" s="722">
        <f t="shared" si="0"/>
        <v>433331871.01999998</v>
      </c>
      <c r="O5" s="722">
        <f t="shared" si="0"/>
        <v>433331871.01658988</v>
      </c>
      <c r="P5" s="420" t="s">
        <v>1239</v>
      </c>
    </row>
    <row r="6" spans="1:19" ht="15" customHeight="1" thickBot="1">
      <c r="A6" s="721" t="s">
        <v>948</v>
      </c>
      <c r="B6" s="765" t="s">
        <v>2208</v>
      </c>
      <c r="C6" s="418" t="s">
        <v>1045</v>
      </c>
      <c r="D6" s="420" t="s">
        <v>941</v>
      </c>
      <c r="E6" s="731" t="s">
        <v>945</v>
      </c>
      <c r="F6" s="731" t="s">
        <v>946</v>
      </c>
      <c r="G6" s="731" t="s">
        <v>947</v>
      </c>
      <c r="H6" s="420" t="s">
        <v>1046</v>
      </c>
      <c r="I6" s="723" t="s">
        <v>1047</v>
      </c>
      <c r="J6" s="723" t="s">
        <v>455</v>
      </c>
      <c r="K6" s="724" t="s">
        <v>456</v>
      </c>
      <c r="L6" s="723" t="s">
        <v>2172</v>
      </c>
      <c r="M6" s="723" t="s">
        <v>2175</v>
      </c>
      <c r="N6" s="723" t="s">
        <v>2176</v>
      </c>
      <c r="O6" s="723" t="s">
        <v>2179</v>
      </c>
      <c r="P6" s="420" t="s">
        <v>1240</v>
      </c>
    </row>
    <row r="7" spans="1:19" ht="29.5" thickBot="1">
      <c r="A7" s="725" t="s">
        <v>679</v>
      </c>
      <c r="B7" s="725"/>
      <c r="C7" s="726" t="s">
        <v>1580</v>
      </c>
      <c r="D7" s="726" t="str">
        <f>CONCATENATE(A7,C7)</f>
        <v>1-01-01-01-001CASH IN HAND</v>
      </c>
      <c r="E7" s="422" t="s">
        <v>1051</v>
      </c>
      <c r="F7" s="421" t="s">
        <v>466</v>
      </c>
      <c r="G7" s="421" t="s">
        <v>1052</v>
      </c>
      <c r="H7" s="421" t="s">
        <v>1053</v>
      </c>
      <c r="I7" s="726" t="s">
        <v>974</v>
      </c>
      <c r="J7" s="727">
        <f>VLOOKUP(A7,'Trial Balance June 2025'!$A$7:$S$522,17,0)</f>
        <v>3</v>
      </c>
      <c r="K7" s="727">
        <f>VLOOKUP(A7,'Trial Balance June 2025'!$A$8:$S$522,18,0)</f>
        <v>0</v>
      </c>
      <c r="L7" s="727">
        <v>0</v>
      </c>
      <c r="M7" s="727">
        <v>0</v>
      </c>
      <c r="N7" s="727">
        <f>J7+L7</f>
        <v>3</v>
      </c>
      <c r="O7" s="727">
        <f>K7+M7</f>
        <v>0</v>
      </c>
      <c r="P7" s="742">
        <f>N7-O7</f>
        <v>3</v>
      </c>
    </row>
    <row r="8" spans="1:19" ht="29.5" thickBot="1">
      <c r="A8" s="725" t="s">
        <v>679</v>
      </c>
      <c r="B8" s="725"/>
      <c r="C8" s="726" t="s">
        <v>1580</v>
      </c>
      <c r="D8" s="726" t="str">
        <f t="shared" ref="D8:D71" si="1">CONCATENATE(A8,C8)</f>
        <v>1-01-01-01-001CASH IN HAND</v>
      </c>
      <c r="E8" s="422" t="s">
        <v>1051</v>
      </c>
      <c r="F8" s="412" t="s">
        <v>466</v>
      </c>
      <c r="G8" s="412" t="s">
        <v>1052</v>
      </c>
      <c r="H8" s="412" t="s">
        <v>1053</v>
      </c>
      <c r="I8" s="726" t="s">
        <v>1722</v>
      </c>
      <c r="J8" s="727"/>
      <c r="K8" s="727">
        <f>VLOOKUP(A8,'Trial Balance June 2025'!$A$8:$S$522,18,0)</f>
        <v>0</v>
      </c>
      <c r="L8" s="727">
        <v>0</v>
      </c>
      <c r="M8" s="727">
        <v>0</v>
      </c>
      <c r="N8" s="727">
        <f t="shared" ref="N8:N71" si="2">J8+L8</f>
        <v>0</v>
      </c>
      <c r="O8" s="727">
        <f t="shared" ref="O8:O71" si="3">K8+M8</f>
        <v>0</v>
      </c>
      <c r="P8" s="742">
        <f t="shared" ref="P8:P71" si="4">N8-O8</f>
        <v>0</v>
      </c>
    </row>
    <row r="9" spans="1:19" ht="29.5" thickBot="1">
      <c r="A9" s="725" t="s">
        <v>680</v>
      </c>
      <c r="B9" s="725"/>
      <c r="C9" s="726" t="s">
        <v>1581</v>
      </c>
      <c r="D9" s="726" t="str">
        <f t="shared" si="1"/>
        <v>1-01-01-02-002PILER OWN BAHL A/C. 818-04-2</v>
      </c>
      <c r="E9" s="422" t="s">
        <v>1051</v>
      </c>
      <c r="F9" s="412" t="s">
        <v>466</v>
      </c>
      <c r="G9" s="412" t="s">
        <v>1052</v>
      </c>
      <c r="H9" s="412" t="s">
        <v>1053</v>
      </c>
      <c r="I9" s="726" t="s">
        <v>974</v>
      </c>
      <c r="J9" s="727">
        <f>VLOOKUP(A9,'Trial Balance June 2025'!$A$7:$S$522,17,0)</f>
        <v>143120</v>
      </c>
      <c r="K9" s="727">
        <f>VLOOKUP(A9,'Trial Balance June 2025'!$A$8:$S$522,18,0)</f>
        <v>0</v>
      </c>
      <c r="L9" s="727">
        <v>0</v>
      </c>
      <c r="M9" s="727">
        <v>0</v>
      </c>
      <c r="N9" s="727">
        <f t="shared" si="2"/>
        <v>143120</v>
      </c>
      <c r="O9" s="727">
        <f t="shared" si="3"/>
        <v>0</v>
      </c>
      <c r="P9" s="742">
        <f t="shared" si="4"/>
        <v>143120</v>
      </c>
    </row>
    <row r="10" spans="1:19" ht="29.5" thickBot="1">
      <c r="A10" s="725" t="s">
        <v>681</v>
      </c>
      <c r="B10" s="725"/>
      <c r="C10" s="726" t="s">
        <v>1582</v>
      </c>
      <c r="D10" s="726" t="str">
        <f t="shared" si="1"/>
        <v>1-01-01-02-011PILER TDH &amp; MI BH A/C.818-09-7</v>
      </c>
      <c r="E10" s="422" t="s">
        <v>1051</v>
      </c>
      <c r="F10" s="412" t="s">
        <v>466</v>
      </c>
      <c r="G10" s="412" t="s">
        <v>1052</v>
      </c>
      <c r="H10" s="412" t="s">
        <v>1053</v>
      </c>
      <c r="I10" s="726" t="s">
        <v>1011</v>
      </c>
      <c r="J10" s="727">
        <f>VLOOKUP(A10,'Trial Balance June 2025'!$A$7:$S$522,17,0)</f>
        <v>0</v>
      </c>
      <c r="K10" s="727">
        <f>VLOOKUP(A10,'Trial Balance June 2025'!$A$8:$S$522,18,0)</f>
        <v>809205</v>
      </c>
      <c r="L10" s="727">
        <v>0</v>
      </c>
      <c r="M10" s="727">
        <v>0</v>
      </c>
      <c r="N10" s="727">
        <f t="shared" si="2"/>
        <v>0</v>
      </c>
      <c r="O10" s="727">
        <f t="shared" si="3"/>
        <v>809205</v>
      </c>
      <c r="P10" s="742">
        <f t="shared" si="4"/>
        <v>-809205</v>
      </c>
      <c r="S10" s="299"/>
    </row>
    <row r="11" spans="1:19" ht="29.5" thickBot="1">
      <c r="A11" s="725" t="s">
        <v>681</v>
      </c>
      <c r="B11" s="725"/>
      <c r="C11" s="726" t="s">
        <v>1582</v>
      </c>
      <c r="D11" s="726" t="str">
        <f t="shared" si="1"/>
        <v>1-01-01-02-011PILER TDH &amp; MI BH A/C.818-09-7</v>
      </c>
      <c r="E11" s="422" t="s">
        <v>1051</v>
      </c>
      <c r="F11" s="412" t="s">
        <v>466</v>
      </c>
      <c r="G11" s="412" t="s">
        <v>1052</v>
      </c>
      <c r="H11" s="412" t="s">
        <v>1053</v>
      </c>
      <c r="I11" s="726" t="s">
        <v>1020</v>
      </c>
      <c r="J11" s="727">
        <f>VLOOKUP(A11,'Trial Balance June 2025'!$A$7:$S$522,17,0)</f>
        <v>0</v>
      </c>
      <c r="K11" s="727"/>
      <c r="L11" s="727">
        <v>0</v>
      </c>
      <c r="M11" s="727">
        <v>0</v>
      </c>
      <c r="N11" s="727">
        <f t="shared" si="2"/>
        <v>0</v>
      </c>
      <c r="O11" s="727">
        <f t="shared" si="3"/>
        <v>0</v>
      </c>
      <c r="P11" s="742">
        <f t="shared" si="4"/>
        <v>0</v>
      </c>
      <c r="S11" s="299"/>
    </row>
    <row r="12" spans="1:19" ht="29.5" thickBot="1">
      <c r="A12" s="725" t="s">
        <v>682</v>
      </c>
      <c r="B12" s="725"/>
      <c r="C12" s="726" t="s">
        <v>1583</v>
      </c>
      <c r="D12" s="726" t="str">
        <f t="shared" si="1"/>
        <v>1-01-01-02-012PILER UBL-012-1940-6</v>
      </c>
      <c r="E12" s="422" t="s">
        <v>1051</v>
      </c>
      <c r="F12" s="412" t="s">
        <v>466</v>
      </c>
      <c r="G12" s="412" t="s">
        <v>1052</v>
      </c>
      <c r="H12" s="412" t="s">
        <v>1053</v>
      </c>
      <c r="I12" s="726" t="s">
        <v>974</v>
      </c>
      <c r="J12" s="727">
        <f>VLOOKUP(A12,'Trial Balance June 2025'!$A$7:$S$522,17,0)</f>
        <v>62500</v>
      </c>
      <c r="K12" s="727">
        <f>VLOOKUP(A12,'Trial Balance June 2025'!$A$8:$S$522,18,0)</f>
        <v>0</v>
      </c>
      <c r="L12" s="727">
        <v>0</v>
      </c>
      <c r="M12" s="727">
        <v>0</v>
      </c>
      <c r="N12" s="727">
        <f t="shared" si="2"/>
        <v>62500</v>
      </c>
      <c r="O12" s="727">
        <f t="shared" si="3"/>
        <v>0</v>
      </c>
      <c r="P12" s="742">
        <f t="shared" si="4"/>
        <v>62500</v>
      </c>
      <c r="S12" s="299"/>
    </row>
    <row r="13" spans="1:19" ht="29.5" thickBot="1">
      <c r="A13" s="725" t="s">
        <v>683</v>
      </c>
      <c r="B13" s="725"/>
      <c r="C13" s="726" t="s">
        <v>1584</v>
      </c>
      <c r="D13" s="726" t="str">
        <f t="shared" si="1"/>
        <v>1-01-01-02-013PILER UBL-012-1707-3</v>
      </c>
      <c r="E13" s="422" t="s">
        <v>1051</v>
      </c>
      <c r="F13" s="412" t="s">
        <v>466</v>
      </c>
      <c r="G13" s="412" t="s">
        <v>1052</v>
      </c>
      <c r="H13" s="412" t="s">
        <v>1053</v>
      </c>
      <c r="I13" s="726" t="s">
        <v>974</v>
      </c>
      <c r="J13" s="727">
        <f>VLOOKUP(A13,'Trial Balance June 2025'!$A$7:$S$522,17,0)</f>
        <v>51853</v>
      </c>
      <c r="K13" s="727">
        <f>VLOOKUP(A13,'Trial Balance June 2025'!$A$8:$S$522,18,0)</f>
        <v>0</v>
      </c>
      <c r="L13" s="727">
        <v>0</v>
      </c>
      <c r="M13" s="727">
        <v>0</v>
      </c>
      <c r="N13" s="727">
        <f t="shared" si="2"/>
        <v>51853</v>
      </c>
      <c r="O13" s="727">
        <f t="shared" si="3"/>
        <v>0</v>
      </c>
      <c r="P13" s="742">
        <f t="shared" si="4"/>
        <v>51853</v>
      </c>
      <c r="S13" s="299"/>
    </row>
    <row r="14" spans="1:19" ht="29.5" thickBot="1">
      <c r="A14" s="725" t="s">
        <v>684</v>
      </c>
      <c r="B14" s="725"/>
      <c r="C14" s="726" t="s">
        <v>1585</v>
      </c>
      <c r="D14" s="726" t="str">
        <f t="shared" si="1"/>
        <v>1-01-01-02-015PILER FNV PROJECT 06-0</v>
      </c>
      <c r="E14" s="422" t="s">
        <v>1051</v>
      </c>
      <c r="F14" s="412" t="s">
        <v>466</v>
      </c>
      <c r="G14" s="412" t="s">
        <v>1052</v>
      </c>
      <c r="H14" s="412" t="s">
        <v>1053</v>
      </c>
      <c r="I14" s="726" t="s">
        <v>974</v>
      </c>
      <c r="J14" s="727">
        <f>VLOOKUP(A14,'Trial Balance June 2025'!$A$7:$S$522,17,0)</f>
        <v>15489</v>
      </c>
      <c r="K14" s="727">
        <f>VLOOKUP(A14,'Trial Balance June 2025'!$A$8:$S$522,18,0)</f>
        <v>0</v>
      </c>
      <c r="L14" s="727">
        <v>0</v>
      </c>
      <c r="M14" s="727">
        <v>0</v>
      </c>
      <c r="N14" s="727">
        <f t="shared" si="2"/>
        <v>15489</v>
      </c>
      <c r="O14" s="727">
        <f t="shared" si="3"/>
        <v>0</v>
      </c>
      <c r="P14" s="742">
        <f t="shared" si="4"/>
        <v>15489</v>
      </c>
      <c r="S14" s="299"/>
    </row>
    <row r="15" spans="1:19" ht="29.5" thickBot="1">
      <c r="A15" s="725" t="s">
        <v>685</v>
      </c>
      <c r="B15" s="725"/>
      <c r="C15" s="726" t="s">
        <v>1586</v>
      </c>
      <c r="D15" s="726" t="str">
        <f t="shared" si="1"/>
        <v>1-01-01-02-016PILER EU PROJECT BAHL-GJ 06-2</v>
      </c>
      <c r="E15" s="422" t="s">
        <v>1051</v>
      </c>
      <c r="F15" s="412" t="s">
        <v>466</v>
      </c>
      <c r="G15" s="412" t="s">
        <v>1052</v>
      </c>
      <c r="H15" s="412" t="s">
        <v>1053</v>
      </c>
      <c r="I15" s="726" t="s">
        <v>974</v>
      </c>
      <c r="J15" s="727">
        <f>VLOOKUP(A15,'Trial Balance June 2025'!$A$7:$S$522,17,0)</f>
        <v>29198</v>
      </c>
      <c r="K15" s="727">
        <f>VLOOKUP(A15,'Trial Balance June 2025'!$A$8:$S$522,18,0)</f>
        <v>0</v>
      </c>
      <c r="L15" s="727">
        <v>0</v>
      </c>
      <c r="M15" s="727">
        <v>0</v>
      </c>
      <c r="N15" s="727">
        <f t="shared" si="2"/>
        <v>29198</v>
      </c>
      <c r="O15" s="727">
        <f t="shared" si="3"/>
        <v>0</v>
      </c>
      <c r="P15" s="742">
        <f t="shared" si="4"/>
        <v>29198</v>
      </c>
    </row>
    <row r="16" spans="1:19" ht="29.5" thickBot="1">
      <c r="A16" s="725" t="s">
        <v>686</v>
      </c>
      <c r="B16" s="725"/>
      <c r="C16" s="726" t="s">
        <v>1587</v>
      </c>
      <c r="D16" s="726" t="str">
        <f t="shared" si="1"/>
        <v>1-01-01-02-020PILER BAH-A/C.0081-004762-01-0</v>
      </c>
      <c r="E16" s="422" t="s">
        <v>1051</v>
      </c>
      <c r="F16" s="412" t="s">
        <v>466</v>
      </c>
      <c r="G16" s="412" t="s">
        <v>1052</v>
      </c>
      <c r="H16" s="412" t="s">
        <v>1053</v>
      </c>
      <c r="I16" s="726" t="s">
        <v>974</v>
      </c>
      <c r="J16" s="727">
        <f>VLOOKUP(A16,'Trial Balance June 2025'!$A$7:$S$522,17,0)</f>
        <v>66295094.659999996</v>
      </c>
      <c r="K16" s="727">
        <f>VLOOKUP(A16,'Trial Balance June 2025'!$A$8:$S$522,18,0)</f>
        <v>60963110.640000001</v>
      </c>
      <c r="L16" s="727">
        <v>19887862.510000002</v>
      </c>
      <c r="M16" s="727">
        <v>20628914.25</v>
      </c>
      <c r="N16" s="727">
        <f t="shared" si="2"/>
        <v>86182957.170000002</v>
      </c>
      <c r="O16" s="727">
        <f t="shared" si="3"/>
        <v>81592024.890000001</v>
      </c>
      <c r="P16" s="742">
        <f t="shared" si="4"/>
        <v>4590932.2800000012</v>
      </c>
    </row>
    <row r="17" spans="1:16" ht="29.5" thickBot="1">
      <c r="A17" s="725" t="s">
        <v>687</v>
      </c>
      <c r="B17" s="725"/>
      <c r="C17" s="726" t="s">
        <v>1588</v>
      </c>
      <c r="D17" s="726" t="str">
        <f t="shared" si="1"/>
        <v>1-01-01-02-021PILER TAF BAH-0081-004762-02-1</v>
      </c>
      <c r="E17" s="422" t="s">
        <v>1051</v>
      </c>
      <c r="F17" s="412" t="s">
        <v>466</v>
      </c>
      <c r="G17" s="412" t="s">
        <v>1052</v>
      </c>
      <c r="H17" s="412" t="s">
        <v>1053</v>
      </c>
      <c r="I17" s="726" t="s">
        <v>1012</v>
      </c>
      <c r="J17" s="727">
        <f>VLOOKUP(A17,'Trial Balance June 2025'!$A$7:$S$522,17,0)</f>
        <v>381581.2</v>
      </c>
      <c r="K17" s="727">
        <f>VLOOKUP(A17,'Trial Balance June 2025'!$A$8:$S$522,18,0)</f>
        <v>79.099999999999994</v>
      </c>
      <c r="L17" s="727">
        <v>0</v>
      </c>
      <c r="M17" s="727">
        <v>0</v>
      </c>
      <c r="N17" s="727">
        <f t="shared" si="2"/>
        <v>381581.2</v>
      </c>
      <c r="O17" s="727">
        <f t="shared" si="3"/>
        <v>79.099999999999994</v>
      </c>
      <c r="P17" s="742">
        <f t="shared" si="4"/>
        <v>381502.10000000003</v>
      </c>
    </row>
    <row r="18" spans="1:16" ht="29.5" thickBot="1">
      <c r="A18" s="725" t="s">
        <v>687</v>
      </c>
      <c r="B18" s="725"/>
      <c r="C18" s="726" t="s">
        <v>1588</v>
      </c>
      <c r="D18" s="726" t="str">
        <f t="shared" si="1"/>
        <v>1-01-01-02-021PILER TAF BAH-0081-004762-02-1</v>
      </c>
      <c r="E18" s="422" t="s">
        <v>1051</v>
      </c>
      <c r="F18" s="412" t="s">
        <v>466</v>
      </c>
      <c r="G18" s="412" t="s">
        <v>1052</v>
      </c>
      <c r="H18" s="412" t="s">
        <v>1053</v>
      </c>
      <c r="I18" s="726" t="s">
        <v>1019</v>
      </c>
      <c r="J18" s="727"/>
      <c r="K18" s="727"/>
      <c r="L18" s="727">
        <v>0</v>
      </c>
      <c r="M18" s="727">
        <v>0</v>
      </c>
      <c r="N18" s="727">
        <f t="shared" si="2"/>
        <v>0</v>
      </c>
      <c r="O18" s="727">
        <f t="shared" si="3"/>
        <v>0</v>
      </c>
      <c r="P18" s="742">
        <f t="shared" si="4"/>
        <v>0</v>
      </c>
    </row>
    <row r="19" spans="1:16" ht="29.5" thickBot="1">
      <c r="A19" s="725" t="s">
        <v>688</v>
      </c>
      <c r="B19" s="725"/>
      <c r="C19" s="726" t="s">
        <v>1589</v>
      </c>
      <c r="D19" s="726" t="str">
        <f t="shared" si="1"/>
        <v>1-01-01-02-022BANK UNICEF-0081-004762-04-3</v>
      </c>
      <c r="E19" s="422" t="s">
        <v>1051</v>
      </c>
      <c r="F19" s="412" t="s">
        <v>466</v>
      </c>
      <c r="G19" s="412" t="s">
        <v>1052</v>
      </c>
      <c r="H19" s="412" t="s">
        <v>1053</v>
      </c>
      <c r="I19" s="726" t="s">
        <v>974</v>
      </c>
      <c r="J19" s="727">
        <f>VLOOKUP(A19,'Trial Balance June 2025'!$A$7:$S$522,17,0)</f>
        <v>351956.05</v>
      </c>
      <c r="K19" s="727">
        <f>VLOOKUP(A19,'Trial Balance June 2025'!$A$8:$S$522,18,0)</f>
        <v>347588.39999999997</v>
      </c>
      <c r="L19" s="727">
        <v>0</v>
      </c>
      <c r="M19" s="727">
        <v>0</v>
      </c>
      <c r="N19" s="727">
        <f t="shared" si="2"/>
        <v>351956.05</v>
      </c>
      <c r="O19" s="727">
        <f t="shared" si="3"/>
        <v>347588.39999999997</v>
      </c>
      <c r="P19" s="742">
        <f t="shared" si="4"/>
        <v>4367.6500000000233</v>
      </c>
    </row>
    <row r="20" spans="1:16" ht="29.5" thickBot="1">
      <c r="A20" s="725" t="s">
        <v>688</v>
      </c>
      <c r="B20" s="725"/>
      <c r="C20" s="726" t="s">
        <v>1589</v>
      </c>
      <c r="D20" s="726" t="str">
        <f t="shared" si="1"/>
        <v>1-01-01-02-022BANK UNICEF-0081-004762-04-3</v>
      </c>
      <c r="E20" s="422" t="s">
        <v>1051</v>
      </c>
      <c r="F20" s="412" t="s">
        <v>466</v>
      </c>
      <c r="G20" s="412" t="s">
        <v>1052</v>
      </c>
      <c r="H20" s="412" t="s">
        <v>1053</v>
      </c>
      <c r="I20" s="726" t="s">
        <v>1021</v>
      </c>
      <c r="J20" s="727"/>
      <c r="K20" s="727"/>
      <c r="L20" s="727">
        <v>0</v>
      </c>
      <c r="M20" s="727">
        <v>0</v>
      </c>
      <c r="N20" s="727">
        <f t="shared" si="2"/>
        <v>0</v>
      </c>
      <c r="O20" s="727">
        <f t="shared" si="3"/>
        <v>0</v>
      </c>
      <c r="P20" s="742">
        <f t="shared" si="4"/>
        <v>0</v>
      </c>
    </row>
    <row r="21" spans="1:16" ht="29.5" thickBot="1">
      <c r="A21" s="725" t="s">
        <v>688</v>
      </c>
      <c r="B21" s="725"/>
      <c r="C21" s="726" t="s">
        <v>1589</v>
      </c>
      <c r="D21" s="726" t="str">
        <f t="shared" si="1"/>
        <v>1-01-01-02-022BANK UNICEF-0081-004762-04-3</v>
      </c>
      <c r="E21" s="422" t="s">
        <v>1051</v>
      </c>
      <c r="F21" s="412" t="s">
        <v>466</v>
      </c>
      <c r="G21" s="412" t="s">
        <v>1052</v>
      </c>
      <c r="H21" s="412" t="s">
        <v>1053</v>
      </c>
      <c r="I21" s="726" t="s">
        <v>1025</v>
      </c>
      <c r="J21" s="727">
        <f>VLOOKUP(A21,'Trial Balance June 2025'!$A$7:$S$522,17,0)</f>
        <v>351956.05</v>
      </c>
      <c r="K21" s="727">
        <f>VLOOKUP(A21,'Trial Balance June 2025'!$A$8:$S$522,18,0)</f>
        <v>347588.39999999997</v>
      </c>
      <c r="L21" s="727">
        <v>0</v>
      </c>
      <c r="M21" s="727">
        <v>0</v>
      </c>
      <c r="N21" s="727">
        <f t="shared" si="2"/>
        <v>351956.05</v>
      </c>
      <c r="O21" s="727">
        <f t="shared" si="3"/>
        <v>347588.39999999997</v>
      </c>
      <c r="P21" s="742">
        <f t="shared" si="4"/>
        <v>4367.6500000000233</v>
      </c>
    </row>
    <row r="22" spans="1:16" ht="29.5" thickBot="1">
      <c r="A22" s="725" t="s">
        <v>689</v>
      </c>
      <c r="B22" s="725"/>
      <c r="C22" s="726" t="s">
        <v>1590</v>
      </c>
      <c r="D22" s="726" t="str">
        <f t="shared" si="1"/>
        <v>1-01-01-02-023BANK TROCAIRE-0081-004762-06-5</v>
      </c>
      <c r="E22" s="422" t="s">
        <v>1051</v>
      </c>
      <c r="F22" s="412" t="s">
        <v>466</v>
      </c>
      <c r="G22" s="412" t="s">
        <v>1052</v>
      </c>
      <c r="H22" s="412" t="s">
        <v>1053</v>
      </c>
      <c r="I22" s="726" t="s">
        <v>1013</v>
      </c>
      <c r="J22" s="727">
        <f>VLOOKUP(A22,'Trial Balance June 2025'!$A$7:$S$522,17,0)</f>
        <v>100.6</v>
      </c>
      <c r="K22" s="727">
        <f>VLOOKUP(A22,'Trial Balance June 2025'!$A$8:$S$522,18,0)</f>
        <v>79.099999999999994</v>
      </c>
      <c r="L22" s="727">
        <v>0</v>
      </c>
      <c r="M22" s="727">
        <v>0</v>
      </c>
      <c r="N22" s="727">
        <f t="shared" si="2"/>
        <v>100.6</v>
      </c>
      <c r="O22" s="727">
        <f t="shared" si="3"/>
        <v>79.099999999999994</v>
      </c>
      <c r="P22" s="742">
        <f t="shared" si="4"/>
        <v>21.5</v>
      </c>
    </row>
    <row r="23" spans="1:16" ht="29.5" thickBot="1">
      <c r="A23" s="725" t="s">
        <v>689</v>
      </c>
      <c r="B23" s="725"/>
      <c r="C23" s="726" t="s">
        <v>1590</v>
      </c>
      <c r="D23" s="726" t="str">
        <f t="shared" si="1"/>
        <v>1-01-01-02-023BANK TROCAIRE-0081-004762-06-5</v>
      </c>
      <c r="E23" s="422" t="s">
        <v>1051</v>
      </c>
      <c r="F23" s="412" t="s">
        <v>466</v>
      </c>
      <c r="G23" s="412" t="s">
        <v>1052</v>
      </c>
      <c r="H23" s="412" t="s">
        <v>1053</v>
      </c>
      <c r="I23" s="726" t="s">
        <v>974</v>
      </c>
      <c r="J23" s="727"/>
      <c r="K23" s="727"/>
      <c r="L23" s="727">
        <v>0</v>
      </c>
      <c r="M23" s="727">
        <v>0</v>
      </c>
      <c r="N23" s="727">
        <f t="shared" si="2"/>
        <v>0</v>
      </c>
      <c r="O23" s="727">
        <f t="shared" si="3"/>
        <v>0</v>
      </c>
      <c r="P23" s="742">
        <f t="shared" si="4"/>
        <v>0</v>
      </c>
    </row>
    <row r="24" spans="1:16" ht="29.5" thickBot="1">
      <c r="A24" s="725" t="s">
        <v>689</v>
      </c>
      <c r="B24" s="725"/>
      <c r="C24" s="726" t="s">
        <v>1590</v>
      </c>
      <c r="D24" s="726" t="str">
        <f t="shared" si="1"/>
        <v>1-01-01-02-023BANK TROCAIRE-0081-004762-06-5</v>
      </c>
      <c r="E24" s="422" t="s">
        <v>1051</v>
      </c>
      <c r="F24" s="412" t="s">
        <v>466</v>
      </c>
      <c r="G24" s="412" t="s">
        <v>1052</v>
      </c>
      <c r="H24" s="412" t="s">
        <v>1053</v>
      </c>
      <c r="I24" s="726" t="s">
        <v>1026</v>
      </c>
      <c r="J24" s="727"/>
      <c r="K24" s="727"/>
      <c r="L24" s="727">
        <v>0</v>
      </c>
      <c r="M24" s="727">
        <v>0</v>
      </c>
      <c r="N24" s="727">
        <f t="shared" si="2"/>
        <v>0</v>
      </c>
      <c r="O24" s="727">
        <f t="shared" si="3"/>
        <v>0</v>
      </c>
      <c r="P24" s="742">
        <f t="shared" si="4"/>
        <v>0</v>
      </c>
    </row>
    <row r="25" spans="1:16" ht="29.5" thickBot="1">
      <c r="A25" s="725" t="s">
        <v>689</v>
      </c>
      <c r="B25" s="725"/>
      <c r="C25" s="726" t="s">
        <v>1590</v>
      </c>
      <c r="D25" s="726" t="str">
        <f t="shared" si="1"/>
        <v>1-01-01-02-023BANK TROCAIRE-0081-004762-06-5</v>
      </c>
      <c r="E25" s="422" t="s">
        <v>1051</v>
      </c>
      <c r="F25" s="412" t="s">
        <v>466</v>
      </c>
      <c r="G25" s="412" t="s">
        <v>1052</v>
      </c>
      <c r="H25" s="412" t="s">
        <v>1053</v>
      </c>
      <c r="I25" s="726" t="s">
        <v>992</v>
      </c>
      <c r="J25" s="727"/>
      <c r="K25" s="727"/>
      <c r="L25" s="727">
        <v>0</v>
      </c>
      <c r="M25" s="727">
        <v>0</v>
      </c>
      <c r="N25" s="727">
        <f t="shared" si="2"/>
        <v>0</v>
      </c>
      <c r="O25" s="727">
        <f t="shared" si="3"/>
        <v>0</v>
      </c>
      <c r="P25" s="742">
        <f t="shared" si="4"/>
        <v>0</v>
      </c>
    </row>
    <row r="26" spans="1:16" ht="29.5" thickBot="1">
      <c r="A26" s="725" t="s">
        <v>690</v>
      </c>
      <c r="B26" s="725"/>
      <c r="C26" s="726" t="s">
        <v>1591</v>
      </c>
      <c r="D26" s="726" t="str">
        <f t="shared" si="1"/>
        <v>1-01-01-02-024BANK TDH-0081-004762-05-4</v>
      </c>
      <c r="E26" s="422" t="s">
        <v>1051</v>
      </c>
      <c r="F26" s="412" t="s">
        <v>466</v>
      </c>
      <c r="G26" s="412" t="s">
        <v>1052</v>
      </c>
      <c r="H26" s="412" t="s">
        <v>1053</v>
      </c>
      <c r="I26" s="726" t="s">
        <v>1014</v>
      </c>
      <c r="J26" s="727">
        <f>VLOOKUP(A26,'Trial Balance June 2025'!$A$7:$S$522,17,0)</f>
        <v>100</v>
      </c>
      <c r="K26" s="727">
        <f>VLOOKUP(A26,'Trial Balance June 2025'!$A$8:$S$522,18,0)</f>
        <v>1024795.76</v>
      </c>
      <c r="L26" s="727">
        <v>0</v>
      </c>
      <c r="M26" s="727">
        <v>0</v>
      </c>
      <c r="N26" s="727">
        <f t="shared" si="2"/>
        <v>100</v>
      </c>
      <c r="O26" s="727">
        <f t="shared" si="3"/>
        <v>1024795.76</v>
      </c>
      <c r="P26" s="742">
        <f t="shared" si="4"/>
        <v>-1024695.76</v>
      </c>
    </row>
    <row r="27" spans="1:16" ht="29.5" thickBot="1">
      <c r="A27" s="725" t="s">
        <v>690</v>
      </c>
      <c r="B27" s="725"/>
      <c r="C27" s="726" t="s">
        <v>1591</v>
      </c>
      <c r="D27" s="726" t="str">
        <f t="shared" si="1"/>
        <v>1-01-01-02-024BANK TDH-0081-004762-05-4</v>
      </c>
      <c r="E27" s="422" t="s">
        <v>1051</v>
      </c>
      <c r="F27" s="412" t="s">
        <v>466</v>
      </c>
      <c r="G27" s="412" t="s">
        <v>1052</v>
      </c>
      <c r="H27" s="412" t="s">
        <v>1053</v>
      </c>
      <c r="I27" s="726" t="s">
        <v>974</v>
      </c>
      <c r="J27" s="727"/>
      <c r="K27" s="727"/>
      <c r="L27" s="727">
        <v>0</v>
      </c>
      <c r="M27" s="727">
        <v>0</v>
      </c>
      <c r="N27" s="727">
        <f t="shared" si="2"/>
        <v>0</v>
      </c>
      <c r="O27" s="727">
        <f t="shared" si="3"/>
        <v>0</v>
      </c>
      <c r="P27" s="742">
        <f t="shared" si="4"/>
        <v>0</v>
      </c>
    </row>
    <row r="28" spans="1:16" ht="29.5" thickBot="1">
      <c r="A28" s="725" t="s">
        <v>690</v>
      </c>
      <c r="B28" s="725"/>
      <c r="C28" s="726" t="s">
        <v>1591</v>
      </c>
      <c r="D28" s="726" t="str">
        <f t="shared" si="1"/>
        <v>1-01-01-02-024BANK TDH-0081-004762-05-4</v>
      </c>
      <c r="E28" s="422" t="s">
        <v>1051</v>
      </c>
      <c r="F28" s="412" t="s">
        <v>466</v>
      </c>
      <c r="G28" s="412" t="s">
        <v>1052</v>
      </c>
      <c r="H28" s="412" t="s">
        <v>1053</v>
      </c>
      <c r="I28" s="726" t="s">
        <v>1020</v>
      </c>
      <c r="J28" s="727"/>
      <c r="K28" s="727"/>
      <c r="L28" s="727">
        <v>0</v>
      </c>
      <c r="M28" s="727">
        <v>0</v>
      </c>
      <c r="N28" s="727">
        <f t="shared" si="2"/>
        <v>0</v>
      </c>
      <c r="O28" s="727">
        <f t="shared" si="3"/>
        <v>0</v>
      </c>
      <c r="P28" s="742">
        <f t="shared" si="4"/>
        <v>0</v>
      </c>
    </row>
    <row r="29" spans="1:16" ht="29.5" thickBot="1">
      <c r="A29" s="725" t="s">
        <v>690</v>
      </c>
      <c r="B29" s="725"/>
      <c r="C29" s="726" t="s">
        <v>1591</v>
      </c>
      <c r="D29" s="726" t="str">
        <f t="shared" si="1"/>
        <v>1-01-01-02-024BANK TDH-0081-004762-05-4</v>
      </c>
      <c r="E29" s="422" t="s">
        <v>1051</v>
      </c>
      <c r="F29" s="412" t="s">
        <v>466</v>
      </c>
      <c r="G29" s="412" t="s">
        <v>1052</v>
      </c>
      <c r="H29" s="412" t="s">
        <v>1053</v>
      </c>
      <c r="I29" s="726" t="s">
        <v>1027</v>
      </c>
      <c r="J29" s="727"/>
      <c r="K29" s="727"/>
      <c r="L29" s="727">
        <v>0</v>
      </c>
      <c r="M29" s="727">
        <v>0</v>
      </c>
      <c r="N29" s="727">
        <f t="shared" si="2"/>
        <v>0</v>
      </c>
      <c r="O29" s="727">
        <f t="shared" si="3"/>
        <v>0</v>
      </c>
      <c r="P29" s="742">
        <f t="shared" si="4"/>
        <v>0</v>
      </c>
    </row>
    <row r="30" spans="1:16" ht="29.5" thickBot="1">
      <c r="A30" s="725" t="s">
        <v>691</v>
      </c>
      <c r="B30" s="725"/>
      <c r="C30" s="726" t="s">
        <v>1592</v>
      </c>
      <c r="D30" s="726" t="str">
        <f t="shared" si="1"/>
        <v>1-01-01-02-025BANK GRATUITY-0081-004762-09-8</v>
      </c>
      <c r="E30" s="422" t="s">
        <v>1051</v>
      </c>
      <c r="F30" s="412" t="s">
        <v>466</v>
      </c>
      <c r="G30" s="412" t="s">
        <v>1052</v>
      </c>
      <c r="H30" s="412" t="s">
        <v>1053</v>
      </c>
      <c r="I30" s="726" t="s">
        <v>974</v>
      </c>
      <c r="J30" s="727"/>
      <c r="K30" s="727"/>
      <c r="L30" s="727">
        <v>0</v>
      </c>
      <c r="M30" s="727">
        <v>0</v>
      </c>
      <c r="N30" s="727">
        <f t="shared" si="2"/>
        <v>0</v>
      </c>
      <c r="O30" s="727">
        <f t="shared" si="3"/>
        <v>0</v>
      </c>
      <c r="P30" s="742">
        <f t="shared" si="4"/>
        <v>0</v>
      </c>
    </row>
    <row r="31" spans="1:16" ht="29.5" thickBot="1">
      <c r="A31" s="725" t="s">
        <v>691</v>
      </c>
      <c r="B31" s="725"/>
      <c r="C31" s="726" t="s">
        <v>1592</v>
      </c>
      <c r="D31" s="726" t="str">
        <f t="shared" si="1"/>
        <v>1-01-01-02-025BANK GRATUITY-0081-004762-09-8</v>
      </c>
      <c r="E31" s="422" t="s">
        <v>1051</v>
      </c>
      <c r="F31" s="412" t="s">
        <v>466</v>
      </c>
      <c r="G31" s="412" t="s">
        <v>1052</v>
      </c>
      <c r="H31" s="412" t="s">
        <v>1053</v>
      </c>
      <c r="I31" s="726" t="s">
        <v>1276</v>
      </c>
      <c r="J31" s="727"/>
      <c r="K31" s="727"/>
      <c r="L31" s="727">
        <v>0</v>
      </c>
      <c r="M31" s="727">
        <v>0</v>
      </c>
      <c r="N31" s="727">
        <f t="shared" si="2"/>
        <v>0</v>
      </c>
      <c r="O31" s="727">
        <f t="shared" si="3"/>
        <v>0</v>
      </c>
      <c r="P31" s="742">
        <f t="shared" si="4"/>
        <v>0</v>
      </c>
    </row>
    <row r="32" spans="1:16" ht="29.5" thickBot="1">
      <c r="A32" s="725" t="s">
        <v>691</v>
      </c>
      <c r="B32" s="725"/>
      <c r="C32" s="726" t="s">
        <v>1592</v>
      </c>
      <c r="D32" s="726" t="str">
        <f t="shared" si="1"/>
        <v>1-01-01-02-025BANK GRATUITY-0081-004762-09-8</v>
      </c>
      <c r="E32" s="422" t="s">
        <v>1051</v>
      </c>
      <c r="F32" s="412" t="s">
        <v>466</v>
      </c>
      <c r="G32" s="412" t="s">
        <v>1052</v>
      </c>
      <c r="H32" s="412" t="s">
        <v>1053</v>
      </c>
      <c r="I32" s="726" t="s">
        <v>1275</v>
      </c>
      <c r="J32" s="727">
        <f>VLOOKUP(A32,'Trial Balance June 2025'!$A$7:$S$522,17,0)</f>
        <v>22826301.579999998</v>
      </c>
      <c r="K32" s="727">
        <f>VLOOKUP(A32,'Trial Balance June 2025'!$A$8:$S$522,18,0)</f>
        <v>23721004.059999999</v>
      </c>
      <c r="L32" s="727">
        <v>11052908.869999999</v>
      </c>
      <c r="M32" s="727">
        <v>12216127.390000001</v>
      </c>
      <c r="N32" s="727">
        <f t="shared" si="2"/>
        <v>33879210.449999996</v>
      </c>
      <c r="O32" s="727">
        <f t="shared" si="3"/>
        <v>35937131.450000003</v>
      </c>
      <c r="P32" s="742">
        <f t="shared" si="4"/>
        <v>-2057921.0000000075</v>
      </c>
    </row>
    <row r="33" spans="1:16" ht="29.5" thickBot="1">
      <c r="A33" s="725" t="s">
        <v>691</v>
      </c>
      <c r="B33" s="725"/>
      <c r="C33" s="726" t="s">
        <v>1592</v>
      </c>
      <c r="D33" s="726" t="str">
        <f t="shared" si="1"/>
        <v>1-01-01-02-025BANK GRATUITY-0081-004762-09-8</v>
      </c>
      <c r="E33" s="422" t="s">
        <v>1051</v>
      </c>
      <c r="F33" s="412" t="s">
        <v>466</v>
      </c>
      <c r="G33" s="412" t="s">
        <v>1052</v>
      </c>
      <c r="H33" s="412" t="s">
        <v>1053</v>
      </c>
      <c r="I33" s="726" t="s">
        <v>1723</v>
      </c>
      <c r="J33" s="727"/>
      <c r="K33" s="727"/>
      <c r="L33" s="727">
        <v>12465578.85</v>
      </c>
      <c r="M33" s="727">
        <v>12795457.789999999</v>
      </c>
      <c r="N33" s="727">
        <f t="shared" si="2"/>
        <v>12465578.85</v>
      </c>
      <c r="O33" s="727">
        <f t="shared" si="3"/>
        <v>12795457.789999999</v>
      </c>
      <c r="P33" s="742">
        <f t="shared" si="4"/>
        <v>-329878.93999999948</v>
      </c>
    </row>
    <row r="34" spans="1:16" ht="29.5" thickBot="1">
      <c r="A34" s="725" t="s">
        <v>692</v>
      </c>
      <c r="B34" s="725"/>
      <c r="C34" s="726" t="s">
        <v>1593</v>
      </c>
      <c r="D34" s="726" t="str">
        <f t="shared" si="1"/>
        <v>1-01-01-02-027BANK DOLLAR-0112-004762-10-9</v>
      </c>
      <c r="E34" s="422" t="s">
        <v>1051</v>
      </c>
      <c r="F34" s="412" t="s">
        <v>466</v>
      </c>
      <c r="G34" s="412" t="s">
        <v>1052</v>
      </c>
      <c r="H34" s="412" t="s">
        <v>1053</v>
      </c>
      <c r="I34" s="726" t="s">
        <v>974</v>
      </c>
      <c r="J34" s="727">
        <f>VLOOKUP(A34,'Trial Balance June 2025'!$A$7:$S$522,17,0)</f>
        <v>6261.86</v>
      </c>
      <c r="K34" s="727">
        <f>VLOOKUP(A34,'Trial Balance June 2025'!$A$8:$S$522,18,0)</f>
        <v>0</v>
      </c>
      <c r="L34" s="727">
        <v>0</v>
      </c>
      <c r="M34" s="727">
        <v>0</v>
      </c>
      <c r="N34" s="727">
        <f t="shared" si="2"/>
        <v>6261.86</v>
      </c>
      <c r="O34" s="727">
        <f t="shared" si="3"/>
        <v>0</v>
      </c>
      <c r="P34" s="742">
        <f t="shared" si="4"/>
        <v>6261.86</v>
      </c>
    </row>
    <row r="35" spans="1:16" ht="29.5" thickBot="1">
      <c r="A35" s="725" t="s">
        <v>693</v>
      </c>
      <c r="B35" s="725"/>
      <c r="C35" s="726" t="s">
        <v>1594</v>
      </c>
      <c r="D35" s="726" t="str">
        <f t="shared" si="1"/>
        <v>1-01-01-02-029BANK ICCO PAK-0081-004762-08-7</v>
      </c>
      <c r="E35" s="422" t="s">
        <v>1051</v>
      </c>
      <c r="F35" s="412" t="s">
        <v>466</v>
      </c>
      <c r="G35" s="412" t="s">
        <v>1052</v>
      </c>
      <c r="H35" s="412" t="s">
        <v>1053</v>
      </c>
      <c r="I35" s="726" t="s">
        <v>1015</v>
      </c>
      <c r="J35" s="727">
        <f>VLOOKUP(A35,'Trial Balance June 2025'!$A$7:$S$522,17,0)</f>
        <v>70646.14</v>
      </c>
      <c r="K35" s="727">
        <f>VLOOKUP(A35,'Trial Balance June 2025'!$A$8:$S$522,18,0)</f>
        <v>79.099999999999994</v>
      </c>
      <c r="L35" s="727">
        <v>0</v>
      </c>
      <c r="M35" s="727">
        <v>0</v>
      </c>
      <c r="N35" s="727">
        <f t="shared" si="2"/>
        <v>70646.14</v>
      </c>
      <c r="O35" s="727">
        <f t="shared" si="3"/>
        <v>79.099999999999994</v>
      </c>
      <c r="P35" s="742">
        <f t="shared" si="4"/>
        <v>70567.039999999994</v>
      </c>
    </row>
    <row r="36" spans="1:16" ht="29.5" thickBot="1">
      <c r="A36" s="725" t="s">
        <v>693</v>
      </c>
      <c r="B36" s="725"/>
      <c r="C36" s="726" t="s">
        <v>1594</v>
      </c>
      <c r="D36" s="726" t="str">
        <f t="shared" si="1"/>
        <v>1-01-01-02-029BANK ICCO PAK-0081-004762-08-7</v>
      </c>
      <c r="E36" s="422" t="s">
        <v>1051</v>
      </c>
      <c r="F36" s="412" t="s">
        <v>466</v>
      </c>
      <c r="G36" s="412" t="s">
        <v>1052</v>
      </c>
      <c r="H36" s="412" t="s">
        <v>1053</v>
      </c>
      <c r="I36" s="726" t="s">
        <v>2072</v>
      </c>
      <c r="J36" s="727"/>
      <c r="K36" s="727"/>
      <c r="L36" s="727">
        <v>0</v>
      </c>
      <c r="M36" s="727">
        <v>0</v>
      </c>
      <c r="N36" s="727">
        <f t="shared" si="2"/>
        <v>0</v>
      </c>
      <c r="O36" s="727">
        <f t="shared" si="3"/>
        <v>0</v>
      </c>
      <c r="P36" s="742">
        <f t="shared" si="4"/>
        <v>0</v>
      </c>
    </row>
    <row r="37" spans="1:16" ht="29.5" thickBot="1">
      <c r="A37" s="725" t="s">
        <v>694</v>
      </c>
      <c r="B37" s="725"/>
      <c r="C37" s="726" t="s">
        <v>1595</v>
      </c>
      <c r="D37" s="726" t="str">
        <f t="shared" si="1"/>
        <v>1-01-01-02-030BANK TDH PAK-0081-004762-03-2</v>
      </c>
      <c r="E37" s="422" t="s">
        <v>1051</v>
      </c>
      <c r="F37" s="412" t="s">
        <v>466</v>
      </c>
      <c r="G37" s="412" t="s">
        <v>1052</v>
      </c>
      <c r="H37" s="412" t="s">
        <v>1053</v>
      </c>
      <c r="I37" s="726" t="s">
        <v>1016</v>
      </c>
      <c r="J37" s="727">
        <f>VLOOKUP(A37,'Trial Balance June 2025'!$A$7:$S$522,17,0)</f>
        <v>260.10000000000002</v>
      </c>
      <c r="K37" s="727">
        <f>VLOOKUP(A37,'Trial Balance June 2025'!$A$8:$S$522,18,0)</f>
        <v>0</v>
      </c>
      <c r="L37" s="727">
        <v>0</v>
      </c>
      <c r="M37" s="727">
        <v>0</v>
      </c>
      <c r="N37" s="727">
        <f t="shared" si="2"/>
        <v>260.10000000000002</v>
      </c>
      <c r="O37" s="727">
        <f t="shared" si="3"/>
        <v>0</v>
      </c>
      <c r="P37" s="742">
        <f t="shared" si="4"/>
        <v>260.10000000000002</v>
      </c>
    </row>
    <row r="38" spans="1:16" ht="29.5" thickBot="1">
      <c r="A38" s="725" t="s">
        <v>694</v>
      </c>
      <c r="B38" s="725"/>
      <c r="C38" s="726" t="s">
        <v>1595</v>
      </c>
      <c r="D38" s="726" t="str">
        <f t="shared" si="1"/>
        <v>1-01-01-02-030BANK TDH PAK-0081-004762-03-2</v>
      </c>
      <c r="E38" s="422" t="s">
        <v>1051</v>
      </c>
      <c r="F38" s="412" t="s">
        <v>466</v>
      </c>
      <c r="G38" s="413" t="s">
        <v>1052</v>
      </c>
      <c r="H38" s="412" t="s">
        <v>1053</v>
      </c>
      <c r="I38" s="726" t="s">
        <v>1024</v>
      </c>
      <c r="J38" s="727"/>
      <c r="K38" s="727">
        <f>VLOOKUP(A38,'Trial Balance June 2025'!$A$8:$S$522,18,0)</f>
        <v>0</v>
      </c>
      <c r="L38" s="727">
        <v>0</v>
      </c>
      <c r="M38" s="727">
        <v>0</v>
      </c>
      <c r="N38" s="727">
        <f t="shared" si="2"/>
        <v>0</v>
      </c>
      <c r="O38" s="727">
        <f t="shared" si="3"/>
        <v>0</v>
      </c>
      <c r="P38" s="742">
        <f t="shared" si="4"/>
        <v>0</v>
      </c>
    </row>
    <row r="39" spans="1:16" ht="29.5" thickBot="1">
      <c r="A39" s="725" t="s">
        <v>695</v>
      </c>
      <c r="B39" s="725"/>
      <c r="C39" s="726" t="s">
        <v>1596</v>
      </c>
      <c r="D39" s="726" t="str">
        <f t="shared" si="1"/>
        <v>1-01-01-02-031BANK SMALL PR-0081-004762-07-6</v>
      </c>
      <c r="E39" s="422" t="s">
        <v>1051</v>
      </c>
      <c r="F39" s="412" t="s">
        <v>466</v>
      </c>
      <c r="G39" s="412" t="s">
        <v>1052</v>
      </c>
      <c r="H39" s="412" t="s">
        <v>1053</v>
      </c>
      <c r="I39" s="726" t="s">
        <v>974</v>
      </c>
      <c r="J39" s="727">
        <f>VLOOKUP(A39,'Trial Balance June 2025'!$A$7:$S$522,17,0)</f>
        <v>13399790.25</v>
      </c>
      <c r="K39" s="727">
        <f>VLOOKUP(A39,'Trial Balance June 2025'!$A$8:$S$522,18,0)</f>
        <v>13189765.82</v>
      </c>
      <c r="L39" s="727">
        <v>0</v>
      </c>
      <c r="M39" s="727">
        <v>0</v>
      </c>
      <c r="N39" s="727">
        <f t="shared" si="2"/>
        <v>13399790.25</v>
      </c>
      <c r="O39" s="727">
        <f t="shared" si="3"/>
        <v>13189765.82</v>
      </c>
      <c r="P39" s="742">
        <f t="shared" si="4"/>
        <v>210024.4299999997</v>
      </c>
    </row>
    <row r="40" spans="1:16" ht="29.5" thickBot="1">
      <c r="A40" s="725" t="s">
        <v>695</v>
      </c>
      <c r="B40" s="725"/>
      <c r="C40" s="726" t="s">
        <v>1596</v>
      </c>
      <c r="D40" s="726" t="str">
        <f t="shared" si="1"/>
        <v>1-01-01-02-031BANK SMALL PR-0081-004762-07-6</v>
      </c>
      <c r="E40" s="422" t="s">
        <v>1051</v>
      </c>
      <c r="F40" s="412" t="s">
        <v>466</v>
      </c>
      <c r="G40" s="412" t="s">
        <v>1052</v>
      </c>
      <c r="H40" s="412" t="s">
        <v>1053</v>
      </c>
      <c r="I40" s="726" t="s">
        <v>1276</v>
      </c>
      <c r="J40" s="727"/>
      <c r="K40" s="727"/>
      <c r="L40" s="727">
        <v>0</v>
      </c>
      <c r="M40" s="727">
        <v>0</v>
      </c>
      <c r="N40" s="727">
        <f t="shared" si="2"/>
        <v>0</v>
      </c>
      <c r="O40" s="727">
        <f t="shared" si="3"/>
        <v>0</v>
      </c>
      <c r="P40" s="742">
        <f t="shared" si="4"/>
        <v>0</v>
      </c>
    </row>
    <row r="41" spans="1:16" ht="29.5" thickBot="1">
      <c r="A41" s="725" t="s">
        <v>695</v>
      </c>
      <c r="B41" s="725"/>
      <c r="C41" s="726" t="s">
        <v>1596</v>
      </c>
      <c r="D41" s="726" t="str">
        <f t="shared" si="1"/>
        <v>1-01-01-02-031BANK SMALL PR-0081-004762-07-6</v>
      </c>
      <c r="E41" s="422" t="s">
        <v>1051</v>
      </c>
      <c r="F41" s="412" t="s">
        <v>466</v>
      </c>
      <c r="G41" s="413" t="s">
        <v>1057</v>
      </c>
      <c r="H41" s="412" t="s">
        <v>1053</v>
      </c>
      <c r="I41" s="726" t="s">
        <v>992</v>
      </c>
      <c r="J41" s="727"/>
      <c r="K41" s="727"/>
      <c r="L41" s="727">
        <v>0</v>
      </c>
      <c r="M41" s="727">
        <v>0</v>
      </c>
      <c r="N41" s="727">
        <f t="shared" si="2"/>
        <v>0</v>
      </c>
      <c r="O41" s="727">
        <f t="shared" si="3"/>
        <v>0</v>
      </c>
      <c r="P41" s="742">
        <f t="shared" si="4"/>
        <v>0</v>
      </c>
    </row>
    <row r="42" spans="1:16" ht="15" thickBot="1">
      <c r="A42" s="725" t="s">
        <v>696</v>
      </c>
      <c r="B42" s="725"/>
      <c r="C42" s="726" t="s">
        <v>2073</v>
      </c>
      <c r="D42" s="726" t="s">
        <v>508</v>
      </c>
      <c r="E42" s="422" t="s">
        <v>330</v>
      </c>
      <c r="F42" s="412" t="s">
        <v>330</v>
      </c>
      <c r="G42" s="413" t="s">
        <v>330</v>
      </c>
      <c r="H42" s="412" t="s">
        <v>330</v>
      </c>
      <c r="I42" s="726" t="s">
        <v>974</v>
      </c>
      <c r="J42" s="727">
        <f>VLOOKUP(A42,'Trial Balance June 2025'!$A$7:$S$522,17,0)</f>
        <v>0</v>
      </c>
      <c r="K42" s="727">
        <f>VLOOKUP(A42,'Trial Balance June 2025'!$A$8:$S$522,18,0)</f>
        <v>14070</v>
      </c>
      <c r="L42" s="727">
        <v>0</v>
      </c>
      <c r="M42" s="727">
        <v>0</v>
      </c>
      <c r="N42" s="727">
        <f t="shared" si="2"/>
        <v>0</v>
      </c>
      <c r="O42" s="727">
        <f t="shared" si="3"/>
        <v>14070</v>
      </c>
      <c r="P42" s="742">
        <f t="shared" si="4"/>
        <v>-14070</v>
      </c>
    </row>
    <row r="43" spans="1:16" ht="15" thickBot="1">
      <c r="A43" s="725" t="s">
        <v>697</v>
      </c>
      <c r="B43" s="725"/>
      <c r="C43" s="726" t="s">
        <v>1597</v>
      </c>
      <c r="D43" s="726" t="s">
        <v>508</v>
      </c>
      <c r="E43" s="422" t="s">
        <v>330</v>
      </c>
      <c r="F43" s="412" t="s">
        <v>330</v>
      </c>
      <c r="G43" s="413" t="s">
        <v>330</v>
      </c>
      <c r="H43" s="412" t="s">
        <v>330</v>
      </c>
      <c r="I43" s="726" t="s">
        <v>1014</v>
      </c>
      <c r="J43" s="727">
        <f>VLOOKUP(A43,'Trial Balance June 2025'!$A$7:$S$522,17,0)</f>
        <v>7638</v>
      </c>
      <c r="K43" s="727">
        <f>VLOOKUP(A43,'Trial Balance June 2025'!$A$8:$S$522,18,0)</f>
        <v>0</v>
      </c>
      <c r="L43" s="727">
        <v>0</v>
      </c>
      <c r="M43" s="727">
        <v>0</v>
      </c>
      <c r="N43" s="727">
        <f t="shared" si="2"/>
        <v>7638</v>
      </c>
      <c r="O43" s="727">
        <f t="shared" si="3"/>
        <v>0</v>
      </c>
      <c r="P43" s="742">
        <f t="shared" si="4"/>
        <v>7638</v>
      </c>
    </row>
    <row r="44" spans="1:16" ht="15" thickBot="1">
      <c r="A44" s="725" t="s">
        <v>697</v>
      </c>
      <c r="B44" s="725"/>
      <c r="C44" s="726" t="s">
        <v>1597</v>
      </c>
      <c r="D44" s="726" t="s">
        <v>508</v>
      </c>
      <c r="E44" s="422" t="s">
        <v>330</v>
      </c>
      <c r="F44" s="412" t="s">
        <v>330</v>
      </c>
      <c r="G44" s="413" t="s">
        <v>330</v>
      </c>
      <c r="H44" s="412" t="s">
        <v>330</v>
      </c>
      <c r="I44" s="726" t="s">
        <v>974</v>
      </c>
      <c r="J44" s="727"/>
      <c r="K44" s="727">
        <f>VLOOKUP(A44,'Trial Balance June 2025'!$A$8:$S$522,18,0)</f>
        <v>0</v>
      </c>
      <c r="L44" s="727">
        <v>0</v>
      </c>
      <c r="M44" s="727">
        <v>0</v>
      </c>
      <c r="N44" s="727">
        <f t="shared" si="2"/>
        <v>0</v>
      </c>
      <c r="O44" s="727">
        <f t="shared" si="3"/>
        <v>0</v>
      </c>
      <c r="P44" s="742">
        <f t="shared" si="4"/>
        <v>0</v>
      </c>
    </row>
    <row r="45" spans="1:16" ht="15" thickBot="1">
      <c r="A45" s="725" t="s">
        <v>698</v>
      </c>
      <c r="B45" s="725"/>
      <c r="C45" s="726" t="s">
        <v>2074</v>
      </c>
      <c r="D45" s="726" t="s">
        <v>508</v>
      </c>
      <c r="E45" s="422" t="s">
        <v>330</v>
      </c>
      <c r="F45" s="412" t="s">
        <v>330</v>
      </c>
      <c r="G45" s="413" t="s">
        <v>330</v>
      </c>
      <c r="H45" s="412" t="s">
        <v>330</v>
      </c>
      <c r="I45" s="726" t="s">
        <v>974</v>
      </c>
      <c r="J45" s="727">
        <f>VLOOKUP(A45,'Trial Balance June 2025'!$A$7:$S$522,17,0)</f>
        <v>398399</v>
      </c>
      <c r="K45" s="727">
        <f>VLOOKUP(A45,'Trial Balance June 2025'!$A$8:$S$522,18,0)</f>
        <v>0</v>
      </c>
      <c r="L45" s="727">
        <v>0</v>
      </c>
      <c r="M45" s="727">
        <v>0</v>
      </c>
      <c r="N45" s="727">
        <f t="shared" si="2"/>
        <v>398399</v>
      </c>
      <c r="O45" s="727">
        <f t="shared" si="3"/>
        <v>0</v>
      </c>
      <c r="P45" s="742">
        <f t="shared" si="4"/>
        <v>398399</v>
      </c>
    </row>
    <row r="46" spans="1:16" ht="15" thickBot="1">
      <c r="A46" s="725" t="s">
        <v>699</v>
      </c>
      <c r="B46" s="725"/>
      <c r="C46" s="726" t="s">
        <v>2075</v>
      </c>
      <c r="D46" s="726" t="s">
        <v>508</v>
      </c>
      <c r="E46" s="422" t="s">
        <v>330</v>
      </c>
      <c r="F46" s="412" t="s">
        <v>330</v>
      </c>
      <c r="G46" s="413" t="s">
        <v>330</v>
      </c>
      <c r="H46" s="412" t="s">
        <v>330</v>
      </c>
      <c r="I46" s="726" t="s">
        <v>1013</v>
      </c>
      <c r="J46" s="727">
        <f>VLOOKUP(A46,'Trial Balance June 2025'!$A$7:$S$522,17,0)</f>
        <v>95515</v>
      </c>
      <c r="K46" s="727">
        <f>VLOOKUP(A46,'Trial Balance June 2025'!$A$8:$S$522,18,0)</f>
        <v>0</v>
      </c>
      <c r="L46" s="727">
        <v>0</v>
      </c>
      <c r="M46" s="727">
        <v>0</v>
      </c>
      <c r="N46" s="727">
        <f t="shared" si="2"/>
        <v>95515</v>
      </c>
      <c r="O46" s="727">
        <f t="shared" si="3"/>
        <v>0</v>
      </c>
      <c r="P46" s="742">
        <f t="shared" si="4"/>
        <v>95515</v>
      </c>
    </row>
    <row r="47" spans="1:16" ht="15" thickBot="1">
      <c r="A47" s="725" t="s">
        <v>699</v>
      </c>
      <c r="B47" s="725"/>
      <c r="C47" s="726" t="s">
        <v>2075</v>
      </c>
      <c r="D47" s="726" t="s">
        <v>508</v>
      </c>
      <c r="E47" s="422" t="s">
        <v>330</v>
      </c>
      <c r="F47" s="412" t="s">
        <v>330</v>
      </c>
      <c r="G47" s="413" t="s">
        <v>330</v>
      </c>
      <c r="H47" s="412" t="s">
        <v>330</v>
      </c>
      <c r="I47" s="726" t="s">
        <v>974</v>
      </c>
      <c r="J47" s="727"/>
      <c r="K47" s="727">
        <f>VLOOKUP(A47,'Trial Balance June 2025'!$A$8:$S$522,18,0)</f>
        <v>0</v>
      </c>
      <c r="L47" s="727">
        <v>0</v>
      </c>
      <c r="M47" s="727">
        <v>0</v>
      </c>
      <c r="N47" s="727">
        <f t="shared" si="2"/>
        <v>0</v>
      </c>
      <c r="O47" s="727">
        <f t="shared" si="3"/>
        <v>0</v>
      </c>
      <c r="P47" s="742">
        <f t="shared" si="4"/>
        <v>0</v>
      </c>
    </row>
    <row r="48" spans="1:16" ht="29.5" thickBot="1">
      <c r="A48" s="725" t="s">
        <v>700</v>
      </c>
      <c r="B48" s="725"/>
      <c r="C48" s="726" t="s">
        <v>1598</v>
      </c>
      <c r="D48" s="726" t="str">
        <f t="shared" si="1"/>
        <v>1-01-02-01-015RECEIVABLE FROM IUF-QAMARULL</v>
      </c>
      <c r="E48" s="422" t="s">
        <v>1051</v>
      </c>
      <c r="F48" s="412" t="s">
        <v>466</v>
      </c>
      <c r="G48" s="413" t="s">
        <v>1057</v>
      </c>
      <c r="H48" s="412" t="s">
        <v>1058</v>
      </c>
      <c r="I48" s="726" t="s">
        <v>974</v>
      </c>
      <c r="J48" s="727">
        <f>VLOOKUP(A48,'Trial Balance June 2025'!$A$7:$S$522,17,0)</f>
        <v>8160</v>
      </c>
      <c r="K48" s="727">
        <f>VLOOKUP(A48,'Trial Balance June 2025'!$A$8:$S$522,18,0)</f>
        <v>0</v>
      </c>
      <c r="L48" s="727">
        <v>0</v>
      </c>
      <c r="M48" s="727">
        <v>0</v>
      </c>
      <c r="N48" s="727">
        <f t="shared" si="2"/>
        <v>8160</v>
      </c>
      <c r="O48" s="727">
        <f t="shared" si="3"/>
        <v>0</v>
      </c>
      <c r="P48" s="742">
        <f t="shared" si="4"/>
        <v>8160</v>
      </c>
    </row>
    <row r="49" spans="1:16" ht="29.5" thickBot="1">
      <c r="A49" s="725" t="s">
        <v>701</v>
      </c>
      <c r="B49" s="725"/>
      <c r="C49" s="726" t="s">
        <v>1599</v>
      </c>
      <c r="D49" s="726" t="str">
        <f t="shared" si="1"/>
        <v>1-01-02-01-016Rec / Pay with Sindh Human RC</v>
      </c>
      <c r="E49" s="422" t="s">
        <v>1051</v>
      </c>
      <c r="F49" s="412" t="s">
        <v>466</v>
      </c>
      <c r="G49" s="413" t="s">
        <v>1057</v>
      </c>
      <c r="H49" s="412" t="s">
        <v>1058</v>
      </c>
      <c r="I49" s="726" t="s">
        <v>1276</v>
      </c>
      <c r="J49" s="727">
        <f>VLOOKUP(A49,'Trial Balance June 2025'!$A$7:$S$522,17,0)</f>
        <v>0</v>
      </c>
      <c r="K49" s="727">
        <f>VLOOKUP(A49,'Trial Balance June 2025'!$A$8:$S$522,18,0)</f>
        <v>8065</v>
      </c>
      <c r="L49" s="727">
        <v>0</v>
      </c>
      <c r="M49" s="727">
        <v>0</v>
      </c>
      <c r="N49" s="727">
        <f t="shared" si="2"/>
        <v>0</v>
      </c>
      <c r="O49" s="727">
        <f t="shared" si="3"/>
        <v>8065</v>
      </c>
      <c r="P49" s="742">
        <f t="shared" si="4"/>
        <v>-8065</v>
      </c>
    </row>
    <row r="50" spans="1:16" ht="15" thickBot="1">
      <c r="A50" s="725" t="s">
        <v>702</v>
      </c>
      <c r="B50" s="725"/>
      <c r="C50" s="726" t="s">
        <v>2076</v>
      </c>
      <c r="D50" s="726" t="s">
        <v>508</v>
      </c>
      <c r="E50" s="422" t="s">
        <v>330</v>
      </c>
      <c r="F50" s="412" t="s">
        <v>330</v>
      </c>
      <c r="G50" s="413" t="s">
        <v>330</v>
      </c>
      <c r="H50" s="412" t="s">
        <v>330</v>
      </c>
      <c r="I50" s="726" t="s">
        <v>974</v>
      </c>
      <c r="J50" s="727">
        <f>VLOOKUP(A50,'Trial Balance June 2025'!$A$7:$S$522,17,0)</f>
        <v>11000</v>
      </c>
      <c r="K50" s="727">
        <f>VLOOKUP(A50,'Trial Balance June 2025'!$A$8:$S$522,18,0)</f>
        <v>0</v>
      </c>
      <c r="L50" s="727">
        <v>0</v>
      </c>
      <c r="M50" s="727">
        <v>0</v>
      </c>
      <c r="N50" s="727">
        <f t="shared" si="2"/>
        <v>11000</v>
      </c>
      <c r="O50" s="727">
        <f t="shared" si="3"/>
        <v>0</v>
      </c>
      <c r="P50" s="742">
        <f t="shared" si="4"/>
        <v>11000</v>
      </c>
    </row>
    <row r="51" spans="1:16" ht="29.5" thickBot="1">
      <c r="A51" s="725" t="s">
        <v>704</v>
      </c>
      <c r="B51" s="725"/>
      <c r="C51" s="726" t="s">
        <v>1600</v>
      </c>
      <c r="D51" s="726" t="str">
        <f t="shared" si="1"/>
        <v>1-01-02-02-001R/A-PAKISTAN LABOUR TRUST(PLT)</v>
      </c>
      <c r="E51" s="422" t="s">
        <v>1051</v>
      </c>
      <c r="F51" s="412" t="s">
        <v>466</v>
      </c>
      <c r="G51" s="413" t="s">
        <v>1057</v>
      </c>
      <c r="H51" s="412" t="s">
        <v>332</v>
      </c>
      <c r="I51" s="726" t="s">
        <v>1014</v>
      </c>
      <c r="J51" s="727">
        <f>VLOOKUP(A51,'Trial Balance June 2025'!$A$7:$S$522,17,0)</f>
        <v>4846426</v>
      </c>
      <c r="K51" s="727">
        <f>VLOOKUP(A51,'Trial Balance June 2025'!$A$8:$S$522,18,0)</f>
        <v>10746897</v>
      </c>
      <c r="L51" s="727">
        <v>0</v>
      </c>
      <c r="M51" s="727">
        <v>0</v>
      </c>
      <c r="N51" s="727">
        <f t="shared" si="2"/>
        <v>4846426</v>
      </c>
      <c r="O51" s="727">
        <f t="shared" si="3"/>
        <v>10746897</v>
      </c>
      <c r="P51" s="742">
        <f t="shared" si="4"/>
        <v>-5900471</v>
      </c>
    </row>
    <row r="52" spans="1:16" ht="29.5" thickBot="1">
      <c r="A52" s="725" t="s">
        <v>704</v>
      </c>
      <c r="B52" s="725"/>
      <c r="C52" s="726" t="s">
        <v>1600</v>
      </c>
      <c r="D52" s="726" t="str">
        <f t="shared" si="1"/>
        <v>1-01-02-02-001R/A-PAKISTAN LABOUR TRUST(PLT)</v>
      </c>
      <c r="E52" s="422" t="s">
        <v>1051</v>
      </c>
      <c r="F52" s="412" t="s">
        <v>466</v>
      </c>
      <c r="G52" s="413" t="s">
        <v>1057</v>
      </c>
      <c r="H52" s="412" t="s">
        <v>332</v>
      </c>
      <c r="I52" s="726" t="s">
        <v>974</v>
      </c>
      <c r="J52" s="727"/>
      <c r="K52" s="727"/>
      <c r="L52" s="727">
        <v>0</v>
      </c>
      <c r="M52" s="727">
        <v>0</v>
      </c>
      <c r="N52" s="727">
        <f t="shared" si="2"/>
        <v>0</v>
      </c>
      <c r="O52" s="727">
        <f t="shared" si="3"/>
        <v>0</v>
      </c>
      <c r="P52" s="742">
        <f t="shared" si="4"/>
        <v>0</v>
      </c>
    </row>
    <row r="53" spans="1:16" ht="29.5" thickBot="1">
      <c r="A53" s="725" t="s">
        <v>704</v>
      </c>
      <c r="B53" s="725"/>
      <c r="C53" s="726" t="s">
        <v>1600</v>
      </c>
      <c r="D53" s="726" t="str">
        <f t="shared" si="1"/>
        <v>1-01-02-02-001R/A-PAKISTAN LABOUR TRUST(PLT)</v>
      </c>
      <c r="E53" s="422" t="s">
        <v>1051</v>
      </c>
      <c r="F53" s="412" t="s">
        <v>466</v>
      </c>
      <c r="G53" s="412" t="s">
        <v>1057</v>
      </c>
      <c r="H53" s="412" t="s">
        <v>332</v>
      </c>
      <c r="I53" s="726" t="s">
        <v>1023</v>
      </c>
      <c r="J53" s="727"/>
      <c r="K53" s="727"/>
      <c r="L53" s="727">
        <v>0</v>
      </c>
      <c r="M53" s="727">
        <v>0</v>
      </c>
      <c r="N53" s="727">
        <f t="shared" si="2"/>
        <v>0</v>
      </c>
      <c r="O53" s="727">
        <f t="shared" si="3"/>
        <v>0</v>
      </c>
      <c r="P53" s="742">
        <f t="shared" si="4"/>
        <v>0</v>
      </c>
    </row>
    <row r="54" spans="1:16" ht="29.5" thickBot="1">
      <c r="A54" s="725" t="s">
        <v>704</v>
      </c>
      <c r="B54" s="725"/>
      <c r="C54" s="726" t="s">
        <v>1600</v>
      </c>
      <c r="D54" s="726" t="str">
        <f t="shared" si="1"/>
        <v>1-01-02-02-001R/A-PAKISTAN LABOUR TRUST(PLT)</v>
      </c>
      <c r="E54" s="422" t="s">
        <v>1051</v>
      </c>
      <c r="F54" s="412" t="s">
        <v>466</v>
      </c>
      <c r="G54" s="412" t="s">
        <v>1057</v>
      </c>
      <c r="H54" s="412" t="s">
        <v>332</v>
      </c>
      <c r="I54" s="726" t="s">
        <v>1011</v>
      </c>
      <c r="J54" s="727"/>
      <c r="K54" s="727"/>
      <c r="L54" s="727">
        <v>0</v>
      </c>
      <c r="M54" s="727">
        <v>0</v>
      </c>
      <c r="N54" s="727">
        <f t="shared" si="2"/>
        <v>0</v>
      </c>
      <c r="O54" s="727">
        <f t="shared" si="3"/>
        <v>0</v>
      </c>
      <c r="P54" s="742">
        <f t="shared" si="4"/>
        <v>0</v>
      </c>
    </row>
    <row r="55" spans="1:16" ht="29.5" thickBot="1">
      <c r="A55" s="725" t="s">
        <v>704</v>
      </c>
      <c r="B55" s="725"/>
      <c r="C55" s="726" t="s">
        <v>1600</v>
      </c>
      <c r="D55" s="726" t="str">
        <f t="shared" si="1"/>
        <v>1-01-02-02-001R/A-PAKISTAN LABOUR TRUST(PLT)</v>
      </c>
      <c r="E55" s="422" t="s">
        <v>1051</v>
      </c>
      <c r="F55" s="412" t="s">
        <v>466</v>
      </c>
      <c r="G55" s="412" t="s">
        <v>1057</v>
      </c>
      <c r="H55" s="412" t="s">
        <v>332</v>
      </c>
      <c r="I55" s="726" t="s">
        <v>1276</v>
      </c>
      <c r="J55" s="727"/>
      <c r="K55" s="727"/>
      <c r="L55" s="727">
        <v>0</v>
      </c>
      <c r="M55" s="727">
        <v>0</v>
      </c>
      <c r="N55" s="727">
        <f t="shared" si="2"/>
        <v>0</v>
      </c>
      <c r="O55" s="727">
        <f t="shared" si="3"/>
        <v>0</v>
      </c>
      <c r="P55" s="742">
        <f t="shared" si="4"/>
        <v>0</v>
      </c>
    </row>
    <row r="56" spans="1:16" ht="29.5" thickBot="1">
      <c r="A56" s="725" t="s">
        <v>704</v>
      </c>
      <c r="B56" s="725"/>
      <c r="C56" s="726" t="s">
        <v>1600</v>
      </c>
      <c r="D56" s="726" t="str">
        <f t="shared" si="1"/>
        <v>1-01-02-02-001R/A-PAKISTAN LABOUR TRUST(PLT)</v>
      </c>
      <c r="E56" s="422" t="s">
        <v>1051</v>
      </c>
      <c r="F56" s="412" t="s">
        <v>466</v>
      </c>
      <c r="G56" s="412" t="s">
        <v>1057</v>
      </c>
      <c r="H56" s="412" t="s">
        <v>332</v>
      </c>
      <c r="I56" s="726" t="s">
        <v>2072</v>
      </c>
      <c r="J56" s="727"/>
      <c r="K56" s="727"/>
      <c r="L56" s="727">
        <v>0</v>
      </c>
      <c r="M56" s="727">
        <v>0</v>
      </c>
      <c r="N56" s="727">
        <f t="shared" si="2"/>
        <v>0</v>
      </c>
      <c r="O56" s="727">
        <f t="shared" si="3"/>
        <v>0</v>
      </c>
      <c r="P56" s="742">
        <f t="shared" si="4"/>
        <v>0</v>
      </c>
    </row>
    <row r="57" spans="1:16" ht="29.5" thickBot="1">
      <c r="A57" s="725" t="s">
        <v>705</v>
      </c>
      <c r="B57" s="725"/>
      <c r="C57" s="726" t="s">
        <v>1601</v>
      </c>
      <c r="D57" s="726" t="str">
        <f t="shared" si="1"/>
        <v>1-01-02-02-002W.H. TAX DEDUCTION</v>
      </c>
      <c r="E57" s="422" t="s">
        <v>1051</v>
      </c>
      <c r="F57" s="412" t="s">
        <v>466</v>
      </c>
      <c r="G57" s="412" t="s">
        <v>1057</v>
      </c>
      <c r="H57" s="412" t="s">
        <v>1058</v>
      </c>
      <c r="I57" s="726" t="s">
        <v>1014</v>
      </c>
      <c r="J57" s="727">
        <f>VLOOKUP(A57,'Trial Balance June 2025'!$A$7:$S$522,17,0)</f>
        <v>12147.56</v>
      </c>
      <c r="K57" s="727">
        <f>VLOOKUP(A57,'Trial Balance June 2025'!$A$8:$S$522,18,0)</f>
        <v>0</v>
      </c>
      <c r="L57" s="727">
        <v>0</v>
      </c>
      <c r="M57" s="727">
        <v>0</v>
      </c>
      <c r="N57" s="727">
        <f t="shared" si="2"/>
        <v>12147.56</v>
      </c>
      <c r="O57" s="727">
        <f t="shared" si="3"/>
        <v>0</v>
      </c>
      <c r="P57" s="742">
        <f t="shared" si="4"/>
        <v>12147.56</v>
      </c>
    </row>
    <row r="58" spans="1:16" ht="29.5" thickBot="1">
      <c r="A58" s="725" t="s">
        <v>705</v>
      </c>
      <c r="B58" s="725"/>
      <c r="C58" s="726" t="s">
        <v>1601</v>
      </c>
      <c r="D58" s="726" t="str">
        <f t="shared" si="1"/>
        <v>1-01-02-02-002W.H. TAX DEDUCTION</v>
      </c>
      <c r="E58" s="422" t="s">
        <v>1051</v>
      </c>
      <c r="F58" s="412" t="s">
        <v>466</v>
      </c>
      <c r="G58" s="412" t="s">
        <v>1057</v>
      </c>
      <c r="H58" s="412" t="s">
        <v>1058</v>
      </c>
      <c r="I58" s="726" t="s">
        <v>974</v>
      </c>
      <c r="J58" s="727"/>
      <c r="K58" s="727">
        <f>VLOOKUP(A58,'Trial Balance June 2025'!$A$8:$S$522,18,0)</f>
        <v>0</v>
      </c>
      <c r="L58" s="727">
        <v>0</v>
      </c>
      <c r="M58" s="727">
        <v>0</v>
      </c>
      <c r="N58" s="727">
        <f t="shared" si="2"/>
        <v>0</v>
      </c>
      <c r="O58" s="727">
        <f t="shared" si="3"/>
        <v>0</v>
      </c>
      <c r="P58" s="742">
        <f t="shared" si="4"/>
        <v>0</v>
      </c>
    </row>
    <row r="59" spans="1:16" ht="29.5" thickBot="1">
      <c r="A59" s="725" t="s">
        <v>705</v>
      </c>
      <c r="B59" s="725"/>
      <c r="C59" s="726" t="s">
        <v>1601</v>
      </c>
      <c r="D59" s="726" t="str">
        <f t="shared" si="1"/>
        <v>1-01-02-02-002W.H. TAX DEDUCTION</v>
      </c>
      <c r="E59" s="422" t="s">
        <v>1051</v>
      </c>
      <c r="F59" s="412" t="s">
        <v>466</v>
      </c>
      <c r="G59" s="412" t="s">
        <v>1057</v>
      </c>
      <c r="H59" s="412" t="s">
        <v>1058</v>
      </c>
      <c r="I59" s="726" t="s">
        <v>1011</v>
      </c>
      <c r="J59" s="727"/>
      <c r="K59" s="727">
        <f>VLOOKUP(A59,'Trial Balance June 2025'!$A$8:$S$522,18,0)</f>
        <v>0</v>
      </c>
      <c r="L59" s="727">
        <v>0</v>
      </c>
      <c r="M59" s="727">
        <v>0</v>
      </c>
      <c r="N59" s="727">
        <f t="shared" si="2"/>
        <v>0</v>
      </c>
      <c r="O59" s="727">
        <f t="shared" si="3"/>
        <v>0</v>
      </c>
      <c r="P59" s="742">
        <f t="shared" si="4"/>
        <v>0</v>
      </c>
    </row>
    <row r="60" spans="1:16" ht="29.5" thickBot="1">
      <c r="A60" s="725" t="s">
        <v>705</v>
      </c>
      <c r="B60" s="725"/>
      <c r="C60" s="726" t="s">
        <v>1601</v>
      </c>
      <c r="D60" s="726" t="str">
        <f t="shared" si="1"/>
        <v>1-01-02-02-002W.H. TAX DEDUCTION</v>
      </c>
      <c r="E60" s="422" t="s">
        <v>1051</v>
      </c>
      <c r="F60" s="412" t="s">
        <v>466</v>
      </c>
      <c r="G60" s="412" t="s">
        <v>1057</v>
      </c>
      <c r="H60" s="412" t="s">
        <v>1058</v>
      </c>
      <c r="I60" s="726" t="s">
        <v>1276</v>
      </c>
      <c r="J60" s="727"/>
      <c r="K60" s="727">
        <f>VLOOKUP(A60,'Trial Balance June 2025'!$A$8:$S$522,18,0)</f>
        <v>0</v>
      </c>
      <c r="L60" s="727">
        <v>0</v>
      </c>
      <c r="M60" s="727">
        <v>0</v>
      </c>
      <c r="N60" s="727">
        <f t="shared" si="2"/>
        <v>0</v>
      </c>
      <c r="O60" s="727">
        <f t="shared" si="3"/>
        <v>0</v>
      </c>
      <c r="P60" s="742">
        <f t="shared" si="4"/>
        <v>0</v>
      </c>
    </row>
    <row r="61" spans="1:16" ht="29.5" thickBot="1">
      <c r="A61" s="725" t="s">
        <v>705</v>
      </c>
      <c r="B61" s="725"/>
      <c r="C61" s="726" t="s">
        <v>1601</v>
      </c>
      <c r="D61" s="726" t="str">
        <f t="shared" si="1"/>
        <v>1-01-02-02-002W.H. TAX DEDUCTION</v>
      </c>
      <c r="E61" s="422" t="s">
        <v>1051</v>
      </c>
      <c r="F61" s="412" t="s">
        <v>466</v>
      </c>
      <c r="G61" s="412" t="s">
        <v>1057</v>
      </c>
      <c r="H61" s="412" t="s">
        <v>1058</v>
      </c>
      <c r="I61" s="726" t="s">
        <v>1025</v>
      </c>
      <c r="J61" s="727"/>
      <c r="K61" s="727">
        <f>VLOOKUP(A61,'Trial Balance June 2025'!$A$8:$S$522,18,0)</f>
        <v>0</v>
      </c>
      <c r="L61" s="727">
        <v>0</v>
      </c>
      <c r="M61" s="727">
        <v>0</v>
      </c>
      <c r="N61" s="727">
        <f t="shared" si="2"/>
        <v>0</v>
      </c>
      <c r="O61" s="727">
        <f t="shared" si="3"/>
        <v>0</v>
      </c>
      <c r="P61" s="742">
        <f t="shared" si="4"/>
        <v>0</v>
      </c>
    </row>
    <row r="62" spans="1:16" ht="29.5" thickBot="1">
      <c r="A62" s="725" t="s">
        <v>705</v>
      </c>
      <c r="B62" s="725"/>
      <c r="C62" s="726" t="s">
        <v>1601</v>
      </c>
      <c r="D62" s="726" t="str">
        <f t="shared" si="1"/>
        <v>1-01-02-02-002W.H. TAX DEDUCTION</v>
      </c>
      <c r="E62" s="422" t="s">
        <v>1051</v>
      </c>
      <c r="F62" s="412" t="s">
        <v>466</v>
      </c>
      <c r="G62" s="412" t="s">
        <v>1057</v>
      </c>
      <c r="H62" s="412" t="s">
        <v>1058</v>
      </c>
      <c r="I62" s="726" t="s">
        <v>1024</v>
      </c>
      <c r="J62" s="727"/>
      <c r="K62" s="727">
        <f>VLOOKUP(A62,'Trial Balance June 2025'!$A$8:$S$522,18,0)</f>
        <v>0</v>
      </c>
      <c r="L62" s="727">
        <v>0</v>
      </c>
      <c r="M62" s="727">
        <v>0</v>
      </c>
      <c r="N62" s="727">
        <f t="shared" si="2"/>
        <v>0</v>
      </c>
      <c r="O62" s="727">
        <f t="shared" si="3"/>
        <v>0</v>
      </c>
      <c r="P62" s="742">
        <f t="shared" si="4"/>
        <v>0</v>
      </c>
    </row>
    <row r="63" spans="1:16" ht="29.5" thickBot="1">
      <c r="A63" s="725" t="s">
        <v>705</v>
      </c>
      <c r="B63" s="725"/>
      <c r="C63" s="726" t="s">
        <v>1601</v>
      </c>
      <c r="D63" s="726" t="str">
        <f t="shared" si="1"/>
        <v>1-01-02-02-002W.H. TAX DEDUCTION</v>
      </c>
      <c r="E63" s="422" t="s">
        <v>1051</v>
      </c>
      <c r="F63" s="412" t="s">
        <v>466</v>
      </c>
      <c r="G63" s="412" t="s">
        <v>1057</v>
      </c>
      <c r="H63" s="412" t="s">
        <v>1058</v>
      </c>
      <c r="I63" s="726" t="s">
        <v>2072</v>
      </c>
      <c r="J63" s="727"/>
      <c r="K63" s="727">
        <f>VLOOKUP(A63,'Trial Balance June 2025'!$A$8:$S$522,18,0)</f>
        <v>0</v>
      </c>
      <c r="L63" s="727">
        <v>0</v>
      </c>
      <c r="M63" s="727">
        <v>0</v>
      </c>
      <c r="N63" s="727">
        <f t="shared" si="2"/>
        <v>0</v>
      </c>
      <c r="O63" s="727">
        <f t="shared" si="3"/>
        <v>0</v>
      </c>
      <c r="P63" s="742">
        <f t="shared" si="4"/>
        <v>0</v>
      </c>
    </row>
    <row r="64" spans="1:16" ht="29.5" thickBot="1">
      <c r="A64" s="725" t="s">
        <v>705</v>
      </c>
      <c r="B64" s="725"/>
      <c r="C64" s="726" t="s">
        <v>1601</v>
      </c>
      <c r="D64" s="726" t="str">
        <f t="shared" si="1"/>
        <v>1-01-02-02-002W.H. TAX DEDUCTION</v>
      </c>
      <c r="E64" s="422" t="s">
        <v>1051</v>
      </c>
      <c r="F64" s="412" t="s">
        <v>466</v>
      </c>
      <c r="G64" s="412" t="s">
        <v>1057</v>
      </c>
      <c r="H64" s="412" t="s">
        <v>1058</v>
      </c>
      <c r="I64" s="726" t="s">
        <v>1019</v>
      </c>
      <c r="J64" s="727"/>
      <c r="K64" s="727">
        <f>VLOOKUP(A64,'Trial Balance June 2025'!$A$8:$S$522,18,0)</f>
        <v>0</v>
      </c>
      <c r="L64" s="727">
        <v>0</v>
      </c>
      <c r="M64" s="727">
        <v>0</v>
      </c>
      <c r="N64" s="727">
        <f t="shared" si="2"/>
        <v>0</v>
      </c>
      <c r="O64" s="727">
        <f t="shared" si="3"/>
        <v>0</v>
      </c>
      <c r="P64" s="742">
        <f t="shared" si="4"/>
        <v>0</v>
      </c>
    </row>
    <row r="65" spans="1:16" ht="29.5" thickBot="1">
      <c r="A65" s="725" t="s">
        <v>705</v>
      </c>
      <c r="B65" s="725"/>
      <c r="C65" s="726" t="s">
        <v>1601</v>
      </c>
      <c r="D65" s="726" t="str">
        <f t="shared" si="1"/>
        <v>1-01-02-02-002W.H. TAX DEDUCTION</v>
      </c>
      <c r="E65" s="422" t="s">
        <v>1051</v>
      </c>
      <c r="F65" s="412" t="s">
        <v>466</v>
      </c>
      <c r="G65" s="412" t="s">
        <v>1057</v>
      </c>
      <c r="H65" s="412" t="s">
        <v>1058</v>
      </c>
      <c r="I65" s="726" t="s">
        <v>1026</v>
      </c>
      <c r="J65" s="727"/>
      <c r="K65" s="727">
        <f>VLOOKUP(A65,'Trial Balance June 2025'!$A$8:$S$522,18,0)</f>
        <v>0</v>
      </c>
      <c r="L65" s="727">
        <v>0</v>
      </c>
      <c r="M65" s="727">
        <v>0</v>
      </c>
      <c r="N65" s="727">
        <f t="shared" si="2"/>
        <v>0</v>
      </c>
      <c r="O65" s="727">
        <f t="shared" si="3"/>
        <v>0</v>
      </c>
      <c r="P65" s="742">
        <f t="shared" si="4"/>
        <v>0</v>
      </c>
    </row>
    <row r="66" spans="1:16" ht="29.5" thickBot="1">
      <c r="A66" s="725" t="s">
        <v>705</v>
      </c>
      <c r="B66" s="725"/>
      <c r="C66" s="726" t="s">
        <v>1601</v>
      </c>
      <c r="D66" s="726" t="str">
        <f t="shared" si="1"/>
        <v>1-01-02-02-002W.H. TAX DEDUCTION</v>
      </c>
      <c r="E66" s="422" t="s">
        <v>1051</v>
      </c>
      <c r="F66" s="412" t="s">
        <v>466</v>
      </c>
      <c r="G66" s="412" t="s">
        <v>1057</v>
      </c>
      <c r="H66" s="412" t="s">
        <v>1058</v>
      </c>
      <c r="I66" s="726" t="s">
        <v>1027</v>
      </c>
      <c r="J66" s="727"/>
      <c r="K66" s="727">
        <f>VLOOKUP(A66,'Trial Balance June 2025'!$A$8:$S$522,18,0)</f>
        <v>0</v>
      </c>
      <c r="L66" s="727">
        <v>0</v>
      </c>
      <c r="M66" s="727">
        <v>0</v>
      </c>
      <c r="N66" s="727">
        <f t="shared" si="2"/>
        <v>0</v>
      </c>
      <c r="O66" s="727">
        <f t="shared" si="3"/>
        <v>0</v>
      </c>
      <c r="P66" s="742">
        <f t="shared" si="4"/>
        <v>0</v>
      </c>
    </row>
    <row r="67" spans="1:16" ht="29.5" thickBot="1">
      <c r="A67" s="725" t="s">
        <v>705</v>
      </c>
      <c r="B67" s="725"/>
      <c r="C67" s="726" t="s">
        <v>1601</v>
      </c>
      <c r="D67" s="726" t="str">
        <f t="shared" si="1"/>
        <v>1-01-02-02-002W.H. TAX DEDUCTION</v>
      </c>
      <c r="E67" s="422" t="s">
        <v>1051</v>
      </c>
      <c r="F67" s="412" t="s">
        <v>466</v>
      </c>
      <c r="G67" s="412" t="s">
        <v>1057</v>
      </c>
      <c r="H67" s="412" t="s">
        <v>1058</v>
      </c>
      <c r="I67" s="726" t="s">
        <v>992</v>
      </c>
      <c r="J67" s="727"/>
      <c r="K67" s="727">
        <f>VLOOKUP(A67,'Trial Balance June 2025'!$A$8:$S$522,18,0)</f>
        <v>0</v>
      </c>
      <c r="L67" s="727">
        <v>0</v>
      </c>
      <c r="M67" s="727">
        <v>0</v>
      </c>
      <c r="N67" s="727">
        <f t="shared" si="2"/>
        <v>0</v>
      </c>
      <c r="O67" s="727">
        <f t="shared" si="3"/>
        <v>0</v>
      </c>
      <c r="P67" s="742">
        <f t="shared" si="4"/>
        <v>0</v>
      </c>
    </row>
    <row r="68" spans="1:16" ht="29.5" thickBot="1">
      <c r="A68" s="725" t="s">
        <v>706</v>
      </c>
      <c r="B68" s="725"/>
      <c r="C68" s="726" t="s">
        <v>1602</v>
      </c>
      <c r="D68" s="726" t="str">
        <f t="shared" si="1"/>
        <v>1-01-02-02-004SECURITY DEPOPSIT</v>
      </c>
      <c r="E68" s="422" t="s">
        <v>1051</v>
      </c>
      <c r="F68" s="412" t="s">
        <v>466</v>
      </c>
      <c r="G68" s="412" t="s">
        <v>1057</v>
      </c>
      <c r="H68" s="412" t="s">
        <v>1058</v>
      </c>
      <c r="I68" s="726" t="s">
        <v>974</v>
      </c>
      <c r="J68" s="727">
        <f>VLOOKUP(A68,'Trial Balance June 2025'!$A$7:$S$522,17,0)</f>
        <v>319700</v>
      </c>
      <c r="K68" s="727">
        <f>VLOOKUP(A68,'Trial Balance June 2025'!$A$8:$S$522,18,0)</f>
        <v>200000</v>
      </c>
      <c r="L68" s="727">
        <v>0</v>
      </c>
      <c r="M68" s="727">
        <v>0</v>
      </c>
      <c r="N68" s="727">
        <f t="shared" si="2"/>
        <v>319700</v>
      </c>
      <c r="O68" s="727">
        <f t="shared" si="3"/>
        <v>200000</v>
      </c>
      <c r="P68" s="742">
        <f t="shared" si="4"/>
        <v>119700</v>
      </c>
    </row>
    <row r="69" spans="1:16" ht="29.5" thickBot="1">
      <c r="A69" s="725" t="s">
        <v>707</v>
      </c>
      <c r="B69" s="725"/>
      <c r="C69" s="726" t="s">
        <v>1603</v>
      </c>
      <c r="D69" s="726" t="str">
        <f t="shared" si="1"/>
        <v>1-01-02-02-005OTHERS RECEIVABLE</v>
      </c>
      <c r="E69" s="422" t="s">
        <v>1051</v>
      </c>
      <c r="F69" s="412" t="s">
        <v>466</v>
      </c>
      <c r="G69" s="412" t="s">
        <v>1057</v>
      </c>
      <c r="H69" s="412" t="s">
        <v>1058</v>
      </c>
      <c r="I69" s="726" t="s">
        <v>974</v>
      </c>
      <c r="J69" s="727">
        <f>VLOOKUP(A69,'Trial Balance June 2025'!$A$7:$S$522,17,0)</f>
        <v>2810000</v>
      </c>
      <c r="K69" s="727">
        <f>VLOOKUP(A69,'Trial Balance June 2025'!$A$8:$S$522,18,0)</f>
        <v>2750000</v>
      </c>
      <c r="L69" s="727">
        <v>0</v>
      </c>
      <c r="M69" s="727">
        <v>0</v>
      </c>
      <c r="N69" s="727">
        <f t="shared" si="2"/>
        <v>2810000</v>
      </c>
      <c r="O69" s="727">
        <f t="shared" si="3"/>
        <v>2750000</v>
      </c>
      <c r="P69" s="742">
        <f t="shared" si="4"/>
        <v>60000</v>
      </c>
    </row>
    <row r="70" spans="1:16" ht="29.5" thickBot="1">
      <c r="A70" s="725" t="s">
        <v>707</v>
      </c>
      <c r="B70" s="725"/>
      <c r="C70" s="726" t="s">
        <v>1603</v>
      </c>
      <c r="D70" s="726" t="str">
        <f t="shared" si="1"/>
        <v>1-01-02-02-005OTHERS RECEIVABLE</v>
      </c>
      <c r="E70" s="422" t="s">
        <v>1051</v>
      </c>
      <c r="F70" s="412" t="s">
        <v>466</v>
      </c>
      <c r="G70" s="413" t="s">
        <v>1057</v>
      </c>
      <c r="H70" s="412" t="s">
        <v>1058</v>
      </c>
      <c r="I70" s="726" t="s">
        <v>1276</v>
      </c>
      <c r="J70" s="727"/>
      <c r="K70" s="727"/>
      <c r="L70" s="727">
        <v>0</v>
      </c>
      <c r="M70" s="727">
        <v>0</v>
      </c>
      <c r="N70" s="727">
        <f t="shared" si="2"/>
        <v>0</v>
      </c>
      <c r="O70" s="727">
        <f t="shared" si="3"/>
        <v>0</v>
      </c>
      <c r="P70" s="742">
        <f t="shared" si="4"/>
        <v>0</v>
      </c>
    </row>
    <row r="71" spans="1:16" ht="29.5" thickBot="1">
      <c r="A71" s="725" t="s">
        <v>707</v>
      </c>
      <c r="B71" s="725"/>
      <c r="C71" s="726" t="s">
        <v>1603</v>
      </c>
      <c r="D71" s="726" t="str">
        <f t="shared" si="1"/>
        <v>1-01-02-02-005OTHERS RECEIVABLE</v>
      </c>
      <c r="E71" s="422" t="s">
        <v>1051</v>
      </c>
      <c r="F71" s="412" t="s">
        <v>466</v>
      </c>
      <c r="G71" s="413" t="s">
        <v>1057</v>
      </c>
      <c r="H71" s="412" t="s">
        <v>1058</v>
      </c>
      <c r="I71" s="726" t="s">
        <v>1021</v>
      </c>
      <c r="J71" s="727"/>
      <c r="K71" s="727"/>
      <c r="L71" s="727">
        <v>0</v>
      </c>
      <c r="M71" s="727">
        <v>0</v>
      </c>
      <c r="N71" s="727">
        <f t="shared" si="2"/>
        <v>0</v>
      </c>
      <c r="O71" s="727">
        <f t="shared" si="3"/>
        <v>0</v>
      </c>
      <c r="P71" s="742">
        <f t="shared" si="4"/>
        <v>0</v>
      </c>
    </row>
    <row r="72" spans="1:16" ht="29.5" thickBot="1">
      <c r="A72" s="725" t="s">
        <v>707</v>
      </c>
      <c r="B72" s="725"/>
      <c r="C72" s="726" t="s">
        <v>1603</v>
      </c>
      <c r="D72" s="726" t="str">
        <f t="shared" ref="D72:D135" si="5">CONCATENATE(A72,C72)</f>
        <v>1-01-02-02-005OTHERS RECEIVABLE</v>
      </c>
      <c r="E72" s="422" t="s">
        <v>1051</v>
      </c>
      <c r="F72" s="412" t="s">
        <v>466</v>
      </c>
      <c r="G72" s="413" t="s">
        <v>1057</v>
      </c>
      <c r="H72" s="412" t="s">
        <v>1058</v>
      </c>
      <c r="I72" s="726" t="s">
        <v>2072</v>
      </c>
      <c r="J72" s="727"/>
      <c r="K72" s="727"/>
      <c r="L72" s="727">
        <v>0</v>
      </c>
      <c r="M72" s="727">
        <v>0</v>
      </c>
      <c r="N72" s="727">
        <f t="shared" ref="N72:N135" si="6">J72+L72</f>
        <v>0</v>
      </c>
      <c r="O72" s="727">
        <f t="shared" ref="O72:O135" si="7">K72+M72</f>
        <v>0</v>
      </c>
      <c r="P72" s="742">
        <f t="shared" ref="P72:P135" si="8">N72-O72</f>
        <v>0</v>
      </c>
    </row>
    <row r="73" spans="1:16" ht="15" thickBot="1">
      <c r="A73" s="725" t="s">
        <v>708</v>
      </c>
      <c r="B73" s="725"/>
      <c r="C73" s="726" t="s">
        <v>2077</v>
      </c>
      <c r="D73" s="726" t="s">
        <v>508</v>
      </c>
      <c r="E73" s="422" t="s">
        <v>330</v>
      </c>
      <c r="F73" s="412" t="s">
        <v>330</v>
      </c>
      <c r="G73" s="413" t="s">
        <v>330</v>
      </c>
      <c r="H73" s="412" t="s">
        <v>330</v>
      </c>
      <c r="I73" s="726" t="s">
        <v>1013</v>
      </c>
      <c r="J73" s="727">
        <f>VLOOKUP(A73,'Trial Balance June 2025'!$A$7:$S$522,17,0)</f>
        <v>3591736</v>
      </c>
      <c r="K73" s="727">
        <f>VLOOKUP(A73,'Trial Balance June 2025'!$A$8:$S$522,18,0)</f>
        <v>0</v>
      </c>
      <c r="L73" s="727">
        <v>0</v>
      </c>
      <c r="M73" s="727">
        <v>0</v>
      </c>
      <c r="N73" s="727">
        <f t="shared" si="6"/>
        <v>3591736</v>
      </c>
      <c r="O73" s="727">
        <f t="shared" si="7"/>
        <v>0</v>
      </c>
      <c r="P73" s="742">
        <f t="shared" si="8"/>
        <v>3591736</v>
      </c>
    </row>
    <row r="74" spans="1:16" ht="15" thickBot="1">
      <c r="A74" s="725" t="s">
        <v>708</v>
      </c>
      <c r="B74" s="725"/>
      <c r="C74" s="726" t="s">
        <v>2077</v>
      </c>
      <c r="D74" s="726" t="s">
        <v>508</v>
      </c>
      <c r="E74" s="422" t="s">
        <v>330</v>
      </c>
      <c r="F74" s="412" t="s">
        <v>330</v>
      </c>
      <c r="G74" s="413" t="s">
        <v>330</v>
      </c>
      <c r="H74" s="412" t="s">
        <v>330</v>
      </c>
      <c r="I74" s="726" t="s">
        <v>1014</v>
      </c>
      <c r="J74" s="727"/>
      <c r="K74" s="727">
        <f>VLOOKUP(A74,'Trial Balance June 2025'!$A$8:$S$522,18,0)</f>
        <v>0</v>
      </c>
      <c r="L74" s="727">
        <v>0</v>
      </c>
      <c r="M74" s="727">
        <v>0</v>
      </c>
      <c r="N74" s="727">
        <f t="shared" si="6"/>
        <v>0</v>
      </c>
      <c r="O74" s="727">
        <f t="shared" si="7"/>
        <v>0</v>
      </c>
      <c r="P74" s="742">
        <f t="shared" si="8"/>
        <v>0</v>
      </c>
    </row>
    <row r="75" spans="1:16" ht="15" thickBot="1">
      <c r="A75" s="725" t="s">
        <v>708</v>
      </c>
      <c r="B75" s="725"/>
      <c r="C75" s="726" t="s">
        <v>2077</v>
      </c>
      <c r="D75" s="726" t="s">
        <v>508</v>
      </c>
      <c r="E75" s="422" t="s">
        <v>330</v>
      </c>
      <c r="F75" s="412" t="s">
        <v>330</v>
      </c>
      <c r="G75" s="413" t="s">
        <v>330</v>
      </c>
      <c r="H75" s="412" t="s">
        <v>330</v>
      </c>
      <c r="I75" s="726" t="s">
        <v>974</v>
      </c>
      <c r="J75" s="727"/>
      <c r="K75" s="727">
        <f>VLOOKUP(A75,'Trial Balance June 2025'!$A$8:$S$522,18,0)</f>
        <v>0</v>
      </c>
      <c r="L75" s="727">
        <v>0</v>
      </c>
      <c r="M75" s="727">
        <v>0</v>
      </c>
      <c r="N75" s="727">
        <f t="shared" si="6"/>
        <v>0</v>
      </c>
      <c r="O75" s="727">
        <f t="shared" si="7"/>
        <v>0</v>
      </c>
      <c r="P75" s="742">
        <f t="shared" si="8"/>
        <v>0</v>
      </c>
    </row>
    <row r="76" spans="1:16" ht="15" thickBot="1">
      <c r="A76" s="725" t="s">
        <v>708</v>
      </c>
      <c r="B76" s="725"/>
      <c r="C76" s="726" t="s">
        <v>2077</v>
      </c>
      <c r="D76" s="726" t="s">
        <v>508</v>
      </c>
      <c r="E76" s="422" t="s">
        <v>330</v>
      </c>
      <c r="F76" s="412" t="s">
        <v>330</v>
      </c>
      <c r="G76" s="413" t="s">
        <v>330</v>
      </c>
      <c r="H76" s="412" t="s">
        <v>330</v>
      </c>
      <c r="I76" s="726" t="s">
        <v>1276</v>
      </c>
      <c r="J76" s="727"/>
      <c r="K76" s="727">
        <f>VLOOKUP(A76,'Trial Balance June 2025'!$A$8:$S$522,18,0)</f>
        <v>0</v>
      </c>
      <c r="L76" s="727">
        <v>0</v>
      </c>
      <c r="M76" s="727">
        <v>0</v>
      </c>
      <c r="N76" s="727">
        <f t="shared" si="6"/>
        <v>0</v>
      </c>
      <c r="O76" s="727">
        <f t="shared" si="7"/>
        <v>0</v>
      </c>
      <c r="P76" s="742">
        <f t="shared" si="8"/>
        <v>0</v>
      </c>
    </row>
    <row r="77" spans="1:16" ht="15" thickBot="1">
      <c r="A77" s="725" t="s">
        <v>708</v>
      </c>
      <c r="B77" s="725"/>
      <c r="C77" s="726" t="s">
        <v>2077</v>
      </c>
      <c r="D77" s="726" t="s">
        <v>508</v>
      </c>
      <c r="E77" s="422" t="s">
        <v>330</v>
      </c>
      <c r="F77" s="412" t="s">
        <v>330</v>
      </c>
      <c r="G77" s="413" t="s">
        <v>330</v>
      </c>
      <c r="H77" s="412" t="s">
        <v>330</v>
      </c>
      <c r="I77" s="726" t="s">
        <v>1025</v>
      </c>
      <c r="J77" s="727"/>
      <c r="K77" s="727">
        <f>VLOOKUP(A77,'Trial Balance June 2025'!$A$8:$S$522,18,0)</f>
        <v>0</v>
      </c>
      <c r="L77" s="727">
        <v>0</v>
      </c>
      <c r="M77" s="727">
        <v>0</v>
      </c>
      <c r="N77" s="727">
        <f t="shared" si="6"/>
        <v>0</v>
      </c>
      <c r="O77" s="727">
        <f t="shared" si="7"/>
        <v>0</v>
      </c>
      <c r="P77" s="742">
        <f t="shared" si="8"/>
        <v>0</v>
      </c>
    </row>
    <row r="78" spans="1:16" ht="15" thickBot="1">
      <c r="A78" s="725" t="s">
        <v>708</v>
      </c>
      <c r="B78" s="725"/>
      <c r="C78" s="726" t="s">
        <v>2077</v>
      </c>
      <c r="D78" s="726" t="s">
        <v>508</v>
      </c>
      <c r="E78" s="422" t="s">
        <v>330</v>
      </c>
      <c r="F78" s="412" t="s">
        <v>330</v>
      </c>
      <c r="G78" s="413" t="s">
        <v>330</v>
      </c>
      <c r="H78" s="412" t="s">
        <v>330</v>
      </c>
      <c r="I78" s="726" t="s">
        <v>2072</v>
      </c>
      <c r="J78" s="727"/>
      <c r="K78" s="727">
        <f>VLOOKUP(A78,'Trial Balance June 2025'!$A$8:$S$522,18,0)</f>
        <v>0</v>
      </c>
      <c r="L78" s="727">
        <v>0</v>
      </c>
      <c r="M78" s="727">
        <v>0</v>
      </c>
      <c r="N78" s="727">
        <f t="shared" si="6"/>
        <v>0</v>
      </c>
      <c r="O78" s="727">
        <f t="shared" si="7"/>
        <v>0</v>
      </c>
      <c r="P78" s="742">
        <f t="shared" si="8"/>
        <v>0</v>
      </c>
    </row>
    <row r="79" spans="1:16" ht="15" thickBot="1">
      <c r="A79" s="725" t="s">
        <v>708</v>
      </c>
      <c r="B79" s="725"/>
      <c r="C79" s="726" t="s">
        <v>2077</v>
      </c>
      <c r="D79" s="726" t="s">
        <v>508</v>
      </c>
      <c r="E79" s="422" t="s">
        <v>330</v>
      </c>
      <c r="F79" s="412" t="s">
        <v>330</v>
      </c>
      <c r="G79" s="413" t="s">
        <v>330</v>
      </c>
      <c r="H79" s="412" t="s">
        <v>330</v>
      </c>
      <c r="I79" s="726" t="s">
        <v>1019</v>
      </c>
      <c r="J79" s="727"/>
      <c r="K79" s="727">
        <f>VLOOKUP(A79,'Trial Balance June 2025'!$A$8:$S$522,18,0)</f>
        <v>0</v>
      </c>
      <c r="L79" s="727">
        <v>0</v>
      </c>
      <c r="M79" s="727">
        <v>0</v>
      </c>
      <c r="N79" s="727">
        <f t="shared" si="6"/>
        <v>0</v>
      </c>
      <c r="O79" s="727">
        <f t="shared" si="7"/>
        <v>0</v>
      </c>
      <c r="P79" s="742">
        <f t="shared" si="8"/>
        <v>0</v>
      </c>
    </row>
    <row r="80" spans="1:16" ht="15" thickBot="1">
      <c r="A80" s="725" t="s">
        <v>708</v>
      </c>
      <c r="B80" s="725"/>
      <c r="C80" s="726" t="s">
        <v>2077</v>
      </c>
      <c r="D80" s="726" t="s">
        <v>508</v>
      </c>
      <c r="E80" s="422" t="s">
        <v>330</v>
      </c>
      <c r="F80" s="412" t="s">
        <v>330</v>
      </c>
      <c r="G80" s="413" t="s">
        <v>330</v>
      </c>
      <c r="H80" s="412" t="s">
        <v>330</v>
      </c>
      <c r="I80" s="726" t="s">
        <v>1027</v>
      </c>
      <c r="J80" s="727"/>
      <c r="K80" s="727">
        <f>VLOOKUP(A80,'Trial Balance June 2025'!$A$8:$S$522,18,0)</f>
        <v>0</v>
      </c>
      <c r="L80" s="727">
        <v>0</v>
      </c>
      <c r="M80" s="727">
        <v>0</v>
      </c>
      <c r="N80" s="727">
        <f t="shared" si="6"/>
        <v>0</v>
      </c>
      <c r="O80" s="727">
        <f t="shared" si="7"/>
        <v>0</v>
      </c>
      <c r="P80" s="742">
        <f t="shared" si="8"/>
        <v>0</v>
      </c>
    </row>
    <row r="81" spans="1:16" ht="15" thickBot="1">
      <c r="A81" s="725" t="s">
        <v>708</v>
      </c>
      <c r="B81" s="725"/>
      <c r="C81" s="726" t="s">
        <v>2077</v>
      </c>
      <c r="D81" s="726" t="s">
        <v>508</v>
      </c>
      <c r="E81" s="422" t="s">
        <v>330</v>
      </c>
      <c r="F81" s="412" t="s">
        <v>330</v>
      </c>
      <c r="G81" s="413" t="s">
        <v>330</v>
      </c>
      <c r="H81" s="412" t="s">
        <v>330</v>
      </c>
      <c r="I81" s="726" t="s">
        <v>992</v>
      </c>
      <c r="J81" s="727"/>
      <c r="K81" s="727">
        <f>VLOOKUP(A81,'Trial Balance June 2025'!$A$8:$S$522,18,0)</f>
        <v>0</v>
      </c>
      <c r="L81" s="727">
        <v>0</v>
      </c>
      <c r="M81" s="727">
        <v>0</v>
      </c>
      <c r="N81" s="727">
        <f t="shared" si="6"/>
        <v>0</v>
      </c>
      <c r="O81" s="727">
        <f t="shared" si="7"/>
        <v>0</v>
      </c>
      <c r="P81" s="742">
        <f t="shared" si="8"/>
        <v>0</v>
      </c>
    </row>
    <row r="82" spans="1:16" ht="15" thickBot="1">
      <c r="A82" s="725" t="s">
        <v>708</v>
      </c>
      <c r="B82" s="725"/>
      <c r="C82" s="726" t="s">
        <v>2077</v>
      </c>
      <c r="D82" s="726" t="s">
        <v>508</v>
      </c>
      <c r="E82" s="422" t="s">
        <v>330</v>
      </c>
      <c r="F82" s="412" t="s">
        <v>330</v>
      </c>
      <c r="G82" s="413" t="s">
        <v>330</v>
      </c>
      <c r="H82" s="412" t="s">
        <v>330</v>
      </c>
      <c r="I82" s="726" t="s">
        <v>1275</v>
      </c>
      <c r="J82" s="727"/>
      <c r="K82" s="727">
        <f>VLOOKUP(A82,'Trial Balance June 2025'!$A$8:$S$522,18,0)</f>
        <v>0</v>
      </c>
      <c r="L82" s="727">
        <v>500000</v>
      </c>
      <c r="M82" s="727">
        <v>500000</v>
      </c>
      <c r="N82" s="727">
        <f t="shared" si="6"/>
        <v>500000</v>
      </c>
      <c r="O82" s="727">
        <f t="shared" si="7"/>
        <v>500000</v>
      </c>
      <c r="P82" s="742">
        <f t="shared" si="8"/>
        <v>0</v>
      </c>
    </row>
    <row r="83" spans="1:16" ht="15" thickBot="1">
      <c r="A83" s="725" t="s">
        <v>708</v>
      </c>
      <c r="B83" s="725"/>
      <c r="C83" s="726" t="s">
        <v>2077</v>
      </c>
      <c r="D83" s="726" t="s">
        <v>508</v>
      </c>
      <c r="E83" s="422" t="s">
        <v>330</v>
      </c>
      <c r="F83" s="412" t="s">
        <v>330</v>
      </c>
      <c r="G83" s="413" t="s">
        <v>330</v>
      </c>
      <c r="H83" s="412" t="s">
        <v>330</v>
      </c>
      <c r="I83" s="726" t="s">
        <v>1723</v>
      </c>
      <c r="J83" s="727"/>
      <c r="K83" s="727">
        <f>VLOOKUP(A83,'Trial Balance June 2025'!$A$8:$S$522,18,0)</f>
        <v>0</v>
      </c>
      <c r="L83" s="727">
        <v>10000</v>
      </c>
      <c r="M83" s="727">
        <v>0</v>
      </c>
      <c r="N83" s="727">
        <f t="shared" si="6"/>
        <v>10000</v>
      </c>
      <c r="O83" s="727">
        <f t="shared" si="7"/>
        <v>0</v>
      </c>
      <c r="P83" s="742">
        <f t="shared" si="8"/>
        <v>10000</v>
      </c>
    </row>
    <row r="84" spans="1:16" ht="15" thickBot="1">
      <c r="A84" s="725" t="s">
        <v>709</v>
      </c>
      <c r="B84" s="725"/>
      <c r="C84" s="726" t="s">
        <v>2078</v>
      </c>
      <c r="D84" s="726" t="s">
        <v>508</v>
      </c>
      <c r="E84" s="422" t="s">
        <v>330</v>
      </c>
      <c r="F84" s="412" t="s">
        <v>330</v>
      </c>
      <c r="G84" s="413" t="s">
        <v>330</v>
      </c>
      <c r="H84" s="412" t="s">
        <v>330</v>
      </c>
      <c r="I84" s="726" t="s">
        <v>974</v>
      </c>
      <c r="J84" s="727">
        <f>VLOOKUP(A84,'Trial Balance June 2025'!$A$7:$S$522,17,0)</f>
        <v>16440</v>
      </c>
      <c r="K84" s="727">
        <f>VLOOKUP(A84,'Trial Balance June 2025'!$A$8:$S$522,18,0)</f>
        <v>0</v>
      </c>
      <c r="L84" s="727">
        <v>0</v>
      </c>
      <c r="M84" s="727">
        <v>0</v>
      </c>
      <c r="N84" s="727">
        <f t="shared" si="6"/>
        <v>16440</v>
      </c>
      <c r="O84" s="727">
        <f t="shared" si="7"/>
        <v>0</v>
      </c>
      <c r="P84" s="742">
        <f t="shared" si="8"/>
        <v>16440</v>
      </c>
    </row>
    <row r="85" spans="1:16" ht="15" thickBot="1">
      <c r="A85" s="725" t="s">
        <v>709</v>
      </c>
      <c r="B85" s="725"/>
      <c r="C85" s="726" t="s">
        <v>2078</v>
      </c>
      <c r="D85" s="726" t="s">
        <v>508</v>
      </c>
      <c r="E85" s="422" t="s">
        <v>330</v>
      </c>
      <c r="F85" s="412" t="s">
        <v>330</v>
      </c>
      <c r="G85" s="413" t="s">
        <v>330</v>
      </c>
      <c r="H85" s="412" t="s">
        <v>330</v>
      </c>
      <c r="I85" s="726" t="s">
        <v>1020</v>
      </c>
      <c r="J85" s="727"/>
      <c r="K85" s="727">
        <f>VLOOKUP(A85,'Trial Balance June 2025'!$A$8:$S$522,18,0)</f>
        <v>0</v>
      </c>
      <c r="L85" s="727">
        <v>0</v>
      </c>
      <c r="M85" s="727">
        <v>0</v>
      </c>
      <c r="N85" s="727">
        <f t="shared" si="6"/>
        <v>0</v>
      </c>
      <c r="O85" s="727">
        <f t="shared" si="7"/>
        <v>0</v>
      </c>
      <c r="P85" s="742">
        <f t="shared" si="8"/>
        <v>0</v>
      </c>
    </row>
    <row r="86" spans="1:16" ht="15" thickBot="1">
      <c r="A86" s="725" t="s">
        <v>710</v>
      </c>
      <c r="B86" s="725"/>
      <c r="C86" s="726" t="s">
        <v>2079</v>
      </c>
      <c r="D86" s="726" t="s">
        <v>508</v>
      </c>
      <c r="E86" s="422" t="s">
        <v>330</v>
      </c>
      <c r="F86" s="412" t="s">
        <v>330</v>
      </c>
      <c r="G86" s="413" t="s">
        <v>330</v>
      </c>
      <c r="H86" s="412" t="s">
        <v>330</v>
      </c>
      <c r="I86" s="726" t="s">
        <v>974</v>
      </c>
      <c r="J86" s="727">
        <f>VLOOKUP(A86,'Trial Balance June 2025'!$A$7:$S$522,17,0)</f>
        <v>3268048</v>
      </c>
      <c r="K86" s="727">
        <f>VLOOKUP(A86,'Trial Balance June 2025'!$A$8:$S$522,18,0)</f>
        <v>0</v>
      </c>
      <c r="L86" s="727">
        <v>0</v>
      </c>
      <c r="M86" s="727">
        <v>0</v>
      </c>
      <c r="N86" s="727">
        <f t="shared" si="6"/>
        <v>3268048</v>
      </c>
      <c r="O86" s="727">
        <f t="shared" si="7"/>
        <v>0</v>
      </c>
      <c r="P86" s="742">
        <f t="shared" si="8"/>
        <v>3268048</v>
      </c>
    </row>
    <row r="87" spans="1:16" ht="15" thickBot="1">
      <c r="A87" s="725" t="s">
        <v>710</v>
      </c>
      <c r="B87" s="725"/>
      <c r="C87" s="726" t="s">
        <v>2079</v>
      </c>
      <c r="D87" s="726" t="s">
        <v>508</v>
      </c>
      <c r="E87" s="422" t="s">
        <v>330</v>
      </c>
      <c r="F87" s="412" t="s">
        <v>330</v>
      </c>
      <c r="G87" s="413" t="s">
        <v>330</v>
      </c>
      <c r="H87" s="412" t="s">
        <v>330</v>
      </c>
      <c r="I87" s="726" t="s">
        <v>1276</v>
      </c>
      <c r="J87" s="727"/>
      <c r="K87" s="727">
        <f>VLOOKUP(A87,'Trial Balance June 2025'!$A$8:$S$522,18,0)</f>
        <v>0</v>
      </c>
      <c r="L87" s="727">
        <v>0</v>
      </c>
      <c r="M87" s="727">
        <v>0</v>
      </c>
      <c r="N87" s="727">
        <f t="shared" si="6"/>
        <v>0</v>
      </c>
      <c r="O87" s="727">
        <f t="shared" si="7"/>
        <v>0</v>
      </c>
      <c r="P87" s="742">
        <f t="shared" si="8"/>
        <v>0</v>
      </c>
    </row>
    <row r="88" spans="1:16">
      <c r="A88" s="725" t="s">
        <v>711</v>
      </c>
      <c r="B88" s="725"/>
      <c r="C88" s="726" t="s">
        <v>2080</v>
      </c>
      <c r="D88" s="726" t="s">
        <v>508</v>
      </c>
      <c r="E88" s="422" t="s">
        <v>330</v>
      </c>
      <c r="F88" s="412" t="s">
        <v>330</v>
      </c>
      <c r="G88" s="413" t="s">
        <v>330</v>
      </c>
      <c r="H88" s="412" t="s">
        <v>330</v>
      </c>
      <c r="I88" s="726" t="s">
        <v>974</v>
      </c>
      <c r="J88" s="727">
        <f>VLOOKUP(A88,'Trial Balance June 2025'!$A$7:$S$522,17,0)</f>
        <v>693696</v>
      </c>
      <c r="K88" s="727">
        <f>VLOOKUP(A88,'Trial Balance June 2025'!$A$8:$S$522,18,0)</f>
        <v>0</v>
      </c>
      <c r="L88" s="727">
        <v>0</v>
      </c>
      <c r="M88" s="727">
        <v>0</v>
      </c>
      <c r="N88" s="727">
        <f t="shared" si="6"/>
        <v>693696</v>
      </c>
      <c r="O88" s="727">
        <f t="shared" si="7"/>
        <v>0</v>
      </c>
      <c r="P88" s="742">
        <f t="shared" si="8"/>
        <v>693696</v>
      </c>
    </row>
    <row r="89" spans="1:16">
      <c r="A89" s="725" t="s">
        <v>711</v>
      </c>
      <c r="B89" s="725"/>
      <c r="C89" s="726" t="s">
        <v>2080</v>
      </c>
      <c r="D89" s="413" t="s">
        <v>508</v>
      </c>
      <c r="E89" s="412" t="s">
        <v>330</v>
      </c>
      <c r="F89" s="413" t="s">
        <v>330</v>
      </c>
      <c r="G89" s="412" t="s">
        <v>330</v>
      </c>
      <c r="H89" s="412" t="s">
        <v>330</v>
      </c>
      <c r="I89" s="726" t="s">
        <v>1276</v>
      </c>
      <c r="J89" s="727"/>
      <c r="K89" s="727">
        <f>VLOOKUP(A89,'Trial Balance June 2025'!$A$8:$S$522,18,0)</f>
        <v>0</v>
      </c>
      <c r="L89" s="727">
        <v>0</v>
      </c>
      <c r="M89" s="727">
        <v>0</v>
      </c>
      <c r="N89" s="727">
        <f t="shared" si="6"/>
        <v>0</v>
      </c>
      <c r="O89" s="727">
        <f t="shared" si="7"/>
        <v>0</v>
      </c>
      <c r="P89" s="742">
        <f t="shared" si="8"/>
        <v>0</v>
      </c>
    </row>
    <row r="90" spans="1:16" ht="15" thickBot="1">
      <c r="A90" s="725" t="s">
        <v>711</v>
      </c>
      <c r="B90" s="725"/>
      <c r="C90" s="726" t="s">
        <v>2080</v>
      </c>
      <c r="D90" s="413" t="s">
        <v>508</v>
      </c>
      <c r="E90" s="412" t="s">
        <v>330</v>
      </c>
      <c r="F90" s="413" t="s">
        <v>330</v>
      </c>
      <c r="G90" s="412" t="s">
        <v>330</v>
      </c>
      <c r="H90" s="412" t="s">
        <v>330</v>
      </c>
      <c r="I90" s="726" t="s">
        <v>1025</v>
      </c>
      <c r="J90" s="727"/>
      <c r="K90" s="727">
        <f>VLOOKUP(A90,'Trial Balance June 2025'!$A$8:$S$522,18,0)</f>
        <v>0</v>
      </c>
      <c r="L90" s="727">
        <v>0</v>
      </c>
      <c r="M90" s="727">
        <v>0</v>
      </c>
      <c r="N90" s="727">
        <f t="shared" si="6"/>
        <v>0</v>
      </c>
      <c r="O90" s="727">
        <f t="shared" si="7"/>
        <v>0</v>
      </c>
      <c r="P90" s="742">
        <f t="shared" si="8"/>
        <v>0</v>
      </c>
    </row>
    <row r="91" spans="1:16" ht="29">
      <c r="A91" s="725" t="s">
        <v>712</v>
      </c>
      <c r="B91" s="725"/>
      <c r="C91" s="726" t="s">
        <v>1604</v>
      </c>
      <c r="D91" s="726" t="str">
        <f t="shared" si="5"/>
        <v>1-01-02-02-013RECEIVABLE FROM RIDA ALI</v>
      </c>
      <c r="E91" s="422" t="s">
        <v>1051</v>
      </c>
      <c r="F91" s="412" t="s">
        <v>466</v>
      </c>
      <c r="G91" s="413" t="s">
        <v>1057</v>
      </c>
      <c r="H91" s="412" t="s">
        <v>1058</v>
      </c>
      <c r="I91" s="726" t="s">
        <v>974</v>
      </c>
      <c r="J91" s="727">
        <f>VLOOKUP(A91,'Trial Balance June 2025'!$A$7:$S$522,17,0)</f>
        <v>1400</v>
      </c>
      <c r="K91" s="727">
        <f>VLOOKUP(A91,'Trial Balance June 2025'!$A$8:$S$522,18,0)</f>
        <v>0</v>
      </c>
      <c r="L91" s="727">
        <v>0</v>
      </c>
      <c r="M91" s="727">
        <v>0</v>
      </c>
      <c r="N91" s="727">
        <f t="shared" si="6"/>
        <v>1400</v>
      </c>
      <c r="O91" s="727">
        <f t="shared" si="7"/>
        <v>0</v>
      </c>
      <c r="P91" s="742">
        <f t="shared" si="8"/>
        <v>1400</v>
      </c>
    </row>
    <row r="92" spans="1:16">
      <c r="A92" s="725" t="s">
        <v>713</v>
      </c>
      <c r="B92" s="725"/>
      <c r="C92" s="726" t="s">
        <v>2081</v>
      </c>
      <c r="D92" s="413" t="s">
        <v>508</v>
      </c>
      <c r="E92" s="412" t="s">
        <v>330</v>
      </c>
      <c r="F92" s="413" t="s">
        <v>330</v>
      </c>
      <c r="G92" s="412" t="s">
        <v>330</v>
      </c>
      <c r="H92" s="412" t="s">
        <v>330</v>
      </c>
      <c r="I92" s="726" t="s">
        <v>974</v>
      </c>
      <c r="J92" s="727">
        <f>VLOOKUP(A92,'Trial Balance June 2025'!$A$7:$S$522,17,0)</f>
        <v>367608</v>
      </c>
      <c r="K92" s="727">
        <f>VLOOKUP(A92,'Trial Balance June 2025'!$A$8:$S$522,18,0)</f>
        <v>0</v>
      </c>
      <c r="L92" s="727">
        <v>0</v>
      </c>
      <c r="M92" s="727">
        <v>0</v>
      </c>
      <c r="N92" s="727">
        <f t="shared" si="6"/>
        <v>367608</v>
      </c>
      <c r="O92" s="727">
        <f t="shared" si="7"/>
        <v>0</v>
      </c>
      <c r="P92" s="742">
        <f t="shared" si="8"/>
        <v>367608</v>
      </c>
    </row>
    <row r="93" spans="1:16">
      <c r="A93" s="725" t="s">
        <v>714</v>
      </c>
      <c r="B93" s="725"/>
      <c r="C93" s="726" t="s">
        <v>2082</v>
      </c>
      <c r="D93" s="413" t="s">
        <v>508</v>
      </c>
      <c r="E93" s="412" t="s">
        <v>330</v>
      </c>
      <c r="F93" s="413" t="s">
        <v>330</v>
      </c>
      <c r="G93" s="412" t="s">
        <v>330</v>
      </c>
      <c r="H93" s="412" t="s">
        <v>330</v>
      </c>
      <c r="I93" s="726" t="s">
        <v>974</v>
      </c>
      <c r="J93" s="727">
        <f>VLOOKUP(A93,'Trial Balance June 2025'!$A$7:$S$522,17,0)</f>
        <v>233849</v>
      </c>
      <c r="K93" s="727">
        <f>VLOOKUP(A93,'Trial Balance June 2025'!$A$8:$S$522,18,0)</f>
        <v>0</v>
      </c>
      <c r="L93" s="727">
        <v>0</v>
      </c>
      <c r="M93" s="727">
        <v>0</v>
      </c>
      <c r="N93" s="727">
        <f t="shared" si="6"/>
        <v>233849</v>
      </c>
      <c r="O93" s="727">
        <f t="shared" si="7"/>
        <v>0</v>
      </c>
      <c r="P93" s="742">
        <f t="shared" si="8"/>
        <v>233849</v>
      </c>
    </row>
    <row r="94" spans="1:16">
      <c r="A94" s="725" t="s">
        <v>714</v>
      </c>
      <c r="B94" s="725"/>
      <c r="C94" s="726" t="s">
        <v>2082</v>
      </c>
      <c r="D94" s="413" t="s">
        <v>508</v>
      </c>
      <c r="E94" s="412" t="s">
        <v>330</v>
      </c>
      <c r="F94" s="413" t="s">
        <v>330</v>
      </c>
      <c r="G94" s="412" t="s">
        <v>330</v>
      </c>
      <c r="H94" s="412" t="s">
        <v>330</v>
      </c>
      <c r="I94" s="726" t="s">
        <v>1011</v>
      </c>
      <c r="J94" s="727"/>
      <c r="K94" s="727">
        <f>VLOOKUP(A94,'Trial Balance June 2025'!$A$8:$S$522,18,0)</f>
        <v>0</v>
      </c>
      <c r="L94" s="727">
        <v>0</v>
      </c>
      <c r="M94" s="727">
        <v>0</v>
      </c>
      <c r="N94" s="727">
        <f t="shared" si="6"/>
        <v>0</v>
      </c>
      <c r="O94" s="727">
        <f t="shared" si="7"/>
        <v>0</v>
      </c>
      <c r="P94" s="742">
        <f t="shared" si="8"/>
        <v>0</v>
      </c>
    </row>
    <row r="95" spans="1:16" ht="15" thickBot="1">
      <c r="A95" s="725" t="s">
        <v>714</v>
      </c>
      <c r="B95" s="725"/>
      <c r="C95" s="726" t="s">
        <v>2082</v>
      </c>
      <c r="D95" s="413" t="s">
        <v>508</v>
      </c>
      <c r="E95" s="412" t="s">
        <v>330</v>
      </c>
      <c r="F95" s="413" t="s">
        <v>330</v>
      </c>
      <c r="G95" s="412" t="s">
        <v>330</v>
      </c>
      <c r="H95" s="412" t="s">
        <v>330</v>
      </c>
      <c r="I95" s="726" t="s">
        <v>1276</v>
      </c>
      <c r="J95" s="727"/>
      <c r="K95" s="727">
        <f>VLOOKUP(A95,'Trial Balance June 2025'!$A$8:$S$522,18,0)</f>
        <v>0</v>
      </c>
      <c r="L95" s="727">
        <v>0</v>
      </c>
      <c r="M95" s="727">
        <v>0</v>
      </c>
      <c r="N95" s="727">
        <f t="shared" si="6"/>
        <v>0</v>
      </c>
      <c r="O95" s="727">
        <f t="shared" si="7"/>
        <v>0</v>
      </c>
      <c r="P95" s="742">
        <f t="shared" si="8"/>
        <v>0</v>
      </c>
    </row>
    <row r="96" spans="1:16" ht="29.5" thickBot="1">
      <c r="A96" s="725" t="s">
        <v>715</v>
      </c>
      <c r="B96" s="725"/>
      <c r="C96" s="726" t="s">
        <v>2083</v>
      </c>
      <c r="D96" s="726" t="str">
        <f t="shared" si="5"/>
        <v>1-01-02-02-019RECEIVABLE FROM SOLIDARITY CEN</v>
      </c>
      <c r="E96" s="422" t="s">
        <v>1051</v>
      </c>
      <c r="F96" s="412" t="s">
        <v>466</v>
      </c>
      <c r="G96" s="412" t="s">
        <v>1057</v>
      </c>
      <c r="H96" s="412" t="s">
        <v>1058</v>
      </c>
      <c r="I96" s="726" t="s">
        <v>974</v>
      </c>
      <c r="J96" s="727">
        <f>VLOOKUP(A96,'Trial Balance June 2025'!$A$7:$S$522,17,0)</f>
        <v>66466</v>
      </c>
      <c r="K96" s="727">
        <f>VLOOKUP(A96,'Trial Balance June 2025'!$A$8:$S$522,18,0)</f>
        <v>0</v>
      </c>
      <c r="L96" s="727">
        <v>0</v>
      </c>
      <c r="M96" s="727">
        <v>0</v>
      </c>
      <c r="N96" s="727">
        <f t="shared" si="6"/>
        <v>66466</v>
      </c>
      <c r="O96" s="727">
        <f t="shared" si="7"/>
        <v>0</v>
      </c>
      <c r="P96" s="742">
        <f t="shared" si="8"/>
        <v>66466</v>
      </c>
    </row>
    <row r="97" spans="1:16" ht="29.5" thickBot="1">
      <c r="A97" s="725" t="s">
        <v>716</v>
      </c>
      <c r="B97" s="725"/>
      <c r="C97" s="726" t="s">
        <v>1605</v>
      </c>
      <c r="D97" s="726" t="str">
        <f t="shared" si="5"/>
        <v>1-01-02-02-023RECEIVABLE FROM ZULFIQAR SHAH</v>
      </c>
      <c r="E97" s="422" t="s">
        <v>1051</v>
      </c>
      <c r="F97" s="412" t="s">
        <v>466</v>
      </c>
      <c r="G97" s="413" t="s">
        <v>1057</v>
      </c>
      <c r="H97" s="412" t="s">
        <v>1058</v>
      </c>
      <c r="I97" s="726" t="s">
        <v>974</v>
      </c>
      <c r="J97" s="727">
        <f>VLOOKUP(A97,'Trial Balance June 2025'!$A$7:$S$522,17,0)</f>
        <v>372335</v>
      </c>
      <c r="K97" s="727">
        <f>VLOOKUP(A97,'Trial Balance June 2025'!$A$8:$S$522,18,0)</f>
        <v>340773</v>
      </c>
      <c r="L97" s="727">
        <v>0</v>
      </c>
      <c r="M97" s="727">
        <v>0</v>
      </c>
      <c r="N97" s="727">
        <f t="shared" si="6"/>
        <v>372335</v>
      </c>
      <c r="O97" s="727">
        <f t="shared" si="7"/>
        <v>340773</v>
      </c>
      <c r="P97" s="742">
        <f t="shared" si="8"/>
        <v>31562</v>
      </c>
    </row>
    <row r="98" spans="1:16" ht="29.5" thickBot="1">
      <c r="A98" s="725" t="s">
        <v>717</v>
      </c>
      <c r="B98" s="725"/>
      <c r="C98" s="726" t="s">
        <v>1606</v>
      </c>
      <c r="D98" s="726" t="str">
        <f t="shared" si="5"/>
        <v>1-01-02-02-024RECEIVABLE FROM ZEENIA SHOUKAT</v>
      </c>
      <c r="E98" s="422" t="s">
        <v>1051</v>
      </c>
      <c r="F98" s="412" t="s">
        <v>466</v>
      </c>
      <c r="G98" s="413" t="s">
        <v>1057</v>
      </c>
      <c r="H98" s="412" t="s">
        <v>1058</v>
      </c>
      <c r="I98" s="726" t="s">
        <v>1019</v>
      </c>
      <c r="J98" s="727">
        <f>VLOOKUP(A98,'Trial Balance June 2025'!$A$7:$S$522,17,0)</f>
        <v>17670</v>
      </c>
      <c r="K98" s="727">
        <f>VLOOKUP(A98,'Trial Balance June 2025'!$A$8:$S$522,18,0)</f>
        <v>0</v>
      </c>
      <c r="L98" s="727">
        <v>0</v>
      </c>
      <c r="M98" s="727">
        <v>0</v>
      </c>
      <c r="N98" s="727">
        <f t="shared" si="6"/>
        <v>17670</v>
      </c>
      <c r="O98" s="727">
        <f t="shared" si="7"/>
        <v>0</v>
      </c>
      <c r="P98" s="742">
        <f t="shared" si="8"/>
        <v>17670</v>
      </c>
    </row>
    <row r="99" spans="1:16" ht="29.5" thickBot="1">
      <c r="A99" s="725" t="s">
        <v>719</v>
      </c>
      <c r="B99" s="725"/>
      <c r="C99" s="726" t="s">
        <v>1607</v>
      </c>
      <c r="D99" s="726" t="str">
        <f t="shared" si="5"/>
        <v>1-01-02-02-029RECEIVABLE FROM FARHAT FATIMA</v>
      </c>
      <c r="E99" s="422" t="s">
        <v>1051</v>
      </c>
      <c r="F99" s="412" t="s">
        <v>466</v>
      </c>
      <c r="G99" s="413" t="s">
        <v>1057</v>
      </c>
      <c r="H99" s="412" t="s">
        <v>1058</v>
      </c>
      <c r="I99" s="726" t="s">
        <v>974</v>
      </c>
      <c r="J99" s="727">
        <f>VLOOKUP(A99,'Trial Balance June 2025'!$A$7:$S$522,17,0)</f>
        <v>95</v>
      </c>
      <c r="K99" s="727">
        <f>VLOOKUP(A99,'Trial Balance June 2025'!$A$8:$S$522,18,0)</f>
        <v>0</v>
      </c>
      <c r="L99" s="727">
        <v>0</v>
      </c>
      <c r="M99" s="727">
        <v>0</v>
      </c>
      <c r="N99" s="727">
        <f t="shared" si="6"/>
        <v>95</v>
      </c>
      <c r="O99" s="727">
        <f t="shared" si="7"/>
        <v>0</v>
      </c>
      <c r="P99" s="742">
        <f t="shared" si="8"/>
        <v>95</v>
      </c>
    </row>
    <row r="100" spans="1:16" ht="29">
      <c r="A100" s="725" t="s">
        <v>719</v>
      </c>
      <c r="B100" s="725"/>
      <c r="C100" s="726" t="s">
        <v>1607</v>
      </c>
      <c r="D100" s="726" t="str">
        <f t="shared" si="5"/>
        <v>1-01-02-02-029RECEIVABLE FROM FARHAT FATIMA</v>
      </c>
      <c r="E100" s="422" t="s">
        <v>1051</v>
      </c>
      <c r="F100" s="412" t="s">
        <v>466</v>
      </c>
      <c r="G100" s="413" t="s">
        <v>1057</v>
      </c>
      <c r="H100" s="412" t="s">
        <v>1058</v>
      </c>
      <c r="I100" s="726" t="s">
        <v>1021</v>
      </c>
      <c r="J100" s="727"/>
      <c r="K100" s="727">
        <f>VLOOKUP(A100,'Trial Balance June 2025'!$A$8:$S$522,18,0)</f>
        <v>0</v>
      </c>
      <c r="L100" s="727">
        <v>0</v>
      </c>
      <c r="M100" s="727">
        <v>0</v>
      </c>
      <c r="N100" s="727">
        <f t="shared" si="6"/>
        <v>0</v>
      </c>
      <c r="O100" s="727">
        <f t="shared" si="7"/>
        <v>0</v>
      </c>
      <c r="P100" s="742">
        <f t="shared" si="8"/>
        <v>0</v>
      </c>
    </row>
    <row r="101" spans="1:16">
      <c r="A101" s="725" t="s">
        <v>720</v>
      </c>
      <c r="B101" s="725"/>
      <c r="C101" s="726" t="s">
        <v>2084</v>
      </c>
      <c r="D101" s="413" t="s">
        <v>508</v>
      </c>
      <c r="E101" s="412" t="s">
        <v>330</v>
      </c>
      <c r="F101" s="413" t="s">
        <v>330</v>
      </c>
      <c r="G101" s="412" t="s">
        <v>330</v>
      </c>
      <c r="H101" s="412" t="s">
        <v>330</v>
      </c>
      <c r="I101" s="726" t="s">
        <v>974</v>
      </c>
      <c r="J101" s="727">
        <f>VLOOKUP(A101,'Trial Balance June 2025'!$A$7:$S$522,17,0)</f>
        <v>0</v>
      </c>
      <c r="K101" s="727">
        <f>VLOOKUP(A101,'Trial Balance June 2025'!$A$8:$S$522,18,0)</f>
        <v>849896</v>
      </c>
      <c r="L101" s="727">
        <v>0</v>
      </c>
      <c r="M101" s="727">
        <v>0</v>
      </c>
      <c r="N101" s="727">
        <f t="shared" si="6"/>
        <v>0</v>
      </c>
      <c r="O101" s="727">
        <f t="shared" si="7"/>
        <v>849896</v>
      </c>
      <c r="P101" s="742">
        <f t="shared" si="8"/>
        <v>-849896</v>
      </c>
    </row>
    <row r="102" spans="1:16" ht="15" thickBot="1">
      <c r="A102" s="725" t="s">
        <v>722</v>
      </c>
      <c r="B102" s="725"/>
      <c r="C102" s="726" t="s">
        <v>2085</v>
      </c>
      <c r="D102" s="413" t="s">
        <v>508</v>
      </c>
      <c r="E102" s="412" t="s">
        <v>330</v>
      </c>
      <c r="F102" s="413" t="s">
        <v>330</v>
      </c>
      <c r="G102" s="412" t="s">
        <v>330</v>
      </c>
      <c r="H102" s="412" t="s">
        <v>330</v>
      </c>
      <c r="I102" s="726" t="s">
        <v>974</v>
      </c>
      <c r="J102" s="727">
        <f>VLOOKUP(A102,'Trial Balance June 2025'!$A$7:$S$522,17,0)</f>
        <v>0</v>
      </c>
      <c r="K102" s="727">
        <f>VLOOKUP(A102,'Trial Balance June 2025'!$A$8:$S$522,18,0)</f>
        <v>186921</v>
      </c>
      <c r="L102" s="727">
        <v>0</v>
      </c>
      <c r="M102" s="727">
        <v>0</v>
      </c>
      <c r="N102" s="727">
        <f t="shared" si="6"/>
        <v>0</v>
      </c>
      <c r="O102" s="727">
        <f t="shared" si="7"/>
        <v>186921</v>
      </c>
      <c r="P102" s="742">
        <f t="shared" si="8"/>
        <v>-186921</v>
      </c>
    </row>
    <row r="103" spans="1:16" ht="29.5" thickBot="1">
      <c r="A103" s="725" t="s">
        <v>723</v>
      </c>
      <c r="B103" s="725"/>
      <c r="C103" s="726" t="s">
        <v>1608</v>
      </c>
      <c r="D103" s="726" t="str">
        <f t="shared" si="5"/>
        <v>1-01-02-02-036RECEIVABLE FROM NOBAHAR</v>
      </c>
      <c r="E103" s="422" t="s">
        <v>1051</v>
      </c>
      <c r="F103" s="412" t="s">
        <v>466</v>
      </c>
      <c r="G103" s="413" t="s">
        <v>1057</v>
      </c>
      <c r="H103" s="412" t="s">
        <v>1058</v>
      </c>
      <c r="I103" s="726" t="s">
        <v>1013</v>
      </c>
      <c r="J103" s="727">
        <f>VLOOKUP(A103,'Trial Balance June 2025'!$A$7:$S$522,17,0)</f>
        <v>50</v>
      </c>
      <c r="K103" s="727">
        <f>VLOOKUP(A103,'Trial Balance June 2025'!$A$8:$S$522,18,0)</f>
        <v>0</v>
      </c>
      <c r="L103" s="727">
        <v>0</v>
      </c>
      <c r="M103" s="727">
        <v>0</v>
      </c>
      <c r="N103" s="727">
        <f t="shared" si="6"/>
        <v>50</v>
      </c>
      <c r="O103" s="727">
        <f t="shared" si="7"/>
        <v>0</v>
      </c>
      <c r="P103" s="742">
        <f t="shared" si="8"/>
        <v>50</v>
      </c>
    </row>
    <row r="104" spans="1:16" ht="29.5" thickBot="1">
      <c r="A104" s="725" t="s">
        <v>724</v>
      </c>
      <c r="B104" s="725"/>
      <c r="C104" s="726" t="s">
        <v>1609</v>
      </c>
      <c r="D104" s="726" t="str">
        <f t="shared" si="5"/>
        <v>1-01-02-02-038RECEIVABLE FROM SHUJAUDDIN</v>
      </c>
      <c r="E104" s="422" t="s">
        <v>1051</v>
      </c>
      <c r="F104" s="412" t="s">
        <v>466</v>
      </c>
      <c r="G104" s="413" t="s">
        <v>1057</v>
      </c>
      <c r="H104" s="412" t="s">
        <v>1058</v>
      </c>
      <c r="I104" s="726" t="s">
        <v>1013</v>
      </c>
      <c r="J104" s="727"/>
      <c r="K104" s="727">
        <f>VLOOKUP(A104,'Trial Balance June 2025'!$A$8:$S$522,18,0)</f>
        <v>0</v>
      </c>
      <c r="L104" s="727">
        <v>0</v>
      </c>
      <c r="M104" s="727">
        <v>0</v>
      </c>
      <c r="N104" s="727">
        <f t="shared" si="6"/>
        <v>0</v>
      </c>
      <c r="O104" s="727">
        <f t="shared" si="7"/>
        <v>0</v>
      </c>
      <c r="P104" s="742">
        <f t="shared" si="8"/>
        <v>0</v>
      </c>
    </row>
    <row r="105" spans="1:16" ht="29">
      <c r="A105" s="725" t="s">
        <v>724</v>
      </c>
      <c r="B105" s="725"/>
      <c r="C105" s="726" t="s">
        <v>1609</v>
      </c>
      <c r="D105" s="726" t="str">
        <f t="shared" si="5"/>
        <v>1-01-02-02-038RECEIVABLE FROM SHUJAUDDIN</v>
      </c>
      <c r="E105" s="422" t="s">
        <v>1051</v>
      </c>
      <c r="F105" s="412" t="s">
        <v>466</v>
      </c>
      <c r="G105" s="413" t="s">
        <v>1057</v>
      </c>
      <c r="H105" s="412" t="s">
        <v>1058</v>
      </c>
      <c r="I105" s="726" t="s">
        <v>974</v>
      </c>
      <c r="J105" s="727"/>
      <c r="K105" s="727">
        <f>VLOOKUP(A105,'Trial Balance June 2025'!$A$8:$S$522,18,0)</f>
        <v>0</v>
      </c>
      <c r="L105" s="727">
        <v>0</v>
      </c>
      <c r="M105" s="727">
        <v>0</v>
      </c>
      <c r="N105" s="727">
        <f t="shared" si="6"/>
        <v>0</v>
      </c>
      <c r="O105" s="727">
        <f t="shared" si="7"/>
        <v>0</v>
      </c>
      <c r="P105" s="742">
        <f t="shared" si="8"/>
        <v>0</v>
      </c>
    </row>
    <row r="106" spans="1:16" ht="15" thickBot="1">
      <c r="A106" s="725" t="s">
        <v>725</v>
      </c>
      <c r="B106" s="725"/>
      <c r="C106" s="726" t="s">
        <v>2086</v>
      </c>
      <c r="D106" s="413" t="s">
        <v>508</v>
      </c>
      <c r="E106" s="412" t="s">
        <v>330</v>
      </c>
      <c r="F106" s="413" t="s">
        <v>330</v>
      </c>
      <c r="G106" s="412" t="s">
        <v>330</v>
      </c>
      <c r="H106" s="412" t="s">
        <v>330</v>
      </c>
      <c r="I106" s="726" t="s">
        <v>1020</v>
      </c>
      <c r="J106" s="727">
        <f>VLOOKUP(A106,'Trial Balance June 2025'!$A$7:$S$522,17,0)</f>
        <v>918</v>
      </c>
      <c r="K106" s="727">
        <f>VLOOKUP(A106,'Trial Balance June 2025'!$A$8:$S$522,18,0)</f>
        <v>0</v>
      </c>
      <c r="L106" s="727">
        <v>0</v>
      </c>
      <c r="M106" s="727">
        <v>0</v>
      </c>
      <c r="N106" s="727">
        <f t="shared" si="6"/>
        <v>918</v>
      </c>
      <c r="O106" s="727">
        <f t="shared" si="7"/>
        <v>0</v>
      </c>
      <c r="P106" s="742">
        <f t="shared" si="8"/>
        <v>918</v>
      </c>
    </row>
    <row r="107" spans="1:16" ht="29.5" thickBot="1">
      <c r="A107" s="725" t="s">
        <v>726</v>
      </c>
      <c r="B107" s="725"/>
      <c r="C107" s="726" t="s">
        <v>1610</v>
      </c>
      <c r="D107" s="726" t="str">
        <f t="shared" si="5"/>
        <v>1-01-02-02-040RECEIVABLE FROM KARAMAT ALI</v>
      </c>
      <c r="E107" s="422" t="s">
        <v>1051</v>
      </c>
      <c r="F107" s="412" t="s">
        <v>466</v>
      </c>
      <c r="G107" s="413" t="s">
        <v>1057</v>
      </c>
      <c r="H107" s="412" t="s">
        <v>1058</v>
      </c>
      <c r="I107" s="726" t="s">
        <v>1014</v>
      </c>
      <c r="J107" s="727">
        <f>VLOOKUP(A107,'Trial Balance June 2025'!$A$7:$S$522,17,0)</f>
        <v>11780</v>
      </c>
      <c r="K107" s="727">
        <f>VLOOKUP(A107,'Trial Balance June 2025'!$A$8:$S$522,18,0)</f>
        <v>0</v>
      </c>
      <c r="L107" s="727">
        <v>0</v>
      </c>
      <c r="M107" s="727">
        <v>0</v>
      </c>
      <c r="N107" s="727">
        <f t="shared" si="6"/>
        <v>11780</v>
      </c>
      <c r="O107" s="727">
        <f t="shared" si="7"/>
        <v>0</v>
      </c>
      <c r="P107" s="742">
        <f t="shared" si="8"/>
        <v>11780</v>
      </c>
    </row>
    <row r="108" spans="1:16" ht="29">
      <c r="A108" s="725" t="s">
        <v>726</v>
      </c>
      <c r="B108" s="725"/>
      <c r="C108" s="726" t="s">
        <v>1610</v>
      </c>
      <c r="D108" s="726" t="str">
        <f t="shared" si="5"/>
        <v>1-01-02-02-040RECEIVABLE FROM KARAMAT ALI</v>
      </c>
      <c r="E108" s="422" t="s">
        <v>1051</v>
      </c>
      <c r="F108" s="412" t="s">
        <v>466</v>
      </c>
      <c r="G108" s="413" t="s">
        <v>1057</v>
      </c>
      <c r="H108" s="412" t="s">
        <v>1058</v>
      </c>
      <c r="I108" s="726" t="s">
        <v>974</v>
      </c>
      <c r="J108" s="727"/>
      <c r="K108" s="727">
        <f>VLOOKUP(A108,'Trial Balance June 2025'!$A$8:$S$522,18,0)</f>
        <v>0</v>
      </c>
      <c r="L108" s="727">
        <v>0</v>
      </c>
      <c r="M108" s="727">
        <v>0</v>
      </c>
      <c r="N108" s="727">
        <f t="shared" si="6"/>
        <v>0</v>
      </c>
      <c r="O108" s="727">
        <f t="shared" si="7"/>
        <v>0</v>
      </c>
      <c r="P108" s="742">
        <f t="shared" si="8"/>
        <v>0</v>
      </c>
    </row>
    <row r="109" spans="1:16">
      <c r="A109" s="725" t="s">
        <v>727</v>
      </c>
      <c r="B109" s="725"/>
      <c r="C109" s="726" t="s">
        <v>2087</v>
      </c>
      <c r="D109" s="413" t="s">
        <v>508</v>
      </c>
      <c r="E109" s="412" t="s">
        <v>330</v>
      </c>
      <c r="F109" s="413" t="s">
        <v>330</v>
      </c>
      <c r="G109" s="412" t="s">
        <v>330</v>
      </c>
      <c r="H109" s="412" t="s">
        <v>330</v>
      </c>
      <c r="I109" s="726" t="s">
        <v>974</v>
      </c>
      <c r="J109" s="727">
        <f>VLOOKUP(A109,'Trial Balance June 2025'!$A$7:$S$522,17,0)</f>
        <v>2901</v>
      </c>
      <c r="K109" s="727">
        <f>VLOOKUP(A109,'Trial Balance June 2025'!$A$8:$S$522,18,0)</f>
        <v>0</v>
      </c>
      <c r="L109" s="727">
        <v>0</v>
      </c>
      <c r="M109" s="727">
        <v>0</v>
      </c>
      <c r="N109" s="727">
        <f t="shared" si="6"/>
        <v>2901</v>
      </c>
      <c r="O109" s="727">
        <f t="shared" si="7"/>
        <v>0</v>
      </c>
      <c r="P109" s="742">
        <f t="shared" si="8"/>
        <v>2901</v>
      </c>
    </row>
    <row r="110" spans="1:16" ht="15" thickBot="1">
      <c r="A110" s="725" t="s">
        <v>727</v>
      </c>
      <c r="B110" s="725"/>
      <c r="C110" s="726" t="s">
        <v>2087</v>
      </c>
      <c r="D110" s="413" t="s">
        <v>508</v>
      </c>
      <c r="E110" s="412" t="s">
        <v>330</v>
      </c>
      <c r="F110" s="413" t="s">
        <v>330</v>
      </c>
      <c r="G110" s="412" t="s">
        <v>330</v>
      </c>
      <c r="H110" s="412" t="s">
        <v>330</v>
      </c>
      <c r="I110" s="726" t="s">
        <v>1020</v>
      </c>
      <c r="J110" s="727"/>
      <c r="K110" s="727">
        <f>VLOOKUP(A110,'Trial Balance June 2025'!$A$8:$S$522,18,0)</f>
        <v>0</v>
      </c>
      <c r="L110" s="727">
        <v>0</v>
      </c>
      <c r="M110" s="727">
        <v>0</v>
      </c>
      <c r="N110" s="727">
        <f t="shared" si="6"/>
        <v>0</v>
      </c>
      <c r="O110" s="727">
        <f t="shared" si="7"/>
        <v>0</v>
      </c>
      <c r="P110" s="742">
        <f t="shared" si="8"/>
        <v>0</v>
      </c>
    </row>
    <row r="111" spans="1:16" ht="29.5" thickBot="1">
      <c r="A111" s="725" t="s">
        <v>728</v>
      </c>
      <c r="B111" s="725"/>
      <c r="C111" s="726" t="s">
        <v>1611</v>
      </c>
      <c r="D111" s="726" t="str">
        <f t="shared" si="5"/>
        <v>1-01-02-02-042RECEIVABLE FROM DANISH</v>
      </c>
      <c r="E111" s="422" t="s">
        <v>1051</v>
      </c>
      <c r="F111" s="412" t="s">
        <v>466</v>
      </c>
      <c r="G111" s="413" t="s">
        <v>1057</v>
      </c>
      <c r="H111" s="412" t="s">
        <v>1058</v>
      </c>
      <c r="I111" s="726" t="s">
        <v>1013</v>
      </c>
      <c r="J111" s="727">
        <f>VLOOKUP(A111,'Trial Balance June 2025'!$A$7:$S$522,17,0)</f>
        <v>50</v>
      </c>
      <c r="K111" s="727">
        <f>VLOOKUP(A111,'Trial Balance June 2025'!$A$8:$S$522,18,0)</f>
        <v>0</v>
      </c>
      <c r="L111" s="727">
        <v>0</v>
      </c>
      <c r="M111" s="727">
        <v>0</v>
      </c>
      <c r="N111" s="727">
        <f t="shared" si="6"/>
        <v>50</v>
      </c>
      <c r="O111" s="727">
        <f t="shared" si="7"/>
        <v>0</v>
      </c>
      <c r="P111" s="742">
        <f t="shared" si="8"/>
        <v>50</v>
      </c>
    </row>
    <row r="112" spans="1:16" ht="29.5" thickBot="1">
      <c r="A112" s="725" t="s">
        <v>728</v>
      </c>
      <c r="B112" s="725"/>
      <c r="C112" s="726" t="s">
        <v>1611</v>
      </c>
      <c r="D112" s="726" t="str">
        <f t="shared" si="5"/>
        <v>1-01-02-02-042RECEIVABLE FROM DANISH</v>
      </c>
      <c r="E112" s="422" t="s">
        <v>1051</v>
      </c>
      <c r="F112" s="412" t="s">
        <v>466</v>
      </c>
      <c r="G112" s="413" t="s">
        <v>1057</v>
      </c>
      <c r="H112" s="412" t="s">
        <v>1058</v>
      </c>
      <c r="I112" s="726" t="s">
        <v>1019</v>
      </c>
      <c r="J112" s="727"/>
      <c r="K112" s="727">
        <f>VLOOKUP(A112,'Trial Balance June 2025'!$A$8:$S$522,18,0)</f>
        <v>0</v>
      </c>
      <c r="L112" s="727">
        <v>0</v>
      </c>
      <c r="M112" s="727">
        <v>0</v>
      </c>
      <c r="N112" s="727">
        <f t="shared" si="6"/>
        <v>0</v>
      </c>
      <c r="O112" s="727">
        <f t="shared" si="7"/>
        <v>0</v>
      </c>
      <c r="P112" s="742">
        <f t="shared" si="8"/>
        <v>0</v>
      </c>
    </row>
    <row r="113" spans="1:16" ht="29.5" thickBot="1">
      <c r="A113" s="725" t="s">
        <v>729</v>
      </c>
      <c r="B113" s="725"/>
      <c r="C113" s="726" t="s">
        <v>1612</v>
      </c>
      <c r="D113" s="726" t="str">
        <f t="shared" si="5"/>
        <v>1-01-02-02-043RECEIVABLE FROM PERVEZ AHMED</v>
      </c>
      <c r="E113" s="422" t="s">
        <v>1051</v>
      </c>
      <c r="F113" s="412" t="s">
        <v>466</v>
      </c>
      <c r="G113" s="413" t="s">
        <v>1057</v>
      </c>
      <c r="H113" s="412" t="s">
        <v>1058</v>
      </c>
      <c r="I113" s="726" t="s">
        <v>1014</v>
      </c>
      <c r="J113" s="727">
        <f>VLOOKUP(A113,'Trial Balance June 2025'!$A$7:$S$522,17,0)</f>
        <v>80</v>
      </c>
      <c r="K113" s="727">
        <f>VLOOKUP(A113,'Trial Balance June 2025'!$A$8:$S$522,18,0)</f>
        <v>0</v>
      </c>
      <c r="L113" s="727">
        <v>0</v>
      </c>
      <c r="M113" s="727">
        <v>0</v>
      </c>
      <c r="N113" s="727">
        <f t="shared" si="6"/>
        <v>80</v>
      </c>
      <c r="O113" s="727">
        <f t="shared" si="7"/>
        <v>0</v>
      </c>
      <c r="P113" s="742">
        <f t="shared" si="8"/>
        <v>80</v>
      </c>
    </row>
    <row r="114" spans="1:16" ht="29.5" thickBot="1">
      <c r="A114" s="725" t="s">
        <v>729</v>
      </c>
      <c r="B114" s="725"/>
      <c r="C114" s="726" t="s">
        <v>1612</v>
      </c>
      <c r="D114" s="726" t="str">
        <f t="shared" si="5"/>
        <v>1-01-02-02-043RECEIVABLE FROM PERVEZ AHMED</v>
      </c>
      <c r="E114" s="422" t="s">
        <v>1051</v>
      </c>
      <c r="F114" s="412" t="s">
        <v>466</v>
      </c>
      <c r="G114" s="413" t="s">
        <v>1057</v>
      </c>
      <c r="H114" s="412" t="s">
        <v>1058</v>
      </c>
      <c r="I114" s="726" t="s">
        <v>974</v>
      </c>
      <c r="J114" s="727"/>
      <c r="K114" s="727">
        <f>VLOOKUP(A114,'Trial Balance June 2025'!$A$8:$S$522,18,0)</f>
        <v>0</v>
      </c>
      <c r="L114" s="727">
        <v>0</v>
      </c>
      <c r="M114" s="727">
        <v>0</v>
      </c>
      <c r="N114" s="727">
        <f t="shared" si="6"/>
        <v>0</v>
      </c>
      <c r="O114" s="727">
        <f t="shared" si="7"/>
        <v>0</v>
      </c>
      <c r="P114" s="742">
        <f t="shared" si="8"/>
        <v>0</v>
      </c>
    </row>
    <row r="115" spans="1:16" ht="29.5" thickBot="1">
      <c r="A115" s="725" t="s">
        <v>729</v>
      </c>
      <c r="B115" s="725"/>
      <c r="C115" s="726" t="s">
        <v>1612</v>
      </c>
      <c r="D115" s="726" t="str">
        <f t="shared" si="5"/>
        <v>1-01-02-02-043RECEIVABLE FROM PERVEZ AHMED</v>
      </c>
      <c r="E115" s="422" t="s">
        <v>1051</v>
      </c>
      <c r="F115" s="412" t="s">
        <v>466</v>
      </c>
      <c r="G115" s="413" t="s">
        <v>1057</v>
      </c>
      <c r="H115" s="412" t="s">
        <v>1058</v>
      </c>
      <c r="I115" s="726" t="s">
        <v>1276</v>
      </c>
      <c r="J115" s="727"/>
      <c r="K115" s="727">
        <f>VLOOKUP(A115,'Trial Balance June 2025'!$A$8:$S$522,18,0)</f>
        <v>0</v>
      </c>
      <c r="L115" s="727">
        <v>0</v>
      </c>
      <c r="M115" s="727">
        <v>0</v>
      </c>
      <c r="N115" s="727">
        <f t="shared" si="6"/>
        <v>0</v>
      </c>
      <c r="O115" s="727">
        <f t="shared" si="7"/>
        <v>0</v>
      </c>
      <c r="P115" s="742">
        <f t="shared" si="8"/>
        <v>0</v>
      </c>
    </row>
    <row r="116" spans="1:16" ht="29.5" thickBot="1">
      <c r="A116" s="725" t="s">
        <v>729</v>
      </c>
      <c r="B116" s="725"/>
      <c r="C116" s="726" t="s">
        <v>1612</v>
      </c>
      <c r="D116" s="726" t="str">
        <f t="shared" si="5"/>
        <v>1-01-02-02-043RECEIVABLE FROM PERVEZ AHMED</v>
      </c>
      <c r="E116" s="422" t="s">
        <v>1051</v>
      </c>
      <c r="F116" s="412" t="s">
        <v>466</v>
      </c>
      <c r="G116" s="413" t="s">
        <v>1057</v>
      </c>
      <c r="H116" s="412" t="s">
        <v>1058</v>
      </c>
      <c r="I116" s="726" t="s">
        <v>1021</v>
      </c>
      <c r="J116" s="727"/>
      <c r="K116" s="727">
        <f>VLOOKUP(A116,'Trial Balance June 2025'!$A$8:$S$522,18,0)</f>
        <v>0</v>
      </c>
      <c r="L116" s="727">
        <v>0</v>
      </c>
      <c r="M116" s="727">
        <v>0</v>
      </c>
      <c r="N116" s="727">
        <f t="shared" si="6"/>
        <v>0</v>
      </c>
      <c r="O116" s="727">
        <f t="shared" si="7"/>
        <v>0</v>
      </c>
      <c r="P116" s="742">
        <f t="shared" si="8"/>
        <v>0</v>
      </c>
    </row>
    <row r="117" spans="1:16" ht="29">
      <c r="A117" s="725" t="s">
        <v>729</v>
      </c>
      <c r="B117" s="725"/>
      <c r="C117" s="726" t="s">
        <v>1612</v>
      </c>
      <c r="D117" s="726" t="str">
        <f t="shared" si="5"/>
        <v>1-01-02-02-043RECEIVABLE FROM PERVEZ AHMED</v>
      </c>
      <c r="E117" s="422" t="s">
        <v>1051</v>
      </c>
      <c r="F117" s="412" t="s">
        <v>466</v>
      </c>
      <c r="G117" s="413" t="s">
        <v>1057</v>
      </c>
      <c r="H117" s="412" t="s">
        <v>1058</v>
      </c>
      <c r="I117" s="726" t="s">
        <v>1027</v>
      </c>
      <c r="J117" s="727"/>
      <c r="K117" s="727">
        <f>VLOOKUP(A117,'Trial Balance June 2025'!$A$8:$S$522,18,0)</f>
        <v>0</v>
      </c>
      <c r="L117" s="727">
        <v>0</v>
      </c>
      <c r="M117" s="727">
        <v>0</v>
      </c>
      <c r="N117" s="727">
        <f t="shared" si="6"/>
        <v>0</v>
      </c>
      <c r="O117" s="727">
        <f t="shared" si="7"/>
        <v>0</v>
      </c>
      <c r="P117" s="742">
        <f t="shared" si="8"/>
        <v>0</v>
      </c>
    </row>
    <row r="118" spans="1:16">
      <c r="A118" s="725" t="s">
        <v>730</v>
      </c>
      <c r="B118" s="725"/>
      <c r="C118" s="726" t="s">
        <v>2088</v>
      </c>
      <c r="D118" s="413" t="s">
        <v>508</v>
      </c>
      <c r="E118" s="412" t="s">
        <v>330</v>
      </c>
      <c r="F118" s="413" t="s">
        <v>330</v>
      </c>
      <c r="G118" s="412" t="s">
        <v>330</v>
      </c>
      <c r="H118" s="412" t="s">
        <v>330</v>
      </c>
      <c r="I118" s="726" t="s">
        <v>1014</v>
      </c>
      <c r="J118" s="727">
        <f>VLOOKUP(A118,'Trial Balance June 2025'!$A$7:$S$522,17,0)</f>
        <v>250000</v>
      </c>
      <c r="K118" s="727">
        <f>VLOOKUP(A118,'Trial Balance June 2025'!$A$8:$S$522,18,0)</f>
        <v>0</v>
      </c>
      <c r="L118" s="727">
        <v>0</v>
      </c>
      <c r="M118" s="727">
        <v>0</v>
      </c>
      <c r="N118" s="727">
        <f t="shared" si="6"/>
        <v>250000</v>
      </c>
      <c r="O118" s="727">
        <f t="shared" si="7"/>
        <v>0</v>
      </c>
      <c r="P118" s="742">
        <f t="shared" si="8"/>
        <v>250000</v>
      </c>
    </row>
    <row r="119" spans="1:16">
      <c r="A119" s="725" t="s">
        <v>730</v>
      </c>
      <c r="B119" s="725"/>
      <c r="C119" s="726" t="s">
        <v>2088</v>
      </c>
      <c r="D119" s="413" t="s">
        <v>508</v>
      </c>
      <c r="E119" s="412" t="s">
        <v>330</v>
      </c>
      <c r="F119" s="413" t="s">
        <v>330</v>
      </c>
      <c r="G119" s="412" t="s">
        <v>330</v>
      </c>
      <c r="H119" s="412" t="s">
        <v>330</v>
      </c>
      <c r="I119" s="726" t="s">
        <v>974</v>
      </c>
      <c r="J119" s="727"/>
      <c r="K119" s="727">
        <f>VLOOKUP(A119,'Trial Balance June 2025'!$A$8:$S$522,18,0)</f>
        <v>0</v>
      </c>
      <c r="L119" s="727">
        <v>0</v>
      </c>
      <c r="M119" s="727">
        <v>0</v>
      </c>
      <c r="N119" s="727">
        <f t="shared" si="6"/>
        <v>0</v>
      </c>
      <c r="O119" s="727">
        <f t="shared" si="7"/>
        <v>0</v>
      </c>
      <c r="P119" s="742">
        <f t="shared" si="8"/>
        <v>0</v>
      </c>
    </row>
    <row r="120" spans="1:16">
      <c r="A120" s="725" t="s">
        <v>730</v>
      </c>
      <c r="B120" s="725"/>
      <c r="C120" s="726" t="s">
        <v>2088</v>
      </c>
      <c r="D120" s="413" t="s">
        <v>508</v>
      </c>
      <c r="E120" s="412" t="s">
        <v>330</v>
      </c>
      <c r="F120" s="413" t="s">
        <v>330</v>
      </c>
      <c r="G120" s="412" t="s">
        <v>330</v>
      </c>
      <c r="H120" s="412" t="s">
        <v>330</v>
      </c>
      <c r="I120" s="726" t="s">
        <v>1021</v>
      </c>
      <c r="J120" s="727"/>
      <c r="K120" s="727">
        <f>VLOOKUP(A120,'Trial Balance June 2025'!$A$8:$S$522,18,0)</f>
        <v>0</v>
      </c>
      <c r="L120" s="727">
        <v>0</v>
      </c>
      <c r="M120" s="727">
        <v>0</v>
      </c>
      <c r="N120" s="727">
        <f t="shared" si="6"/>
        <v>0</v>
      </c>
      <c r="O120" s="727">
        <f t="shared" si="7"/>
        <v>0</v>
      </c>
      <c r="P120" s="742">
        <f t="shared" si="8"/>
        <v>0</v>
      </c>
    </row>
    <row r="121" spans="1:16">
      <c r="A121" s="725" t="s">
        <v>730</v>
      </c>
      <c r="B121" s="725"/>
      <c r="C121" s="726" t="s">
        <v>2088</v>
      </c>
      <c r="D121" s="413" t="s">
        <v>508</v>
      </c>
      <c r="E121" s="412" t="s">
        <v>330</v>
      </c>
      <c r="F121" s="413" t="s">
        <v>330</v>
      </c>
      <c r="G121" s="412" t="s">
        <v>330</v>
      </c>
      <c r="H121" s="412" t="s">
        <v>330</v>
      </c>
      <c r="I121" s="726" t="s">
        <v>1027</v>
      </c>
      <c r="J121" s="727"/>
      <c r="K121" s="727">
        <f>VLOOKUP(A121,'Trial Balance June 2025'!$A$8:$S$522,18,0)</f>
        <v>0</v>
      </c>
      <c r="L121" s="727">
        <v>0</v>
      </c>
      <c r="M121" s="727">
        <v>0</v>
      </c>
      <c r="N121" s="727">
        <f t="shared" si="6"/>
        <v>0</v>
      </c>
      <c r="O121" s="727">
        <f t="shared" si="7"/>
        <v>0</v>
      </c>
      <c r="P121" s="742">
        <f t="shared" si="8"/>
        <v>0</v>
      </c>
    </row>
    <row r="122" spans="1:16" ht="15" thickBot="1">
      <c r="A122" s="725" t="s">
        <v>1082</v>
      </c>
      <c r="B122" s="725"/>
      <c r="C122" s="726" t="s">
        <v>2089</v>
      </c>
      <c r="D122" s="413" t="s">
        <v>508</v>
      </c>
      <c r="E122" s="412" t="s">
        <v>330</v>
      </c>
      <c r="F122" s="413" t="s">
        <v>330</v>
      </c>
      <c r="G122" s="412" t="s">
        <v>330</v>
      </c>
      <c r="H122" s="412" t="s">
        <v>330</v>
      </c>
      <c r="I122" s="726" t="s">
        <v>974</v>
      </c>
      <c r="J122" s="727">
        <f>VLOOKUP(A122,'Trial Balance June 2025'!$A$7:$S$522,17,0)</f>
        <v>886184</v>
      </c>
      <c r="K122" s="727">
        <f>VLOOKUP(A122,'Trial Balance June 2025'!$A$8:$S$522,18,0)</f>
        <v>1382523</v>
      </c>
      <c r="L122" s="727">
        <v>0</v>
      </c>
      <c r="M122" s="727">
        <v>0</v>
      </c>
      <c r="N122" s="727">
        <f t="shared" si="6"/>
        <v>886184</v>
      </c>
      <c r="O122" s="727">
        <f t="shared" si="7"/>
        <v>1382523</v>
      </c>
      <c r="P122" s="742">
        <f t="shared" si="8"/>
        <v>-496339</v>
      </c>
    </row>
    <row r="123" spans="1:16" ht="29.5" thickBot="1">
      <c r="A123" s="725" t="s">
        <v>731</v>
      </c>
      <c r="B123" s="725"/>
      <c r="C123" s="726" t="s">
        <v>1613</v>
      </c>
      <c r="D123" s="726" t="str">
        <f t="shared" si="5"/>
        <v>1-01-02-02-047RECEIVABLE FROM GHULAM ASGHAR</v>
      </c>
      <c r="E123" s="422" t="s">
        <v>1051</v>
      </c>
      <c r="F123" s="412" t="s">
        <v>466</v>
      </c>
      <c r="G123" s="413" t="s">
        <v>1057</v>
      </c>
      <c r="H123" s="412" t="s">
        <v>1058</v>
      </c>
      <c r="I123" s="726" t="s">
        <v>1012</v>
      </c>
      <c r="J123" s="727">
        <f>VLOOKUP(A123,'Trial Balance June 2025'!$A$7:$S$522,17,0)</f>
        <v>50</v>
      </c>
      <c r="K123" s="727">
        <f>VLOOKUP(A123,'Trial Balance June 2025'!$A$8:$S$522,18,0)</f>
        <v>0</v>
      </c>
      <c r="L123" s="727">
        <v>0</v>
      </c>
      <c r="M123" s="727">
        <v>0</v>
      </c>
      <c r="N123" s="727">
        <f t="shared" si="6"/>
        <v>50</v>
      </c>
      <c r="O123" s="727">
        <f t="shared" si="7"/>
        <v>0</v>
      </c>
      <c r="P123" s="742">
        <f t="shared" si="8"/>
        <v>50</v>
      </c>
    </row>
    <row r="124" spans="1:16" ht="29">
      <c r="A124" s="725" t="s">
        <v>732</v>
      </c>
      <c r="B124" s="725"/>
      <c r="C124" s="726" t="s">
        <v>1614</v>
      </c>
      <c r="D124" s="726" t="str">
        <f t="shared" si="5"/>
        <v>1-01-02-02-048RECEIVABLE FROM MAHER ALI</v>
      </c>
      <c r="E124" s="422" t="s">
        <v>1051</v>
      </c>
      <c r="F124" s="412" t="s">
        <v>466</v>
      </c>
      <c r="G124" s="413" t="s">
        <v>1057</v>
      </c>
      <c r="H124" s="412" t="s">
        <v>1058</v>
      </c>
      <c r="I124" s="726" t="s">
        <v>1012</v>
      </c>
      <c r="J124" s="727"/>
      <c r="K124" s="727">
        <f>VLOOKUP(A124,'Trial Balance June 2025'!$A$8:$S$522,18,0)</f>
        <v>0</v>
      </c>
      <c r="L124" s="727">
        <v>0</v>
      </c>
      <c r="M124" s="727">
        <v>0</v>
      </c>
      <c r="N124" s="727">
        <f t="shared" si="6"/>
        <v>0</v>
      </c>
      <c r="O124" s="727">
        <f t="shared" si="7"/>
        <v>0</v>
      </c>
      <c r="P124" s="742">
        <f t="shared" si="8"/>
        <v>0</v>
      </c>
    </row>
    <row r="125" spans="1:16">
      <c r="A125" s="725" t="s">
        <v>733</v>
      </c>
      <c r="B125" s="725"/>
      <c r="C125" s="726" t="s">
        <v>2090</v>
      </c>
      <c r="D125" s="413" t="s">
        <v>508</v>
      </c>
      <c r="E125" s="412" t="s">
        <v>330</v>
      </c>
      <c r="F125" s="413" t="s">
        <v>330</v>
      </c>
      <c r="G125" s="412" t="s">
        <v>330</v>
      </c>
      <c r="H125" s="412" t="s">
        <v>330</v>
      </c>
      <c r="I125" s="726" t="s">
        <v>1014</v>
      </c>
      <c r="J125" s="727">
        <f>VLOOKUP(A125,'Trial Balance June 2025'!$A$7:$S$522,17,0)</f>
        <v>0</v>
      </c>
      <c r="K125" s="727">
        <f>VLOOKUP(A125,'Trial Balance June 2025'!$A$8:$S$522,18,0)</f>
        <v>210640</v>
      </c>
      <c r="L125" s="727">
        <v>0</v>
      </c>
      <c r="M125" s="727">
        <v>0</v>
      </c>
      <c r="N125" s="727">
        <f t="shared" si="6"/>
        <v>0</v>
      </c>
      <c r="O125" s="727">
        <f t="shared" si="7"/>
        <v>210640</v>
      </c>
      <c r="P125" s="742">
        <f t="shared" si="8"/>
        <v>-210640</v>
      </c>
    </row>
    <row r="126" spans="1:16" ht="15" thickBot="1">
      <c r="A126" s="725" t="s">
        <v>733</v>
      </c>
      <c r="B126" s="725"/>
      <c r="C126" s="726" t="s">
        <v>2090</v>
      </c>
      <c r="D126" s="413" t="s">
        <v>508</v>
      </c>
      <c r="E126" s="412" t="s">
        <v>330</v>
      </c>
      <c r="F126" s="413" t="s">
        <v>330</v>
      </c>
      <c r="G126" s="412" t="s">
        <v>330</v>
      </c>
      <c r="H126" s="412" t="s">
        <v>330</v>
      </c>
      <c r="I126" s="726" t="s">
        <v>974</v>
      </c>
      <c r="J126" s="727">
        <f>VLOOKUP(A126,'Trial Balance June 2025'!$A$7:$S$522,17,0)</f>
        <v>0</v>
      </c>
      <c r="K126" s="727"/>
      <c r="L126" s="727">
        <v>0</v>
      </c>
      <c r="M126" s="727">
        <v>0</v>
      </c>
      <c r="N126" s="727">
        <f t="shared" si="6"/>
        <v>0</v>
      </c>
      <c r="O126" s="727">
        <f t="shared" si="7"/>
        <v>0</v>
      </c>
      <c r="P126" s="742">
        <f t="shared" si="8"/>
        <v>0</v>
      </c>
    </row>
    <row r="127" spans="1:16" ht="29.5" thickBot="1">
      <c r="A127" s="725" t="s">
        <v>734</v>
      </c>
      <c r="B127" s="725"/>
      <c r="C127" s="726" t="s">
        <v>1615</v>
      </c>
      <c r="D127" s="726" t="str">
        <f t="shared" si="5"/>
        <v>1-01-02-02-050RECEIVABLE FROM SHAKEEL AHMED</v>
      </c>
      <c r="E127" s="422" t="s">
        <v>1051</v>
      </c>
      <c r="F127" s="412" t="s">
        <v>466</v>
      </c>
      <c r="G127" s="413" t="s">
        <v>1057</v>
      </c>
      <c r="H127" s="412" t="s">
        <v>1058</v>
      </c>
      <c r="I127" s="726" t="s">
        <v>1013</v>
      </c>
      <c r="J127" s="727">
        <f>VLOOKUP(A127,'Trial Balance June 2025'!$A$7:$S$522,17,0)</f>
        <v>50</v>
      </c>
      <c r="K127" s="727">
        <f>VLOOKUP(A127,'Trial Balance June 2025'!$A$8:$S$522,18,0)</f>
        <v>0</v>
      </c>
      <c r="L127" s="727">
        <v>0</v>
      </c>
      <c r="M127" s="727">
        <v>0</v>
      </c>
      <c r="N127" s="727">
        <f t="shared" si="6"/>
        <v>50</v>
      </c>
      <c r="O127" s="727">
        <f t="shared" si="7"/>
        <v>0</v>
      </c>
      <c r="P127" s="742">
        <f t="shared" si="8"/>
        <v>50</v>
      </c>
    </row>
    <row r="128" spans="1:16" ht="29.5" thickBot="1">
      <c r="A128" s="725" t="s">
        <v>735</v>
      </c>
      <c r="B128" s="725"/>
      <c r="C128" s="726" t="s">
        <v>1616</v>
      </c>
      <c r="D128" s="726" t="str">
        <f t="shared" si="5"/>
        <v>1-01-02-02-051RECEIVABLE FROM SHAZAD ALI SHA</v>
      </c>
      <c r="E128" s="422" t="s">
        <v>1051</v>
      </c>
      <c r="F128" s="412" t="s">
        <v>466</v>
      </c>
      <c r="G128" s="413" t="s">
        <v>1057</v>
      </c>
      <c r="H128" s="412" t="s">
        <v>1058</v>
      </c>
      <c r="I128" s="726" t="s">
        <v>1013</v>
      </c>
      <c r="J128" s="727"/>
      <c r="K128" s="727">
        <f>VLOOKUP(A128,'Trial Balance June 2025'!$A$8:$S$522,18,0)</f>
        <v>0</v>
      </c>
      <c r="L128" s="727">
        <v>0</v>
      </c>
      <c r="M128" s="727">
        <v>0</v>
      </c>
      <c r="N128" s="727">
        <f t="shared" si="6"/>
        <v>0</v>
      </c>
      <c r="O128" s="727">
        <f t="shared" si="7"/>
        <v>0</v>
      </c>
      <c r="P128" s="742">
        <f t="shared" si="8"/>
        <v>0</v>
      </c>
    </row>
    <row r="129" spans="1:16" ht="29.5" thickBot="1">
      <c r="A129" s="725" t="s">
        <v>736</v>
      </c>
      <c r="B129" s="725"/>
      <c r="C129" s="726" t="s">
        <v>1617</v>
      </c>
      <c r="D129" s="726" t="str">
        <f t="shared" si="5"/>
        <v>1-01-02-02-052RECEIVABLE FROM FARHAN</v>
      </c>
      <c r="E129" s="422" t="s">
        <v>1051</v>
      </c>
      <c r="F129" s="412" t="s">
        <v>466</v>
      </c>
      <c r="G129" s="413" t="s">
        <v>1057</v>
      </c>
      <c r="H129" s="412" t="s">
        <v>1058</v>
      </c>
      <c r="I129" s="726" t="s">
        <v>1013</v>
      </c>
      <c r="J129" s="727"/>
      <c r="K129" s="727">
        <f>VLOOKUP(A129,'Trial Balance June 2025'!$A$8:$S$522,18,0)</f>
        <v>0</v>
      </c>
      <c r="L129" s="727">
        <v>0</v>
      </c>
      <c r="M129" s="727">
        <v>0</v>
      </c>
      <c r="N129" s="727">
        <f t="shared" si="6"/>
        <v>0</v>
      </c>
      <c r="O129" s="727">
        <f t="shared" si="7"/>
        <v>0</v>
      </c>
      <c r="P129" s="742">
        <f t="shared" si="8"/>
        <v>0</v>
      </c>
    </row>
    <row r="130" spans="1:16" ht="29.5" thickBot="1">
      <c r="A130" s="725" t="s">
        <v>737</v>
      </c>
      <c r="B130" s="725"/>
      <c r="C130" s="726" t="s">
        <v>1618</v>
      </c>
      <c r="D130" s="726" t="str">
        <f t="shared" si="5"/>
        <v>1-01-02-02-053RECEIVABLE FROM ABBAS HAIDER</v>
      </c>
      <c r="E130" s="422" t="s">
        <v>1051</v>
      </c>
      <c r="F130" s="412" t="s">
        <v>466</v>
      </c>
      <c r="G130" s="413" t="s">
        <v>1057</v>
      </c>
      <c r="H130" s="412" t="s">
        <v>1058</v>
      </c>
      <c r="I130" s="726" t="s">
        <v>1014</v>
      </c>
      <c r="J130" s="727">
        <f>VLOOKUP(A130,'Trial Balance June 2025'!$A$7:$S$522,17,0)</f>
        <v>0</v>
      </c>
      <c r="K130" s="727">
        <f>VLOOKUP(A130,'Trial Balance June 2025'!$A$8:$S$522,18,0)</f>
        <v>240</v>
      </c>
      <c r="L130" s="727">
        <v>0</v>
      </c>
      <c r="M130" s="727">
        <v>0</v>
      </c>
      <c r="N130" s="727">
        <f t="shared" si="6"/>
        <v>0</v>
      </c>
      <c r="O130" s="727">
        <f t="shared" si="7"/>
        <v>240</v>
      </c>
      <c r="P130" s="742">
        <f t="shared" si="8"/>
        <v>-240</v>
      </c>
    </row>
    <row r="131" spans="1:16" ht="29.5" thickBot="1">
      <c r="A131" s="725" t="s">
        <v>737</v>
      </c>
      <c r="B131" s="725"/>
      <c r="C131" s="726" t="s">
        <v>1618</v>
      </c>
      <c r="D131" s="726" t="str">
        <f t="shared" si="5"/>
        <v>1-01-02-02-053RECEIVABLE FROM ABBAS HAIDER</v>
      </c>
      <c r="E131" s="422" t="s">
        <v>1051</v>
      </c>
      <c r="F131" s="412" t="s">
        <v>466</v>
      </c>
      <c r="G131" s="413" t="s">
        <v>1057</v>
      </c>
      <c r="H131" s="412" t="s">
        <v>1058</v>
      </c>
      <c r="I131" s="726" t="s">
        <v>974</v>
      </c>
      <c r="J131" s="727">
        <f>VLOOKUP(A131,'Trial Balance June 2025'!$A$7:$S$522,17,0)</f>
        <v>0</v>
      </c>
      <c r="K131" s="727"/>
      <c r="L131" s="727">
        <v>0</v>
      </c>
      <c r="M131" s="727">
        <v>0</v>
      </c>
      <c r="N131" s="727">
        <f t="shared" si="6"/>
        <v>0</v>
      </c>
      <c r="O131" s="727">
        <f t="shared" si="7"/>
        <v>0</v>
      </c>
      <c r="P131" s="742">
        <f t="shared" si="8"/>
        <v>0</v>
      </c>
    </row>
    <row r="132" spans="1:16" ht="29.5" thickBot="1">
      <c r="A132" s="725" t="s">
        <v>737</v>
      </c>
      <c r="B132" s="725"/>
      <c r="C132" s="726" t="s">
        <v>1618</v>
      </c>
      <c r="D132" s="726" t="str">
        <f t="shared" si="5"/>
        <v>1-01-02-02-053RECEIVABLE FROM ABBAS HAIDER</v>
      </c>
      <c r="E132" s="422" t="s">
        <v>1051</v>
      </c>
      <c r="F132" s="412" t="s">
        <v>466</v>
      </c>
      <c r="G132" s="413" t="s">
        <v>1057</v>
      </c>
      <c r="H132" s="412" t="s">
        <v>1058</v>
      </c>
      <c r="I132" s="726" t="s">
        <v>1021</v>
      </c>
      <c r="J132" s="727">
        <f>VLOOKUP(A132,'Trial Balance June 2025'!$A$7:$S$522,17,0)</f>
        <v>0</v>
      </c>
      <c r="K132" s="727"/>
      <c r="L132" s="727">
        <v>0</v>
      </c>
      <c r="M132" s="727">
        <v>0</v>
      </c>
      <c r="N132" s="727">
        <f t="shared" si="6"/>
        <v>0</v>
      </c>
      <c r="O132" s="727">
        <f t="shared" si="7"/>
        <v>0</v>
      </c>
      <c r="P132" s="742">
        <f t="shared" si="8"/>
        <v>0</v>
      </c>
    </row>
    <row r="133" spans="1:16" ht="29.5" thickBot="1">
      <c r="A133" s="725" t="s">
        <v>738</v>
      </c>
      <c r="B133" s="725"/>
      <c r="C133" s="726" t="s">
        <v>1619</v>
      </c>
      <c r="D133" s="726" t="str">
        <f t="shared" si="5"/>
        <v>1-01-02-02-054RECEIVABLE FROM ABIDA SHARAFAT</v>
      </c>
      <c r="E133" s="422" t="s">
        <v>1051</v>
      </c>
      <c r="F133" s="412" t="s">
        <v>466</v>
      </c>
      <c r="G133" s="413" t="s">
        <v>1057</v>
      </c>
      <c r="H133" s="412" t="s">
        <v>1058</v>
      </c>
      <c r="I133" s="726" t="s">
        <v>1021</v>
      </c>
      <c r="J133" s="727">
        <f>VLOOKUP(A133,'Trial Balance June 2025'!$A$7:$S$522,17,0)</f>
        <v>50</v>
      </c>
      <c r="K133" s="727">
        <f>VLOOKUP(A133,'Trial Balance June 2025'!$A$8:$S$522,18,0)</f>
        <v>0</v>
      </c>
      <c r="L133" s="727">
        <v>0</v>
      </c>
      <c r="M133" s="727">
        <v>0</v>
      </c>
      <c r="N133" s="727">
        <f t="shared" si="6"/>
        <v>50</v>
      </c>
      <c r="O133" s="727">
        <f t="shared" si="7"/>
        <v>0</v>
      </c>
      <c r="P133" s="742">
        <f t="shared" si="8"/>
        <v>50</v>
      </c>
    </row>
    <row r="134" spans="1:16" ht="29.5" thickBot="1">
      <c r="A134" s="725" t="s">
        <v>739</v>
      </c>
      <c r="B134" s="725"/>
      <c r="C134" s="726" t="s">
        <v>1620</v>
      </c>
      <c r="D134" s="726" t="str">
        <f t="shared" si="5"/>
        <v>1-01-02-02-055RECEIVABLE FROM MIR MULADAD</v>
      </c>
      <c r="E134" s="422" t="s">
        <v>1051</v>
      </c>
      <c r="F134" s="412" t="s">
        <v>466</v>
      </c>
      <c r="G134" s="413" t="s">
        <v>1057</v>
      </c>
      <c r="H134" s="412" t="s">
        <v>1058</v>
      </c>
      <c r="I134" s="726" t="s">
        <v>1021</v>
      </c>
      <c r="J134" s="727"/>
      <c r="K134" s="727">
        <f>VLOOKUP(A134,'Trial Balance June 2025'!$A$8:$S$522,18,0)</f>
        <v>0</v>
      </c>
      <c r="L134" s="727">
        <v>0</v>
      </c>
      <c r="M134" s="727">
        <v>0</v>
      </c>
      <c r="N134" s="727">
        <f t="shared" si="6"/>
        <v>0</v>
      </c>
      <c r="O134" s="727">
        <f t="shared" si="7"/>
        <v>0</v>
      </c>
      <c r="P134" s="742">
        <f t="shared" si="8"/>
        <v>0</v>
      </c>
    </row>
    <row r="135" spans="1:16" ht="29">
      <c r="A135" s="725" t="s">
        <v>740</v>
      </c>
      <c r="B135" s="725"/>
      <c r="C135" s="726" t="s">
        <v>1621</v>
      </c>
      <c r="D135" s="726" t="str">
        <f t="shared" si="5"/>
        <v>1-01-02-02-056RECEIVABLE FROM SANA RUBAB</v>
      </c>
      <c r="E135" s="422" t="s">
        <v>1051</v>
      </c>
      <c r="F135" s="412" t="s">
        <v>466</v>
      </c>
      <c r="G135" s="413" t="s">
        <v>1057</v>
      </c>
      <c r="H135" s="412" t="s">
        <v>1058</v>
      </c>
      <c r="I135" s="726" t="s">
        <v>1021</v>
      </c>
      <c r="J135" s="727"/>
      <c r="K135" s="727">
        <f>VLOOKUP(A135,'Trial Balance June 2025'!$A$8:$S$522,18,0)</f>
        <v>0</v>
      </c>
      <c r="L135" s="727">
        <v>0</v>
      </c>
      <c r="M135" s="727">
        <v>0</v>
      </c>
      <c r="N135" s="727">
        <f t="shared" si="6"/>
        <v>0</v>
      </c>
      <c r="O135" s="727">
        <f t="shared" si="7"/>
        <v>0</v>
      </c>
      <c r="P135" s="742">
        <f t="shared" si="8"/>
        <v>0</v>
      </c>
    </row>
    <row r="136" spans="1:16">
      <c r="A136" s="725" t="s">
        <v>741</v>
      </c>
      <c r="B136" s="725"/>
      <c r="C136" s="726" t="s">
        <v>2091</v>
      </c>
      <c r="D136" s="413" t="s">
        <v>508</v>
      </c>
      <c r="E136" s="412" t="s">
        <v>330</v>
      </c>
      <c r="F136" s="413" t="s">
        <v>330</v>
      </c>
      <c r="G136" s="412" t="s">
        <v>330</v>
      </c>
      <c r="H136" s="412" t="s">
        <v>330</v>
      </c>
      <c r="I136" s="726" t="s">
        <v>974</v>
      </c>
      <c r="J136" s="727">
        <f>VLOOKUP(A136,'Trial Balance June 2025'!$A$7:$S$522,17,0)</f>
        <v>65268</v>
      </c>
      <c r="K136" s="727">
        <f>VLOOKUP(A136,'Trial Balance June 2025'!$A$8:$S$522,18,0)</f>
        <v>0</v>
      </c>
      <c r="L136" s="727">
        <v>0</v>
      </c>
      <c r="M136" s="727">
        <v>0</v>
      </c>
      <c r="N136" s="727">
        <f t="shared" ref="N136:N199" si="9">J136+L136</f>
        <v>65268</v>
      </c>
      <c r="O136" s="727">
        <f t="shared" ref="O136:O199" si="10">K136+M136</f>
        <v>0</v>
      </c>
      <c r="P136" s="742">
        <f t="shared" ref="P136:P199" si="11">N136-O136</f>
        <v>65268</v>
      </c>
    </row>
    <row r="137" spans="1:16">
      <c r="A137" s="725" t="s">
        <v>742</v>
      </c>
      <c r="B137" s="725"/>
      <c r="C137" s="726" t="s">
        <v>2092</v>
      </c>
      <c r="D137" s="413" t="s">
        <v>508</v>
      </c>
      <c r="E137" s="412" t="s">
        <v>330</v>
      </c>
      <c r="F137" s="413" t="s">
        <v>330</v>
      </c>
      <c r="G137" s="412" t="s">
        <v>330</v>
      </c>
      <c r="H137" s="412" t="s">
        <v>330</v>
      </c>
      <c r="I137" s="726" t="s">
        <v>974</v>
      </c>
      <c r="J137" s="727">
        <f>VLOOKUP(A137,'Trial Balance June 2025'!$A$7:$S$522,17,0)</f>
        <v>124685</v>
      </c>
      <c r="K137" s="727">
        <f>VLOOKUP(A137,'Trial Balance June 2025'!$A$8:$S$522,18,0)</f>
        <v>0</v>
      </c>
      <c r="L137" s="727">
        <v>0</v>
      </c>
      <c r="M137" s="727">
        <v>0</v>
      </c>
      <c r="N137" s="727">
        <f t="shared" si="9"/>
        <v>124685</v>
      </c>
      <c r="O137" s="727">
        <f t="shared" si="10"/>
        <v>0</v>
      </c>
      <c r="P137" s="742">
        <f t="shared" si="11"/>
        <v>124685</v>
      </c>
    </row>
    <row r="138" spans="1:16">
      <c r="A138" s="725" t="s">
        <v>743</v>
      </c>
      <c r="B138" s="725"/>
      <c r="C138" s="726" t="s">
        <v>2093</v>
      </c>
      <c r="D138" s="413" t="s">
        <v>508</v>
      </c>
      <c r="E138" s="412" t="s">
        <v>330</v>
      </c>
      <c r="F138" s="413" t="s">
        <v>330</v>
      </c>
      <c r="G138" s="412" t="s">
        <v>330</v>
      </c>
      <c r="H138" s="412" t="s">
        <v>330</v>
      </c>
      <c r="I138" s="726" t="s">
        <v>1013</v>
      </c>
      <c r="J138" s="727">
        <f>VLOOKUP(A138,'Trial Balance June 2025'!$A$7:$S$522,17,0)</f>
        <v>2100</v>
      </c>
      <c r="K138" s="727">
        <f>VLOOKUP(A138,'Trial Balance June 2025'!$A$8:$S$522,18,0)</f>
        <v>0</v>
      </c>
      <c r="L138" s="727">
        <v>0</v>
      </c>
      <c r="M138" s="727">
        <v>0</v>
      </c>
      <c r="N138" s="727">
        <f t="shared" si="9"/>
        <v>2100</v>
      </c>
      <c r="O138" s="727">
        <f t="shared" si="10"/>
        <v>0</v>
      </c>
      <c r="P138" s="742">
        <f t="shared" si="11"/>
        <v>2100</v>
      </c>
    </row>
    <row r="139" spans="1:16">
      <c r="A139" s="725" t="s">
        <v>743</v>
      </c>
      <c r="B139" s="725"/>
      <c r="C139" s="726" t="s">
        <v>2093</v>
      </c>
      <c r="D139" s="413" t="s">
        <v>508</v>
      </c>
      <c r="E139" s="412" t="s">
        <v>330</v>
      </c>
      <c r="F139" s="413" t="s">
        <v>330</v>
      </c>
      <c r="G139" s="412" t="s">
        <v>330</v>
      </c>
      <c r="H139" s="412" t="s">
        <v>330</v>
      </c>
      <c r="I139" s="726" t="s">
        <v>974</v>
      </c>
      <c r="J139" s="727"/>
      <c r="K139" s="727">
        <f>VLOOKUP(A139,'Trial Balance June 2025'!$A$8:$S$522,18,0)</f>
        <v>0</v>
      </c>
      <c r="L139" s="727">
        <v>0</v>
      </c>
      <c r="M139" s="727">
        <v>0</v>
      </c>
      <c r="N139" s="727">
        <f t="shared" si="9"/>
        <v>0</v>
      </c>
      <c r="O139" s="727">
        <f t="shared" si="10"/>
        <v>0</v>
      </c>
      <c r="P139" s="742">
        <f t="shared" si="11"/>
        <v>0</v>
      </c>
    </row>
    <row r="140" spans="1:16">
      <c r="A140" s="725" t="s">
        <v>743</v>
      </c>
      <c r="B140" s="725"/>
      <c r="C140" s="726" t="s">
        <v>2093</v>
      </c>
      <c r="D140" s="413" t="s">
        <v>508</v>
      </c>
      <c r="E140" s="412" t="s">
        <v>330</v>
      </c>
      <c r="F140" s="413" t="s">
        <v>330</v>
      </c>
      <c r="G140" s="412" t="s">
        <v>330</v>
      </c>
      <c r="H140" s="412" t="s">
        <v>330</v>
      </c>
      <c r="I140" s="726" t="s">
        <v>1025</v>
      </c>
      <c r="J140" s="727"/>
      <c r="K140" s="727">
        <f>VLOOKUP(A140,'Trial Balance June 2025'!$A$8:$S$522,18,0)</f>
        <v>0</v>
      </c>
      <c r="L140" s="727">
        <v>0</v>
      </c>
      <c r="M140" s="727">
        <v>0</v>
      </c>
      <c r="N140" s="727">
        <f t="shared" si="9"/>
        <v>0</v>
      </c>
      <c r="O140" s="727">
        <f t="shared" si="10"/>
        <v>0</v>
      </c>
      <c r="P140" s="742">
        <f t="shared" si="11"/>
        <v>0</v>
      </c>
    </row>
    <row r="141" spans="1:16">
      <c r="A141" s="725" t="s">
        <v>744</v>
      </c>
      <c r="B141" s="725"/>
      <c r="C141" s="726" t="s">
        <v>2094</v>
      </c>
      <c r="D141" s="413" t="s">
        <v>508</v>
      </c>
      <c r="E141" s="412" t="s">
        <v>330</v>
      </c>
      <c r="F141" s="413" t="s">
        <v>330</v>
      </c>
      <c r="G141" s="412" t="s">
        <v>330</v>
      </c>
      <c r="H141" s="412" t="s">
        <v>330</v>
      </c>
      <c r="I141" s="726" t="s">
        <v>1013</v>
      </c>
      <c r="J141" s="727">
        <f>VLOOKUP(A141,'Trial Balance June 2025'!$A$7:$S$522,17,0)</f>
        <v>33907</v>
      </c>
      <c r="K141" s="727">
        <f>VLOOKUP(A141,'Trial Balance June 2025'!$A$8:$S$522,18,0)</f>
        <v>0</v>
      </c>
      <c r="L141" s="727">
        <v>0</v>
      </c>
      <c r="M141" s="727">
        <v>0</v>
      </c>
      <c r="N141" s="727">
        <f t="shared" si="9"/>
        <v>33907</v>
      </c>
      <c r="O141" s="727">
        <f t="shared" si="10"/>
        <v>0</v>
      </c>
      <c r="P141" s="742">
        <f t="shared" si="11"/>
        <v>33907</v>
      </c>
    </row>
    <row r="142" spans="1:16">
      <c r="A142" s="725" t="s">
        <v>744</v>
      </c>
      <c r="B142" s="725"/>
      <c r="C142" s="726" t="s">
        <v>2094</v>
      </c>
      <c r="D142" s="413" t="s">
        <v>508</v>
      </c>
      <c r="E142" s="412" t="s">
        <v>330</v>
      </c>
      <c r="F142" s="413" t="s">
        <v>330</v>
      </c>
      <c r="G142" s="412" t="s">
        <v>330</v>
      </c>
      <c r="H142" s="412" t="s">
        <v>330</v>
      </c>
      <c r="I142" s="726" t="s">
        <v>1014</v>
      </c>
      <c r="J142" s="727"/>
      <c r="K142" s="727">
        <f>VLOOKUP(A142,'Trial Balance June 2025'!$A$8:$S$522,18,0)</f>
        <v>0</v>
      </c>
      <c r="L142" s="727">
        <v>0</v>
      </c>
      <c r="M142" s="727">
        <v>0</v>
      </c>
      <c r="N142" s="727">
        <f t="shared" si="9"/>
        <v>0</v>
      </c>
      <c r="O142" s="727">
        <f t="shared" si="10"/>
        <v>0</v>
      </c>
      <c r="P142" s="742">
        <f t="shared" si="11"/>
        <v>0</v>
      </c>
    </row>
    <row r="143" spans="1:16">
      <c r="A143" s="725" t="s">
        <v>744</v>
      </c>
      <c r="B143" s="725"/>
      <c r="C143" s="726" t="s">
        <v>2094</v>
      </c>
      <c r="D143" s="413" t="s">
        <v>508</v>
      </c>
      <c r="E143" s="412" t="s">
        <v>330</v>
      </c>
      <c r="F143" s="413" t="s">
        <v>330</v>
      </c>
      <c r="G143" s="412" t="s">
        <v>330</v>
      </c>
      <c r="H143" s="412" t="s">
        <v>330</v>
      </c>
      <c r="I143" s="726" t="s">
        <v>974</v>
      </c>
      <c r="J143" s="727"/>
      <c r="K143" s="727">
        <f>VLOOKUP(A143,'Trial Balance June 2025'!$A$8:$S$522,18,0)</f>
        <v>0</v>
      </c>
      <c r="L143" s="727">
        <v>0</v>
      </c>
      <c r="M143" s="727">
        <v>0</v>
      </c>
      <c r="N143" s="727">
        <f t="shared" si="9"/>
        <v>0</v>
      </c>
      <c r="O143" s="727">
        <f t="shared" si="10"/>
        <v>0</v>
      </c>
      <c r="P143" s="742">
        <f t="shared" si="11"/>
        <v>0</v>
      </c>
    </row>
    <row r="144" spans="1:16">
      <c r="A144" s="725" t="s">
        <v>744</v>
      </c>
      <c r="B144" s="725"/>
      <c r="C144" s="726" t="s">
        <v>2094</v>
      </c>
      <c r="D144" s="413" t="s">
        <v>508</v>
      </c>
      <c r="E144" s="412" t="s">
        <v>330</v>
      </c>
      <c r="F144" s="413" t="s">
        <v>330</v>
      </c>
      <c r="G144" s="412" t="s">
        <v>330</v>
      </c>
      <c r="H144" s="412" t="s">
        <v>330</v>
      </c>
      <c r="I144" s="726" t="s">
        <v>1012</v>
      </c>
      <c r="J144" s="727"/>
      <c r="K144" s="727">
        <f>VLOOKUP(A144,'Trial Balance June 2025'!$A$8:$S$522,18,0)</f>
        <v>0</v>
      </c>
      <c r="L144" s="727">
        <v>0</v>
      </c>
      <c r="M144" s="727">
        <v>0</v>
      </c>
      <c r="N144" s="727">
        <f t="shared" si="9"/>
        <v>0</v>
      </c>
      <c r="O144" s="727">
        <f t="shared" si="10"/>
        <v>0</v>
      </c>
      <c r="P144" s="742">
        <f t="shared" si="11"/>
        <v>0</v>
      </c>
    </row>
    <row r="145" spans="1:16">
      <c r="A145" s="725" t="s">
        <v>744</v>
      </c>
      <c r="B145" s="725"/>
      <c r="C145" s="726" t="s">
        <v>2094</v>
      </c>
      <c r="D145" s="413" t="s">
        <v>508</v>
      </c>
      <c r="E145" s="412" t="s">
        <v>330</v>
      </c>
      <c r="F145" s="413" t="s">
        <v>330</v>
      </c>
      <c r="G145" s="412" t="s">
        <v>330</v>
      </c>
      <c r="H145" s="412" t="s">
        <v>330</v>
      </c>
      <c r="I145" s="726" t="s">
        <v>1276</v>
      </c>
      <c r="J145" s="727"/>
      <c r="K145" s="727">
        <f>VLOOKUP(A145,'Trial Balance June 2025'!$A$8:$S$522,18,0)</f>
        <v>0</v>
      </c>
      <c r="L145" s="727">
        <v>0</v>
      </c>
      <c r="M145" s="727">
        <v>0</v>
      </c>
      <c r="N145" s="727">
        <f t="shared" si="9"/>
        <v>0</v>
      </c>
      <c r="O145" s="727">
        <f t="shared" si="10"/>
        <v>0</v>
      </c>
      <c r="P145" s="742">
        <f t="shared" si="11"/>
        <v>0</v>
      </c>
    </row>
    <row r="146" spans="1:16">
      <c r="A146" s="725" t="s">
        <v>745</v>
      </c>
      <c r="B146" s="725"/>
      <c r="C146" s="726" t="s">
        <v>2095</v>
      </c>
      <c r="D146" s="413" t="s">
        <v>508</v>
      </c>
      <c r="E146" s="412" t="s">
        <v>330</v>
      </c>
      <c r="F146" s="413" t="s">
        <v>330</v>
      </c>
      <c r="G146" s="412" t="s">
        <v>330</v>
      </c>
      <c r="H146" s="412" t="s">
        <v>330</v>
      </c>
      <c r="I146" s="726" t="s">
        <v>974</v>
      </c>
      <c r="J146" s="727">
        <f>VLOOKUP(A146,'Trial Balance June 2025'!$A$7:$S$522,17,0)</f>
        <v>22000</v>
      </c>
      <c r="K146" s="727">
        <f>VLOOKUP(A146,'Trial Balance June 2025'!$A$8:$S$522,18,0)</f>
        <v>0</v>
      </c>
      <c r="L146" s="727">
        <v>0</v>
      </c>
      <c r="M146" s="727">
        <v>0</v>
      </c>
      <c r="N146" s="727">
        <f t="shared" si="9"/>
        <v>22000</v>
      </c>
      <c r="O146" s="727">
        <f t="shared" si="10"/>
        <v>0</v>
      </c>
      <c r="P146" s="742">
        <f t="shared" si="11"/>
        <v>22000</v>
      </c>
    </row>
    <row r="147" spans="1:16">
      <c r="A147" s="725" t="s">
        <v>746</v>
      </c>
      <c r="B147" s="725"/>
      <c r="C147" s="726" t="s">
        <v>2096</v>
      </c>
      <c r="D147" s="413" t="s">
        <v>508</v>
      </c>
      <c r="E147" s="412" t="s">
        <v>330</v>
      </c>
      <c r="F147" s="413" t="s">
        <v>330</v>
      </c>
      <c r="G147" s="412" t="s">
        <v>330</v>
      </c>
      <c r="H147" s="412" t="s">
        <v>330</v>
      </c>
      <c r="I147" s="726" t="s">
        <v>974</v>
      </c>
      <c r="J147" s="727">
        <f>VLOOKUP(A147,'Trial Balance June 2025'!$A$7:$S$522,17,0)</f>
        <v>115</v>
      </c>
      <c r="K147" s="727">
        <f>VLOOKUP(A147,'Trial Balance June 2025'!$A$8:$S$522,18,0)</f>
        <v>0</v>
      </c>
      <c r="L147" s="727">
        <v>0</v>
      </c>
      <c r="M147" s="727">
        <v>0</v>
      </c>
      <c r="N147" s="727">
        <f t="shared" si="9"/>
        <v>115</v>
      </c>
      <c r="O147" s="727">
        <f t="shared" si="10"/>
        <v>0</v>
      </c>
      <c r="P147" s="742">
        <f t="shared" si="11"/>
        <v>115</v>
      </c>
    </row>
    <row r="148" spans="1:16">
      <c r="A148" s="725" t="s">
        <v>747</v>
      </c>
      <c r="B148" s="725"/>
      <c r="C148" s="726" t="s">
        <v>2097</v>
      </c>
      <c r="D148" s="413" t="s">
        <v>508</v>
      </c>
      <c r="E148" s="412" t="s">
        <v>330</v>
      </c>
      <c r="F148" s="413" t="s">
        <v>330</v>
      </c>
      <c r="G148" s="412" t="s">
        <v>330</v>
      </c>
      <c r="H148" s="412" t="s">
        <v>330</v>
      </c>
      <c r="I148" s="726" t="s">
        <v>974</v>
      </c>
      <c r="J148" s="727">
        <f>VLOOKUP(A148,'Trial Balance June 2025'!$A$7:$S$522,17,0)</f>
        <v>15372</v>
      </c>
      <c r="K148" s="727">
        <f>VLOOKUP(A148,'Trial Balance June 2025'!$A$8:$S$522,18,0)</f>
        <v>0</v>
      </c>
      <c r="L148" s="727">
        <v>0</v>
      </c>
      <c r="M148" s="727">
        <v>0</v>
      </c>
      <c r="N148" s="727">
        <f t="shared" si="9"/>
        <v>15372</v>
      </c>
      <c r="O148" s="727">
        <f t="shared" si="10"/>
        <v>0</v>
      </c>
      <c r="P148" s="742">
        <f t="shared" si="11"/>
        <v>15372</v>
      </c>
    </row>
    <row r="149" spans="1:16">
      <c r="A149" s="725" t="s">
        <v>748</v>
      </c>
      <c r="B149" s="725"/>
      <c r="C149" s="726" t="s">
        <v>2098</v>
      </c>
      <c r="D149" s="413" t="s">
        <v>508</v>
      </c>
      <c r="E149" s="412" t="s">
        <v>330</v>
      </c>
      <c r="F149" s="413" t="s">
        <v>330</v>
      </c>
      <c r="G149" s="412" t="s">
        <v>330</v>
      </c>
      <c r="H149" s="412" t="s">
        <v>330</v>
      </c>
      <c r="I149" s="726" t="s">
        <v>1014</v>
      </c>
      <c r="J149" s="727">
        <f>VLOOKUP(A149,'Trial Balance June 2025'!$A$7:$S$522,17,0)</f>
        <v>61500</v>
      </c>
      <c r="K149" s="727">
        <f>VLOOKUP(A149,'Trial Balance June 2025'!$A$8:$S$522,18,0)</f>
        <v>0</v>
      </c>
      <c r="L149" s="727">
        <v>0</v>
      </c>
      <c r="M149" s="727">
        <v>0</v>
      </c>
      <c r="N149" s="727">
        <f t="shared" si="9"/>
        <v>61500</v>
      </c>
      <c r="O149" s="727">
        <f t="shared" si="10"/>
        <v>0</v>
      </c>
      <c r="P149" s="742">
        <f t="shared" si="11"/>
        <v>61500</v>
      </c>
    </row>
    <row r="150" spans="1:16">
      <c r="A150" s="725" t="s">
        <v>748</v>
      </c>
      <c r="B150" s="725"/>
      <c r="C150" s="726" t="s">
        <v>2098</v>
      </c>
      <c r="D150" s="413" t="s">
        <v>508</v>
      </c>
      <c r="E150" s="412" t="s">
        <v>330</v>
      </c>
      <c r="F150" s="413" t="s">
        <v>330</v>
      </c>
      <c r="G150" s="412" t="s">
        <v>330</v>
      </c>
      <c r="H150" s="412" t="s">
        <v>330</v>
      </c>
      <c r="I150" s="726" t="s">
        <v>974</v>
      </c>
      <c r="J150" s="727"/>
      <c r="K150" s="727">
        <f>VLOOKUP(A150,'Trial Balance June 2025'!$A$8:$S$522,18,0)</f>
        <v>0</v>
      </c>
      <c r="L150" s="727">
        <v>0</v>
      </c>
      <c r="M150" s="727">
        <v>0</v>
      </c>
      <c r="N150" s="727">
        <f t="shared" si="9"/>
        <v>0</v>
      </c>
      <c r="O150" s="727">
        <f t="shared" si="10"/>
        <v>0</v>
      </c>
      <c r="P150" s="742">
        <f t="shared" si="11"/>
        <v>0</v>
      </c>
    </row>
    <row r="151" spans="1:16">
      <c r="A151" s="725" t="s">
        <v>748</v>
      </c>
      <c r="B151" s="725"/>
      <c r="C151" s="726" t="s">
        <v>2098</v>
      </c>
      <c r="D151" s="413" t="s">
        <v>508</v>
      </c>
      <c r="E151" s="412" t="s">
        <v>330</v>
      </c>
      <c r="F151" s="413" t="s">
        <v>330</v>
      </c>
      <c r="G151" s="412" t="s">
        <v>330</v>
      </c>
      <c r="H151" s="412" t="s">
        <v>330</v>
      </c>
      <c r="I151" s="726" t="s">
        <v>1019</v>
      </c>
      <c r="J151" s="727"/>
      <c r="K151" s="727">
        <f>VLOOKUP(A151,'Trial Balance June 2025'!$A$8:$S$522,18,0)</f>
        <v>0</v>
      </c>
      <c r="L151" s="727">
        <v>0</v>
      </c>
      <c r="M151" s="727">
        <v>0</v>
      </c>
      <c r="N151" s="727">
        <f t="shared" si="9"/>
        <v>0</v>
      </c>
      <c r="O151" s="727">
        <f t="shared" si="10"/>
        <v>0</v>
      </c>
      <c r="P151" s="742">
        <f t="shared" si="11"/>
        <v>0</v>
      </c>
    </row>
    <row r="152" spans="1:16">
      <c r="A152" s="725" t="s">
        <v>748</v>
      </c>
      <c r="B152" s="725"/>
      <c r="C152" s="726" t="s">
        <v>2098</v>
      </c>
      <c r="D152" s="413" t="s">
        <v>508</v>
      </c>
      <c r="E152" s="412" t="s">
        <v>330</v>
      </c>
      <c r="F152" s="413" t="s">
        <v>330</v>
      </c>
      <c r="G152" s="412" t="s">
        <v>330</v>
      </c>
      <c r="H152" s="412" t="s">
        <v>330</v>
      </c>
      <c r="I152" s="726" t="s">
        <v>1027</v>
      </c>
      <c r="J152" s="727"/>
      <c r="K152" s="727">
        <f>VLOOKUP(A152,'Trial Balance June 2025'!$A$8:$S$522,18,0)</f>
        <v>0</v>
      </c>
      <c r="L152" s="727">
        <v>0</v>
      </c>
      <c r="M152" s="727">
        <v>0</v>
      </c>
      <c r="N152" s="727">
        <f t="shared" si="9"/>
        <v>0</v>
      </c>
      <c r="O152" s="727">
        <f t="shared" si="10"/>
        <v>0</v>
      </c>
      <c r="P152" s="742">
        <f t="shared" si="11"/>
        <v>0</v>
      </c>
    </row>
    <row r="153" spans="1:16">
      <c r="A153" s="725" t="s">
        <v>749</v>
      </c>
      <c r="B153" s="725"/>
      <c r="C153" s="726" t="s">
        <v>2099</v>
      </c>
      <c r="D153" s="413" t="s">
        <v>508</v>
      </c>
      <c r="E153" s="412" t="s">
        <v>330</v>
      </c>
      <c r="F153" s="413" t="s">
        <v>330</v>
      </c>
      <c r="G153" s="412" t="s">
        <v>330</v>
      </c>
      <c r="H153" s="412" t="s">
        <v>330</v>
      </c>
      <c r="I153" s="726" t="s">
        <v>974</v>
      </c>
      <c r="J153" s="727">
        <f>VLOOKUP(A153,'Trial Balance June 2025'!$A$7:$S$522,17,0)</f>
        <v>12822</v>
      </c>
      <c r="K153" s="727">
        <f>VLOOKUP(A153,'Trial Balance June 2025'!$A$8:$S$522,18,0)</f>
        <v>1264793</v>
      </c>
      <c r="L153" s="727">
        <v>0</v>
      </c>
      <c r="M153" s="727">
        <v>0</v>
      </c>
      <c r="N153" s="727">
        <f t="shared" si="9"/>
        <v>12822</v>
      </c>
      <c r="O153" s="727">
        <f t="shared" si="10"/>
        <v>1264793</v>
      </c>
      <c r="P153" s="742">
        <f t="shared" si="11"/>
        <v>-1251971</v>
      </c>
    </row>
    <row r="154" spans="1:16">
      <c r="A154" s="725" t="s">
        <v>750</v>
      </c>
      <c r="B154" s="725"/>
      <c r="C154" s="726" t="s">
        <v>2100</v>
      </c>
      <c r="D154" s="413" t="s">
        <v>508</v>
      </c>
      <c r="E154" s="412" t="s">
        <v>330</v>
      </c>
      <c r="F154" s="413" t="s">
        <v>330</v>
      </c>
      <c r="G154" s="412" t="s">
        <v>330</v>
      </c>
      <c r="H154" s="412" t="s">
        <v>330</v>
      </c>
      <c r="I154" s="726" t="s">
        <v>974</v>
      </c>
      <c r="J154" s="727">
        <f>VLOOKUP(A154,'Trial Balance June 2025'!$A$7:$S$522,17,0)</f>
        <v>427177</v>
      </c>
      <c r="K154" s="727">
        <f>VLOOKUP(A154,'Trial Balance June 2025'!$A$8:$S$522,18,0)</f>
        <v>0</v>
      </c>
      <c r="L154" s="727">
        <v>0</v>
      </c>
      <c r="M154" s="727">
        <v>0</v>
      </c>
      <c r="N154" s="727">
        <f t="shared" si="9"/>
        <v>427177</v>
      </c>
      <c r="O154" s="727">
        <f t="shared" si="10"/>
        <v>0</v>
      </c>
      <c r="P154" s="742">
        <f t="shared" si="11"/>
        <v>427177</v>
      </c>
    </row>
    <row r="155" spans="1:16">
      <c r="A155" s="725" t="s">
        <v>750</v>
      </c>
      <c r="B155" s="725"/>
      <c r="C155" s="726" t="s">
        <v>2100</v>
      </c>
      <c r="D155" s="413" t="s">
        <v>508</v>
      </c>
      <c r="E155" s="412" t="s">
        <v>330</v>
      </c>
      <c r="F155" s="413" t="s">
        <v>330</v>
      </c>
      <c r="G155" s="412" t="s">
        <v>330</v>
      </c>
      <c r="H155" s="412" t="s">
        <v>330</v>
      </c>
      <c r="I155" s="726" t="s">
        <v>1027</v>
      </c>
      <c r="J155" s="727"/>
      <c r="K155" s="727">
        <f>VLOOKUP(A155,'Trial Balance June 2025'!$A$8:$S$522,18,0)</f>
        <v>0</v>
      </c>
      <c r="L155" s="727">
        <v>0</v>
      </c>
      <c r="M155" s="727">
        <v>0</v>
      </c>
      <c r="N155" s="727">
        <f t="shared" si="9"/>
        <v>0</v>
      </c>
      <c r="O155" s="727">
        <f t="shared" si="10"/>
        <v>0</v>
      </c>
      <c r="P155" s="742">
        <f t="shared" si="11"/>
        <v>0</v>
      </c>
    </row>
    <row r="156" spans="1:16">
      <c r="A156" s="725" t="s">
        <v>751</v>
      </c>
      <c r="B156" s="725"/>
      <c r="C156" s="726" t="s">
        <v>2101</v>
      </c>
      <c r="D156" s="413" t="s">
        <v>508</v>
      </c>
      <c r="E156" s="412" t="s">
        <v>330</v>
      </c>
      <c r="F156" s="413" t="s">
        <v>330</v>
      </c>
      <c r="G156" s="412" t="s">
        <v>330</v>
      </c>
      <c r="H156" s="412" t="s">
        <v>330</v>
      </c>
      <c r="I156" s="726" t="s">
        <v>974</v>
      </c>
      <c r="J156" s="727">
        <f>VLOOKUP(A156,'Trial Balance June 2025'!$A$7:$S$522,17,0)</f>
        <v>35108</v>
      </c>
      <c r="K156" s="727">
        <f>VLOOKUP(A156,'Trial Balance June 2025'!$A$8:$S$522,18,0)</f>
        <v>0</v>
      </c>
      <c r="L156" s="727">
        <v>0</v>
      </c>
      <c r="M156" s="727">
        <v>0</v>
      </c>
      <c r="N156" s="727">
        <f t="shared" si="9"/>
        <v>35108</v>
      </c>
      <c r="O156" s="727">
        <f t="shared" si="10"/>
        <v>0</v>
      </c>
      <c r="P156" s="742">
        <f t="shared" si="11"/>
        <v>35108</v>
      </c>
    </row>
    <row r="157" spans="1:16">
      <c r="A157" s="725" t="s">
        <v>752</v>
      </c>
      <c r="B157" s="725"/>
      <c r="C157" s="726" t="s">
        <v>2102</v>
      </c>
      <c r="D157" s="413" t="s">
        <v>508</v>
      </c>
      <c r="E157" s="412" t="s">
        <v>330</v>
      </c>
      <c r="F157" s="413" t="s">
        <v>330</v>
      </c>
      <c r="G157" s="412" t="s">
        <v>330</v>
      </c>
      <c r="H157" s="412" t="s">
        <v>330</v>
      </c>
      <c r="I157" s="726" t="s">
        <v>974</v>
      </c>
      <c r="J157" s="727">
        <f>VLOOKUP(A157,'Trial Balance June 2025'!$A$7:$S$522,17,0)</f>
        <v>28375</v>
      </c>
      <c r="K157" s="727">
        <f>VLOOKUP(A157,'Trial Balance June 2025'!$A$8:$S$522,18,0)</f>
        <v>0</v>
      </c>
      <c r="L157" s="727">
        <v>0</v>
      </c>
      <c r="M157" s="727">
        <v>0</v>
      </c>
      <c r="N157" s="727">
        <f t="shared" si="9"/>
        <v>28375</v>
      </c>
      <c r="O157" s="727">
        <f t="shared" si="10"/>
        <v>0</v>
      </c>
      <c r="P157" s="742">
        <f t="shared" si="11"/>
        <v>28375</v>
      </c>
    </row>
    <row r="158" spans="1:16">
      <c r="A158" s="725" t="s">
        <v>753</v>
      </c>
      <c r="B158" s="725"/>
      <c r="C158" s="726" t="s">
        <v>2103</v>
      </c>
      <c r="D158" s="413" t="s">
        <v>508</v>
      </c>
      <c r="E158" s="412" t="s">
        <v>330</v>
      </c>
      <c r="F158" s="413" t="s">
        <v>330</v>
      </c>
      <c r="G158" s="412" t="s">
        <v>330</v>
      </c>
      <c r="H158" s="412" t="s">
        <v>330</v>
      </c>
      <c r="I158" s="726" t="s">
        <v>1014</v>
      </c>
      <c r="J158" s="727">
        <f>VLOOKUP(A158,'Trial Balance June 2025'!$A$7:$S$522,17,0)</f>
        <v>50000</v>
      </c>
      <c r="K158" s="727">
        <f>VLOOKUP(A158,'Trial Balance June 2025'!$A$8:$S$522,18,0)</f>
        <v>0</v>
      </c>
      <c r="L158" s="727">
        <v>0</v>
      </c>
      <c r="M158" s="727">
        <v>0</v>
      </c>
      <c r="N158" s="727">
        <f t="shared" si="9"/>
        <v>50000</v>
      </c>
      <c r="O158" s="727">
        <f t="shared" si="10"/>
        <v>0</v>
      </c>
      <c r="P158" s="742">
        <f t="shared" si="11"/>
        <v>50000</v>
      </c>
    </row>
    <row r="159" spans="1:16">
      <c r="A159" s="725" t="s">
        <v>753</v>
      </c>
      <c r="B159" s="725"/>
      <c r="C159" s="726" t="s">
        <v>2103</v>
      </c>
      <c r="D159" s="413" t="s">
        <v>508</v>
      </c>
      <c r="E159" s="412" t="s">
        <v>330</v>
      </c>
      <c r="F159" s="413" t="s">
        <v>330</v>
      </c>
      <c r="G159" s="412" t="s">
        <v>330</v>
      </c>
      <c r="H159" s="412" t="s">
        <v>330</v>
      </c>
      <c r="I159" s="726" t="s">
        <v>974</v>
      </c>
      <c r="J159" s="727"/>
      <c r="K159" s="727">
        <f>VLOOKUP(A159,'Trial Balance June 2025'!$A$8:$S$522,18,0)</f>
        <v>0</v>
      </c>
      <c r="L159" s="727">
        <v>0</v>
      </c>
      <c r="M159" s="727">
        <v>0</v>
      </c>
      <c r="N159" s="727">
        <f t="shared" si="9"/>
        <v>0</v>
      </c>
      <c r="O159" s="727">
        <f t="shared" si="10"/>
        <v>0</v>
      </c>
      <c r="P159" s="742">
        <f t="shared" si="11"/>
        <v>0</v>
      </c>
    </row>
    <row r="160" spans="1:16">
      <c r="A160" s="725" t="s">
        <v>753</v>
      </c>
      <c r="B160" s="725"/>
      <c r="C160" s="726" t="s">
        <v>2103</v>
      </c>
      <c r="D160" s="413" t="s">
        <v>508</v>
      </c>
      <c r="E160" s="412" t="s">
        <v>330</v>
      </c>
      <c r="F160" s="413" t="s">
        <v>330</v>
      </c>
      <c r="G160" s="412" t="s">
        <v>330</v>
      </c>
      <c r="H160" s="412" t="s">
        <v>330</v>
      </c>
      <c r="I160" s="726" t="s">
        <v>1276</v>
      </c>
      <c r="J160" s="727"/>
      <c r="K160" s="727">
        <f>VLOOKUP(A160,'Trial Balance June 2025'!$A$8:$S$522,18,0)</f>
        <v>0</v>
      </c>
      <c r="L160" s="727">
        <v>0</v>
      </c>
      <c r="M160" s="727">
        <v>0</v>
      </c>
      <c r="N160" s="727">
        <f t="shared" si="9"/>
        <v>0</v>
      </c>
      <c r="O160" s="727">
        <f t="shared" si="10"/>
        <v>0</v>
      </c>
      <c r="P160" s="742">
        <f t="shared" si="11"/>
        <v>0</v>
      </c>
    </row>
    <row r="161" spans="1:16">
      <c r="A161" s="725" t="s">
        <v>753</v>
      </c>
      <c r="B161" s="725"/>
      <c r="C161" s="726" t="s">
        <v>2103</v>
      </c>
      <c r="D161" s="413" t="s">
        <v>508</v>
      </c>
      <c r="E161" s="412" t="s">
        <v>330</v>
      </c>
      <c r="F161" s="413" t="s">
        <v>330</v>
      </c>
      <c r="G161" s="412" t="s">
        <v>330</v>
      </c>
      <c r="H161" s="412" t="s">
        <v>330</v>
      </c>
      <c r="I161" s="726" t="s">
        <v>2072</v>
      </c>
      <c r="J161" s="727"/>
      <c r="K161" s="727">
        <f>VLOOKUP(A161,'Trial Balance June 2025'!$A$8:$S$522,18,0)</f>
        <v>0</v>
      </c>
      <c r="L161" s="727">
        <v>0</v>
      </c>
      <c r="M161" s="727">
        <v>0</v>
      </c>
      <c r="N161" s="727">
        <f t="shared" si="9"/>
        <v>0</v>
      </c>
      <c r="O161" s="727">
        <f t="shared" si="10"/>
        <v>0</v>
      </c>
      <c r="P161" s="742">
        <f t="shared" si="11"/>
        <v>0</v>
      </c>
    </row>
    <row r="162" spans="1:16">
      <c r="A162" s="725" t="s">
        <v>754</v>
      </c>
      <c r="B162" s="725"/>
      <c r="C162" s="726" t="s">
        <v>993</v>
      </c>
      <c r="D162" s="413" t="s">
        <v>508</v>
      </c>
      <c r="E162" s="412" t="s">
        <v>330</v>
      </c>
      <c r="F162" s="413" t="s">
        <v>330</v>
      </c>
      <c r="G162" s="412" t="s">
        <v>330</v>
      </c>
      <c r="H162" s="412" t="s">
        <v>330</v>
      </c>
      <c r="I162" s="726" t="s">
        <v>974</v>
      </c>
      <c r="J162" s="727">
        <f>VLOOKUP(A162,'Trial Balance June 2025'!$A$7:$S$522,17,0)</f>
        <v>0</v>
      </c>
      <c r="K162" s="727">
        <f>VLOOKUP(A162,'Trial Balance June 2025'!$A$8:$S$522,18,0)</f>
        <v>2662608</v>
      </c>
      <c r="L162" s="727">
        <v>0</v>
      </c>
      <c r="M162" s="727">
        <v>0</v>
      </c>
      <c r="N162" s="727">
        <f t="shared" si="9"/>
        <v>0</v>
      </c>
      <c r="O162" s="727">
        <f t="shared" si="10"/>
        <v>2662608</v>
      </c>
      <c r="P162" s="742">
        <f t="shared" si="11"/>
        <v>-2662608</v>
      </c>
    </row>
    <row r="163" spans="1:16">
      <c r="A163" s="725" t="s">
        <v>755</v>
      </c>
      <c r="B163" s="725"/>
      <c r="C163" s="726" t="s">
        <v>2104</v>
      </c>
      <c r="D163" s="413" t="s">
        <v>508</v>
      </c>
      <c r="E163" s="412" t="s">
        <v>330</v>
      </c>
      <c r="F163" s="413" t="s">
        <v>330</v>
      </c>
      <c r="G163" s="412" t="s">
        <v>330</v>
      </c>
      <c r="H163" s="412" t="s">
        <v>330</v>
      </c>
      <c r="I163" s="726" t="s">
        <v>974</v>
      </c>
      <c r="J163" s="727">
        <f>VLOOKUP(A163,'Trial Balance June 2025'!$A$7:$S$522,17,0)</f>
        <v>0</v>
      </c>
      <c r="K163" s="727">
        <f>VLOOKUP(A163,'Trial Balance June 2025'!$A$8:$S$522,18,0)</f>
        <v>913998</v>
      </c>
      <c r="L163" s="727">
        <v>0</v>
      </c>
      <c r="M163" s="727">
        <v>0</v>
      </c>
      <c r="N163" s="727">
        <f t="shared" si="9"/>
        <v>0</v>
      </c>
      <c r="O163" s="727">
        <f t="shared" si="10"/>
        <v>913998</v>
      </c>
      <c r="P163" s="742">
        <f t="shared" si="11"/>
        <v>-913998</v>
      </c>
    </row>
    <row r="164" spans="1:16">
      <c r="A164" s="725" t="s">
        <v>756</v>
      </c>
      <c r="B164" s="725"/>
      <c r="C164" s="726" t="s">
        <v>2105</v>
      </c>
      <c r="D164" s="413" t="s">
        <v>508</v>
      </c>
      <c r="E164" s="412" t="s">
        <v>330</v>
      </c>
      <c r="F164" s="413" t="s">
        <v>330</v>
      </c>
      <c r="G164" s="412" t="s">
        <v>330</v>
      </c>
      <c r="H164" s="412" t="s">
        <v>330</v>
      </c>
      <c r="I164" s="726" t="s">
        <v>974</v>
      </c>
      <c r="J164" s="727">
        <f>VLOOKUP(A164,'Trial Balance June 2025'!$A$7:$S$522,17,0)</f>
        <v>74085</v>
      </c>
      <c r="K164" s="727">
        <f>VLOOKUP(A164,'Trial Balance June 2025'!$A$8:$S$522,18,0)</f>
        <v>389994</v>
      </c>
      <c r="L164" s="727">
        <v>0</v>
      </c>
      <c r="M164" s="727">
        <v>0</v>
      </c>
      <c r="N164" s="727">
        <f t="shared" si="9"/>
        <v>74085</v>
      </c>
      <c r="O164" s="727">
        <f t="shared" si="10"/>
        <v>389994</v>
      </c>
      <c r="P164" s="742">
        <f t="shared" si="11"/>
        <v>-315909</v>
      </c>
    </row>
    <row r="165" spans="1:16">
      <c r="A165" s="725" t="s">
        <v>756</v>
      </c>
      <c r="B165" s="725"/>
      <c r="C165" s="726" t="s">
        <v>2105</v>
      </c>
      <c r="D165" s="413" t="s">
        <v>508</v>
      </c>
      <c r="E165" s="412" t="s">
        <v>330</v>
      </c>
      <c r="F165" s="413" t="s">
        <v>330</v>
      </c>
      <c r="G165" s="412" t="s">
        <v>330</v>
      </c>
      <c r="H165" s="412" t="s">
        <v>330</v>
      </c>
      <c r="I165" s="726" t="s">
        <v>1019</v>
      </c>
      <c r="J165" s="727">
        <f>VLOOKUP(A165,'Trial Balance June 2025'!$A$7:$S$522,17,0)</f>
        <v>74085</v>
      </c>
      <c r="K165" s="727">
        <f>VLOOKUP(A165,'Trial Balance June 2025'!$A$8:$S$522,18,0)</f>
        <v>389994</v>
      </c>
      <c r="L165" s="727">
        <v>0</v>
      </c>
      <c r="M165" s="727">
        <v>0</v>
      </c>
      <c r="N165" s="727">
        <f t="shared" si="9"/>
        <v>74085</v>
      </c>
      <c r="O165" s="727">
        <f t="shared" si="10"/>
        <v>389994</v>
      </c>
      <c r="P165" s="742">
        <f t="shared" si="11"/>
        <v>-315909</v>
      </c>
    </row>
    <row r="166" spans="1:16">
      <c r="A166" s="725" t="s">
        <v>757</v>
      </c>
      <c r="B166" s="725"/>
      <c r="C166" s="726" t="s">
        <v>2106</v>
      </c>
      <c r="D166" s="413" t="s">
        <v>508</v>
      </c>
      <c r="E166" s="412" t="s">
        <v>330</v>
      </c>
      <c r="F166" s="413" t="s">
        <v>330</v>
      </c>
      <c r="G166" s="412" t="s">
        <v>330</v>
      </c>
      <c r="H166" s="412" t="s">
        <v>330</v>
      </c>
      <c r="I166" s="726" t="s">
        <v>974</v>
      </c>
      <c r="J166" s="727">
        <f>VLOOKUP(A166,'Trial Balance June 2025'!$A$7:$S$522,17,0)</f>
        <v>432467</v>
      </c>
      <c r="K166" s="727">
        <f>VLOOKUP(A166,'Trial Balance June 2025'!$A$8:$S$522,18,0)</f>
        <v>16000</v>
      </c>
      <c r="L166" s="727">
        <v>0</v>
      </c>
      <c r="M166" s="727">
        <v>0</v>
      </c>
      <c r="N166" s="727">
        <f t="shared" si="9"/>
        <v>432467</v>
      </c>
      <c r="O166" s="727">
        <f t="shared" si="10"/>
        <v>16000</v>
      </c>
      <c r="P166" s="742">
        <f t="shared" si="11"/>
        <v>416467</v>
      </c>
    </row>
    <row r="167" spans="1:16">
      <c r="A167" s="725" t="s">
        <v>757</v>
      </c>
      <c r="B167" s="725"/>
      <c r="C167" s="726" t="s">
        <v>2106</v>
      </c>
      <c r="D167" s="413" t="s">
        <v>508</v>
      </c>
      <c r="E167" s="412" t="s">
        <v>330</v>
      </c>
      <c r="F167" s="413" t="s">
        <v>330</v>
      </c>
      <c r="G167" s="412" t="s">
        <v>330</v>
      </c>
      <c r="H167" s="412" t="s">
        <v>330</v>
      </c>
      <c r="I167" s="726" t="s">
        <v>1276</v>
      </c>
      <c r="J167" s="727"/>
      <c r="K167" s="727"/>
      <c r="L167" s="727">
        <v>0</v>
      </c>
      <c r="M167" s="727">
        <v>0</v>
      </c>
      <c r="N167" s="727">
        <f t="shared" si="9"/>
        <v>0</v>
      </c>
      <c r="O167" s="727">
        <f t="shared" si="10"/>
        <v>0</v>
      </c>
      <c r="P167" s="742">
        <f t="shared" si="11"/>
        <v>0</v>
      </c>
    </row>
    <row r="168" spans="1:16">
      <c r="A168" s="725" t="s">
        <v>757</v>
      </c>
      <c r="B168" s="725"/>
      <c r="C168" s="726" t="s">
        <v>2106</v>
      </c>
      <c r="D168" s="413" t="s">
        <v>508</v>
      </c>
      <c r="E168" s="412" t="s">
        <v>330</v>
      </c>
      <c r="F168" s="413" t="s">
        <v>330</v>
      </c>
      <c r="G168" s="412" t="s">
        <v>330</v>
      </c>
      <c r="H168" s="412" t="s">
        <v>330</v>
      </c>
      <c r="I168" s="726" t="s">
        <v>2072</v>
      </c>
      <c r="J168" s="727"/>
      <c r="K168" s="727"/>
      <c r="L168" s="727">
        <v>0</v>
      </c>
      <c r="M168" s="727">
        <v>0</v>
      </c>
      <c r="N168" s="727">
        <f t="shared" si="9"/>
        <v>0</v>
      </c>
      <c r="O168" s="727">
        <f t="shared" si="10"/>
        <v>0</v>
      </c>
      <c r="P168" s="742">
        <f t="shared" si="11"/>
        <v>0</v>
      </c>
    </row>
    <row r="169" spans="1:16">
      <c r="A169" s="725" t="s">
        <v>758</v>
      </c>
      <c r="B169" s="725"/>
      <c r="C169" s="726" t="s">
        <v>2107</v>
      </c>
      <c r="D169" s="413" t="s">
        <v>508</v>
      </c>
      <c r="E169" s="412" t="s">
        <v>330</v>
      </c>
      <c r="F169" s="413" t="s">
        <v>330</v>
      </c>
      <c r="G169" s="412" t="s">
        <v>330</v>
      </c>
      <c r="H169" s="412" t="s">
        <v>330</v>
      </c>
      <c r="I169" s="726" t="s">
        <v>974</v>
      </c>
      <c r="J169" s="727">
        <f>VLOOKUP(A169,'Trial Balance June 2025'!$A$7:$S$522,17,0)</f>
        <v>0</v>
      </c>
      <c r="K169" s="727">
        <f>VLOOKUP(A169,'Trial Balance June 2025'!$A$8:$S$522,18,0)</f>
        <v>809850</v>
      </c>
      <c r="L169" s="727">
        <v>0</v>
      </c>
      <c r="M169" s="727">
        <v>0</v>
      </c>
      <c r="N169" s="727">
        <f t="shared" si="9"/>
        <v>0</v>
      </c>
      <c r="O169" s="727">
        <f t="shared" si="10"/>
        <v>809850</v>
      </c>
      <c r="P169" s="742">
        <f t="shared" si="11"/>
        <v>-809850</v>
      </c>
    </row>
    <row r="170" spans="1:16">
      <c r="A170" s="725" t="s">
        <v>760</v>
      </c>
      <c r="B170" s="725"/>
      <c r="C170" s="726" t="s">
        <v>2108</v>
      </c>
      <c r="D170" s="413" t="s">
        <v>508</v>
      </c>
      <c r="E170" s="412" t="s">
        <v>330</v>
      </c>
      <c r="F170" s="413" t="s">
        <v>330</v>
      </c>
      <c r="G170" s="412" t="s">
        <v>330</v>
      </c>
      <c r="H170" s="412" t="s">
        <v>330</v>
      </c>
      <c r="I170" s="726" t="s">
        <v>974</v>
      </c>
      <c r="J170" s="727">
        <f>VLOOKUP(A170,'Trial Balance June 2025'!$A$7:$S$522,17,0)</f>
        <v>3947407</v>
      </c>
      <c r="K170" s="727">
        <f>VLOOKUP(A170,'Trial Balance June 2025'!$A$8:$S$522,18,0)</f>
        <v>0</v>
      </c>
      <c r="L170" s="727">
        <v>0</v>
      </c>
      <c r="M170" s="727">
        <v>0</v>
      </c>
      <c r="N170" s="727">
        <f t="shared" si="9"/>
        <v>3947407</v>
      </c>
      <c r="O170" s="727">
        <f t="shared" si="10"/>
        <v>0</v>
      </c>
      <c r="P170" s="742">
        <f t="shared" si="11"/>
        <v>3947407</v>
      </c>
    </row>
    <row r="171" spans="1:16">
      <c r="A171" s="725" t="s">
        <v>760</v>
      </c>
      <c r="B171" s="725"/>
      <c r="C171" s="726" t="s">
        <v>2108</v>
      </c>
      <c r="D171" s="413" t="s">
        <v>508</v>
      </c>
      <c r="E171" s="412" t="s">
        <v>330</v>
      </c>
      <c r="F171" s="413" t="s">
        <v>330</v>
      </c>
      <c r="G171" s="412" t="s">
        <v>330</v>
      </c>
      <c r="H171" s="412" t="s">
        <v>330</v>
      </c>
      <c r="I171" s="726" t="s">
        <v>1019</v>
      </c>
      <c r="J171" s="727"/>
      <c r="K171" s="727">
        <f>VLOOKUP(A171,'Trial Balance June 2025'!$A$8:$S$522,18,0)</f>
        <v>0</v>
      </c>
      <c r="L171" s="727">
        <v>0</v>
      </c>
      <c r="M171" s="727">
        <v>0</v>
      </c>
      <c r="N171" s="727">
        <f t="shared" si="9"/>
        <v>0</v>
      </c>
      <c r="O171" s="727">
        <f t="shared" si="10"/>
        <v>0</v>
      </c>
      <c r="P171" s="742">
        <f t="shared" si="11"/>
        <v>0</v>
      </c>
    </row>
    <row r="172" spans="1:16">
      <c r="A172" s="725" t="s">
        <v>1105</v>
      </c>
      <c r="B172" s="725"/>
      <c r="C172" s="726" t="s">
        <v>2109</v>
      </c>
      <c r="D172" s="413" t="s">
        <v>508</v>
      </c>
      <c r="E172" s="412" t="s">
        <v>330</v>
      </c>
      <c r="F172" s="413" t="s">
        <v>330</v>
      </c>
      <c r="G172" s="412" t="s">
        <v>330</v>
      </c>
      <c r="H172" s="412" t="s">
        <v>330</v>
      </c>
      <c r="I172" s="726" t="s">
        <v>974</v>
      </c>
      <c r="J172" s="727">
        <f>VLOOKUP(A172,'Trial Balance June 2025'!$A$7:$S$522,17,0)</f>
        <v>84000</v>
      </c>
      <c r="K172" s="727">
        <f>VLOOKUP(A172,'Trial Balance June 2025'!$A$8:$S$522,18,0)</f>
        <v>284000</v>
      </c>
      <c r="L172" s="727">
        <v>0</v>
      </c>
      <c r="M172" s="727">
        <v>0</v>
      </c>
      <c r="N172" s="727">
        <f t="shared" si="9"/>
        <v>84000</v>
      </c>
      <c r="O172" s="727">
        <f t="shared" si="10"/>
        <v>284000</v>
      </c>
      <c r="P172" s="742">
        <f t="shared" si="11"/>
        <v>-200000</v>
      </c>
    </row>
    <row r="173" spans="1:16">
      <c r="A173" s="725" t="s">
        <v>1107</v>
      </c>
      <c r="B173" s="725"/>
      <c r="C173" s="726" t="s">
        <v>2110</v>
      </c>
      <c r="D173" s="413" t="s">
        <v>508</v>
      </c>
      <c r="E173" s="412" t="s">
        <v>330</v>
      </c>
      <c r="F173" s="413" t="s">
        <v>330</v>
      </c>
      <c r="G173" s="412" t="s">
        <v>330</v>
      </c>
      <c r="H173" s="412" t="s">
        <v>330</v>
      </c>
      <c r="I173" s="726" t="s">
        <v>974</v>
      </c>
      <c r="J173" s="727">
        <f>VLOOKUP(A173,'Trial Balance June 2025'!$A$7:$S$522,17,0)</f>
        <v>11309746</v>
      </c>
      <c r="K173" s="727">
        <f>VLOOKUP(A173,'Trial Balance June 2025'!$A$8:$S$522,18,0)</f>
        <v>11966726</v>
      </c>
      <c r="L173" s="727">
        <v>0</v>
      </c>
      <c r="M173" s="727">
        <v>0</v>
      </c>
      <c r="N173" s="727">
        <f t="shared" si="9"/>
        <v>11309746</v>
      </c>
      <c r="O173" s="727">
        <f t="shared" si="10"/>
        <v>11966726</v>
      </c>
      <c r="P173" s="742">
        <f t="shared" si="11"/>
        <v>-656980</v>
      </c>
    </row>
    <row r="174" spans="1:16">
      <c r="A174" s="725" t="s">
        <v>1107</v>
      </c>
      <c r="B174" s="725"/>
      <c r="C174" s="726" t="s">
        <v>2110</v>
      </c>
      <c r="D174" s="413" t="s">
        <v>508</v>
      </c>
      <c r="E174" s="412" t="s">
        <v>330</v>
      </c>
      <c r="F174" s="413" t="s">
        <v>330</v>
      </c>
      <c r="G174" s="412" t="s">
        <v>330</v>
      </c>
      <c r="H174" s="412" t="s">
        <v>330</v>
      </c>
      <c r="I174" s="726" t="s">
        <v>992</v>
      </c>
      <c r="J174" s="727"/>
      <c r="K174" s="727"/>
      <c r="L174" s="727">
        <v>0</v>
      </c>
      <c r="M174" s="727">
        <v>0</v>
      </c>
      <c r="N174" s="727">
        <f t="shared" si="9"/>
        <v>0</v>
      </c>
      <c r="O174" s="727">
        <f t="shared" si="10"/>
        <v>0</v>
      </c>
      <c r="P174" s="742">
        <f t="shared" si="11"/>
        <v>0</v>
      </c>
    </row>
    <row r="175" spans="1:16">
      <c r="A175" s="725" t="s">
        <v>1109</v>
      </c>
      <c r="B175" s="725"/>
      <c r="C175" s="726" t="s">
        <v>2111</v>
      </c>
      <c r="D175" s="413" t="s">
        <v>508</v>
      </c>
      <c r="E175" s="412" t="s">
        <v>330</v>
      </c>
      <c r="F175" s="413" t="s">
        <v>330</v>
      </c>
      <c r="G175" s="412" t="s">
        <v>330</v>
      </c>
      <c r="H175" s="412" t="s">
        <v>330</v>
      </c>
      <c r="I175" s="726" t="s">
        <v>974</v>
      </c>
      <c r="J175" s="727">
        <f>VLOOKUP(A175,'Trial Balance June 2025'!$A$7:$S$522,17,0)</f>
        <v>1896469</v>
      </c>
      <c r="K175" s="727">
        <f>VLOOKUP(A175,'Trial Balance June 2025'!$A$8:$S$522,18,0)</f>
        <v>1781500</v>
      </c>
      <c r="L175" s="727">
        <v>0</v>
      </c>
      <c r="M175" s="727">
        <v>0</v>
      </c>
      <c r="N175" s="727">
        <f t="shared" si="9"/>
        <v>1896469</v>
      </c>
      <c r="O175" s="727">
        <f t="shared" si="10"/>
        <v>1781500</v>
      </c>
      <c r="P175" s="742">
        <f t="shared" si="11"/>
        <v>114969</v>
      </c>
    </row>
    <row r="176" spans="1:16">
      <c r="A176" s="725" t="s">
        <v>1109</v>
      </c>
      <c r="B176" s="725"/>
      <c r="C176" s="726" t="s">
        <v>2111</v>
      </c>
      <c r="D176" s="413" t="s">
        <v>508</v>
      </c>
      <c r="E176" s="412" t="s">
        <v>330</v>
      </c>
      <c r="F176" s="413" t="s">
        <v>330</v>
      </c>
      <c r="G176" s="412" t="s">
        <v>330</v>
      </c>
      <c r="H176" s="412" t="s">
        <v>330</v>
      </c>
      <c r="I176" s="726" t="s">
        <v>2072</v>
      </c>
      <c r="J176" s="727"/>
      <c r="K176" s="727"/>
      <c r="L176" s="727">
        <v>0</v>
      </c>
      <c r="M176" s="727">
        <v>0</v>
      </c>
      <c r="N176" s="727">
        <f t="shared" si="9"/>
        <v>0</v>
      </c>
      <c r="O176" s="727">
        <f t="shared" si="10"/>
        <v>0</v>
      </c>
      <c r="P176" s="742">
        <f t="shared" si="11"/>
        <v>0</v>
      </c>
    </row>
    <row r="177" spans="1:16">
      <c r="A177" s="725" t="s">
        <v>1248</v>
      </c>
      <c r="B177" s="725"/>
      <c r="C177" s="726" t="s">
        <v>1260</v>
      </c>
      <c r="D177" s="413" t="s">
        <v>508</v>
      </c>
      <c r="E177" s="412" t="s">
        <v>330</v>
      </c>
      <c r="F177" s="413" t="s">
        <v>330</v>
      </c>
      <c r="G177" s="412" t="s">
        <v>330</v>
      </c>
      <c r="H177" s="412" t="s">
        <v>330</v>
      </c>
      <c r="I177" s="726" t="s">
        <v>974</v>
      </c>
      <c r="J177" s="727">
        <f>VLOOKUP(A177,'Trial Balance June 2025'!$A$7:$S$522,17,0)</f>
        <v>3489328.21</v>
      </c>
      <c r="K177" s="727">
        <f>VLOOKUP(A177,'Trial Balance June 2025'!$A$8:$S$522,18,0)</f>
        <v>5153996.7</v>
      </c>
      <c r="L177" s="727">
        <v>736997</v>
      </c>
      <c r="M177" s="727">
        <v>1509464</v>
      </c>
      <c r="N177" s="727">
        <f t="shared" si="9"/>
        <v>4226325.21</v>
      </c>
      <c r="O177" s="727">
        <f t="shared" si="10"/>
        <v>6663460.7000000002</v>
      </c>
      <c r="P177" s="742">
        <f t="shared" si="11"/>
        <v>-2437135.4900000002</v>
      </c>
    </row>
    <row r="178" spans="1:16">
      <c r="A178" s="725" t="s">
        <v>1248</v>
      </c>
      <c r="B178" s="725"/>
      <c r="C178" s="726" t="s">
        <v>1260</v>
      </c>
      <c r="D178" s="413" t="s">
        <v>508</v>
      </c>
      <c r="E178" s="412" t="s">
        <v>330</v>
      </c>
      <c r="F178" s="413" t="s">
        <v>330</v>
      </c>
      <c r="G178" s="412" t="s">
        <v>330</v>
      </c>
      <c r="H178" s="412" t="s">
        <v>330</v>
      </c>
      <c r="I178" s="726" t="s">
        <v>1275</v>
      </c>
      <c r="J178" s="727"/>
      <c r="K178" s="727"/>
      <c r="L178" s="727">
        <v>0</v>
      </c>
      <c r="M178" s="727">
        <v>0</v>
      </c>
      <c r="N178" s="727">
        <f t="shared" si="9"/>
        <v>0</v>
      </c>
      <c r="O178" s="727">
        <f t="shared" si="10"/>
        <v>0</v>
      </c>
      <c r="P178" s="742">
        <f t="shared" si="11"/>
        <v>0</v>
      </c>
    </row>
    <row r="179" spans="1:16">
      <c r="A179" s="725" t="s">
        <v>1248</v>
      </c>
      <c r="B179" s="725"/>
      <c r="C179" s="726" t="s">
        <v>1260</v>
      </c>
      <c r="D179" s="413" t="s">
        <v>508</v>
      </c>
      <c r="E179" s="412" t="s">
        <v>330</v>
      </c>
      <c r="F179" s="413" t="s">
        <v>330</v>
      </c>
      <c r="G179" s="412" t="s">
        <v>330</v>
      </c>
      <c r="H179" s="412" t="s">
        <v>330</v>
      </c>
      <c r="I179" s="726" t="s">
        <v>1723</v>
      </c>
      <c r="J179" s="727"/>
      <c r="K179" s="727"/>
      <c r="L179" s="727">
        <v>5818.88</v>
      </c>
      <c r="M179" s="727">
        <v>0</v>
      </c>
      <c r="N179" s="727">
        <f t="shared" si="9"/>
        <v>5818.88</v>
      </c>
      <c r="O179" s="727">
        <f t="shared" si="10"/>
        <v>0</v>
      </c>
      <c r="P179" s="742">
        <f t="shared" si="11"/>
        <v>5818.88</v>
      </c>
    </row>
    <row r="180" spans="1:16">
      <c r="A180" s="725" t="s">
        <v>1330</v>
      </c>
      <c r="B180" s="725"/>
      <c r="C180" s="726" t="s">
        <v>1331</v>
      </c>
      <c r="D180" s="413" t="s">
        <v>508</v>
      </c>
      <c r="E180" s="412" t="s">
        <v>330</v>
      </c>
      <c r="F180" s="413" t="s">
        <v>330</v>
      </c>
      <c r="G180" s="412" t="s">
        <v>330</v>
      </c>
      <c r="H180" s="412" t="s">
        <v>330</v>
      </c>
      <c r="I180" s="726" t="s">
        <v>974</v>
      </c>
      <c r="J180" s="727">
        <f>VLOOKUP(A180,'Trial Balance June 2025'!$A$7:$S$522,17,0)</f>
        <v>765582</v>
      </c>
      <c r="K180" s="727">
        <f>VLOOKUP(A180,'Trial Balance June 2025'!$A$8:$S$522,18,0)</f>
        <v>779095</v>
      </c>
      <c r="L180" s="727">
        <v>1142710</v>
      </c>
      <c r="M180" s="727">
        <v>333765</v>
      </c>
      <c r="N180" s="727">
        <f t="shared" si="9"/>
        <v>1908292</v>
      </c>
      <c r="O180" s="727">
        <f t="shared" si="10"/>
        <v>1112860</v>
      </c>
      <c r="P180" s="742">
        <f t="shared" si="11"/>
        <v>795432</v>
      </c>
    </row>
    <row r="181" spans="1:16">
      <c r="A181" s="725" t="s">
        <v>1330</v>
      </c>
      <c r="B181" s="725"/>
      <c r="C181" s="726" t="s">
        <v>1331</v>
      </c>
      <c r="D181" s="413" t="s">
        <v>508</v>
      </c>
      <c r="E181" s="412" t="s">
        <v>330</v>
      </c>
      <c r="F181" s="413" t="s">
        <v>330</v>
      </c>
      <c r="G181" s="412" t="s">
        <v>330</v>
      </c>
      <c r="H181" s="412" t="s">
        <v>330</v>
      </c>
      <c r="I181" s="726" t="s">
        <v>1275</v>
      </c>
      <c r="J181" s="727"/>
      <c r="K181" s="727"/>
      <c r="L181" s="727">
        <v>0</v>
      </c>
      <c r="M181" s="727">
        <v>0</v>
      </c>
      <c r="N181" s="727">
        <f t="shared" si="9"/>
        <v>0</v>
      </c>
      <c r="O181" s="727">
        <f t="shared" si="10"/>
        <v>0</v>
      </c>
      <c r="P181" s="742">
        <f t="shared" si="11"/>
        <v>0</v>
      </c>
    </row>
    <row r="182" spans="1:16" ht="15" thickBot="1">
      <c r="A182" s="725" t="s">
        <v>1330</v>
      </c>
      <c r="B182" s="725"/>
      <c r="C182" s="726" t="s">
        <v>1331</v>
      </c>
      <c r="D182" s="413" t="s">
        <v>508</v>
      </c>
      <c r="E182" s="412" t="s">
        <v>330</v>
      </c>
      <c r="F182" s="413" t="s">
        <v>330</v>
      </c>
      <c r="G182" s="412" t="s">
        <v>330</v>
      </c>
      <c r="H182" s="412" t="s">
        <v>330</v>
      </c>
      <c r="I182" s="726" t="s">
        <v>1723</v>
      </c>
      <c r="J182" s="727"/>
      <c r="K182" s="727"/>
      <c r="L182" s="727">
        <v>944720.92</v>
      </c>
      <c r="M182" s="727">
        <v>881253.33</v>
      </c>
      <c r="N182" s="727">
        <f t="shared" si="9"/>
        <v>944720.92</v>
      </c>
      <c r="O182" s="727">
        <f t="shared" si="10"/>
        <v>881253.33</v>
      </c>
      <c r="P182" s="742">
        <f t="shared" si="11"/>
        <v>63467.590000000084</v>
      </c>
    </row>
    <row r="183" spans="1:16" ht="29.5" thickBot="1">
      <c r="A183" s="725" t="s">
        <v>762</v>
      </c>
      <c r="B183" s="725"/>
      <c r="C183" s="726" t="s">
        <v>1622</v>
      </c>
      <c r="D183" s="726" t="str">
        <f t="shared" ref="D183:D199" si="12">CONCATENATE(A183,C183)</f>
        <v>1-01-02-03-003ADVANCE TO GOHAR ALI</v>
      </c>
      <c r="E183" s="422" t="s">
        <v>1051</v>
      </c>
      <c r="F183" s="412" t="s">
        <v>466</v>
      </c>
      <c r="G183" s="413" t="s">
        <v>1057</v>
      </c>
      <c r="H183" s="412" t="s">
        <v>1112</v>
      </c>
      <c r="I183" s="726" t="s">
        <v>974</v>
      </c>
      <c r="J183" s="727">
        <f>VLOOKUP(A183,'Trial Balance June 2025'!$A$7:$S$522,17,0)</f>
        <v>2450</v>
      </c>
      <c r="K183" s="727">
        <f>VLOOKUP(A183,'Trial Balance June 2025'!$A$8:$S$522,18,0)</f>
        <v>0</v>
      </c>
      <c r="L183" s="727">
        <v>0</v>
      </c>
      <c r="M183" s="727">
        <v>0</v>
      </c>
      <c r="N183" s="727">
        <f t="shared" si="9"/>
        <v>2450</v>
      </c>
      <c r="O183" s="727">
        <f t="shared" si="10"/>
        <v>0</v>
      </c>
      <c r="P183" s="742">
        <f t="shared" si="11"/>
        <v>2450</v>
      </c>
    </row>
    <row r="184" spans="1:16" ht="29.5" thickBot="1">
      <c r="A184" s="725" t="s">
        <v>762</v>
      </c>
      <c r="B184" s="725"/>
      <c r="C184" s="726" t="s">
        <v>1622</v>
      </c>
      <c r="D184" s="726" t="str">
        <f t="shared" si="12"/>
        <v>1-01-02-03-003ADVANCE TO GOHAR ALI</v>
      </c>
      <c r="E184" s="422" t="s">
        <v>1051</v>
      </c>
      <c r="F184" s="412" t="s">
        <v>466</v>
      </c>
      <c r="G184" s="413" t="s">
        <v>1057</v>
      </c>
      <c r="H184" s="412" t="s">
        <v>1112</v>
      </c>
      <c r="I184" s="726" t="s">
        <v>1020</v>
      </c>
      <c r="J184" s="727"/>
      <c r="K184" s="727">
        <f>VLOOKUP(A184,'Trial Balance June 2025'!$A$8:$S$522,18,0)</f>
        <v>0</v>
      </c>
      <c r="L184" s="727">
        <v>0</v>
      </c>
      <c r="M184" s="727">
        <v>0</v>
      </c>
      <c r="N184" s="727">
        <f t="shared" si="9"/>
        <v>0</v>
      </c>
      <c r="O184" s="727">
        <f t="shared" si="10"/>
        <v>0</v>
      </c>
      <c r="P184" s="742">
        <f t="shared" si="11"/>
        <v>0</v>
      </c>
    </row>
    <row r="185" spans="1:16" ht="29.5" thickBot="1">
      <c r="A185" s="725" t="s">
        <v>763</v>
      </c>
      <c r="B185" s="725"/>
      <c r="C185" s="726" t="s">
        <v>1623</v>
      </c>
      <c r="D185" s="726" t="str">
        <f t="shared" si="12"/>
        <v>1-01-02-03-008ADVANCE TO KHADIM HUSSAIN</v>
      </c>
      <c r="E185" s="422" t="s">
        <v>1051</v>
      </c>
      <c r="F185" s="412" t="s">
        <v>466</v>
      </c>
      <c r="G185" s="413" t="s">
        <v>1057</v>
      </c>
      <c r="H185" s="412" t="s">
        <v>1112</v>
      </c>
      <c r="I185" s="726" t="s">
        <v>974</v>
      </c>
      <c r="J185" s="727">
        <f>VLOOKUP(A185,'Trial Balance June 2025'!$A$7:$S$522,17,0)</f>
        <v>4754398</v>
      </c>
      <c r="K185" s="727">
        <f>VLOOKUP(A185,'Trial Balance June 2025'!$A$8:$S$522,18,0)</f>
        <v>4754398</v>
      </c>
      <c r="L185" s="727">
        <v>4137000</v>
      </c>
      <c r="M185" s="727">
        <v>4137000</v>
      </c>
      <c r="N185" s="727">
        <f t="shared" si="9"/>
        <v>8891398</v>
      </c>
      <c r="O185" s="727">
        <f t="shared" si="10"/>
        <v>8891398</v>
      </c>
      <c r="P185" s="742">
        <f t="shared" si="11"/>
        <v>0</v>
      </c>
    </row>
    <row r="186" spans="1:16" ht="29.5" thickBot="1">
      <c r="A186" s="725" t="s">
        <v>763</v>
      </c>
      <c r="B186" s="725"/>
      <c r="C186" s="726" t="s">
        <v>1623</v>
      </c>
      <c r="D186" s="726" t="str">
        <f t="shared" si="12"/>
        <v>1-01-02-03-008ADVANCE TO KHADIM HUSSAIN</v>
      </c>
      <c r="E186" s="422" t="s">
        <v>1051</v>
      </c>
      <c r="F186" s="412" t="s">
        <v>466</v>
      </c>
      <c r="G186" s="413" t="s">
        <v>1057</v>
      </c>
      <c r="H186" s="412" t="s">
        <v>1112</v>
      </c>
      <c r="I186" s="726" t="s">
        <v>1023</v>
      </c>
      <c r="J186" s="727"/>
      <c r="K186" s="727"/>
      <c r="L186" s="727">
        <v>0</v>
      </c>
      <c r="M186" s="727">
        <v>0</v>
      </c>
      <c r="N186" s="727">
        <f t="shared" si="9"/>
        <v>0</v>
      </c>
      <c r="O186" s="727">
        <f t="shared" si="10"/>
        <v>0</v>
      </c>
      <c r="P186" s="742">
        <f t="shared" si="11"/>
        <v>0</v>
      </c>
    </row>
    <row r="187" spans="1:16" ht="29.5" thickBot="1">
      <c r="A187" s="725" t="s">
        <v>763</v>
      </c>
      <c r="B187" s="725"/>
      <c r="C187" s="726" t="s">
        <v>1623</v>
      </c>
      <c r="D187" s="726" t="str">
        <f t="shared" si="12"/>
        <v>1-01-02-03-008ADVANCE TO KHADIM HUSSAIN</v>
      </c>
      <c r="E187" s="422" t="s">
        <v>1051</v>
      </c>
      <c r="F187" s="412" t="s">
        <v>466</v>
      </c>
      <c r="G187" s="413" t="s">
        <v>1057</v>
      </c>
      <c r="H187" s="412" t="s">
        <v>1112</v>
      </c>
      <c r="I187" s="726" t="s">
        <v>1276</v>
      </c>
      <c r="J187" s="727"/>
      <c r="K187" s="727"/>
      <c r="L187" s="727">
        <v>0</v>
      </c>
      <c r="M187" s="727">
        <v>0</v>
      </c>
      <c r="N187" s="727">
        <f t="shared" si="9"/>
        <v>0</v>
      </c>
      <c r="O187" s="727">
        <f t="shared" si="10"/>
        <v>0</v>
      </c>
      <c r="P187" s="742">
        <f t="shared" si="11"/>
        <v>0</v>
      </c>
    </row>
    <row r="188" spans="1:16" ht="29.5" thickBot="1">
      <c r="A188" s="725" t="s">
        <v>763</v>
      </c>
      <c r="B188" s="725"/>
      <c r="C188" s="726" t="s">
        <v>1623</v>
      </c>
      <c r="D188" s="726" t="str">
        <f t="shared" si="12"/>
        <v>1-01-02-03-008ADVANCE TO KHADIM HUSSAIN</v>
      </c>
      <c r="E188" s="422" t="s">
        <v>1051</v>
      </c>
      <c r="F188" s="412" t="s">
        <v>466</v>
      </c>
      <c r="G188" s="413" t="s">
        <v>1057</v>
      </c>
      <c r="H188" s="412" t="s">
        <v>1112</v>
      </c>
      <c r="I188" s="726" t="s">
        <v>992</v>
      </c>
      <c r="J188" s="727"/>
      <c r="K188" s="727"/>
      <c r="L188" s="727">
        <v>0</v>
      </c>
      <c r="M188" s="727">
        <v>0</v>
      </c>
      <c r="N188" s="727">
        <f t="shared" si="9"/>
        <v>0</v>
      </c>
      <c r="O188" s="727">
        <f t="shared" si="10"/>
        <v>0</v>
      </c>
      <c r="P188" s="742">
        <f t="shared" si="11"/>
        <v>0</v>
      </c>
    </row>
    <row r="189" spans="1:16" ht="29.5" thickBot="1">
      <c r="A189" s="725" t="s">
        <v>763</v>
      </c>
      <c r="B189" s="725"/>
      <c r="C189" s="726" t="s">
        <v>1623</v>
      </c>
      <c r="D189" s="726" t="str">
        <f t="shared" si="12"/>
        <v>1-01-02-03-008ADVANCE TO KHADIM HUSSAIN</v>
      </c>
      <c r="E189" s="422" t="s">
        <v>1051</v>
      </c>
      <c r="F189" s="412" t="s">
        <v>466</v>
      </c>
      <c r="G189" s="413" t="s">
        <v>1057</v>
      </c>
      <c r="H189" s="412" t="s">
        <v>1112</v>
      </c>
      <c r="I189" s="726" t="s">
        <v>1275</v>
      </c>
      <c r="J189" s="727">
        <f>VLOOKUP(A189,'Trial Balance June 2025'!$A$7:$S$522,17,0)</f>
        <v>4754398</v>
      </c>
      <c r="K189" s="727">
        <f>VLOOKUP(A189,'Trial Balance June 2025'!$A$8:$S$522,18,0)</f>
        <v>4754398</v>
      </c>
      <c r="L189" s="727">
        <v>1063000</v>
      </c>
      <c r="M189" s="727">
        <v>1063000</v>
      </c>
      <c r="N189" s="727">
        <f t="shared" si="9"/>
        <v>5817398</v>
      </c>
      <c r="O189" s="727">
        <f t="shared" si="10"/>
        <v>5817398</v>
      </c>
      <c r="P189" s="742">
        <f t="shared" si="11"/>
        <v>0</v>
      </c>
    </row>
    <row r="190" spans="1:16" ht="29.5" thickBot="1">
      <c r="A190" s="725" t="s">
        <v>763</v>
      </c>
      <c r="B190" s="725"/>
      <c r="C190" s="726" t="s">
        <v>1623</v>
      </c>
      <c r="D190" s="726" t="str">
        <f t="shared" si="12"/>
        <v>1-01-02-03-008ADVANCE TO KHADIM HUSSAIN</v>
      </c>
      <c r="E190" s="422" t="s">
        <v>1051</v>
      </c>
      <c r="F190" s="412" t="s">
        <v>466</v>
      </c>
      <c r="G190" s="413" t="s">
        <v>1057</v>
      </c>
      <c r="H190" s="412" t="s">
        <v>1112</v>
      </c>
      <c r="I190" s="726" t="s">
        <v>1723</v>
      </c>
      <c r="J190" s="727"/>
      <c r="K190" s="727"/>
      <c r="L190" s="727">
        <v>0</v>
      </c>
      <c r="M190" s="727">
        <v>186000</v>
      </c>
      <c r="N190" s="727">
        <f t="shared" si="9"/>
        <v>0</v>
      </c>
      <c r="O190" s="727">
        <f t="shared" si="10"/>
        <v>186000</v>
      </c>
      <c r="P190" s="742">
        <f t="shared" si="11"/>
        <v>-186000</v>
      </c>
    </row>
    <row r="191" spans="1:16" ht="29.5" thickBot="1">
      <c r="A191" s="725" t="s">
        <v>768</v>
      </c>
      <c r="B191" s="725"/>
      <c r="C191" s="726" t="s">
        <v>1624</v>
      </c>
      <c r="D191" s="726" t="str">
        <f t="shared" si="12"/>
        <v>1-01-02-03-020ADVANCE TO ABBAS HAIDER</v>
      </c>
      <c r="E191" s="422" t="s">
        <v>1051</v>
      </c>
      <c r="F191" s="412" t="s">
        <v>466</v>
      </c>
      <c r="G191" s="413" t="s">
        <v>1057</v>
      </c>
      <c r="H191" s="412" t="s">
        <v>1112</v>
      </c>
      <c r="I191" s="726" t="s">
        <v>974</v>
      </c>
      <c r="J191" s="727">
        <f>VLOOKUP(A191,'Trial Balance June 2025'!$A$7:$S$522,17,0)</f>
        <v>606350</v>
      </c>
      <c r="K191" s="727">
        <f>VLOOKUP(A191,'Trial Balance June 2025'!$A$8:$S$522,18,0)</f>
        <v>564350</v>
      </c>
      <c r="L191" s="727">
        <v>35000</v>
      </c>
      <c r="M191" s="727">
        <v>0</v>
      </c>
      <c r="N191" s="727">
        <f t="shared" si="9"/>
        <v>641350</v>
      </c>
      <c r="O191" s="727">
        <f t="shared" si="10"/>
        <v>564350</v>
      </c>
      <c r="P191" s="742">
        <f t="shared" si="11"/>
        <v>77000</v>
      </c>
    </row>
    <row r="192" spans="1:16" ht="29.5" thickBot="1">
      <c r="A192" s="725" t="s">
        <v>768</v>
      </c>
      <c r="B192" s="725"/>
      <c r="C192" s="726" t="s">
        <v>1624</v>
      </c>
      <c r="D192" s="726" t="str">
        <f t="shared" si="12"/>
        <v>1-01-02-03-020ADVANCE TO ABBAS HAIDER</v>
      </c>
      <c r="E192" s="422" t="s">
        <v>1051</v>
      </c>
      <c r="F192" s="412" t="s">
        <v>466</v>
      </c>
      <c r="G192" s="413" t="s">
        <v>1057</v>
      </c>
      <c r="H192" s="412" t="s">
        <v>1112</v>
      </c>
      <c r="I192" s="726" t="s">
        <v>1276</v>
      </c>
      <c r="J192" s="727">
        <f>VLOOKUP(A192,'Trial Balance June 2025'!$A$7:$S$522,17,0)</f>
        <v>606350</v>
      </c>
      <c r="K192" s="727">
        <f>VLOOKUP(A192,'Trial Balance June 2025'!$A$8:$S$522,18,0)</f>
        <v>564350</v>
      </c>
      <c r="L192" s="727">
        <v>0</v>
      </c>
      <c r="M192" s="727">
        <v>0</v>
      </c>
      <c r="N192" s="727">
        <f t="shared" si="9"/>
        <v>606350</v>
      </c>
      <c r="O192" s="727">
        <f t="shared" si="10"/>
        <v>564350</v>
      </c>
      <c r="P192" s="742">
        <f t="shared" si="11"/>
        <v>42000</v>
      </c>
    </row>
    <row r="193" spans="1:16" ht="29.5" thickBot="1">
      <c r="A193" s="725" t="s">
        <v>768</v>
      </c>
      <c r="B193" s="725"/>
      <c r="C193" s="726" t="s">
        <v>1624</v>
      </c>
      <c r="D193" s="726" t="str">
        <f t="shared" si="12"/>
        <v>1-01-02-03-020ADVANCE TO ABBAS HAIDER</v>
      </c>
      <c r="E193" s="422" t="s">
        <v>1051</v>
      </c>
      <c r="F193" s="412" t="s">
        <v>466</v>
      </c>
      <c r="G193" s="413" t="s">
        <v>1057</v>
      </c>
      <c r="H193" s="412" t="s">
        <v>1112</v>
      </c>
      <c r="I193" s="726" t="s">
        <v>1024</v>
      </c>
      <c r="J193" s="727"/>
      <c r="K193" s="727"/>
      <c r="L193" s="727">
        <v>0</v>
      </c>
      <c r="M193" s="727">
        <v>0</v>
      </c>
      <c r="N193" s="727">
        <f t="shared" si="9"/>
        <v>0</v>
      </c>
      <c r="O193" s="727">
        <f t="shared" si="10"/>
        <v>0</v>
      </c>
      <c r="P193" s="742">
        <f t="shared" si="11"/>
        <v>0</v>
      </c>
    </row>
    <row r="194" spans="1:16" ht="29.5" thickBot="1">
      <c r="A194" s="725" t="s">
        <v>768</v>
      </c>
      <c r="B194" s="725"/>
      <c r="C194" s="726" t="s">
        <v>1624</v>
      </c>
      <c r="D194" s="726" t="str">
        <f t="shared" si="12"/>
        <v>1-01-02-03-020ADVANCE TO ABBAS HAIDER</v>
      </c>
      <c r="E194" s="422" t="s">
        <v>1051</v>
      </c>
      <c r="F194" s="412" t="s">
        <v>466</v>
      </c>
      <c r="G194" s="413" t="s">
        <v>1057</v>
      </c>
      <c r="H194" s="412" t="s">
        <v>1112</v>
      </c>
      <c r="I194" s="726" t="s">
        <v>1275</v>
      </c>
      <c r="J194" s="727"/>
      <c r="K194" s="727"/>
      <c r="L194" s="727">
        <v>30000</v>
      </c>
      <c r="M194" s="727">
        <v>0</v>
      </c>
      <c r="N194" s="727">
        <f t="shared" si="9"/>
        <v>30000</v>
      </c>
      <c r="O194" s="727">
        <f t="shared" si="10"/>
        <v>0</v>
      </c>
      <c r="P194" s="742">
        <f t="shared" si="11"/>
        <v>30000</v>
      </c>
    </row>
    <row r="195" spans="1:16" ht="29.5" thickBot="1">
      <c r="A195" s="725" t="s">
        <v>773</v>
      </c>
      <c r="B195" s="725"/>
      <c r="C195" s="726" t="s">
        <v>1626</v>
      </c>
      <c r="D195" s="726" t="str">
        <f t="shared" si="12"/>
        <v>1-01-02-03-116Advance to Zameer Awan</v>
      </c>
      <c r="E195" s="422" t="s">
        <v>1051</v>
      </c>
      <c r="F195" s="412" t="s">
        <v>466</v>
      </c>
      <c r="G195" s="413" t="s">
        <v>1057</v>
      </c>
      <c r="H195" s="412" t="s">
        <v>1112</v>
      </c>
      <c r="I195" s="726" t="s">
        <v>974</v>
      </c>
      <c r="J195" s="727">
        <f>VLOOKUP(A195,'Trial Balance June 2025'!$A$7:$S$522,17,0)</f>
        <v>391000</v>
      </c>
      <c r="K195" s="727">
        <f>VLOOKUP(A195,'Trial Balance June 2025'!$A$8:$S$522,18,0)</f>
        <v>391000</v>
      </c>
      <c r="L195" s="727">
        <v>130000</v>
      </c>
      <c r="M195" s="727">
        <v>10000</v>
      </c>
      <c r="N195" s="727">
        <f t="shared" si="9"/>
        <v>521000</v>
      </c>
      <c r="O195" s="727">
        <f t="shared" si="10"/>
        <v>401000</v>
      </c>
      <c r="P195" s="742">
        <f t="shared" si="11"/>
        <v>120000</v>
      </c>
    </row>
    <row r="196" spans="1:16" ht="29.5" thickBot="1">
      <c r="A196" s="725" t="s">
        <v>1334</v>
      </c>
      <c r="B196" s="725"/>
      <c r="C196" s="726" t="s">
        <v>1335</v>
      </c>
      <c r="D196" s="726" t="str">
        <f t="shared" si="12"/>
        <v>1-01-02-03-123Advance against Expenses</v>
      </c>
      <c r="E196" s="422" t="s">
        <v>1051</v>
      </c>
      <c r="F196" s="412" t="s">
        <v>466</v>
      </c>
      <c r="G196" s="413" t="s">
        <v>1057</v>
      </c>
      <c r="H196" s="412" t="s">
        <v>1112</v>
      </c>
      <c r="I196" s="726" t="s">
        <v>974</v>
      </c>
      <c r="J196" s="727">
        <f>VLOOKUP(A196,'Trial Balance June 2025'!$A$7:$S$522,17,0)</f>
        <v>791782</v>
      </c>
      <c r="K196" s="727">
        <f>VLOOKUP(A196,'Trial Balance June 2025'!$A$8:$S$522,18,0)</f>
        <v>740500</v>
      </c>
      <c r="L196" s="727">
        <v>609500</v>
      </c>
      <c r="M196" s="727">
        <v>404500</v>
      </c>
      <c r="N196" s="727">
        <f t="shared" si="9"/>
        <v>1401282</v>
      </c>
      <c r="O196" s="727">
        <f t="shared" si="10"/>
        <v>1145000</v>
      </c>
      <c r="P196" s="742">
        <f t="shared" si="11"/>
        <v>256282</v>
      </c>
    </row>
    <row r="197" spans="1:16" ht="29.5" thickBot="1">
      <c r="A197" s="725" t="s">
        <v>1334</v>
      </c>
      <c r="B197" s="725"/>
      <c r="C197" s="726" t="s">
        <v>1335</v>
      </c>
      <c r="D197" s="726" t="str">
        <f t="shared" si="12"/>
        <v>1-01-02-03-123Advance against Expenses</v>
      </c>
      <c r="E197" s="422" t="s">
        <v>1051</v>
      </c>
      <c r="F197" s="412" t="s">
        <v>466</v>
      </c>
      <c r="G197" s="413" t="s">
        <v>1057</v>
      </c>
      <c r="H197" s="412" t="s">
        <v>1112</v>
      </c>
      <c r="I197" s="726" t="s">
        <v>1723</v>
      </c>
      <c r="J197" s="727"/>
      <c r="K197" s="727"/>
      <c r="L197" s="727">
        <v>15000</v>
      </c>
      <c r="M197" s="727">
        <v>15000</v>
      </c>
      <c r="N197" s="727">
        <f t="shared" si="9"/>
        <v>15000</v>
      </c>
      <c r="O197" s="727">
        <f t="shared" si="10"/>
        <v>15000</v>
      </c>
      <c r="P197" s="742">
        <f t="shared" si="11"/>
        <v>0</v>
      </c>
    </row>
    <row r="198" spans="1:16" ht="29.5" thickBot="1">
      <c r="A198" s="725" t="s">
        <v>2112</v>
      </c>
      <c r="B198" s="725"/>
      <c r="C198" s="726" t="s">
        <v>2113</v>
      </c>
      <c r="D198" s="726" t="str">
        <f t="shared" si="12"/>
        <v>1-01-02-03-125Advance to Farhan Haider</v>
      </c>
      <c r="E198" s="422" t="s">
        <v>1051</v>
      </c>
      <c r="F198" s="412" t="s">
        <v>466</v>
      </c>
      <c r="G198" s="413" t="s">
        <v>1057</v>
      </c>
      <c r="H198" s="412" t="s">
        <v>1112</v>
      </c>
      <c r="I198" s="726" t="s">
        <v>974</v>
      </c>
      <c r="J198" s="727">
        <v>0</v>
      </c>
      <c r="K198" s="727">
        <v>0</v>
      </c>
      <c r="L198" s="727">
        <v>144000</v>
      </c>
      <c r="M198" s="727">
        <v>144000</v>
      </c>
      <c r="N198" s="727">
        <f t="shared" si="9"/>
        <v>144000</v>
      </c>
      <c r="O198" s="727">
        <f t="shared" si="10"/>
        <v>144000</v>
      </c>
      <c r="P198" s="742">
        <f t="shared" si="11"/>
        <v>0</v>
      </c>
    </row>
    <row r="199" spans="1:16" ht="29.5" thickBot="1">
      <c r="A199" s="725" t="s">
        <v>774</v>
      </c>
      <c r="B199" s="725"/>
      <c r="C199" s="726" t="s">
        <v>335</v>
      </c>
      <c r="D199" s="726" t="str">
        <f t="shared" si="12"/>
        <v>1-01-02-04-001ADVANCE AGAINST SALARIES</v>
      </c>
      <c r="E199" s="422" t="s">
        <v>1051</v>
      </c>
      <c r="F199" s="412" t="s">
        <v>466</v>
      </c>
      <c r="G199" s="413" t="s">
        <v>1057</v>
      </c>
      <c r="H199" s="412" t="s">
        <v>1112</v>
      </c>
      <c r="I199" s="726" t="s">
        <v>974</v>
      </c>
      <c r="J199" s="727">
        <f>VLOOKUP(A199,'Trial Balance June 2025'!$A$7:$S$522,17,0)</f>
        <v>2926182</v>
      </c>
      <c r="K199" s="727">
        <f>VLOOKUP(A199,'Trial Balance June 2025'!$A$8:$S$522,18,0)</f>
        <v>2886182</v>
      </c>
      <c r="L199" s="727">
        <v>244277</v>
      </c>
      <c r="M199" s="727">
        <v>254277</v>
      </c>
      <c r="N199" s="727">
        <f t="shared" si="9"/>
        <v>3170459</v>
      </c>
      <c r="O199" s="727">
        <f t="shared" si="10"/>
        <v>3140459</v>
      </c>
      <c r="P199" s="742">
        <f t="shared" si="11"/>
        <v>30000</v>
      </c>
    </row>
    <row r="200" spans="1:16" ht="29.5" thickBot="1">
      <c r="A200" s="725" t="s">
        <v>774</v>
      </c>
      <c r="B200" s="725"/>
      <c r="C200" s="726" t="s">
        <v>335</v>
      </c>
      <c r="D200" s="726" t="str">
        <f t="shared" ref="D200:D263" si="13">CONCATENATE(A200,C200)</f>
        <v>1-01-02-04-001ADVANCE AGAINST SALARIES</v>
      </c>
      <c r="E200" s="422" t="s">
        <v>1051</v>
      </c>
      <c r="F200" s="412" t="s">
        <v>466</v>
      </c>
      <c r="G200" s="413" t="s">
        <v>1057</v>
      </c>
      <c r="H200" s="412" t="s">
        <v>1112</v>
      </c>
      <c r="I200" s="726" t="s">
        <v>1276</v>
      </c>
      <c r="J200" s="727"/>
      <c r="K200" s="727"/>
      <c r="L200" s="727">
        <v>0</v>
      </c>
      <c r="M200" s="727">
        <v>0</v>
      </c>
      <c r="N200" s="727">
        <f t="shared" ref="N200:N263" si="14">J200+L200</f>
        <v>0</v>
      </c>
      <c r="O200" s="727">
        <f t="shared" ref="O200:O263" si="15">K200+M200</f>
        <v>0</v>
      </c>
      <c r="P200" s="742">
        <f t="shared" ref="P200:P263" si="16">N200-O200</f>
        <v>0</v>
      </c>
    </row>
    <row r="201" spans="1:16" ht="29.5" thickBot="1">
      <c r="A201" s="725" t="s">
        <v>774</v>
      </c>
      <c r="B201" s="725"/>
      <c r="C201" s="726" t="s">
        <v>335</v>
      </c>
      <c r="D201" s="726" t="str">
        <f t="shared" si="13"/>
        <v>1-01-02-04-001ADVANCE AGAINST SALARIES</v>
      </c>
      <c r="E201" s="422" t="s">
        <v>1051</v>
      </c>
      <c r="F201" s="412" t="s">
        <v>466</v>
      </c>
      <c r="G201" s="413" t="s">
        <v>1057</v>
      </c>
      <c r="H201" s="412" t="s">
        <v>1112</v>
      </c>
      <c r="I201" s="726" t="s">
        <v>1275</v>
      </c>
      <c r="J201" s="727"/>
      <c r="K201" s="727"/>
      <c r="L201" s="727">
        <v>0</v>
      </c>
      <c r="M201" s="727">
        <v>15000</v>
      </c>
      <c r="N201" s="727">
        <f t="shared" si="14"/>
        <v>0</v>
      </c>
      <c r="O201" s="727">
        <f t="shared" si="15"/>
        <v>15000</v>
      </c>
      <c r="P201" s="742">
        <f t="shared" si="16"/>
        <v>-15000</v>
      </c>
    </row>
    <row r="202" spans="1:16" ht="29.5" thickBot="1">
      <c r="A202" s="725" t="s">
        <v>774</v>
      </c>
      <c r="B202" s="725"/>
      <c r="C202" s="726" t="s">
        <v>335</v>
      </c>
      <c r="D202" s="726" t="str">
        <f t="shared" si="13"/>
        <v>1-01-02-04-001ADVANCE AGAINST SALARIES</v>
      </c>
      <c r="E202" s="422" t="s">
        <v>1051</v>
      </c>
      <c r="F202" s="412" t="s">
        <v>466</v>
      </c>
      <c r="G202" s="413" t="s">
        <v>1057</v>
      </c>
      <c r="H202" s="412" t="s">
        <v>1112</v>
      </c>
      <c r="I202" s="726" t="s">
        <v>1723</v>
      </c>
      <c r="J202" s="727"/>
      <c r="K202" s="727"/>
      <c r="L202" s="727">
        <v>70000</v>
      </c>
      <c r="M202" s="727">
        <v>110000</v>
      </c>
      <c r="N202" s="727">
        <f t="shared" si="14"/>
        <v>70000</v>
      </c>
      <c r="O202" s="727">
        <f t="shared" si="15"/>
        <v>110000</v>
      </c>
      <c r="P202" s="742">
        <f t="shared" si="16"/>
        <v>-40000</v>
      </c>
    </row>
    <row r="203" spans="1:16" ht="29.5" thickBot="1">
      <c r="A203" s="725" t="s">
        <v>775</v>
      </c>
      <c r="B203" s="725"/>
      <c r="C203" s="726" t="s">
        <v>1627</v>
      </c>
      <c r="D203" s="726" t="str">
        <f t="shared" si="13"/>
        <v>1-01-02-04-002STAFF LOAN</v>
      </c>
      <c r="E203" s="422" t="s">
        <v>1051</v>
      </c>
      <c r="F203" s="412" t="s">
        <v>466</v>
      </c>
      <c r="G203" s="413" t="s">
        <v>1057</v>
      </c>
      <c r="H203" s="412" t="s">
        <v>1112</v>
      </c>
      <c r="I203" s="726" t="s">
        <v>974</v>
      </c>
      <c r="J203" s="727">
        <f>VLOOKUP(A203,'Trial Balance June 2025'!$A$7:$S$522,17,0)</f>
        <v>305000</v>
      </c>
      <c r="K203" s="727">
        <f>VLOOKUP(A203,'Trial Balance June 2025'!$A$8:$S$522,18,0)</f>
        <v>73000</v>
      </c>
      <c r="L203" s="727">
        <v>120000</v>
      </c>
      <c r="M203" s="727">
        <v>198000</v>
      </c>
      <c r="N203" s="727">
        <f t="shared" si="14"/>
        <v>425000</v>
      </c>
      <c r="O203" s="727">
        <f t="shared" si="15"/>
        <v>271000</v>
      </c>
      <c r="P203" s="742">
        <f t="shared" si="16"/>
        <v>154000</v>
      </c>
    </row>
    <row r="204" spans="1:16" ht="29.5" thickBot="1">
      <c r="A204" s="725" t="s">
        <v>775</v>
      </c>
      <c r="B204" s="725"/>
      <c r="C204" s="726" t="s">
        <v>1627</v>
      </c>
      <c r="D204" s="726" t="str">
        <f t="shared" si="13"/>
        <v>1-01-02-04-002STAFF LOAN</v>
      </c>
      <c r="E204" s="422" t="s">
        <v>1051</v>
      </c>
      <c r="F204" s="412" t="s">
        <v>466</v>
      </c>
      <c r="G204" s="413" t="s">
        <v>1057</v>
      </c>
      <c r="H204" s="412" t="s">
        <v>1112</v>
      </c>
      <c r="I204" s="726" t="s">
        <v>1275</v>
      </c>
      <c r="J204" s="727"/>
      <c r="K204" s="727"/>
      <c r="L204" s="727">
        <v>100000</v>
      </c>
      <c r="M204" s="727">
        <v>62500</v>
      </c>
      <c r="N204" s="727">
        <f t="shared" si="14"/>
        <v>100000</v>
      </c>
      <c r="O204" s="727">
        <f t="shared" si="15"/>
        <v>62500</v>
      </c>
      <c r="P204" s="742">
        <f t="shared" si="16"/>
        <v>37500</v>
      </c>
    </row>
    <row r="205" spans="1:16" ht="29.5" thickBot="1">
      <c r="A205" s="725" t="s">
        <v>775</v>
      </c>
      <c r="B205" s="725"/>
      <c r="C205" s="726" t="s">
        <v>1627</v>
      </c>
      <c r="D205" s="726" t="str">
        <f t="shared" si="13"/>
        <v>1-01-02-04-002STAFF LOAN</v>
      </c>
      <c r="E205" s="422" t="s">
        <v>1051</v>
      </c>
      <c r="F205" s="412" t="s">
        <v>466</v>
      </c>
      <c r="G205" s="413" t="s">
        <v>1057</v>
      </c>
      <c r="H205" s="412" t="s">
        <v>1112</v>
      </c>
      <c r="I205" s="726" t="s">
        <v>1723</v>
      </c>
      <c r="J205" s="727"/>
      <c r="K205" s="727"/>
      <c r="L205" s="727">
        <v>54000</v>
      </c>
      <c r="M205" s="727">
        <v>48000</v>
      </c>
      <c r="N205" s="727">
        <f t="shared" si="14"/>
        <v>54000</v>
      </c>
      <c r="O205" s="727">
        <f t="shared" si="15"/>
        <v>48000</v>
      </c>
      <c r="P205" s="742">
        <f t="shared" si="16"/>
        <v>6000</v>
      </c>
    </row>
    <row r="206" spans="1:16" ht="29">
      <c r="A206" s="725" t="s">
        <v>1120</v>
      </c>
      <c r="B206" s="725"/>
      <c r="C206" s="726" t="s">
        <v>1628</v>
      </c>
      <c r="D206" s="726" t="str">
        <f t="shared" si="13"/>
        <v>1-01-02-04-005Advance to hikmat ali</v>
      </c>
      <c r="E206" s="422" t="s">
        <v>1051</v>
      </c>
      <c r="F206" s="412" t="s">
        <v>466</v>
      </c>
      <c r="G206" s="413" t="s">
        <v>1057</v>
      </c>
      <c r="H206" s="412" t="s">
        <v>1112</v>
      </c>
      <c r="I206" s="726" t="s">
        <v>974</v>
      </c>
      <c r="J206" s="727">
        <f>VLOOKUP(A206,'Trial Balance June 2025'!$A$7:$S$522,17,0)</f>
        <v>116000</v>
      </c>
      <c r="K206" s="727">
        <f>VLOOKUP(A206,'Trial Balance June 2025'!$A$8:$S$522,18,0)</f>
        <v>116000</v>
      </c>
      <c r="L206" s="727">
        <v>35000</v>
      </c>
      <c r="M206" s="727">
        <v>35000</v>
      </c>
      <c r="N206" s="727">
        <f t="shared" si="14"/>
        <v>151000</v>
      </c>
      <c r="O206" s="727">
        <f t="shared" si="15"/>
        <v>151000</v>
      </c>
      <c r="P206" s="742">
        <f t="shared" si="16"/>
        <v>0</v>
      </c>
    </row>
    <row r="207" spans="1:16" ht="29">
      <c r="A207" s="725" t="s">
        <v>1225</v>
      </c>
      <c r="B207" s="725"/>
      <c r="C207" s="726" t="s">
        <v>1629</v>
      </c>
      <c r="D207" s="726" t="str">
        <f t="shared" si="13"/>
        <v>1-01-02-05-001PREPAID INSURANCE</v>
      </c>
      <c r="E207" s="413" t="s">
        <v>1051</v>
      </c>
      <c r="F207" s="412" t="s">
        <v>466</v>
      </c>
      <c r="G207" s="412" t="s">
        <v>1057</v>
      </c>
      <c r="H207" s="412" t="s">
        <v>337</v>
      </c>
      <c r="I207" s="726" t="s">
        <v>974</v>
      </c>
      <c r="J207" s="727">
        <f>VLOOKUP(A207,'Trial Balance June 2025'!$A$7:$S$522,17,0)</f>
        <v>0</v>
      </c>
      <c r="K207" s="727">
        <f>VLOOKUP(A207,'Trial Balance June 2025'!$A$8:$S$522,18,0)</f>
        <v>0</v>
      </c>
      <c r="L207" s="727">
        <v>0</v>
      </c>
      <c r="M207" s="727">
        <v>0</v>
      </c>
      <c r="N207" s="727">
        <f t="shared" si="14"/>
        <v>0</v>
      </c>
      <c r="O207" s="727">
        <f t="shared" si="15"/>
        <v>0</v>
      </c>
      <c r="P207" s="742">
        <f t="shared" si="16"/>
        <v>0</v>
      </c>
    </row>
    <row r="208" spans="1:16" ht="29">
      <c r="A208" s="725" t="s">
        <v>776</v>
      </c>
      <c r="B208" s="725"/>
      <c r="C208" s="726" t="s">
        <v>1630</v>
      </c>
      <c r="D208" s="726" t="str">
        <f t="shared" si="13"/>
        <v>1-01-02-05-003PREPAYMENTS</v>
      </c>
      <c r="E208" s="413" t="s">
        <v>1051</v>
      </c>
      <c r="F208" s="412" t="s">
        <v>466</v>
      </c>
      <c r="G208" s="412" t="s">
        <v>1057</v>
      </c>
      <c r="H208" s="412" t="s">
        <v>337</v>
      </c>
      <c r="I208" s="726" t="s">
        <v>974</v>
      </c>
      <c r="J208" s="727">
        <f>VLOOKUP(A208,'Trial Balance June 2025'!$A$7:$S$522,17,0)</f>
        <v>9167</v>
      </c>
      <c r="K208" s="727">
        <f>VLOOKUP(A208,'Trial Balance June 2025'!$A$8:$S$522,18,0)</f>
        <v>9167</v>
      </c>
      <c r="L208" s="727">
        <v>0</v>
      </c>
      <c r="M208" s="727">
        <v>0</v>
      </c>
      <c r="N208" s="727">
        <f t="shared" si="14"/>
        <v>9167</v>
      </c>
      <c r="O208" s="727">
        <f t="shared" si="15"/>
        <v>9167</v>
      </c>
      <c r="P208" s="742">
        <f t="shared" si="16"/>
        <v>0</v>
      </c>
    </row>
    <row r="209" spans="1:16" ht="20">
      <c r="A209" s="725" t="s">
        <v>777</v>
      </c>
      <c r="B209" s="725"/>
      <c r="C209" s="726" t="s">
        <v>1631</v>
      </c>
      <c r="D209" s="726" t="str">
        <f t="shared" si="13"/>
        <v>1-02-02-01-001PLOT# ST.001, X-V, PILER CENTR</v>
      </c>
      <c r="E209" s="413" t="s">
        <v>1051</v>
      </c>
      <c r="F209" s="412" t="s">
        <v>637</v>
      </c>
      <c r="G209" s="412" t="s">
        <v>638</v>
      </c>
      <c r="H209" s="412" t="s">
        <v>1122</v>
      </c>
      <c r="I209" s="726" t="s">
        <v>974</v>
      </c>
      <c r="J209" s="727">
        <f>VLOOKUP(A209,'Trial Balance June 2025'!$A$7:$S$522,17,0)</f>
        <v>1721000</v>
      </c>
      <c r="K209" s="727">
        <f>VLOOKUP(A209,'Trial Balance June 2025'!$A$8:$S$522,18,0)</f>
        <v>0</v>
      </c>
      <c r="L209" s="727">
        <v>0</v>
      </c>
      <c r="M209" s="727">
        <v>0</v>
      </c>
      <c r="N209" s="727">
        <f t="shared" si="14"/>
        <v>1721000</v>
      </c>
      <c r="O209" s="727">
        <f t="shared" si="15"/>
        <v>0</v>
      </c>
      <c r="P209" s="742">
        <f t="shared" si="16"/>
        <v>1721000</v>
      </c>
    </row>
    <row r="210" spans="1:16" ht="20">
      <c r="A210" s="725" t="s">
        <v>778</v>
      </c>
      <c r="B210" s="725"/>
      <c r="C210" s="726" t="s">
        <v>1632</v>
      </c>
      <c r="D210" s="726" t="str">
        <f t="shared" si="13"/>
        <v>1-02-02-02-001BUILDING LEASE HOLD LAND</v>
      </c>
      <c r="E210" s="413" t="s">
        <v>1051</v>
      </c>
      <c r="F210" s="412" t="s">
        <v>637</v>
      </c>
      <c r="G210" s="412" t="s">
        <v>638</v>
      </c>
      <c r="H210" s="412" t="s">
        <v>1123</v>
      </c>
      <c r="I210" s="726" t="s">
        <v>974</v>
      </c>
      <c r="J210" s="727">
        <f>VLOOKUP(A210,'Trial Balance June 2025'!$A$7:$S$522,17,0)</f>
        <v>22763814</v>
      </c>
      <c r="K210" s="727">
        <f>VLOOKUP(A210,'Trial Balance June 2025'!$A$8:$S$522,18,0)</f>
        <v>0</v>
      </c>
      <c r="L210" s="727">
        <v>0</v>
      </c>
      <c r="M210" s="727">
        <v>0</v>
      </c>
      <c r="N210" s="727">
        <f t="shared" si="14"/>
        <v>22763814</v>
      </c>
      <c r="O210" s="727">
        <f t="shared" si="15"/>
        <v>0</v>
      </c>
      <c r="P210" s="742">
        <f t="shared" si="16"/>
        <v>22763814</v>
      </c>
    </row>
    <row r="211" spans="1:16" ht="20">
      <c r="A211" s="725" t="s">
        <v>779</v>
      </c>
      <c r="B211" s="725"/>
      <c r="C211" s="726" t="s">
        <v>1633</v>
      </c>
      <c r="D211" s="726" t="str">
        <f t="shared" si="13"/>
        <v>1-02-02-02-002ACCUMULATED DEPRECIATION BUILD</v>
      </c>
      <c r="E211" s="413" t="s">
        <v>1051</v>
      </c>
      <c r="F211" s="412" t="s">
        <v>637</v>
      </c>
      <c r="G211" s="412" t="s">
        <v>638</v>
      </c>
      <c r="H211" s="412" t="s">
        <v>1124</v>
      </c>
      <c r="I211" s="726" t="s">
        <v>974</v>
      </c>
      <c r="J211" s="727">
        <f>VLOOKUP(A211,'Trial Balance June 2025'!$A$7:$S$522,17,0)</f>
        <v>0</v>
      </c>
      <c r="K211" s="727">
        <f>VLOOKUP(A211,'Trial Balance June 2025'!$A$8:$S$522,18,0)</f>
        <v>10086624</v>
      </c>
      <c r="L211" s="727">
        <v>0</v>
      </c>
      <c r="M211" s="727">
        <v>455276</v>
      </c>
      <c r="N211" s="727">
        <f t="shared" si="14"/>
        <v>0</v>
      </c>
      <c r="O211" s="727">
        <f t="shared" si="15"/>
        <v>10541900</v>
      </c>
      <c r="P211" s="742">
        <f t="shared" si="16"/>
        <v>-10541900</v>
      </c>
    </row>
    <row r="212" spans="1:16">
      <c r="A212" s="725" t="s">
        <v>780</v>
      </c>
      <c r="B212" s="725"/>
      <c r="C212" s="726" t="s">
        <v>1634</v>
      </c>
      <c r="D212" s="726" t="str">
        <f t="shared" si="13"/>
        <v>1-02-02-03-001GENERATORS</v>
      </c>
      <c r="E212" s="413" t="s">
        <v>1051</v>
      </c>
      <c r="F212" s="412" t="s">
        <v>637</v>
      </c>
      <c r="G212" s="412" t="s">
        <v>638</v>
      </c>
      <c r="H212" s="412" t="s">
        <v>342</v>
      </c>
      <c r="I212" s="726" t="s">
        <v>974</v>
      </c>
      <c r="J212" s="727">
        <f>VLOOKUP(A212,'Trial Balance June 2025'!$A$7:$S$522,17,0)</f>
        <v>1244075</v>
      </c>
      <c r="K212" s="727">
        <f>VLOOKUP(A212,'Trial Balance June 2025'!$A$8:$S$522,18,0)</f>
        <v>0</v>
      </c>
      <c r="L212" s="727">
        <v>0</v>
      </c>
      <c r="M212" s="727">
        <v>0</v>
      </c>
      <c r="N212" s="727">
        <f t="shared" si="14"/>
        <v>1244075</v>
      </c>
      <c r="O212" s="727">
        <f t="shared" si="15"/>
        <v>0</v>
      </c>
      <c r="P212" s="742">
        <f t="shared" si="16"/>
        <v>1244075</v>
      </c>
    </row>
    <row r="213" spans="1:16" ht="20">
      <c r="A213" s="725" t="s">
        <v>781</v>
      </c>
      <c r="B213" s="725"/>
      <c r="C213" s="726" t="s">
        <v>1635</v>
      </c>
      <c r="D213" s="726" t="str">
        <f t="shared" si="13"/>
        <v>1-02-02-03-002ACCUMULATED DEPRECIATION GENER</v>
      </c>
      <c r="E213" s="413" t="s">
        <v>1051</v>
      </c>
      <c r="F213" s="412" t="s">
        <v>637</v>
      </c>
      <c r="G213" s="412" t="s">
        <v>638</v>
      </c>
      <c r="H213" s="412" t="s">
        <v>343</v>
      </c>
      <c r="I213" s="726" t="s">
        <v>974</v>
      </c>
      <c r="J213" s="727">
        <f>VLOOKUP(A213,'Trial Balance June 2025'!$A$7:$S$522,17,0)</f>
        <v>30249</v>
      </c>
      <c r="K213" s="727">
        <f>VLOOKUP(A213,'Trial Balance June 2025'!$A$8:$S$522,18,0)</f>
        <v>1255975</v>
      </c>
      <c r="L213" s="727">
        <v>0</v>
      </c>
      <c r="M213" s="727">
        <v>42323</v>
      </c>
      <c r="N213" s="727">
        <f t="shared" si="14"/>
        <v>30249</v>
      </c>
      <c r="O213" s="727">
        <f t="shared" si="15"/>
        <v>1298298</v>
      </c>
      <c r="P213" s="742">
        <f t="shared" si="16"/>
        <v>-1268049</v>
      </c>
    </row>
    <row r="214" spans="1:16" ht="20">
      <c r="A214" s="725" t="s">
        <v>782</v>
      </c>
      <c r="B214" s="725"/>
      <c r="C214" s="726" t="s">
        <v>1636</v>
      </c>
      <c r="D214" s="726" t="str">
        <f t="shared" si="13"/>
        <v>1-02-02-04-001ELECTRICAL INSTALLATIONS</v>
      </c>
      <c r="E214" s="413" t="s">
        <v>1051</v>
      </c>
      <c r="F214" s="412" t="s">
        <v>637</v>
      </c>
      <c r="G214" s="413" t="s">
        <v>638</v>
      </c>
      <c r="H214" s="412" t="s">
        <v>524</v>
      </c>
      <c r="I214" s="726" t="s">
        <v>974</v>
      </c>
      <c r="J214" s="727">
        <f>VLOOKUP(A214,'Trial Balance June 2025'!$A$7:$S$522,17,0)</f>
        <v>4970458</v>
      </c>
      <c r="K214" s="727">
        <f>VLOOKUP(A214,'Trial Balance June 2025'!$A$8:$S$522,18,0)</f>
        <v>0</v>
      </c>
      <c r="L214" s="727">
        <v>0</v>
      </c>
      <c r="M214" s="727">
        <v>0</v>
      </c>
      <c r="N214" s="727">
        <f t="shared" si="14"/>
        <v>4970458</v>
      </c>
      <c r="O214" s="727">
        <f t="shared" si="15"/>
        <v>0</v>
      </c>
      <c r="P214" s="742">
        <f t="shared" si="16"/>
        <v>4970458</v>
      </c>
    </row>
    <row r="215" spans="1:16" ht="20">
      <c r="A215" s="725" t="s">
        <v>783</v>
      </c>
      <c r="B215" s="725"/>
      <c r="C215" s="726" t="s">
        <v>1637</v>
      </c>
      <c r="D215" s="726" t="str">
        <f t="shared" si="13"/>
        <v>1-02-02-04-002ACCUMULATED DEPRECIATION ELECT</v>
      </c>
      <c r="E215" s="413" t="s">
        <v>1051</v>
      </c>
      <c r="F215" s="412" t="s">
        <v>637</v>
      </c>
      <c r="G215" s="413" t="s">
        <v>638</v>
      </c>
      <c r="H215" s="412" t="s">
        <v>1125</v>
      </c>
      <c r="I215" s="726" t="s">
        <v>974</v>
      </c>
      <c r="J215" s="727">
        <f>VLOOKUP(A215,'Trial Balance June 2025'!$A$7:$S$522,17,0)</f>
        <v>68126</v>
      </c>
      <c r="K215" s="727">
        <f>VLOOKUP(A215,'Trial Balance June 2025'!$A$8:$S$522,18,0)</f>
        <v>4204569</v>
      </c>
      <c r="L215" s="727">
        <v>0</v>
      </c>
      <c r="M215" s="727">
        <v>358157</v>
      </c>
      <c r="N215" s="727">
        <f t="shared" si="14"/>
        <v>68126</v>
      </c>
      <c r="O215" s="727">
        <f t="shared" si="15"/>
        <v>4562726</v>
      </c>
      <c r="P215" s="742">
        <f t="shared" si="16"/>
        <v>-4494600</v>
      </c>
    </row>
    <row r="216" spans="1:16">
      <c r="A216" s="725" t="s">
        <v>784</v>
      </c>
      <c r="B216" s="725"/>
      <c r="C216" s="726" t="s">
        <v>1638</v>
      </c>
      <c r="D216" s="726" t="str">
        <f t="shared" si="13"/>
        <v>1-02-02-05-001OFFICE EQUIPMENTS</v>
      </c>
      <c r="E216" s="413" t="s">
        <v>1051</v>
      </c>
      <c r="F216" s="412" t="s">
        <v>637</v>
      </c>
      <c r="G216" s="413" t="s">
        <v>638</v>
      </c>
      <c r="H216" s="412" t="s">
        <v>525</v>
      </c>
      <c r="I216" s="726" t="s">
        <v>974</v>
      </c>
      <c r="J216" s="727">
        <f>VLOOKUP(A216,'Trial Balance June 2025'!$A$7:$S$522,17,0)</f>
        <v>911914</v>
      </c>
      <c r="K216" s="727">
        <f>VLOOKUP(A216,'Trial Balance June 2025'!$A$8:$S$522,18,0)</f>
        <v>0</v>
      </c>
      <c r="L216" s="727">
        <v>0</v>
      </c>
      <c r="M216" s="727">
        <v>0</v>
      </c>
      <c r="N216" s="727">
        <f t="shared" si="14"/>
        <v>911914</v>
      </c>
      <c r="O216" s="727">
        <f t="shared" si="15"/>
        <v>0</v>
      </c>
      <c r="P216" s="742">
        <f t="shared" si="16"/>
        <v>911914</v>
      </c>
    </row>
    <row r="217" spans="1:16" ht="20">
      <c r="A217" s="725" t="s">
        <v>785</v>
      </c>
      <c r="B217" s="725"/>
      <c r="C217" s="726" t="s">
        <v>1639</v>
      </c>
      <c r="D217" s="726" t="str">
        <f t="shared" si="13"/>
        <v>1-02-02-05-002ACCUMULATED DEPRECIATION OTHER</v>
      </c>
      <c r="E217" s="413" t="s">
        <v>1051</v>
      </c>
      <c r="F217" s="412" t="s">
        <v>637</v>
      </c>
      <c r="G217" s="413" t="s">
        <v>638</v>
      </c>
      <c r="H217" s="412" t="s">
        <v>1126</v>
      </c>
      <c r="I217" s="726" t="s">
        <v>974</v>
      </c>
      <c r="J217" s="727">
        <f>VLOOKUP(A217,'Trial Balance June 2025'!$A$7:$S$522,17,0)</f>
        <v>77185</v>
      </c>
      <c r="K217" s="727">
        <f>VLOOKUP(A217,'Trial Balance June 2025'!$A$8:$S$522,18,0)</f>
        <v>965663</v>
      </c>
      <c r="L217" s="727">
        <v>0</v>
      </c>
      <c r="M217" s="727">
        <v>892</v>
      </c>
      <c r="N217" s="727">
        <f t="shared" si="14"/>
        <v>77185</v>
      </c>
      <c r="O217" s="727">
        <f t="shared" si="15"/>
        <v>966555</v>
      </c>
      <c r="P217" s="742">
        <f t="shared" si="16"/>
        <v>-889370</v>
      </c>
    </row>
    <row r="218" spans="1:16">
      <c r="A218" s="725" t="s">
        <v>786</v>
      </c>
      <c r="B218" s="725"/>
      <c r="C218" s="726" t="s">
        <v>1640</v>
      </c>
      <c r="D218" s="726" t="str">
        <f t="shared" si="13"/>
        <v>1-02-02-06-001FURNITURE &amp; FIXTURES</v>
      </c>
      <c r="E218" s="413" t="s">
        <v>1051</v>
      </c>
      <c r="F218" s="412" t="s">
        <v>637</v>
      </c>
      <c r="G218" s="413" t="s">
        <v>638</v>
      </c>
      <c r="H218" s="412" t="s">
        <v>1128</v>
      </c>
      <c r="I218" s="726" t="s">
        <v>974</v>
      </c>
      <c r="J218" s="727">
        <f>VLOOKUP(A218,'Trial Balance June 2025'!$A$7:$S$522,17,0)</f>
        <v>170000</v>
      </c>
      <c r="K218" s="727">
        <f>VLOOKUP(A218,'Trial Balance June 2025'!$A$8:$S$522,18,0)</f>
        <v>170000</v>
      </c>
      <c r="L218" s="727">
        <v>0</v>
      </c>
      <c r="M218" s="727">
        <v>0</v>
      </c>
      <c r="N218" s="727">
        <f t="shared" si="14"/>
        <v>170000</v>
      </c>
      <c r="O218" s="727">
        <f t="shared" si="15"/>
        <v>170000</v>
      </c>
      <c r="P218" s="742">
        <f t="shared" si="16"/>
        <v>0</v>
      </c>
    </row>
    <row r="219" spans="1:16" ht="20">
      <c r="A219" s="725" t="s">
        <v>787</v>
      </c>
      <c r="B219" s="725"/>
      <c r="C219" s="726" t="s">
        <v>1641</v>
      </c>
      <c r="D219" s="726" t="str">
        <f t="shared" si="13"/>
        <v>1-02-02-06-002ACCUMULATED DEPRECIATION F &amp; F</v>
      </c>
      <c r="E219" s="413" t="s">
        <v>1051</v>
      </c>
      <c r="F219" s="412" t="s">
        <v>637</v>
      </c>
      <c r="G219" s="412" t="s">
        <v>638</v>
      </c>
      <c r="H219" s="412" t="s">
        <v>1129</v>
      </c>
      <c r="I219" s="726" t="s">
        <v>974</v>
      </c>
      <c r="J219" s="727">
        <f>VLOOKUP(A219,'Trial Balance June 2025'!$A$7:$S$522,17,0)</f>
        <v>45012</v>
      </c>
      <c r="K219" s="727">
        <f>VLOOKUP(A219,'Trial Balance June 2025'!$A$8:$S$522,18,0)</f>
        <v>892293</v>
      </c>
      <c r="L219" s="727">
        <v>0</v>
      </c>
      <c r="M219" s="727">
        <v>1093</v>
      </c>
      <c r="N219" s="727">
        <f t="shared" si="14"/>
        <v>45012</v>
      </c>
      <c r="O219" s="727">
        <f t="shared" si="15"/>
        <v>893386</v>
      </c>
      <c r="P219" s="742">
        <f t="shared" si="16"/>
        <v>-848374</v>
      </c>
    </row>
    <row r="220" spans="1:16">
      <c r="A220" s="725" t="s">
        <v>788</v>
      </c>
      <c r="B220" s="725"/>
      <c r="C220" s="726" t="s">
        <v>1642</v>
      </c>
      <c r="D220" s="726" t="str">
        <f t="shared" si="13"/>
        <v>1-02-02-07-001COMPUTER &amp; LAPTOPS</v>
      </c>
      <c r="E220" s="413" t="s">
        <v>1051</v>
      </c>
      <c r="F220" s="412" t="s">
        <v>637</v>
      </c>
      <c r="G220" s="412" t="s">
        <v>638</v>
      </c>
      <c r="H220" s="412" t="s">
        <v>1130</v>
      </c>
      <c r="I220" s="726" t="s">
        <v>974</v>
      </c>
      <c r="J220" s="727">
        <f>VLOOKUP(A220,'Trial Balance June 2025'!$A$7:$S$522,17,0)</f>
        <v>2903533</v>
      </c>
      <c r="K220" s="727">
        <f>VLOOKUP(A220,'Trial Balance June 2025'!$A$8:$S$522,18,0)</f>
        <v>0</v>
      </c>
      <c r="L220" s="727">
        <v>3000</v>
      </c>
      <c r="M220" s="727">
        <v>0</v>
      </c>
      <c r="N220" s="727">
        <f t="shared" si="14"/>
        <v>2906533</v>
      </c>
      <c r="O220" s="727">
        <f t="shared" si="15"/>
        <v>0</v>
      </c>
      <c r="P220" s="742">
        <f t="shared" si="16"/>
        <v>2906533</v>
      </c>
    </row>
    <row r="221" spans="1:16" ht="20">
      <c r="A221" s="725" t="s">
        <v>789</v>
      </c>
      <c r="B221" s="725"/>
      <c r="C221" s="726" t="s">
        <v>1643</v>
      </c>
      <c r="D221" s="726" t="str">
        <f t="shared" si="13"/>
        <v>1-02-02-07-002ACCUMULATED DEPRECIATION COMPU</v>
      </c>
      <c r="E221" s="413" t="s">
        <v>1051</v>
      </c>
      <c r="F221" s="412" t="s">
        <v>637</v>
      </c>
      <c r="G221" s="413" t="s">
        <v>638</v>
      </c>
      <c r="H221" s="412" t="s">
        <v>1131</v>
      </c>
      <c r="I221" s="726" t="s">
        <v>974</v>
      </c>
      <c r="J221" s="727">
        <f>VLOOKUP(A221,'Trial Balance June 2025'!$A$7:$S$522,17,0)</f>
        <v>5854</v>
      </c>
      <c r="K221" s="727">
        <f>VLOOKUP(A221,'Trial Balance June 2025'!$A$8:$S$522,18,0)</f>
        <v>2909388</v>
      </c>
      <c r="L221" s="727">
        <v>0</v>
      </c>
      <c r="M221" s="727">
        <v>0</v>
      </c>
      <c r="N221" s="727">
        <f t="shared" si="14"/>
        <v>5854</v>
      </c>
      <c r="O221" s="727">
        <f t="shared" si="15"/>
        <v>2909388</v>
      </c>
      <c r="P221" s="742">
        <f t="shared" si="16"/>
        <v>-2903534</v>
      </c>
    </row>
    <row r="222" spans="1:16" ht="15" thickBot="1">
      <c r="A222" s="725" t="s">
        <v>790</v>
      </c>
      <c r="B222" s="725"/>
      <c r="C222" s="726" t="s">
        <v>1644</v>
      </c>
      <c r="D222" s="726" t="str">
        <f t="shared" si="13"/>
        <v>1-02-02-07-003COMPUTER SOFTWARE</v>
      </c>
      <c r="E222" s="413" t="s">
        <v>1051</v>
      </c>
      <c r="F222" s="412" t="s">
        <v>637</v>
      </c>
      <c r="G222" s="413" t="s">
        <v>639</v>
      </c>
      <c r="H222" s="412" t="s">
        <v>352</v>
      </c>
      <c r="I222" s="726" t="s">
        <v>974</v>
      </c>
      <c r="J222" s="727">
        <f>VLOOKUP(A222,'Trial Balance June 2025'!$A$7:$S$522,17,0)</f>
        <v>886711</v>
      </c>
      <c r="K222" s="727">
        <f>VLOOKUP(A222,'Trial Balance June 2025'!$A$8:$S$522,18,0)</f>
        <v>429522</v>
      </c>
      <c r="L222" s="727">
        <v>0</v>
      </c>
      <c r="M222" s="727">
        <v>0</v>
      </c>
      <c r="N222" s="727">
        <f t="shared" si="14"/>
        <v>886711</v>
      </c>
      <c r="O222" s="727">
        <f t="shared" si="15"/>
        <v>429522</v>
      </c>
      <c r="P222" s="742">
        <f t="shared" si="16"/>
        <v>457189</v>
      </c>
    </row>
    <row r="223" spans="1:16" ht="20.5" thickBot="1">
      <c r="A223" s="725" t="s">
        <v>791</v>
      </c>
      <c r="B223" s="725"/>
      <c r="C223" s="726" t="s">
        <v>1645</v>
      </c>
      <c r="D223" s="726" t="str">
        <f t="shared" si="13"/>
        <v>1-02-02-07-004AMMORTIZATION OF SOFTWARE LICS</v>
      </c>
      <c r="E223" s="422" t="s">
        <v>1051</v>
      </c>
      <c r="F223" s="412" t="s">
        <v>637</v>
      </c>
      <c r="G223" s="413" t="s">
        <v>639</v>
      </c>
      <c r="H223" s="412" t="s">
        <v>1133</v>
      </c>
      <c r="I223" s="726" t="s">
        <v>974</v>
      </c>
      <c r="J223" s="727">
        <f>VLOOKUP(A223,'Trial Balance June 2025'!$A$7:$S$522,17,0)</f>
        <v>122813</v>
      </c>
      <c r="K223" s="727">
        <f>VLOOKUP(A223,'Trial Balance June 2025'!$A$8:$S$522,18,0)</f>
        <v>574186.66666666674</v>
      </c>
      <c r="L223" s="727">
        <v>0</v>
      </c>
      <c r="M223" s="727">
        <v>76888</v>
      </c>
      <c r="N223" s="727">
        <f t="shared" si="14"/>
        <v>122813</v>
      </c>
      <c r="O223" s="727">
        <f t="shared" si="15"/>
        <v>651074.66666666674</v>
      </c>
      <c r="P223" s="742">
        <f t="shared" si="16"/>
        <v>-528261.66666666674</v>
      </c>
    </row>
    <row r="224" spans="1:16" ht="20.5" thickBot="1">
      <c r="A224" s="725" t="s">
        <v>791</v>
      </c>
      <c r="B224" s="725"/>
      <c r="C224" s="726" t="s">
        <v>1645</v>
      </c>
      <c r="D224" s="726" t="str">
        <f t="shared" si="13"/>
        <v>1-02-02-07-004AMMORTIZATION OF SOFTWARE LICS</v>
      </c>
      <c r="E224" s="422" t="s">
        <v>1051</v>
      </c>
      <c r="F224" s="412" t="s">
        <v>637</v>
      </c>
      <c r="G224" s="413" t="s">
        <v>639</v>
      </c>
      <c r="H224" s="412" t="s">
        <v>1133</v>
      </c>
      <c r="I224" s="726" t="s">
        <v>1019</v>
      </c>
      <c r="J224" s="727">
        <f>VLOOKUP(A224,'Trial Balance June 2025'!$A$7:$S$522,17,0)</f>
        <v>122813</v>
      </c>
      <c r="K224" s="727">
        <f>VLOOKUP(A224,'Trial Balance June 2025'!$A$8:$S$522,18,0)</f>
        <v>574186.66666666674</v>
      </c>
      <c r="L224" s="727">
        <v>0</v>
      </c>
      <c r="M224" s="727">
        <v>0</v>
      </c>
      <c r="N224" s="727">
        <f t="shared" si="14"/>
        <v>122813</v>
      </c>
      <c r="O224" s="727">
        <f t="shared" si="15"/>
        <v>574186.66666666674</v>
      </c>
      <c r="P224" s="742">
        <f t="shared" si="16"/>
        <v>-451373.66666666674</v>
      </c>
    </row>
    <row r="225" spans="1:16" ht="15" thickBot="1">
      <c r="A225" s="725" t="s">
        <v>792</v>
      </c>
      <c r="B225" s="725"/>
      <c r="C225" s="726" t="s">
        <v>1646</v>
      </c>
      <c r="D225" s="726" t="str">
        <f t="shared" si="13"/>
        <v>1-02-02-08-001MOTOR VEHICLES</v>
      </c>
      <c r="E225" s="422" t="s">
        <v>1051</v>
      </c>
      <c r="F225" s="412" t="s">
        <v>637</v>
      </c>
      <c r="G225" s="413" t="s">
        <v>638</v>
      </c>
      <c r="H225" s="412" t="s">
        <v>354</v>
      </c>
      <c r="I225" s="726" t="s">
        <v>974</v>
      </c>
      <c r="J225" s="727">
        <f>VLOOKUP(A225,'Trial Balance June 2025'!$A$7:$S$522,17,0)</f>
        <v>2534605</v>
      </c>
      <c r="K225" s="727">
        <f>VLOOKUP(A225,'Trial Balance June 2025'!$A$8:$S$522,18,0)</f>
        <v>1426000</v>
      </c>
      <c r="L225" s="727">
        <v>0</v>
      </c>
      <c r="M225" s="727">
        <v>0</v>
      </c>
      <c r="N225" s="727">
        <f t="shared" si="14"/>
        <v>2534605</v>
      </c>
      <c r="O225" s="727">
        <f t="shared" si="15"/>
        <v>1426000</v>
      </c>
      <c r="P225" s="742">
        <f t="shared" si="16"/>
        <v>1108605</v>
      </c>
    </row>
    <row r="226" spans="1:16" ht="20.5" thickBot="1">
      <c r="A226" s="725" t="s">
        <v>793</v>
      </c>
      <c r="B226" s="725"/>
      <c r="C226" s="726" t="s">
        <v>1647</v>
      </c>
      <c r="D226" s="726" t="str">
        <f t="shared" si="13"/>
        <v>1-02-02-08-002ACCUMULTED DEPRECIATION MOTORS</v>
      </c>
      <c r="E226" s="422" t="s">
        <v>1051</v>
      </c>
      <c r="F226" s="412" t="s">
        <v>637</v>
      </c>
      <c r="G226" s="413" t="s">
        <v>638</v>
      </c>
      <c r="H226" s="412" t="s">
        <v>355</v>
      </c>
      <c r="I226" s="726" t="s">
        <v>974</v>
      </c>
      <c r="J226" s="727">
        <f>VLOOKUP(A226,'Trial Balance June 2025'!$A$7:$S$522,17,0)</f>
        <v>1384994</v>
      </c>
      <c r="K226" s="727">
        <f>VLOOKUP(A226,'Trial Balance June 2025'!$A$8:$S$522,18,0)</f>
        <v>2493599</v>
      </c>
      <c r="L226" s="727">
        <v>0</v>
      </c>
      <c r="M226" s="727">
        <v>0</v>
      </c>
      <c r="N226" s="727">
        <f t="shared" si="14"/>
        <v>1384994</v>
      </c>
      <c r="O226" s="727">
        <f t="shared" si="15"/>
        <v>2493599</v>
      </c>
      <c r="P226" s="742">
        <f t="shared" si="16"/>
        <v>-1108605</v>
      </c>
    </row>
    <row r="227" spans="1:16" ht="15" thickBot="1">
      <c r="A227" s="725" t="s">
        <v>794</v>
      </c>
      <c r="B227" s="725"/>
      <c r="C227" s="726" t="s">
        <v>1648</v>
      </c>
      <c r="D227" s="726" t="str">
        <f t="shared" si="13"/>
        <v>1-02-02-09-001BOOKS</v>
      </c>
      <c r="E227" s="422" t="s">
        <v>1051</v>
      </c>
      <c r="F227" s="412" t="s">
        <v>637</v>
      </c>
      <c r="G227" s="413" t="s">
        <v>638</v>
      </c>
      <c r="H227" s="412" t="s">
        <v>356</v>
      </c>
      <c r="I227" s="726" t="s">
        <v>974</v>
      </c>
      <c r="J227" s="727">
        <f>VLOOKUP(A227,'Trial Balance June 2025'!$A$7:$S$522,17,0)</f>
        <v>308439</v>
      </c>
      <c r="K227" s="727">
        <f>VLOOKUP(A227,'Trial Balance June 2025'!$A$8:$S$522,18,0)</f>
        <v>0</v>
      </c>
      <c r="L227" s="727">
        <v>0</v>
      </c>
      <c r="M227" s="727">
        <v>0</v>
      </c>
      <c r="N227" s="727">
        <f t="shared" si="14"/>
        <v>308439</v>
      </c>
      <c r="O227" s="727">
        <f t="shared" si="15"/>
        <v>0</v>
      </c>
      <c r="P227" s="742">
        <f t="shared" si="16"/>
        <v>308439</v>
      </c>
    </row>
    <row r="228" spans="1:16" ht="20">
      <c r="A228" s="725" t="s">
        <v>795</v>
      </c>
      <c r="B228" s="725"/>
      <c r="C228" s="726" t="s">
        <v>1649</v>
      </c>
      <c r="D228" s="726" t="str">
        <f t="shared" si="13"/>
        <v>1-02-02-09-002ACCUMULTED DEPRECIATION BOOKS</v>
      </c>
      <c r="E228" s="422" t="s">
        <v>1051</v>
      </c>
      <c r="F228" s="412" t="s">
        <v>637</v>
      </c>
      <c r="G228" s="413" t="s">
        <v>638</v>
      </c>
      <c r="H228" s="412" t="s">
        <v>357</v>
      </c>
      <c r="I228" s="726" t="s">
        <v>974</v>
      </c>
      <c r="J228" s="727">
        <f>VLOOKUP(A228,'Trial Balance June 2025'!$A$7:$S$522,17,0)</f>
        <v>0</v>
      </c>
      <c r="K228" s="727">
        <f>VLOOKUP(A228,'Trial Balance June 2025'!$A$8:$S$522,18,0)</f>
        <v>308439</v>
      </c>
      <c r="L228" s="727">
        <v>0</v>
      </c>
      <c r="M228" s="727">
        <v>0</v>
      </c>
      <c r="N228" s="727">
        <f t="shared" si="14"/>
        <v>0</v>
      </c>
      <c r="O228" s="727">
        <f t="shared" si="15"/>
        <v>308439</v>
      </c>
      <c r="P228" s="742">
        <f t="shared" si="16"/>
        <v>-308439</v>
      </c>
    </row>
    <row r="229" spans="1:16" ht="29">
      <c r="A229" s="725" t="s">
        <v>796</v>
      </c>
      <c r="B229" s="725"/>
      <c r="C229" s="726" t="s">
        <v>1650</v>
      </c>
      <c r="D229" s="726" t="str">
        <f t="shared" si="13"/>
        <v>2-01-01-01-010AUDIT FEE PAYABLE</v>
      </c>
      <c r="E229" s="413" t="s">
        <v>1051</v>
      </c>
      <c r="F229" s="412" t="s">
        <v>473</v>
      </c>
      <c r="G229" s="412" t="s">
        <v>1134</v>
      </c>
      <c r="H229" s="412" t="s">
        <v>1135</v>
      </c>
      <c r="I229" s="726" t="s">
        <v>974</v>
      </c>
      <c r="J229" s="727">
        <f>VLOOKUP(A229,'Trial Balance June 2025'!$A$7:$S$522,17,0)</f>
        <v>2565440</v>
      </c>
      <c r="K229" s="727">
        <f>VLOOKUP(A229,'Trial Balance June 2025'!$A$8:$S$522,18,0)</f>
        <v>3257362</v>
      </c>
      <c r="L229" s="727">
        <v>432000</v>
      </c>
      <c r="M229" s="727">
        <v>0</v>
      </c>
      <c r="N229" s="727">
        <f t="shared" si="14"/>
        <v>2997440</v>
      </c>
      <c r="O229" s="727">
        <f t="shared" si="15"/>
        <v>3257362</v>
      </c>
      <c r="P229" s="742">
        <f t="shared" si="16"/>
        <v>-259922</v>
      </c>
    </row>
    <row r="230" spans="1:16" ht="29">
      <c r="A230" s="725" t="s">
        <v>797</v>
      </c>
      <c r="B230" s="725"/>
      <c r="C230" s="726" t="s">
        <v>2114</v>
      </c>
      <c r="D230" s="726" t="str">
        <f t="shared" si="13"/>
        <v>2-01-01-01-023PAYABLE TO SOLIDARITY</v>
      </c>
      <c r="E230" s="413" t="s">
        <v>1051</v>
      </c>
      <c r="F230" s="412" t="s">
        <v>473</v>
      </c>
      <c r="G230" s="413" t="s">
        <v>1134</v>
      </c>
      <c r="H230" s="412" t="s">
        <v>1137</v>
      </c>
      <c r="I230" s="726" t="s">
        <v>974</v>
      </c>
      <c r="J230" s="727">
        <f>VLOOKUP(A230,'Trial Balance June 2025'!$A$7:$S$522,17,0)</f>
        <v>0</v>
      </c>
      <c r="K230" s="727">
        <f>VLOOKUP(A230,'Trial Balance June 2025'!$A$8:$S$522,18,0)</f>
        <v>368297</v>
      </c>
      <c r="L230" s="727">
        <v>0</v>
      </c>
      <c r="M230" s="727">
        <v>0</v>
      </c>
      <c r="N230" s="727">
        <f t="shared" si="14"/>
        <v>0</v>
      </c>
      <c r="O230" s="727">
        <f t="shared" si="15"/>
        <v>368297</v>
      </c>
      <c r="P230" s="742">
        <f t="shared" si="16"/>
        <v>-368297</v>
      </c>
    </row>
    <row r="231" spans="1:16" ht="29">
      <c r="A231" s="725" t="s">
        <v>798</v>
      </c>
      <c r="B231" s="725"/>
      <c r="C231" s="726" t="s">
        <v>1651</v>
      </c>
      <c r="D231" s="726" t="str">
        <f t="shared" si="13"/>
        <v>2-01-01-01-025PAYABLE TO HAMZA GABOOL</v>
      </c>
      <c r="E231" s="413" t="s">
        <v>1051</v>
      </c>
      <c r="F231" s="412" t="s">
        <v>473</v>
      </c>
      <c r="G231" s="413" t="s">
        <v>1134</v>
      </c>
      <c r="H231" s="412" t="s">
        <v>1137</v>
      </c>
      <c r="I231" s="726" t="s">
        <v>974</v>
      </c>
      <c r="J231" s="727">
        <f>VLOOKUP(A231,'Trial Balance June 2025'!$A$7:$S$522,17,0)</f>
        <v>0</v>
      </c>
      <c r="K231" s="727">
        <f>VLOOKUP(A231,'Trial Balance June 2025'!$A$8:$S$522,18,0)</f>
        <v>177</v>
      </c>
      <c r="L231" s="727">
        <v>0</v>
      </c>
      <c r="M231" s="727">
        <v>0</v>
      </c>
      <c r="N231" s="727">
        <f t="shared" si="14"/>
        <v>0</v>
      </c>
      <c r="O231" s="727">
        <f t="shared" si="15"/>
        <v>177</v>
      </c>
      <c r="P231" s="742">
        <f t="shared" si="16"/>
        <v>-177</v>
      </c>
    </row>
    <row r="232" spans="1:16" ht="29">
      <c r="A232" s="725" t="s">
        <v>799</v>
      </c>
      <c r="B232" s="725"/>
      <c r="C232" s="726" t="s">
        <v>2115</v>
      </c>
      <c r="D232" s="726" t="str">
        <f t="shared" si="13"/>
        <v>2-01-01-01-026PAYABLE TO IDRC</v>
      </c>
      <c r="E232" s="413" t="s">
        <v>1051</v>
      </c>
      <c r="F232" s="412" t="s">
        <v>473</v>
      </c>
      <c r="G232" s="413" t="s">
        <v>1134</v>
      </c>
      <c r="H232" s="412" t="s">
        <v>1137</v>
      </c>
      <c r="I232" s="726" t="s">
        <v>974</v>
      </c>
      <c r="J232" s="727">
        <f>VLOOKUP(A232,'Trial Balance June 2025'!$A$7:$S$522,17,0)</f>
        <v>0</v>
      </c>
      <c r="K232" s="727">
        <f>VLOOKUP(A232,'Trial Balance June 2025'!$A$8:$S$522,18,0)</f>
        <v>251835</v>
      </c>
      <c r="L232" s="727">
        <v>0</v>
      </c>
      <c r="M232" s="727">
        <v>0</v>
      </c>
      <c r="N232" s="727">
        <f t="shared" si="14"/>
        <v>0</v>
      </c>
      <c r="O232" s="727">
        <f t="shared" si="15"/>
        <v>251835</v>
      </c>
      <c r="P232" s="742">
        <f t="shared" si="16"/>
        <v>-251835</v>
      </c>
    </row>
    <row r="233" spans="1:16" ht="29">
      <c r="A233" s="725" t="s">
        <v>799</v>
      </c>
      <c r="B233" s="725"/>
      <c r="C233" s="726" t="s">
        <v>2115</v>
      </c>
      <c r="D233" s="726" t="str">
        <f t="shared" si="13"/>
        <v>2-01-01-01-026PAYABLE TO IDRC</v>
      </c>
      <c r="E233" s="413" t="s">
        <v>1051</v>
      </c>
      <c r="F233" s="412" t="s">
        <v>473</v>
      </c>
      <c r="G233" s="413" t="s">
        <v>1134</v>
      </c>
      <c r="H233" s="412" t="s">
        <v>1137</v>
      </c>
      <c r="I233" s="726" t="s">
        <v>1722</v>
      </c>
      <c r="J233" s="727">
        <f>VLOOKUP(A233,'Trial Balance June 2025'!$A$7:$S$522,17,0)</f>
        <v>0</v>
      </c>
      <c r="K233" s="727">
        <f>VLOOKUP(A233,'Trial Balance June 2025'!$A$8:$S$522,18,0)</f>
        <v>251835</v>
      </c>
      <c r="L233" s="727">
        <v>0</v>
      </c>
      <c r="M233" s="727">
        <v>0</v>
      </c>
      <c r="N233" s="727">
        <f t="shared" si="14"/>
        <v>0</v>
      </c>
      <c r="O233" s="727">
        <f t="shared" si="15"/>
        <v>251835</v>
      </c>
      <c r="P233" s="742">
        <f t="shared" si="16"/>
        <v>-251835</v>
      </c>
    </row>
    <row r="234" spans="1:16" ht="29">
      <c r="A234" s="725" t="s">
        <v>800</v>
      </c>
      <c r="B234" s="725"/>
      <c r="C234" s="726" t="s">
        <v>1652</v>
      </c>
      <c r="D234" s="726" t="str">
        <f t="shared" si="13"/>
        <v>2-01-01-01-030PAYABLE TO SHUJAUDDIN</v>
      </c>
      <c r="E234" s="413" t="s">
        <v>1051</v>
      </c>
      <c r="F234" s="412" t="s">
        <v>473</v>
      </c>
      <c r="G234" s="413" t="s">
        <v>1134</v>
      </c>
      <c r="H234" s="412" t="s">
        <v>1137</v>
      </c>
      <c r="I234" s="726" t="s">
        <v>1013</v>
      </c>
      <c r="J234" s="727">
        <f>VLOOKUP(A234,'Trial Balance June 2025'!$A$7:$S$522,17,0)</f>
        <v>0</v>
      </c>
      <c r="K234" s="727">
        <f>VLOOKUP(A234,'Trial Balance June 2025'!$A$8:$S$522,18,0)</f>
        <v>50</v>
      </c>
      <c r="L234" s="727">
        <v>0</v>
      </c>
      <c r="M234" s="727">
        <v>0</v>
      </c>
      <c r="N234" s="727">
        <f t="shared" si="14"/>
        <v>0</v>
      </c>
      <c r="O234" s="727">
        <f t="shared" si="15"/>
        <v>50</v>
      </c>
      <c r="P234" s="742">
        <f t="shared" si="16"/>
        <v>-50</v>
      </c>
    </row>
    <row r="235" spans="1:16" ht="29">
      <c r="A235" s="725" t="s">
        <v>800</v>
      </c>
      <c r="B235" s="725"/>
      <c r="C235" s="726" t="s">
        <v>1652</v>
      </c>
      <c r="D235" s="726" t="str">
        <f t="shared" si="13"/>
        <v>2-01-01-01-030PAYABLE TO SHUJAUDDIN</v>
      </c>
      <c r="E235" s="413" t="s">
        <v>1051</v>
      </c>
      <c r="F235" s="412" t="s">
        <v>473</v>
      </c>
      <c r="G235" s="413" t="s">
        <v>1134</v>
      </c>
      <c r="H235" s="412" t="s">
        <v>1137</v>
      </c>
      <c r="I235" s="726" t="s">
        <v>2072</v>
      </c>
      <c r="J235" s="727">
        <f>VLOOKUP(A235,'Trial Balance June 2025'!$A$7:$S$522,17,0)</f>
        <v>0</v>
      </c>
      <c r="K235" s="727">
        <f>VLOOKUP(A235,'Trial Balance June 2025'!$A$8:$S$522,18,0)</f>
        <v>50</v>
      </c>
      <c r="L235" s="727">
        <v>0</v>
      </c>
      <c r="M235" s="727">
        <v>0</v>
      </c>
      <c r="N235" s="727">
        <f t="shared" si="14"/>
        <v>0</v>
      </c>
      <c r="O235" s="727">
        <f t="shared" si="15"/>
        <v>50</v>
      </c>
      <c r="P235" s="742">
        <f t="shared" si="16"/>
        <v>-50</v>
      </c>
    </row>
    <row r="236" spans="1:16" ht="29">
      <c r="A236" s="725" t="s">
        <v>801</v>
      </c>
      <c r="B236" s="725"/>
      <c r="C236" s="726" t="s">
        <v>1653</v>
      </c>
      <c r="D236" s="726" t="str">
        <f t="shared" si="13"/>
        <v>2-01-01-01-031NEPAL EARTHQUAKE</v>
      </c>
      <c r="E236" s="413" t="s">
        <v>1051</v>
      </c>
      <c r="F236" s="412" t="s">
        <v>473</v>
      </c>
      <c r="G236" s="413" t="s">
        <v>1134</v>
      </c>
      <c r="H236" s="412" t="s">
        <v>1137</v>
      </c>
      <c r="I236" s="726" t="s">
        <v>974</v>
      </c>
      <c r="J236" s="727">
        <f>VLOOKUP(A236,'Trial Balance June 2025'!$A$7:$S$522,17,0)</f>
        <v>0</v>
      </c>
      <c r="K236" s="727">
        <f>VLOOKUP(A236,'Trial Balance June 2025'!$A$8:$S$522,18,0)</f>
        <v>75698</v>
      </c>
      <c r="L236" s="727">
        <v>0</v>
      </c>
      <c r="M236" s="727">
        <v>0</v>
      </c>
      <c r="N236" s="727">
        <f t="shared" si="14"/>
        <v>0</v>
      </c>
      <c r="O236" s="727">
        <f t="shared" si="15"/>
        <v>75698</v>
      </c>
      <c r="P236" s="742">
        <f t="shared" si="16"/>
        <v>-75698</v>
      </c>
    </row>
    <row r="237" spans="1:16" ht="29">
      <c r="A237" s="725" t="s">
        <v>802</v>
      </c>
      <c r="B237" s="725"/>
      <c r="C237" s="726" t="s">
        <v>1654</v>
      </c>
      <c r="D237" s="726" t="str">
        <f t="shared" si="13"/>
        <v>2-01-01-01-033PAYABLE TO MULA BUKSH</v>
      </c>
      <c r="E237" s="413" t="s">
        <v>1051</v>
      </c>
      <c r="F237" s="412" t="s">
        <v>473</v>
      </c>
      <c r="G237" s="413" t="s">
        <v>1134</v>
      </c>
      <c r="H237" s="412" t="s">
        <v>1137</v>
      </c>
      <c r="I237" s="726" t="s">
        <v>1012</v>
      </c>
      <c r="J237" s="727">
        <f>VLOOKUP(A237,'Trial Balance June 2025'!$A$7:$S$522,17,0)</f>
        <v>0</v>
      </c>
      <c r="K237" s="727">
        <f>VLOOKUP(A237,'Trial Balance June 2025'!$A$8:$S$522,18,0)</f>
        <v>464</v>
      </c>
      <c r="L237" s="727">
        <v>0</v>
      </c>
      <c r="M237" s="727">
        <v>0</v>
      </c>
      <c r="N237" s="727">
        <f t="shared" si="14"/>
        <v>0</v>
      </c>
      <c r="O237" s="727">
        <f t="shared" si="15"/>
        <v>464</v>
      </c>
      <c r="P237" s="742">
        <f t="shared" si="16"/>
        <v>-464</v>
      </c>
    </row>
    <row r="238" spans="1:16" ht="29">
      <c r="A238" s="725" t="s">
        <v>803</v>
      </c>
      <c r="B238" s="725"/>
      <c r="C238" s="726" t="s">
        <v>1655</v>
      </c>
      <c r="D238" s="726" t="str">
        <f t="shared" si="13"/>
        <v>2-01-01-01-034PAYABLE TO ALTAF HUSSAIN</v>
      </c>
      <c r="E238" s="413" t="s">
        <v>1051</v>
      </c>
      <c r="F238" s="412" t="s">
        <v>473</v>
      </c>
      <c r="G238" s="413" t="s">
        <v>1134</v>
      </c>
      <c r="H238" s="412" t="s">
        <v>1137</v>
      </c>
      <c r="I238" s="726" t="s">
        <v>974</v>
      </c>
      <c r="J238" s="727">
        <f>VLOOKUP(A238,'Trial Balance June 2025'!$A$7:$S$522,17,0)</f>
        <v>0</v>
      </c>
      <c r="K238" s="727">
        <f>VLOOKUP(A238,'Trial Balance June 2025'!$A$8:$S$522,18,0)</f>
        <v>500</v>
      </c>
      <c r="L238" s="727">
        <v>0</v>
      </c>
      <c r="M238" s="727">
        <v>0</v>
      </c>
      <c r="N238" s="727">
        <f t="shared" si="14"/>
        <v>0</v>
      </c>
      <c r="O238" s="727">
        <f t="shared" si="15"/>
        <v>500</v>
      </c>
      <c r="P238" s="742">
        <f t="shared" si="16"/>
        <v>-500</v>
      </c>
    </row>
    <row r="239" spans="1:16" ht="29">
      <c r="A239" s="725" t="s">
        <v>804</v>
      </c>
      <c r="B239" s="725"/>
      <c r="C239" s="726" t="s">
        <v>1656</v>
      </c>
      <c r="D239" s="726" t="str">
        <f t="shared" si="13"/>
        <v>2-01-01-01-036PAYABLE TO SPO</v>
      </c>
      <c r="E239" s="413" t="s">
        <v>1051</v>
      </c>
      <c r="F239" s="412" t="s">
        <v>473</v>
      </c>
      <c r="G239" s="413" t="s">
        <v>1134</v>
      </c>
      <c r="H239" s="412" t="s">
        <v>1137</v>
      </c>
      <c r="I239" s="726" t="s">
        <v>1021</v>
      </c>
      <c r="J239" s="727">
        <f>VLOOKUP(A239,'Trial Balance June 2025'!$A$7:$S$522,17,0)</f>
        <v>0</v>
      </c>
      <c r="K239" s="727">
        <f>VLOOKUP(A239,'Trial Balance June 2025'!$A$8:$S$522,18,0)</f>
        <v>35940</v>
      </c>
      <c r="L239" s="727">
        <v>0</v>
      </c>
      <c r="M239" s="727">
        <v>0</v>
      </c>
      <c r="N239" s="727">
        <f t="shared" si="14"/>
        <v>0</v>
      </c>
      <c r="O239" s="727">
        <f t="shared" si="15"/>
        <v>35940</v>
      </c>
      <c r="P239" s="742">
        <f t="shared" si="16"/>
        <v>-35940</v>
      </c>
    </row>
    <row r="240" spans="1:16" ht="29">
      <c r="A240" s="725" t="s">
        <v>805</v>
      </c>
      <c r="B240" s="725"/>
      <c r="C240" s="726" t="s">
        <v>1657</v>
      </c>
      <c r="D240" s="726" t="str">
        <f t="shared" si="13"/>
        <v>2-01-01-01-037PAYABLE TO GOHAR</v>
      </c>
      <c r="E240" s="413" t="s">
        <v>1051</v>
      </c>
      <c r="F240" s="412" t="s">
        <v>473</v>
      </c>
      <c r="G240" s="413" t="s">
        <v>1134</v>
      </c>
      <c r="H240" s="412" t="s">
        <v>1137</v>
      </c>
      <c r="I240" s="726" t="s">
        <v>974</v>
      </c>
      <c r="J240" s="727">
        <f>VLOOKUP(A240,'Trial Balance June 2025'!$A$7:$S$522,17,0)</f>
        <v>0</v>
      </c>
      <c r="K240" s="727">
        <f>VLOOKUP(A240,'Trial Balance June 2025'!$A$8:$S$522,18,0)</f>
        <v>68623</v>
      </c>
      <c r="L240" s="727">
        <v>0</v>
      </c>
      <c r="M240" s="727">
        <v>0</v>
      </c>
      <c r="N240" s="727">
        <f t="shared" si="14"/>
        <v>0</v>
      </c>
      <c r="O240" s="727">
        <f t="shared" si="15"/>
        <v>68623</v>
      </c>
      <c r="P240" s="742">
        <f t="shared" si="16"/>
        <v>-68623</v>
      </c>
    </row>
    <row r="241" spans="1:16" ht="29">
      <c r="A241" s="725" t="s">
        <v>806</v>
      </c>
      <c r="B241" s="725"/>
      <c r="C241" s="726" t="s">
        <v>1658</v>
      </c>
      <c r="D241" s="726" t="str">
        <f t="shared" si="13"/>
        <v>2-01-01-01-038Payable to Danish</v>
      </c>
      <c r="E241" s="413" t="s">
        <v>1051</v>
      </c>
      <c r="F241" s="412" t="s">
        <v>473</v>
      </c>
      <c r="G241" s="413" t="s">
        <v>1134</v>
      </c>
      <c r="H241" s="412" t="s">
        <v>1137</v>
      </c>
      <c r="I241" s="726" t="s">
        <v>992</v>
      </c>
      <c r="J241" s="727">
        <f>VLOOKUP(A241,'Trial Balance June 2025'!$A$7:$S$522,17,0)</f>
        <v>0</v>
      </c>
      <c r="K241" s="727">
        <f>VLOOKUP(A241,'Trial Balance June 2025'!$A$8:$S$522,18,0)</f>
        <v>275</v>
      </c>
      <c r="L241" s="727">
        <v>0</v>
      </c>
      <c r="M241" s="727">
        <v>0</v>
      </c>
      <c r="N241" s="727">
        <f t="shared" si="14"/>
        <v>0</v>
      </c>
      <c r="O241" s="727">
        <f t="shared" si="15"/>
        <v>275</v>
      </c>
      <c r="P241" s="742">
        <f t="shared" si="16"/>
        <v>-275</v>
      </c>
    </row>
    <row r="242" spans="1:16" ht="29">
      <c r="A242" s="725" t="s">
        <v>807</v>
      </c>
      <c r="B242" s="725"/>
      <c r="C242" s="726" t="s">
        <v>1659</v>
      </c>
      <c r="D242" s="726" t="str">
        <f t="shared" si="13"/>
        <v>2-01-01-01-040Payable to Zulfiqar Ali Shah</v>
      </c>
      <c r="E242" s="413" t="s">
        <v>1051</v>
      </c>
      <c r="F242" s="412" t="s">
        <v>473</v>
      </c>
      <c r="G242" s="413" t="s">
        <v>1134</v>
      </c>
      <c r="H242" s="412" t="s">
        <v>1137</v>
      </c>
      <c r="I242" s="726" t="s">
        <v>2072</v>
      </c>
      <c r="J242" s="727">
        <f>VLOOKUP(A242,'Trial Balance June 2025'!$A$7:$S$522,17,0)</f>
        <v>0</v>
      </c>
      <c r="K242" s="727">
        <f>VLOOKUP(A242,'Trial Balance June 2025'!$A$8:$S$522,18,0)</f>
        <v>370</v>
      </c>
      <c r="L242" s="727">
        <v>0</v>
      </c>
      <c r="M242" s="727">
        <v>0</v>
      </c>
      <c r="N242" s="727">
        <f t="shared" si="14"/>
        <v>0</v>
      </c>
      <c r="O242" s="727">
        <f t="shared" si="15"/>
        <v>370</v>
      </c>
      <c r="P242" s="742">
        <f t="shared" si="16"/>
        <v>-370</v>
      </c>
    </row>
    <row r="243" spans="1:16" ht="20">
      <c r="A243" s="725" t="s">
        <v>808</v>
      </c>
      <c r="B243" s="725"/>
      <c r="C243" s="726" t="s">
        <v>1660</v>
      </c>
      <c r="D243" s="726" t="str">
        <f t="shared" si="13"/>
        <v>2-01-01-02-001PAKISTAN LABOUR TRUST</v>
      </c>
      <c r="E243" s="413" t="s">
        <v>1051</v>
      </c>
      <c r="F243" s="412" t="s">
        <v>473</v>
      </c>
      <c r="G243" s="413" t="s">
        <v>1064</v>
      </c>
      <c r="H243" s="412" t="s">
        <v>332</v>
      </c>
      <c r="I243" s="726" t="s">
        <v>974</v>
      </c>
      <c r="J243" s="727">
        <f>VLOOKUP(A243,'Trial Balance June 2025'!$A$7:$S$522,17,0)</f>
        <v>8323684</v>
      </c>
      <c r="K243" s="727">
        <f>VLOOKUP(A243,'Trial Balance June 2025'!$A$8:$S$522,18,0)</f>
        <v>8323684</v>
      </c>
      <c r="L243" s="727">
        <v>0</v>
      </c>
      <c r="M243" s="727">
        <v>0</v>
      </c>
      <c r="N243" s="727">
        <f t="shared" si="14"/>
        <v>8323684</v>
      </c>
      <c r="O243" s="727">
        <f t="shared" si="15"/>
        <v>8323684</v>
      </c>
      <c r="P243" s="742">
        <f t="shared" si="16"/>
        <v>0</v>
      </c>
    </row>
    <row r="244" spans="1:16" ht="29">
      <c r="A244" s="725" t="s">
        <v>810</v>
      </c>
      <c r="B244" s="725"/>
      <c r="C244" s="726" t="s">
        <v>2116</v>
      </c>
      <c r="D244" s="726" t="str">
        <f t="shared" si="13"/>
        <v>2-01-01-02-016PAYABLE TO TROCAIRE-MLRRS</v>
      </c>
      <c r="E244" s="413" t="s">
        <v>1051</v>
      </c>
      <c r="F244" s="412" t="s">
        <v>473</v>
      </c>
      <c r="G244" s="413" t="s">
        <v>1134</v>
      </c>
      <c r="H244" s="412" t="s">
        <v>1137</v>
      </c>
      <c r="I244" s="726" t="s">
        <v>974</v>
      </c>
      <c r="J244" s="727">
        <f>VLOOKUP(A244,'Trial Balance June 2025'!$A$7:$S$522,17,0)</f>
        <v>0</v>
      </c>
      <c r="K244" s="727">
        <f>VLOOKUP(A244,'Trial Balance June 2025'!$A$8:$S$522,18,0)</f>
        <v>143529</v>
      </c>
      <c r="L244" s="727">
        <v>0</v>
      </c>
      <c r="M244" s="727">
        <v>0</v>
      </c>
      <c r="N244" s="727">
        <f t="shared" si="14"/>
        <v>0</v>
      </c>
      <c r="O244" s="727">
        <f t="shared" si="15"/>
        <v>143529</v>
      </c>
      <c r="P244" s="742">
        <f t="shared" si="16"/>
        <v>-143529</v>
      </c>
    </row>
    <row r="245" spans="1:16" ht="29">
      <c r="A245" s="725" t="s">
        <v>810</v>
      </c>
      <c r="B245" s="725"/>
      <c r="C245" s="726" t="s">
        <v>2116</v>
      </c>
      <c r="D245" s="726" t="str">
        <f t="shared" si="13"/>
        <v>2-01-01-02-016PAYABLE TO TROCAIRE-MLRRS</v>
      </c>
      <c r="E245" s="413" t="s">
        <v>1051</v>
      </c>
      <c r="F245" s="412" t="s">
        <v>473</v>
      </c>
      <c r="G245" s="413" t="s">
        <v>1134</v>
      </c>
      <c r="H245" s="412" t="s">
        <v>1137</v>
      </c>
      <c r="I245" s="726" t="s">
        <v>1012</v>
      </c>
      <c r="J245" s="727">
        <f>VLOOKUP(A245,'Trial Balance June 2025'!$A$7:$S$522,17,0)</f>
        <v>0</v>
      </c>
      <c r="K245" s="727">
        <f>VLOOKUP(A245,'Trial Balance June 2025'!$A$8:$S$522,18,0)</f>
        <v>143529</v>
      </c>
      <c r="L245" s="727">
        <v>0</v>
      </c>
      <c r="M245" s="727">
        <v>0</v>
      </c>
      <c r="N245" s="727">
        <f t="shared" si="14"/>
        <v>0</v>
      </c>
      <c r="O245" s="727">
        <f t="shared" si="15"/>
        <v>143529</v>
      </c>
      <c r="P245" s="742">
        <f t="shared" si="16"/>
        <v>-143529</v>
      </c>
    </row>
    <row r="246" spans="1:16" ht="29">
      <c r="A246" s="725" t="s">
        <v>810</v>
      </c>
      <c r="B246" s="725"/>
      <c r="C246" s="726" t="s">
        <v>2116</v>
      </c>
      <c r="D246" s="726" t="str">
        <f t="shared" si="13"/>
        <v>2-01-01-02-016PAYABLE TO TROCAIRE-MLRRS</v>
      </c>
      <c r="E246" s="413" t="s">
        <v>1051</v>
      </c>
      <c r="F246" s="412" t="s">
        <v>473</v>
      </c>
      <c r="G246" s="413" t="s">
        <v>1134</v>
      </c>
      <c r="H246" s="412" t="s">
        <v>1137</v>
      </c>
      <c r="I246" s="726" t="s">
        <v>1276</v>
      </c>
      <c r="J246" s="727">
        <f>VLOOKUP(A246,'Trial Balance June 2025'!$A$7:$S$522,17,0)</f>
        <v>0</v>
      </c>
      <c r="K246" s="727">
        <f>VLOOKUP(A246,'Trial Balance June 2025'!$A$8:$S$522,18,0)</f>
        <v>143529</v>
      </c>
      <c r="L246" s="727">
        <v>0</v>
      </c>
      <c r="M246" s="727">
        <v>0</v>
      </c>
      <c r="N246" s="727">
        <f t="shared" si="14"/>
        <v>0</v>
      </c>
      <c r="O246" s="727">
        <f t="shared" si="15"/>
        <v>143529</v>
      </c>
      <c r="P246" s="742">
        <f t="shared" si="16"/>
        <v>-143529</v>
      </c>
    </row>
    <row r="247" spans="1:16" ht="29">
      <c r="A247" s="725" t="s">
        <v>810</v>
      </c>
      <c r="B247" s="725"/>
      <c r="C247" s="726" t="s">
        <v>2116</v>
      </c>
      <c r="D247" s="726" t="str">
        <f t="shared" si="13"/>
        <v>2-01-01-02-016PAYABLE TO TROCAIRE-MLRRS</v>
      </c>
      <c r="E247" s="413" t="s">
        <v>1051</v>
      </c>
      <c r="F247" s="412" t="s">
        <v>473</v>
      </c>
      <c r="G247" s="413" t="s">
        <v>1134</v>
      </c>
      <c r="H247" s="412" t="s">
        <v>1137</v>
      </c>
      <c r="I247" s="726" t="s">
        <v>1025</v>
      </c>
      <c r="J247" s="727">
        <f>VLOOKUP(A247,'Trial Balance June 2025'!$A$7:$S$522,17,0)</f>
        <v>0</v>
      </c>
      <c r="K247" s="727">
        <f>VLOOKUP(A247,'Trial Balance June 2025'!$A$8:$S$522,18,0)</f>
        <v>143529</v>
      </c>
      <c r="L247" s="727">
        <v>0</v>
      </c>
      <c r="M247" s="727">
        <v>0</v>
      </c>
      <c r="N247" s="727">
        <f t="shared" si="14"/>
        <v>0</v>
      </c>
      <c r="O247" s="727">
        <f t="shared" si="15"/>
        <v>143529</v>
      </c>
      <c r="P247" s="742">
        <f t="shared" si="16"/>
        <v>-143529</v>
      </c>
    </row>
    <row r="248" spans="1:16" ht="29">
      <c r="A248" s="725" t="s">
        <v>811</v>
      </c>
      <c r="B248" s="725"/>
      <c r="C248" s="726" t="s">
        <v>1006</v>
      </c>
      <c r="D248" s="726" t="str">
        <f t="shared" si="13"/>
        <v>2-01-01-02-017PAYABLE TO PILER OWN</v>
      </c>
      <c r="E248" s="413" t="s">
        <v>1051</v>
      </c>
      <c r="F248" s="412" t="s">
        <v>473</v>
      </c>
      <c r="G248" s="413" t="s">
        <v>1134</v>
      </c>
      <c r="H248" s="412" t="s">
        <v>1137</v>
      </c>
      <c r="I248" s="726" t="s">
        <v>1018</v>
      </c>
      <c r="J248" s="727">
        <f>VLOOKUP(A248,'Trial Balance June 2025'!$A$7:$S$522,17,0)</f>
        <v>384219</v>
      </c>
      <c r="K248" s="727">
        <f>VLOOKUP(A248,'Trial Balance June 2025'!$A$8:$S$522,18,0)</f>
        <v>2640536</v>
      </c>
      <c r="L248" s="727">
        <v>0</v>
      </c>
      <c r="M248" s="727">
        <v>0</v>
      </c>
      <c r="N248" s="727">
        <f t="shared" si="14"/>
        <v>384219</v>
      </c>
      <c r="O248" s="727">
        <f t="shared" si="15"/>
        <v>2640536</v>
      </c>
      <c r="P248" s="742">
        <f t="shared" si="16"/>
        <v>-2256317</v>
      </c>
    </row>
    <row r="249" spans="1:16" ht="29">
      <c r="A249" s="725" t="s">
        <v>811</v>
      </c>
      <c r="B249" s="725"/>
      <c r="C249" s="726" t="s">
        <v>1006</v>
      </c>
      <c r="D249" s="726" t="str">
        <f t="shared" si="13"/>
        <v>2-01-01-02-017PAYABLE TO PILER OWN</v>
      </c>
      <c r="E249" s="413" t="s">
        <v>1051</v>
      </c>
      <c r="F249" s="412" t="s">
        <v>473</v>
      </c>
      <c r="G249" s="413" t="s">
        <v>1134</v>
      </c>
      <c r="H249" s="412" t="s">
        <v>1137</v>
      </c>
      <c r="I249" s="726" t="s">
        <v>1013</v>
      </c>
      <c r="J249" s="727"/>
      <c r="K249" s="727"/>
      <c r="L249" s="727">
        <v>0</v>
      </c>
      <c r="M249" s="727">
        <v>0</v>
      </c>
      <c r="N249" s="727">
        <f t="shared" si="14"/>
        <v>0</v>
      </c>
      <c r="O249" s="727">
        <f t="shared" si="15"/>
        <v>0</v>
      </c>
      <c r="P249" s="742">
        <f t="shared" si="16"/>
        <v>0</v>
      </c>
    </row>
    <row r="250" spans="1:16" ht="29">
      <c r="A250" s="725" t="s">
        <v>811</v>
      </c>
      <c r="B250" s="725"/>
      <c r="C250" s="726" t="s">
        <v>1006</v>
      </c>
      <c r="D250" s="726" t="str">
        <f t="shared" si="13"/>
        <v>2-01-01-02-017PAYABLE TO PILER OWN</v>
      </c>
      <c r="E250" s="413" t="s">
        <v>1051</v>
      </c>
      <c r="F250" s="412" t="s">
        <v>473</v>
      </c>
      <c r="G250" s="413" t="s">
        <v>1134</v>
      </c>
      <c r="H250" s="412" t="s">
        <v>1137</v>
      </c>
      <c r="I250" s="726" t="s">
        <v>1014</v>
      </c>
      <c r="J250" s="727"/>
      <c r="K250" s="727"/>
      <c r="L250" s="727">
        <v>0</v>
      </c>
      <c r="M250" s="727">
        <v>0</v>
      </c>
      <c r="N250" s="727">
        <f t="shared" si="14"/>
        <v>0</v>
      </c>
      <c r="O250" s="727">
        <f t="shared" si="15"/>
        <v>0</v>
      </c>
      <c r="P250" s="742">
        <f t="shared" si="16"/>
        <v>0</v>
      </c>
    </row>
    <row r="251" spans="1:16" ht="29">
      <c r="A251" s="725" t="s">
        <v>811</v>
      </c>
      <c r="B251" s="725"/>
      <c r="C251" s="726" t="s">
        <v>1006</v>
      </c>
      <c r="D251" s="726" t="str">
        <f t="shared" si="13"/>
        <v>2-01-01-02-017PAYABLE TO PILER OWN</v>
      </c>
      <c r="E251" s="413" t="s">
        <v>1051</v>
      </c>
      <c r="F251" s="412" t="s">
        <v>473</v>
      </c>
      <c r="G251" s="413" t="s">
        <v>1134</v>
      </c>
      <c r="H251" s="412" t="s">
        <v>1137</v>
      </c>
      <c r="I251" s="726" t="s">
        <v>974</v>
      </c>
      <c r="J251" s="727"/>
      <c r="K251" s="727"/>
      <c r="L251" s="727">
        <v>0</v>
      </c>
      <c r="M251" s="727">
        <v>27914</v>
      </c>
      <c r="N251" s="727">
        <f t="shared" si="14"/>
        <v>0</v>
      </c>
      <c r="O251" s="727">
        <f t="shared" si="15"/>
        <v>27914</v>
      </c>
      <c r="P251" s="742">
        <f t="shared" si="16"/>
        <v>-27914</v>
      </c>
    </row>
    <row r="252" spans="1:16" ht="29">
      <c r="A252" s="725" t="s">
        <v>811</v>
      </c>
      <c r="B252" s="725"/>
      <c r="C252" s="726" t="s">
        <v>1006</v>
      </c>
      <c r="D252" s="726" t="str">
        <f t="shared" si="13"/>
        <v>2-01-01-02-017PAYABLE TO PILER OWN</v>
      </c>
      <c r="E252" s="413" t="s">
        <v>1051</v>
      </c>
      <c r="F252" s="412" t="s">
        <v>473</v>
      </c>
      <c r="G252" s="413" t="s">
        <v>1134</v>
      </c>
      <c r="H252" s="412" t="s">
        <v>1137</v>
      </c>
      <c r="I252" s="726" t="s">
        <v>1023</v>
      </c>
      <c r="J252" s="727"/>
      <c r="K252" s="727"/>
      <c r="L252" s="727">
        <v>0</v>
      </c>
      <c r="M252" s="727">
        <v>0</v>
      </c>
      <c r="N252" s="727">
        <f t="shared" si="14"/>
        <v>0</v>
      </c>
      <c r="O252" s="727">
        <f t="shared" si="15"/>
        <v>0</v>
      </c>
      <c r="P252" s="742">
        <f t="shared" si="16"/>
        <v>0</v>
      </c>
    </row>
    <row r="253" spans="1:16" ht="29">
      <c r="A253" s="725" t="s">
        <v>811</v>
      </c>
      <c r="B253" s="725"/>
      <c r="C253" s="726" t="s">
        <v>1006</v>
      </c>
      <c r="D253" s="726" t="str">
        <f t="shared" si="13"/>
        <v>2-01-01-02-017PAYABLE TO PILER OWN</v>
      </c>
      <c r="E253" s="413" t="s">
        <v>1051</v>
      </c>
      <c r="F253" s="412" t="s">
        <v>473</v>
      </c>
      <c r="G253" s="413" t="s">
        <v>1134</v>
      </c>
      <c r="H253" s="412" t="s">
        <v>1137</v>
      </c>
      <c r="I253" s="726" t="s">
        <v>1011</v>
      </c>
      <c r="J253" s="727"/>
      <c r="K253" s="727"/>
      <c r="L253" s="727">
        <v>0</v>
      </c>
      <c r="M253" s="727">
        <v>0</v>
      </c>
      <c r="N253" s="727">
        <f t="shared" si="14"/>
        <v>0</v>
      </c>
      <c r="O253" s="727">
        <f t="shared" si="15"/>
        <v>0</v>
      </c>
      <c r="P253" s="742">
        <f t="shared" si="16"/>
        <v>0</v>
      </c>
    </row>
    <row r="254" spans="1:16" ht="29">
      <c r="A254" s="725" t="s">
        <v>811</v>
      </c>
      <c r="B254" s="725"/>
      <c r="C254" s="726" t="s">
        <v>1006</v>
      </c>
      <c r="D254" s="726" t="str">
        <f t="shared" si="13"/>
        <v>2-01-01-02-017PAYABLE TO PILER OWN</v>
      </c>
      <c r="E254" s="413" t="s">
        <v>1051</v>
      </c>
      <c r="F254" s="412" t="s">
        <v>473</v>
      </c>
      <c r="G254" s="413" t="s">
        <v>1134</v>
      </c>
      <c r="H254" s="412" t="s">
        <v>1137</v>
      </c>
      <c r="I254" s="726" t="s">
        <v>1012</v>
      </c>
      <c r="J254" s="727">
        <f>VLOOKUP(A254,'Trial Balance June 2025'!$A$7:$S$522,17,0)</f>
        <v>384219</v>
      </c>
      <c r="K254" s="727">
        <f>VLOOKUP(A254,'Trial Balance June 2025'!$A$8:$S$522,18,0)</f>
        <v>2640536</v>
      </c>
      <c r="L254" s="727">
        <v>0</v>
      </c>
      <c r="M254" s="727">
        <v>0</v>
      </c>
      <c r="N254" s="727">
        <f t="shared" si="14"/>
        <v>384219</v>
      </c>
      <c r="O254" s="727">
        <f t="shared" si="15"/>
        <v>2640536</v>
      </c>
      <c r="P254" s="742">
        <f t="shared" si="16"/>
        <v>-2256317</v>
      </c>
    </row>
    <row r="255" spans="1:16" ht="29">
      <c r="A255" s="725" t="s">
        <v>811</v>
      </c>
      <c r="B255" s="725"/>
      <c r="C255" s="726" t="s">
        <v>1006</v>
      </c>
      <c r="D255" s="726" t="str">
        <f t="shared" si="13"/>
        <v>2-01-01-02-017PAYABLE TO PILER OWN</v>
      </c>
      <c r="E255" s="413" t="s">
        <v>1051</v>
      </c>
      <c r="F255" s="412" t="s">
        <v>473</v>
      </c>
      <c r="G255" s="413" t="s">
        <v>1134</v>
      </c>
      <c r="H255" s="412" t="s">
        <v>1137</v>
      </c>
      <c r="I255" s="726" t="s">
        <v>1020</v>
      </c>
      <c r="J255" s="727"/>
      <c r="K255" s="727"/>
      <c r="L255" s="727">
        <v>0</v>
      </c>
      <c r="M255" s="727">
        <v>0</v>
      </c>
      <c r="N255" s="727">
        <f t="shared" si="14"/>
        <v>0</v>
      </c>
      <c r="O255" s="727">
        <f t="shared" si="15"/>
        <v>0</v>
      </c>
      <c r="P255" s="742">
        <f t="shared" si="16"/>
        <v>0</v>
      </c>
    </row>
    <row r="256" spans="1:16" ht="29">
      <c r="A256" s="725" t="s">
        <v>811</v>
      </c>
      <c r="B256" s="725"/>
      <c r="C256" s="726" t="s">
        <v>1006</v>
      </c>
      <c r="D256" s="726" t="str">
        <f t="shared" si="13"/>
        <v>2-01-01-02-017PAYABLE TO PILER OWN</v>
      </c>
      <c r="E256" s="413" t="s">
        <v>1051</v>
      </c>
      <c r="F256" s="412" t="s">
        <v>473</v>
      </c>
      <c r="G256" s="413" t="s">
        <v>1134</v>
      </c>
      <c r="H256" s="412" t="s">
        <v>1137</v>
      </c>
      <c r="I256" s="726" t="s">
        <v>1276</v>
      </c>
      <c r="J256" s="727"/>
      <c r="K256" s="727"/>
      <c r="L256" s="727">
        <v>0</v>
      </c>
      <c r="M256" s="727">
        <v>0</v>
      </c>
      <c r="N256" s="727">
        <f t="shared" si="14"/>
        <v>0</v>
      </c>
      <c r="O256" s="727">
        <f t="shared" si="15"/>
        <v>0</v>
      </c>
      <c r="P256" s="742">
        <f t="shared" si="16"/>
        <v>0</v>
      </c>
    </row>
    <row r="257" spans="1:16" ht="29">
      <c r="A257" s="725" t="s">
        <v>811</v>
      </c>
      <c r="B257" s="725"/>
      <c r="C257" s="726" t="s">
        <v>1006</v>
      </c>
      <c r="D257" s="726" t="str">
        <f t="shared" si="13"/>
        <v>2-01-01-02-017PAYABLE TO PILER OWN</v>
      </c>
      <c r="E257" s="413" t="s">
        <v>1051</v>
      </c>
      <c r="F257" s="412" t="s">
        <v>473</v>
      </c>
      <c r="G257" s="413" t="s">
        <v>1134</v>
      </c>
      <c r="H257" s="412" t="s">
        <v>1137</v>
      </c>
      <c r="I257" s="726" t="s">
        <v>1021</v>
      </c>
      <c r="J257" s="727"/>
      <c r="K257" s="727"/>
      <c r="L257" s="727">
        <v>0</v>
      </c>
      <c r="M257" s="727">
        <v>0</v>
      </c>
      <c r="N257" s="727">
        <f t="shared" si="14"/>
        <v>0</v>
      </c>
      <c r="O257" s="727">
        <f t="shared" si="15"/>
        <v>0</v>
      </c>
      <c r="P257" s="742">
        <f t="shared" si="16"/>
        <v>0</v>
      </c>
    </row>
    <row r="258" spans="1:16" ht="29">
      <c r="A258" s="725" t="s">
        <v>811</v>
      </c>
      <c r="B258" s="725"/>
      <c r="C258" s="726" t="s">
        <v>1006</v>
      </c>
      <c r="D258" s="726" t="str">
        <f t="shared" si="13"/>
        <v>2-01-01-02-017PAYABLE TO PILER OWN</v>
      </c>
      <c r="E258" s="413" t="s">
        <v>1051</v>
      </c>
      <c r="F258" s="412" t="s">
        <v>473</v>
      </c>
      <c r="G258" s="413" t="s">
        <v>1134</v>
      </c>
      <c r="H258" s="412" t="s">
        <v>1137</v>
      </c>
      <c r="I258" s="726" t="s">
        <v>1025</v>
      </c>
      <c r="J258" s="727"/>
      <c r="K258" s="727"/>
      <c r="L258" s="727">
        <v>0</v>
      </c>
      <c r="M258" s="727">
        <v>0</v>
      </c>
      <c r="N258" s="727">
        <f t="shared" si="14"/>
        <v>0</v>
      </c>
      <c r="O258" s="727">
        <f t="shared" si="15"/>
        <v>0</v>
      </c>
      <c r="P258" s="742">
        <f t="shared" si="16"/>
        <v>0</v>
      </c>
    </row>
    <row r="259" spans="1:16" ht="29">
      <c r="A259" s="725" t="s">
        <v>811</v>
      </c>
      <c r="B259" s="725"/>
      <c r="C259" s="726" t="s">
        <v>1006</v>
      </c>
      <c r="D259" s="726" t="str">
        <f t="shared" si="13"/>
        <v>2-01-01-02-017PAYABLE TO PILER OWN</v>
      </c>
      <c r="E259" s="413" t="s">
        <v>1051</v>
      </c>
      <c r="F259" s="412" t="s">
        <v>473</v>
      </c>
      <c r="G259" s="413" t="s">
        <v>1134</v>
      </c>
      <c r="H259" s="412" t="s">
        <v>1137</v>
      </c>
      <c r="I259" s="726" t="s">
        <v>1024</v>
      </c>
      <c r="J259" s="727"/>
      <c r="K259" s="727"/>
      <c r="L259" s="727">
        <v>0</v>
      </c>
      <c r="M259" s="727">
        <v>0</v>
      </c>
      <c r="N259" s="727">
        <f t="shared" si="14"/>
        <v>0</v>
      </c>
      <c r="O259" s="727">
        <f t="shared" si="15"/>
        <v>0</v>
      </c>
      <c r="P259" s="742">
        <f t="shared" si="16"/>
        <v>0</v>
      </c>
    </row>
    <row r="260" spans="1:16" ht="29">
      <c r="A260" s="725" t="s">
        <v>811</v>
      </c>
      <c r="B260" s="725"/>
      <c r="C260" s="726" t="s">
        <v>1006</v>
      </c>
      <c r="D260" s="726" t="str">
        <f t="shared" si="13"/>
        <v>2-01-01-02-017PAYABLE TO PILER OWN</v>
      </c>
      <c r="E260" s="413" t="s">
        <v>1051</v>
      </c>
      <c r="F260" s="412" t="s">
        <v>473</v>
      </c>
      <c r="G260" s="413" t="s">
        <v>1134</v>
      </c>
      <c r="H260" s="412" t="s">
        <v>1137</v>
      </c>
      <c r="I260" s="726" t="s">
        <v>2072</v>
      </c>
      <c r="J260" s="727"/>
      <c r="K260" s="727"/>
      <c r="L260" s="727">
        <v>0</v>
      </c>
      <c r="M260" s="727">
        <v>0</v>
      </c>
      <c r="N260" s="727">
        <f t="shared" si="14"/>
        <v>0</v>
      </c>
      <c r="O260" s="727">
        <f t="shared" si="15"/>
        <v>0</v>
      </c>
      <c r="P260" s="742">
        <f t="shared" si="16"/>
        <v>0</v>
      </c>
    </row>
    <row r="261" spans="1:16" ht="29">
      <c r="A261" s="725" t="s">
        <v>811</v>
      </c>
      <c r="B261" s="725"/>
      <c r="C261" s="726" t="s">
        <v>1006</v>
      </c>
      <c r="D261" s="726" t="str">
        <f t="shared" si="13"/>
        <v>2-01-01-02-017PAYABLE TO PILER OWN</v>
      </c>
      <c r="E261" s="413" t="s">
        <v>1051</v>
      </c>
      <c r="F261" s="412" t="s">
        <v>473</v>
      </c>
      <c r="G261" s="413" t="s">
        <v>1134</v>
      </c>
      <c r="H261" s="412" t="s">
        <v>1137</v>
      </c>
      <c r="I261" s="726" t="s">
        <v>1019</v>
      </c>
      <c r="J261" s="727"/>
      <c r="K261" s="727"/>
      <c r="L261" s="727">
        <v>0</v>
      </c>
      <c r="M261" s="727">
        <v>0</v>
      </c>
      <c r="N261" s="727">
        <f t="shared" si="14"/>
        <v>0</v>
      </c>
      <c r="O261" s="727">
        <f t="shared" si="15"/>
        <v>0</v>
      </c>
      <c r="P261" s="742">
        <f t="shared" si="16"/>
        <v>0</v>
      </c>
    </row>
    <row r="262" spans="1:16" ht="29">
      <c r="A262" s="725" t="s">
        <v>811</v>
      </c>
      <c r="B262" s="725"/>
      <c r="C262" s="726" t="s">
        <v>1006</v>
      </c>
      <c r="D262" s="726" t="str">
        <f t="shared" si="13"/>
        <v>2-01-01-02-017PAYABLE TO PILER OWN</v>
      </c>
      <c r="E262" s="413" t="s">
        <v>1051</v>
      </c>
      <c r="F262" s="412" t="s">
        <v>473</v>
      </c>
      <c r="G262" s="413" t="s">
        <v>1134</v>
      </c>
      <c r="H262" s="412" t="s">
        <v>1137</v>
      </c>
      <c r="I262" s="726" t="s">
        <v>1026</v>
      </c>
      <c r="J262" s="727"/>
      <c r="K262" s="727"/>
      <c r="L262" s="727">
        <v>0</v>
      </c>
      <c r="M262" s="727">
        <v>0</v>
      </c>
      <c r="N262" s="727">
        <f t="shared" si="14"/>
        <v>0</v>
      </c>
      <c r="O262" s="727">
        <f t="shared" si="15"/>
        <v>0</v>
      </c>
      <c r="P262" s="742">
        <f t="shared" si="16"/>
        <v>0</v>
      </c>
    </row>
    <row r="263" spans="1:16" ht="29">
      <c r="A263" s="725" t="s">
        <v>811</v>
      </c>
      <c r="B263" s="725"/>
      <c r="C263" s="726" t="s">
        <v>1006</v>
      </c>
      <c r="D263" s="726" t="str">
        <f t="shared" si="13"/>
        <v>2-01-01-02-017PAYABLE TO PILER OWN</v>
      </c>
      <c r="E263" s="413" t="s">
        <v>1051</v>
      </c>
      <c r="F263" s="412" t="s">
        <v>473</v>
      </c>
      <c r="G263" s="413" t="s">
        <v>1134</v>
      </c>
      <c r="H263" s="412" t="s">
        <v>1137</v>
      </c>
      <c r="I263" s="726" t="s">
        <v>1027</v>
      </c>
      <c r="J263" s="727"/>
      <c r="K263" s="727"/>
      <c r="L263" s="727">
        <v>0</v>
      </c>
      <c r="M263" s="727">
        <v>0</v>
      </c>
      <c r="N263" s="727">
        <f t="shared" si="14"/>
        <v>0</v>
      </c>
      <c r="O263" s="727">
        <f t="shared" si="15"/>
        <v>0</v>
      </c>
      <c r="P263" s="742">
        <f t="shared" si="16"/>
        <v>0</v>
      </c>
    </row>
    <row r="264" spans="1:16" ht="29">
      <c r="A264" s="725" t="s">
        <v>811</v>
      </c>
      <c r="B264" s="725"/>
      <c r="C264" s="726" t="s">
        <v>1006</v>
      </c>
      <c r="D264" s="726" t="str">
        <f t="shared" ref="D264:D327" si="17">CONCATENATE(A264,C264)</f>
        <v>2-01-01-02-017PAYABLE TO PILER OWN</v>
      </c>
      <c r="E264" s="413" t="s">
        <v>1051</v>
      </c>
      <c r="F264" s="412" t="s">
        <v>473</v>
      </c>
      <c r="G264" s="413" t="s">
        <v>1134</v>
      </c>
      <c r="H264" s="412" t="s">
        <v>1137</v>
      </c>
      <c r="I264" s="726" t="s">
        <v>992</v>
      </c>
      <c r="J264" s="727"/>
      <c r="K264" s="727"/>
      <c r="L264" s="727">
        <v>0</v>
      </c>
      <c r="M264" s="727">
        <v>0</v>
      </c>
      <c r="N264" s="727">
        <f t="shared" ref="N264:N327" si="18">J264+L264</f>
        <v>0</v>
      </c>
      <c r="O264" s="727">
        <f t="shared" ref="O264:O327" si="19">K264+M264</f>
        <v>0</v>
      </c>
      <c r="P264" s="742">
        <f t="shared" ref="P264:P327" si="20">N264-O264</f>
        <v>0</v>
      </c>
    </row>
    <row r="265" spans="1:16" ht="29">
      <c r="A265" s="725" t="s">
        <v>811</v>
      </c>
      <c r="B265" s="725"/>
      <c r="C265" s="726" t="s">
        <v>1006</v>
      </c>
      <c r="D265" s="726" t="str">
        <f t="shared" si="17"/>
        <v>2-01-01-02-017PAYABLE TO PILER OWN</v>
      </c>
      <c r="E265" s="413" t="s">
        <v>1051</v>
      </c>
      <c r="F265" s="412" t="s">
        <v>473</v>
      </c>
      <c r="G265" s="413" t="s">
        <v>1134</v>
      </c>
      <c r="H265" s="412" t="s">
        <v>1137</v>
      </c>
      <c r="I265" s="726" t="s">
        <v>1275</v>
      </c>
      <c r="J265" s="727"/>
      <c r="K265" s="727"/>
      <c r="L265" s="727">
        <v>183464</v>
      </c>
      <c r="M265" s="727">
        <v>208133</v>
      </c>
      <c r="N265" s="727">
        <f t="shared" si="18"/>
        <v>183464</v>
      </c>
      <c r="O265" s="727">
        <f t="shared" si="19"/>
        <v>208133</v>
      </c>
      <c r="P265" s="742">
        <f t="shared" si="20"/>
        <v>-24669</v>
      </c>
    </row>
    <row r="266" spans="1:16" ht="29">
      <c r="A266" s="725" t="s">
        <v>811</v>
      </c>
      <c r="B266" s="725"/>
      <c r="C266" s="726" t="s">
        <v>1006</v>
      </c>
      <c r="D266" s="726" t="str">
        <f t="shared" si="17"/>
        <v>2-01-01-02-017PAYABLE TO PILER OWN</v>
      </c>
      <c r="E266" s="413" t="s">
        <v>1051</v>
      </c>
      <c r="F266" s="412" t="s">
        <v>473</v>
      </c>
      <c r="G266" s="413" t="s">
        <v>1134</v>
      </c>
      <c r="H266" s="412" t="s">
        <v>1137</v>
      </c>
      <c r="I266" s="726" t="s">
        <v>1723</v>
      </c>
      <c r="J266" s="727"/>
      <c r="K266" s="727"/>
      <c r="L266" s="727">
        <v>1149765</v>
      </c>
      <c r="M266" s="727">
        <v>1143660</v>
      </c>
      <c r="N266" s="727">
        <f t="shared" si="18"/>
        <v>1149765</v>
      </c>
      <c r="O266" s="727">
        <f t="shared" si="19"/>
        <v>1143660</v>
      </c>
      <c r="P266" s="742">
        <f t="shared" si="20"/>
        <v>6105</v>
      </c>
    </row>
    <row r="267" spans="1:16" ht="29">
      <c r="A267" s="725" t="s">
        <v>812</v>
      </c>
      <c r="B267" s="725"/>
      <c r="C267" s="726" t="s">
        <v>2117</v>
      </c>
      <c r="D267" s="726" t="str">
        <f t="shared" si="17"/>
        <v>2-01-01-02-019PAYABLE TO UNICEF</v>
      </c>
      <c r="E267" s="413" t="s">
        <v>1051</v>
      </c>
      <c r="F267" s="412" t="s">
        <v>473</v>
      </c>
      <c r="G267" s="413" t="s">
        <v>1134</v>
      </c>
      <c r="H267" s="412" t="s">
        <v>1137</v>
      </c>
      <c r="I267" s="726" t="s">
        <v>974</v>
      </c>
      <c r="J267" s="727">
        <f>VLOOKUP(A267,'Trial Balance June 2025'!$A$7:$S$522,17,0)</f>
        <v>0</v>
      </c>
      <c r="K267" s="727">
        <f>VLOOKUP(A267,'Trial Balance June 2025'!$A$8:$S$522,18,0)</f>
        <v>2935000</v>
      </c>
      <c r="L267" s="727">
        <v>0</v>
      </c>
      <c r="M267" s="727">
        <v>0</v>
      </c>
      <c r="N267" s="727">
        <f t="shared" si="18"/>
        <v>0</v>
      </c>
      <c r="O267" s="727">
        <f t="shared" si="19"/>
        <v>2935000</v>
      </c>
      <c r="P267" s="742">
        <f t="shared" si="20"/>
        <v>-2935000</v>
      </c>
    </row>
    <row r="268" spans="1:16" ht="29">
      <c r="A268" s="725" t="s">
        <v>813</v>
      </c>
      <c r="B268" s="725"/>
      <c r="C268" s="726" t="s">
        <v>2118</v>
      </c>
      <c r="D268" s="726" t="str">
        <f t="shared" si="17"/>
        <v>2-01-01-02-020PAYABLE TO TDH-MI</v>
      </c>
      <c r="E268" s="413" t="s">
        <v>1051</v>
      </c>
      <c r="F268" s="412" t="s">
        <v>473</v>
      </c>
      <c r="G268" s="413" t="s">
        <v>1134</v>
      </c>
      <c r="H268" s="412" t="s">
        <v>1137</v>
      </c>
      <c r="I268" s="726" t="s">
        <v>974</v>
      </c>
      <c r="J268" s="727">
        <f>VLOOKUP(A268,'Trial Balance June 2025'!$A$7:$S$522,17,0)</f>
        <v>0</v>
      </c>
      <c r="K268" s="727">
        <f>VLOOKUP(A268,'Trial Balance June 2025'!$A$8:$S$522,18,0)</f>
        <v>1931265</v>
      </c>
      <c r="L268" s="727">
        <v>0</v>
      </c>
      <c r="M268" s="727">
        <v>0</v>
      </c>
      <c r="N268" s="727">
        <f t="shared" si="18"/>
        <v>0</v>
      </c>
      <c r="O268" s="727">
        <f t="shared" si="19"/>
        <v>1931265</v>
      </c>
      <c r="P268" s="742">
        <f t="shared" si="20"/>
        <v>-1931265</v>
      </c>
    </row>
    <row r="269" spans="1:16" ht="29">
      <c r="A269" s="725" t="s">
        <v>813</v>
      </c>
      <c r="B269" s="725"/>
      <c r="C269" s="726" t="s">
        <v>2118</v>
      </c>
      <c r="D269" s="726" t="str">
        <f t="shared" si="17"/>
        <v>2-01-01-02-020PAYABLE TO TDH-MI</v>
      </c>
      <c r="E269" s="413" t="s">
        <v>1051</v>
      </c>
      <c r="F269" s="412" t="s">
        <v>473</v>
      </c>
      <c r="G269" s="413" t="s">
        <v>1134</v>
      </c>
      <c r="H269" s="412" t="s">
        <v>1137</v>
      </c>
      <c r="I269" s="726" t="s">
        <v>1020</v>
      </c>
      <c r="J269" s="727">
        <f>VLOOKUP(A269,'Trial Balance June 2025'!$A$7:$S$522,17,0)</f>
        <v>0</v>
      </c>
      <c r="K269" s="727"/>
      <c r="L269" s="727">
        <v>0</v>
      </c>
      <c r="M269" s="727">
        <v>0</v>
      </c>
      <c r="N269" s="727">
        <f t="shared" si="18"/>
        <v>0</v>
      </c>
      <c r="O269" s="727">
        <f t="shared" si="19"/>
        <v>0</v>
      </c>
      <c r="P269" s="742">
        <f t="shared" si="20"/>
        <v>0</v>
      </c>
    </row>
    <row r="270" spans="1:16" ht="29">
      <c r="A270" s="725" t="s">
        <v>814</v>
      </c>
      <c r="B270" s="725"/>
      <c r="C270" s="726" t="s">
        <v>2119</v>
      </c>
      <c r="D270" s="726" t="str">
        <f t="shared" si="17"/>
        <v>2-01-01-02-021PAYABLE TO ICCO PROJECT-THSW</v>
      </c>
      <c r="E270" s="413" t="s">
        <v>1051</v>
      </c>
      <c r="F270" s="412" t="s">
        <v>473</v>
      </c>
      <c r="G270" s="413" t="s">
        <v>1134</v>
      </c>
      <c r="H270" s="412" t="s">
        <v>1137</v>
      </c>
      <c r="I270" s="726" t="s">
        <v>974</v>
      </c>
      <c r="J270" s="727">
        <f>VLOOKUP(A270,'Trial Balance June 2025'!$A$7:$S$522,17,0)</f>
        <v>0</v>
      </c>
      <c r="K270" s="727">
        <f>VLOOKUP(A270,'Trial Balance June 2025'!$A$8:$S$522,18,0)</f>
        <v>299904</v>
      </c>
      <c r="L270" s="727">
        <v>0</v>
      </c>
      <c r="M270" s="727">
        <v>0</v>
      </c>
      <c r="N270" s="727">
        <f t="shared" si="18"/>
        <v>0</v>
      </c>
      <c r="O270" s="727">
        <f t="shared" si="19"/>
        <v>299904</v>
      </c>
      <c r="P270" s="742">
        <f t="shared" si="20"/>
        <v>-299904</v>
      </c>
    </row>
    <row r="271" spans="1:16" ht="29">
      <c r="A271" s="725" t="s">
        <v>815</v>
      </c>
      <c r="B271" s="725"/>
      <c r="C271" s="726" t="s">
        <v>1661</v>
      </c>
      <c r="D271" s="726" t="str">
        <f t="shared" si="17"/>
        <v>2-01-01-02-022PAYABLE TO KHADIM</v>
      </c>
      <c r="E271" s="413" t="s">
        <v>1051</v>
      </c>
      <c r="F271" s="412" t="s">
        <v>473</v>
      </c>
      <c r="G271" s="413" t="s">
        <v>1134</v>
      </c>
      <c r="H271" s="412" t="s">
        <v>1137</v>
      </c>
      <c r="I271" s="726" t="s">
        <v>974</v>
      </c>
      <c r="J271" s="727">
        <f>VLOOKUP(A271,'Trial Balance June 2025'!$A$7:$S$522,17,0)</f>
        <v>0</v>
      </c>
      <c r="K271" s="727">
        <f>VLOOKUP(A271,'Trial Balance June 2025'!$A$8:$S$522,18,0)</f>
        <v>131479</v>
      </c>
      <c r="L271" s="727">
        <v>0</v>
      </c>
      <c r="M271" s="727">
        <v>0</v>
      </c>
      <c r="N271" s="727">
        <f t="shared" si="18"/>
        <v>0</v>
      </c>
      <c r="O271" s="727">
        <f t="shared" si="19"/>
        <v>131479</v>
      </c>
      <c r="P271" s="742">
        <f t="shared" si="20"/>
        <v>-131479</v>
      </c>
    </row>
    <row r="272" spans="1:16" ht="29">
      <c r="A272" s="725" t="s">
        <v>815</v>
      </c>
      <c r="B272" s="725"/>
      <c r="C272" s="726" t="s">
        <v>1661</v>
      </c>
      <c r="D272" s="726" t="str">
        <f t="shared" si="17"/>
        <v>2-01-01-02-022PAYABLE TO KHADIM</v>
      </c>
      <c r="E272" s="413" t="s">
        <v>1051</v>
      </c>
      <c r="F272" s="412" t="s">
        <v>473</v>
      </c>
      <c r="G272" s="413" t="s">
        <v>1134</v>
      </c>
      <c r="H272" s="412" t="s">
        <v>1137</v>
      </c>
      <c r="I272" s="726" t="s">
        <v>1276</v>
      </c>
      <c r="J272" s="727">
        <f>VLOOKUP(A272,'Trial Balance June 2025'!$A$7:$S$522,17,0)</f>
        <v>0</v>
      </c>
      <c r="K272" s="727"/>
      <c r="L272" s="727">
        <v>0</v>
      </c>
      <c r="M272" s="727">
        <v>0</v>
      </c>
      <c r="N272" s="727">
        <f t="shared" si="18"/>
        <v>0</v>
      </c>
      <c r="O272" s="727">
        <f t="shared" si="19"/>
        <v>0</v>
      </c>
      <c r="P272" s="742">
        <f t="shared" si="20"/>
        <v>0</v>
      </c>
    </row>
    <row r="273" spans="1:16" ht="29">
      <c r="A273" s="725" t="s">
        <v>816</v>
      </c>
      <c r="B273" s="725"/>
      <c r="C273" s="726" t="s">
        <v>2120</v>
      </c>
      <c r="D273" s="726" t="str">
        <f t="shared" si="17"/>
        <v>2-01-01-02-026PAYABLE TO TAF</v>
      </c>
      <c r="E273" s="413" t="s">
        <v>1051</v>
      </c>
      <c r="F273" s="412" t="s">
        <v>473</v>
      </c>
      <c r="G273" s="413" t="s">
        <v>1134</v>
      </c>
      <c r="H273" s="412" t="s">
        <v>1137</v>
      </c>
      <c r="I273" s="726" t="s">
        <v>974</v>
      </c>
      <c r="J273" s="727">
        <f>VLOOKUP(A273,'Trial Balance June 2025'!$A$7:$S$522,17,0)</f>
        <v>0</v>
      </c>
      <c r="K273" s="727">
        <f>VLOOKUP(A273,'Trial Balance June 2025'!$A$8:$S$522,18,0)</f>
        <v>391647</v>
      </c>
      <c r="L273" s="727">
        <v>0</v>
      </c>
      <c r="M273" s="727">
        <v>0</v>
      </c>
      <c r="N273" s="727">
        <f t="shared" si="18"/>
        <v>0</v>
      </c>
      <c r="O273" s="727">
        <f t="shared" si="19"/>
        <v>391647</v>
      </c>
      <c r="P273" s="742">
        <f t="shared" si="20"/>
        <v>-391647</v>
      </c>
    </row>
    <row r="274" spans="1:16" ht="29">
      <c r="A274" s="725" t="s">
        <v>816</v>
      </c>
      <c r="B274" s="725"/>
      <c r="C274" s="726" t="s">
        <v>2120</v>
      </c>
      <c r="D274" s="726" t="str">
        <f t="shared" si="17"/>
        <v>2-01-01-02-026PAYABLE TO TAF</v>
      </c>
      <c r="E274" s="413" t="s">
        <v>1051</v>
      </c>
      <c r="F274" s="412" t="s">
        <v>473</v>
      </c>
      <c r="G274" s="413" t="s">
        <v>1134</v>
      </c>
      <c r="H274" s="412" t="s">
        <v>1137</v>
      </c>
      <c r="I274" s="726" t="s">
        <v>1025</v>
      </c>
      <c r="J274" s="727">
        <f>VLOOKUP(A274,'Trial Balance June 2025'!$A$7:$S$522,17,0)</f>
        <v>0</v>
      </c>
      <c r="K274" s="727"/>
      <c r="L274" s="727">
        <v>0</v>
      </c>
      <c r="M274" s="727">
        <v>0</v>
      </c>
      <c r="N274" s="727">
        <f t="shared" si="18"/>
        <v>0</v>
      </c>
      <c r="O274" s="727">
        <f t="shared" si="19"/>
        <v>0</v>
      </c>
      <c r="P274" s="742">
        <f t="shared" si="20"/>
        <v>0</v>
      </c>
    </row>
    <row r="275" spans="1:16" ht="29">
      <c r="A275" s="725" t="s">
        <v>817</v>
      </c>
      <c r="B275" s="725"/>
      <c r="C275" s="726" t="s">
        <v>1662</v>
      </c>
      <c r="D275" s="726" t="str">
        <f t="shared" si="17"/>
        <v>2-01-01-02-027PAYABLE TO PERVEZ</v>
      </c>
      <c r="E275" s="413" t="s">
        <v>1051</v>
      </c>
      <c r="F275" s="412" t="s">
        <v>473</v>
      </c>
      <c r="G275" s="413" t="s">
        <v>1134</v>
      </c>
      <c r="H275" s="412" t="s">
        <v>1137</v>
      </c>
      <c r="I275" s="726" t="s">
        <v>1018</v>
      </c>
      <c r="J275" s="727">
        <f>VLOOKUP(A275,'Trial Balance June 2025'!$A$7:$S$522,17,0)</f>
        <v>0</v>
      </c>
      <c r="K275" s="727">
        <f>VLOOKUP(A275,'Trial Balance June 2025'!$A$8:$S$522,18,0)</f>
        <v>2020</v>
      </c>
      <c r="L275" s="727">
        <v>0</v>
      </c>
      <c r="M275" s="727">
        <v>0</v>
      </c>
      <c r="N275" s="727">
        <f t="shared" si="18"/>
        <v>0</v>
      </c>
      <c r="O275" s="727">
        <f t="shared" si="19"/>
        <v>2020</v>
      </c>
      <c r="P275" s="742">
        <f t="shared" si="20"/>
        <v>-2020</v>
      </c>
    </row>
    <row r="276" spans="1:16" ht="29">
      <c r="A276" s="725" t="s">
        <v>817</v>
      </c>
      <c r="B276" s="725"/>
      <c r="C276" s="726" t="s">
        <v>1662</v>
      </c>
      <c r="D276" s="726" t="str">
        <f t="shared" si="17"/>
        <v>2-01-01-02-027PAYABLE TO PERVEZ</v>
      </c>
      <c r="E276" s="413" t="s">
        <v>1051</v>
      </c>
      <c r="F276" s="412" t="s">
        <v>473</v>
      </c>
      <c r="G276" s="413" t="s">
        <v>1134</v>
      </c>
      <c r="H276" s="412" t="s">
        <v>1137</v>
      </c>
      <c r="I276" s="726" t="s">
        <v>1014</v>
      </c>
      <c r="J276" s="727">
        <f>VLOOKUP(A276,'Trial Balance June 2025'!$A$7:$S$522,17,0)</f>
        <v>0</v>
      </c>
      <c r="K276" s="727"/>
      <c r="L276" s="727">
        <v>0</v>
      </c>
      <c r="M276" s="727">
        <v>0</v>
      </c>
      <c r="N276" s="727">
        <f t="shared" si="18"/>
        <v>0</v>
      </c>
      <c r="O276" s="727">
        <f t="shared" si="19"/>
        <v>0</v>
      </c>
      <c r="P276" s="742">
        <f t="shared" si="20"/>
        <v>0</v>
      </c>
    </row>
    <row r="277" spans="1:16" ht="29">
      <c r="A277" s="725" t="s">
        <v>817</v>
      </c>
      <c r="B277" s="725"/>
      <c r="C277" s="726" t="s">
        <v>1662</v>
      </c>
      <c r="D277" s="726" t="str">
        <f t="shared" si="17"/>
        <v>2-01-01-02-027PAYABLE TO PERVEZ</v>
      </c>
      <c r="E277" s="413" t="s">
        <v>1051</v>
      </c>
      <c r="F277" s="412" t="s">
        <v>473</v>
      </c>
      <c r="G277" s="413" t="s">
        <v>1134</v>
      </c>
      <c r="H277" s="412" t="s">
        <v>1137</v>
      </c>
      <c r="I277" s="726" t="s">
        <v>974</v>
      </c>
      <c r="J277" s="727">
        <f>VLOOKUP(A277,'Trial Balance June 2025'!$A$7:$S$522,17,0)</f>
        <v>0</v>
      </c>
      <c r="K277" s="727"/>
      <c r="L277" s="727">
        <v>0</v>
      </c>
      <c r="M277" s="727">
        <v>0</v>
      </c>
      <c r="N277" s="727">
        <f t="shared" si="18"/>
        <v>0</v>
      </c>
      <c r="O277" s="727">
        <f t="shared" si="19"/>
        <v>0</v>
      </c>
      <c r="P277" s="742">
        <f t="shared" si="20"/>
        <v>0</v>
      </c>
    </row>
    <row r="278" spans="1:16" ht="29">
      <c r="A278" s="725" t="s">
        <v>817</v>
      </c>
      <c r="B278" s="725"/>
      <c r="C278" s="726" t="s">
        <v>1662</v>
      </c>
      <c r="D278" s="726" t="str">
        <f t="shared" si="17"/>
        <v>2-01-01-02-027PAYABLE TO PERVEZ</v>
      </c>
      <c r="E278" s="413" t="s">
        <v>1051</v>
      </c>
      <c r="F278" s="412" t="s">
        <v>473</v>
      </c>
      <c r="G278" s="413" t="s">
        <v>1134</v>
      </c>
      <c r="H278" s="412" t="s">
        <v>1137</v>
      </c>
      <c r="I278" s="726" t="s">
        <v>1276</v>
      </c>
      <c r="J278" s="727">
        <f>VLOOKUP(A278,'Trial Balance June 2025'!$A$7:$S$522,17,0)</f>
        <v>0</v>
      </c>
      <c r="K278" s="727"/>
      <c r="L278" s="727">
        <v>0</v>
      </c>
      <c r="M278" s="727">
        <v>0</v>
      </c>
      <c r="N278" s="727">
        <f t="shared" si="18"/>
        <v>0</v>
      </c>
      <c r="O278" s="727">
        <f t="shared" si="19"/>
        <v>0</v>
      </c>
      <c r="P278" s="742">
        <f t="shared" si="20"/>
        <v>0</v>
      </c>
    </row>
    <row r="279" spans="1:16" ht="29">
      <c r="A279" s="725" t="s">
        <v>817</v>
      </c>
      <c r="B279" s="725"/>
      <c r="C279" s="726" t="s">
        <v>1662</v>
      </c>
      <c r="D279" s="726" t="str">
        <f t="shared" si="17"/>
        <v>2-01-01-02-027PAYABLE TO PERVEZ</v>
      </c>
      <c r="E279" s="413" t="s">
        <v>1051</v>
      </c>
      <c r="F279" s="412" t="s">
        <v>473</v>
      </c>
      <c r="G279" s="413" t="s">
        <v>1134</v>
      </c>
      <c r="H279" s="412" t="s">
        <v>1137</v>
      </c>
      <c r="I279" s="726" t="s">
        <v>1021</v>
      </c>
      <c r="J279" s="727">
        <f>VLOOKUP(A279,'Trial Balance June 2025'!$A$7:$S$522,17,0)</f>
        <v>0</v>
      </c>
      <c r="K279" s="727"/>
      <c r="L279" s="727">
        <v>0</v>
      </c>
      <c r="M279" s="727">
        <v>0</v>
      </c>
      <c r="N279" s="727">
        <f t="shared" si="18"/>
        <v>0</v>
      </c>
      <c r="O279" s="727">
        <f t="shared" si="19"/>
        <v>0</v>
      </c>
      <c r="P279" s="742">
        <f t="shared" si="20"/>
        <v>0</v>
      </c>
    </row>
    <row r="280" spans="1:16" ht="29">
      <c r="A280" s="725" t="s">
        <v>817</v>
      </c>
      <c r="B280" s="725"/>
      <c r="C280" s="726" t="s">
        <v>1662</v>
      </c>
      <c r="D280" s="726" t="str">
        <f t="shared" si="17"/>
        <v>2-01-01-02-027PAYABLE TO PERVEZ</v>
      </c>
      <c r="E280" s="413" t="s">
        <v>1051</v>
      </c>
      <c r="F280" s="412" t="s">
        <v>473</v>
      </c>
      <c r="G280" s="413" t="s">
        <v>1134</v>
      </c>
      <c r="H280" s="412" t="s">
        <v>1137</v>
      </c>
      <c r="I280" s="726" t="s">
        <v>992</v>
      </c>
      <c r="J280" s="727">
        <f>VLOOKUP(A280,'Trial Balance June 2025'!$A$7:$S$522,17,0)</f>
        <v>0</v>
      </c>
      <c r="K280" s="727"/>
      <c r="L280" s="727">
        <v>0</v>
      </c>
      <c r="M280" s="727">
        <v>0</v>
      </c>
      <c r="N280" s="727">
        <f t="shared" si="18"/>
        <v>0</v>
      </c>
      <c r="O280" s="727">
        <f t="shared" si="19"/>
        <v>0</v>
      </c>
      <c r="P280" s="742">
        <f t="shared" si="20"/>
        <v>0</v>
      </c>
    </row>
    <row r="281" spans="1:16" ht="29">
      <c r="A281" s="725" t="s">
        <v>819</v>
      </c>
      <c r="B281" s="725"/>
      <c r="C281" s="726" t="s">
        <v>2121</v>
      </c>
      <c r="D281" s="726" t="str">
        <f t="shared" si="17"/>
        <v>2-01-01-02-031PAYABLE TO DEZAIRE</v>
      </c>
      <c r="E281" s="413" t="s">
        <v>1051</v>
      </c>
      <c r="F281" s="412" t="s">
        <v>473</v>
      </c>
      <c r="G281" s="413" t="s">
        <v>1134</v>
      </c>
      <c r="H281" s="412" t="s">
        <v>1137</v>
      </c>
      <c r="I281" s="726" t="s">
        <v>974</v>
      </c>
      <c r="J281" s="727">
        <f>VLOOKUP(A281,'Trial Balance June 2025'!$A$7:$S$522,17,0)</f>
        <v>0</v>
      </c>
      <c r="K281" s="727">
        <f>VLOOKUP(A281,'Trial Balance June 2025'!$A$8:$S$522,18,0)</f>
        <v>3516379.55</v>
      </c>
      <c r="L281" s="727">
        <v>0</v>
      </c>
      <c r="M281" s="727">
        <v>0</v>
      </c>
      <c r="N281" s="727">
        <f t="shared" si="18"/>
        <v>0</v>
      </c>
      <c r="O281" s="727">
        <f t="shared" si="19"/>
        <v>3516379.55</v>
      </c>
      <c r="P281" s="742">
        <f t="shared" si="20"/>
        <v>-3516379.55</v>
      </c>
    </row>
    <row r="282" spans="1:16" ht="29">
      <c r="A282" s="725" t="s">
        <v>819</v>
      </c>
      <c r="B282" s="725"/>
      <c r="C282" s="726" t="s">
        <v>2121</v>
      </c>
      <c r="D282" s="726" t="str">
        <f t="shared" si="17"/>
        <v>2-01-01-02-031PAYABLE TO DEZAIRE</v>
      </c>
      <c r="E282" s="413" t="s">
        <v>1051</v>
      </c>
      <c r="F282" s="412" t="s">
        <v>473</v>
      </c>
      <c r="G282" s="413" t="s">
        <v>1134</v>
      </c>
      <c r="H282" s="412" t="s">
        <v>1137</v>
      </c>
      <c r="I282" s="726" t="s">
        <v>1276</v>
      </c>
      <c r="J282" s="727">
        <f>VLOOKUP(A282,'Trial Balance June 2025'!$A$7:$S$522,17,0)</f>
        <v>0</v>
      </c>
      <c r="K282" s="727"/>
      <c r="L282" s="727">
        <v>0</v>
      </c>
      <c r="M282" s="727">
        <v>0</v>
      </c>
      <c r="N282" s="727">
        <f t="shared" si="18"/>
        <v>0</v>
      </c>
      <c r="O282" s="727">
        <f t="shared" si="19"/>
        <v>0</v>
      </c>
      <c r="P282" s="742">
        <f t="shared" si="20"/>
        <v>0</v>
      </c>
    </row>
    <row r="283" spans="1:16" ht="29">
      <c r="A283" s="725" t="s">
        <v>819</v>
      </c>
      <c r="B283" s="725"/>
      <c r="C283" s="726" t="s">
        <v>2121</v>
      </c>
      <c r="D283" s="726" t="str">
        <f t="shared" si="17"/>
        <v>2-01-01-02-031PAYABLE TO DEZAIRE</v>
      </c>
      <c r="E283" s="413" t="s">
        <v>1051</v>
      </c>
      <c r="F283" s="412" t="s">
        <v>473</v>
      </c>
      <c r="G283" s="413" t="s">
        <v>1134</v>
      </c>
      <c r="H283" s="412" t="s">
        <v>1137</v>
      </c>
      <c r="I283" s="726" t="s">
        <v>2072</v>
      </c>
      <c r="J283" s="727">
        <f>VLOOKUP(A283,'Trial Balance June 2025'!$A$7:$S$522,17,0)</f>
        <v>0</v>
      </c>
      <c r="K283" s="727"/>
      <c r="L283" s="727">
        <v>0</v>
      </c>
      <c r="M283" s="727">
        <v>0</v>
      </c>
      <c r="N283" s="727">
        <f t="shared" si="18"/>
        <v>0</v>
      </c>
      <c r="O283" s="727">
        <f t="shared" si="19"/>
        <v>0</v>
      </c>
      <c r="P283" s="742">
        <f t="shared" si="20"/>
        <v>0</v>
      </c>
    </row>
    <row r="284" spans="1:16" ht="29">
      <c r="A284" s="725" t="s">
        <v>819</v>
      </c>
      <c r="B284" s="725"/>
      <c r="C284" s="726" t="s">
        <v>2121</v>
      </c>
      <c r="D284" s="726" t="str">
        <f t="shared" si="17"/>
        <v>2-01-01-02-031PAYABLE TO DEZAIRE</v>
      </c>
      <c r="E284" s="413" t="s">
        <v>1051</v>
      </c>
      <c r="F284" s="412" t="s">
        <v>473</v>
      </c>
      <c r="G284" s="413" t="s">
        <v>1134</v>
      </c>
      <c r="H284" s="412" t="s">
        <v>1137</v>
      </c>
      <c r="I284" s="726" t="s">
        <v>1027</v>
      </c>
      <c r="J284" s="727">
        <f>VLOOKUP(A284,'Trial Balance June 2025'!$A$7:$S$522,17,0)</f>
        <v>0</v>
      </c>
      <c r="K284" s="727"/>
      <c r="L284" s="727">
        <v>0</v>
      </c>
      <c r="M284" s="727">
        <v>0</v>
      </c>
      <c r="N284" s="727">
        <f t="shared" si="18"/>
        <v>0</v>
      </c>
      <c r="O284" s="727">
        <f t="shared" si="19"/>
        <v>0</v>
      </c>
      <c r="P284" s="742">
        <f t="shared" si="20"/>
        <v>0</v>
      </c>
    </row>
    <row r="285" spans="1:16" ht="29">
      <c r="A285" s="725" t="s">
        <v>820</v>
      </c>
      <c r="B285" s="725"/>
      <c r="C285" s="726" t="s">
        <v>1663</v>
      </c>
      <c r="D285" s="726" t="str">
        <f t="shared" si="17"/>
        <v>2-01-01-02-033PLT LOAN PAYABLE</v>
      </c>
      <c r="E285" s="413" t="s">
        <v>1051</v>
      </c>
      <c r="F285" s="412" t="s">
        <v>473</v>
      </c>
      <c r="G285" s="413" t="s">
        <v>1134</v>
      </c>
      <c r="H285" s="412" t="s">
        <v>1137</v>
      </c>
      <c r="I285" s="726" t="s">
        <v>974</v>
      </c>
      <c r="J285" s="727">
        <f>VLOOKUP(A285,'Trial Balance June 2025'!$A$7:$S$522,17,0)</f>
        <v>36167146</v>
      </c>
      <c r="K285" s="727">
        <f>VLOOKUP(A285,'Trial Balance June 2025'!$A$8:$S$522,18,0)</f>
        <v>72802368</v>
      </c>
      <c r="L285" s="727">
        <v>0</v>
      </c>
      <c r="M285" s="727">
        <v>0</v>
      </c>
      <c r="N285" s="727">
        <f t="shared" si="18"/>
        <v>36167146</v>
      </c>
      <c r="O285" s="727">
        <f t="shared" si="19"/>
        <v>72802368</v>
      </c>
      <c r="P285" s="742">
        <f t="shared" si="20"/>
        <v>-36635222</v>
      </c>
    </row>
    <row r="286" spans="1:16" ht="29">
      <c r="A286" s="725" t="s">
        <v>821</v>
      </c>
      <c r="B286" s="725"/>
      <c r="C286" s="726" t="s">
        <v>1664</v>
      </c>
      <c r="D286" s="726" t="str">
        <f t="shared" si="17"/>
        <v>2-01-01-02-035PAYABLE TO M.YOUNIS</v>
      </c>
      <c r="E286" s="413" t="s">
        <v>1051</v>
      </c>
      <c r="F286" s="412" t="s">
        <v>473</v>
      </c>
      <c r="G286" s="413" t="s">
        <v>1134</v>
      </c>
      <c r="H286" s="412" t="s">
        <v>1137</v>
      </c>
      <c r="I286" s="726" t="s">
        <v>974</v>
      </c>
      <c r="J286" s="727">
        <f>VLOOKUP(A286,'Trial Balance June 2025'!$A$7:$S$522,17,0)</f>
        <v>0</v>
      </c>
      <c r="K286" s="727">
        <f>VLOOKUP(A286,'Trial Balance June 2025'!$A$8:$S$522,18,0)</f>
        <v>96906</v>
      </c>
      <c r="L286" s="727">
        <v>0</v>
      </c>
      <c r="M286" s="727">
        <v>0</v>
      </c>
      <c r="N286" s="727">
        <f t="shared" si="18"/>
        <v>0</v>
      </c>
      <c r="O286" s="727">
        <f t="shared" si="19"/>
        <v>96906</v>
      </c>
      <c r="P286" s="742">
        <f t="shared" si="20"/>
        <v>-96906</v>
      </c>
    </row>
    <row r="287" spans="1:16" ht="29">
      <c r="A287" s="725" t="s">
        <v>822</v>
      </c>
      <c r="B287" s="725"/>
      <c r="C287" s="726" t="s">
        <v>1665</v>
      </c>
      <c r="D287" s="726" t="str">
        <f t="shared" si="17"/>
        <v>2-01-01-02-037Payable to Maher Ali</v>
      </c>
      <c r="E287" s="413" t="s">
        <v>1051</v>
      </c>
      <c r="F287" s="412" t="s">
        <v>473</v>
      </c>
      <c r="G287" s="413" t="s">
        <v>1134</v>
      </c>
      <c r="H287" s="412" t="s">
        <v>1137</v>
      </c>
      <c r="I287" s="726" t="s">
        <v>2072</v>
      </c>
      <c r="J287" s="727">
        <f>VLOOKUP(A287,'Trial Balance June 2025'!$A$7:$S$522,17,0)</f>
        <v>0</v>
      </c>
      <c r="K287" s="727">
        <f>VLOOKUP(A287,'Trial Balance June 2025'!$A$8:$S$522,18,0)</f>
        <v>2</v>
      </c>
      <c r="L287" s="727">
        <v>0</v>
      </c>
      <c r="M287" s="727">
        <v>0</v>
      </c>
      <c r="N287" s="727">
        <f t="shared" si="18"/>
        <v>0</v>
      </c>
      <c r="O287" s="727">
        <f t="shared" si="19"/>
        <v>2</v>
      </c>
      <c r="P287" s="742">
        <f t="shared" si="20"/>
        <v>-2</v>
      </c>
    </row>
    <row r="288" spans="1:16" ht="29">
      <c r="A288" s="725" t="s">
        <v>823</v>
      </c>
      <c r="B288" s="725"/>
      <c r="C288" s="726" t="s">
        <v>1007</v>
      </c>
      <c r="D288" s="726" t="str">
        <f t="shared" si="17"/>
        <v>2-01-02-01-001SALARIES PAYABLE</v>
      </c>
      <c r="E288" s="413" t="s">
        <v>1051</v>
      </c>
      <c r="F288" s="412" t="s">
        <v>473</v>
      </c>
      <c r="G288" s="413" t="s">
        <v>1134</v>
      </c>
      <c r="H288" s="412" t="s">
        <v>1137</v>
      </c>
      <c r="I288" s="726" t="s">
        <v>974</v>
      </c>
      <c r="J288" s="727">
        <f>VLOOKUP(A288,'Trial Balance June 2025'!$A$7:$S$522,17,0)</f>
        <v>22599636</v>
      </c>
      <c r="K288" s="727">
        <f>VLOOKUP(A288,'Trial Balance June 2025'!$A$8:$S$522,18,0)</f>
        <v>22546028</v>
      </c>
      <c r="L288" s="727">
        <v>3178032</v>
      </c>
      <c r="M288" s="727">
        <v>3144536</v>
      </c>
      <c r="N288" s="727">
        <f t="shared" si="18"/>
        <v>25777668</v>
      </c>
      <c r="O288" s="727">
        <f t="shared" si="19"/>
        <v>25690564</v>
      </c>
      <c r="P288" s="742">
        <f t="shared" si="20"/>
        <v>87104</v>
      </c>
    </row>
    <row r="289" spans="1:16" ht="29">
      <c r="A289" s="725" t="s">
        <v>823</v>
      </c>
      <c r="B289" s="725"/>
      <c r="C289" s="726" t="s">
        <v>1007</v>
      </c>
      <c r="D289" s="726" t="str">
        <f t="shared" si="17"/>
        <v>2-01-02-01-001SALARIES PAYABLE</v>
      </c>
      <c r="E289" s="413" t="s">
        <v>1051</v>
      </c>
      <c r="F289" s="412" t="s">
        <v>473</v>
      </c>
      <c r="G289" s="413" t="s">
        <v>1134</v>
      </c>
      <c r="H289" s="412" t="s">
        <v>1137</v>
      </c>
      <c r="I289" s="726" t="s">
        <v>1025</v>
      </c>
      <c r="J289" s="727"/>
      <c r="K289" s="727"/>
      <c r="L289" s="727">
        <v>0</v>
      </c>
      <c r="M289" s="727">
        <v>0</v>
      </c>
      <c r="N289" s="727">
        <f t="shared" si="18"/>
        <v>0</v>
      </c>
      <c r="O289" s="727">
        <f t="shared" si="19"/>
        <v>0</v>
      </c>
      <c r="P289" s="742">
        <f t="shared" si="20"/>
        <v>0</v>
      </c>
    </row>
    <row r="290" spans="1:16" ht="29">
      <c r="A290" s="725" t="s">
        <v>823</v>
      </c>
      <c r="B290" s="725"/>
      <c r="C290" s="726" t="s">
        <v>1007</v>
      </c>
      <c r="D290" s="726" t="str">
        <f t="shared" si="17"/>
        <v>2-01-02-01-001SALARIES PAYABLE</v>
      </c>
      <c r="E290" s="413" t="s">
        <v>1051</v>
      </c>
      <c r="F290" s="412" t="s">
        <v>473</v>
      </c>
      <c r="G290" s="413" t="s">
        <v>1134</v>
      </c>
      <c r="H290" s="412" t="s">
        <v>1137</v>
      </c>
      <c r="I290" s="726" t="s">
        <v>992</v>
      </c>
      <c r="J290" s="727"/>
      <c r="K290" s="727"/>
      <c r="L290" s="727">
        <v>0</v>
      </c>
      <c r="M290" s="727">
        <v>0</v>
      </c>
      <c r="N290" s="727">
        <f t="shared" si="18"/>
        <v>0</v>
      </c>
      <c r="O290" s="727">
        <f t="shared" si="19"/>
        <v>0</v>
      </c>
      <c r="P290" s="742">
        <f t="shared" si="20"/>
        <v>0</v>
      </c>
    </row>
    <row r="291" spans="1:16" ht="29">
      <c r="A291" s="725" t="s">
        <v>823</v>
      </c>
      <c r="B291" s="725"/>
      <c r="C291" s="726" t="s">
        <v>1007</v>
      </c>
      <c r="D291" s="726" t="str">
        <f t="shared" si="17"/>
        <v>2-01-02-01-001SALARIES PAYABLE</v>
      </c>
      <c r="E291" s="413" t="s">
        <v>1051</v>
      </c>
      <c r="F291" s="412" t="s">
        <v>473</v>
      </c>
      <c r="G291" s="413" t="s">
        <v>1134</v>
      </c>
      <c r="H291" s="412" t="s">
        <v>1137</v>
      </c>
      <c r="I291" s="726" t="s">
        <v>1275</v>
      </c>
      <c r="J291" s="727"/>
      <c r="K291" s="727"/>
      <c r="L291" s="727">
        <v>6109243</v>
      </c>
      <c r="M291" s="727">
        <v>6142739</v>
      </c>
      <c r="N291" s="727">
        <f t="shared" si="18"/>
        <v>6109243</v>
      </c>
      <c r="O291" s="727">
        <f t="shared" si="19"/>
        <v>6142739</v>
      </c>
      <c r="P291" s="742">
        <f t="shared" si="20"/>
        <v>-33496</v>
      </c>
    </row>
    <row r="292" spans="1:16" ht="29">
      <c r="A292" s="725" t="s">
        <v>824</v>
      </c>
      <c r="B292" s="725"/>
      <c r="C292" s="726" t="s">
        <v>1666</v>
      </c>
      <c r="D292" s="726" t="str">
        <f t="shared" si="17"/>
        <v>2-01-02-01-004WATER &amp; SEWERAGE BILL</v>
      </c>
      <c r="E292" s="413" t="s">
        <v>1051</v>
      </c>
      <c r="F292" s="412" t="s">
        <v>473</v>
      </c>
      <c r="G292" s="413" t="s">
        <v>1134</v>
      </c>
      <c r="H292" s="412" t="s">
        <v>1137</v>
      </c>
      <c r="I292" s="726" t="s">
        <v>974</v>
      </c>
      <c r="J292" s="727">
        <f>VLOOKUP(A292,'Trial Balance June 2025'!$A$7:$S$522,17,0)</f>
        <v>0</v>
      </c>
      <c r="K292" s="727">
        <f>VLOOKUP(A292,'Trial Balance June 2025'!$A$8:$S$522,18,0)</f>
        <v>0</v>
      </c>
      <c r="L292" s="727">
        <v>0</v>
      </c>
      <c r="M292" s="727">
        <v>0</v>
      </c>
      <c r="N292" s="727">
        <f t="shared" si="18"/>
        <v>0</v>
      </c>
      <c r="O292" s="727">
        <f t="shared" si="19"/>
        <v>0</v>
      </c>
      <c r="P292" s="742">
        <f t="shared" si="20"/>
        <v>0</v>
      </c>
    </row>
    <row r="293" spans="1:16" ht="29">
      <c r="A293" s="725" t="s">
        <v>825</v>
      </c>
      <c r="B293" s="725"/>
      <c r="C293" s="726" t="s">
        <v>1005</v>
      </c>
      <c r="D293" s="726" t="str">
        <f t="shared" si="17"/>
        <v>2-01-02-01-005STAFF LUNCH CONTRIBUTION</v>
      </c>
      <c r="E293" s="413" t="s">
        <v>1051</v>
      </c>
      <c r="F293" s="412" t="s">
        <v>473</v>
      </c>
      <c r="G293" s="413" t="s">
        <v>1134</v>
      </c>
      <c r="H293" s="412" t="s">
        <v>1137</v>
      </c>
      <c r="I293" s="726" t="s">
        <v>974</v>
      </c>
      <c r="J293" s="727">
        <f>VLOOKUP(A293,'Trial Balance June 2025'!$A$7:$S$522,17,0)</f>
        <v>55500</v>
      </c>
      <c r="K293" s="727">
        <f>VLOOKUP(A293,'Trial Balance June 2025'!$A$8:$S$522,18,0)</f>
        <v>57900</v>
      </c>
      <c r="L293" s="727">
        <v>0</v>
      </c>
      <c r="M293" s="727">
        <v>0</v>
      </c>
      <c r="N293" s="727">
        <f t="shared" si="18"/>
        <v>55500</v>
      </c>
      <c r="O293" s="727">
        <f t="shared" si="19"/>
        <v>57900</v>
      </c>
      <c r="P293" s="742">
        <f t="shared" si="20"/>
        <v>-2400</v>
      </c>
    </row>
    <row r="294" spans="1:16" ht="29">
      <c r="A294" s="725" t="s">
        <v>1226</v>
      </c>
      <c r="B294" s="725"/>
      <c r="C294" s="726" t="s">
        <v>1667</v>
      </c>
      <c r="D294" s="726" t="str">
        <f t="shared" si="17"/>
        <v>2-01-02-01-009ACCRUED LIABILITIES - 2010</v>
      </c>
      <c r="E294" s="413" t="s">
        <v>1051</v>
      </c>
      <c r="F294" s="412" t="s">
        <v>473</v>
      </c>
      <c r="G294" s="413" t="s">
        <v>1134</v>
      </c>
      <c r="H294" s="412" t="s">
        <v>1137</v>
      </c>
      <c r="I294" s="726" t="s">
        <v>974</v>
      </c>
      <c r="J294" s="727">
        <f>VLOOKUP(A294,'Trial Balance June 2025'!$A$7:$S$522,17,0)</f>
        <v>0</v>
      </c>
      <c r="K294" s="727">
        <f>VLOOKUP(A294,'Trial Balance June 2025'!$A$8:$S$522,18,0)</f>
        <v>0</v>
      </c>
      <c r="L294" s="727">
        <v>0</v>
      </c>
      <c r="M294" s="727">
        <v>0</v>
      </c>
      <c r="N294" s="727">
        <f t="shared" si="18"/>
        <v>0</v>
      </c>
      <c r="O294" s="727">
        <f t="shared" si="19"/>
        <v>0</v>
      </c>
      <c r="P294" s="742">
        <f t="shared" si="20"/>
        <v>0</v>
      </c>
    </row>
    <row r="295" spans="1:16" ht="29">
      <c r="A295" s="725" t="s">
        <v>826</v>
      </c>
      <c r="B295" s="725"/>
      <c r="C295" s="726" t="s">
        <v>976</v>
      </c>
      <c r="D295" s="726" t="str">
        <f t="shared" si="17"/>
        <v>2-01-02-01-011ACCURED EXPENSES</v>
      </c>
      <c r="E295" s="413" t="s">
        <v>1051</v>
      </c>
      <c r="F295" s="412" t="s">
        <v>473</v>
      </c>
      <c r="G295" s="413" t="s">
        <v>1134</v>
      </c>
      <c r="H295" s="412" t="s">
        <v>1135</v>
      </c>
      <c r="I295" s="726" t="s">
        <v>1013</v>
      </c>
      <c r="J295" s="727">
        <f>VLOOKUP(A295,'Trial Balance June 2025'!$A$7:$S$522,17,0)</f>
        <v>5519251</v>
      </c>
      <c r="K295" s="727">
        <f>VLOOKUP(A295,'Trial Balance June 2025'!$A$8:$S$522,18,0)</f>
        <v>4760392.2966282675</v>
      </c>
      <c r="L295" s="727">
        <v>0</v>
      </c>
      <c r="M295" s="727">
        <v>0</v>
      </c>
      <c r="N295" s="727">
        <f t="shared" si="18"/>
        <v>5519251</v>
      </c>
      <c r="O295" s="727">
        <f t="shared" si="19"/>
        <v>4760392.2966282675</v>
      </c>
      <c r="P295" s="742">
        <f t="shared" si="20"/>
        <v>758858.7033717325</v>
      </c>
    </row>
    <row r="296" spans="1:16" ht="29">
      <c r="A296" s="725" t="s">
        <v>826</v>
      </c>
      <c r="B296" s="725"/>
      <c r="C296" s="726" t="s">
        <v>976</v>
      </c>
      <c r="D296" s="726" t="str">
        <f t="shared" si="17"/>
        <v>2-01-02-01-011ACCURED EXPENSES</v>
      </c>
      <c r="E296" s="413" t="s">
        <v>1051</v>
      </c>
      <c r="F296" s="412" t="s">
        <v>473</v>
      </c>
      <c r="G296" s="413" t="s">
        <v>1134</v>
      </c>
      <c r="H296" s="412" t="s">
        <v>1135</v>
      </c>
      <c r="I296" s="726" t="s">
        <v>974</v>
      </c>
      <c r="J296" s="727"/>
      <c r="K296" s="727"/>
      <c r="L296" s="727">
        <v>0</v>
      </c>
      <c r="M296" s="727">
        <v>0</v>
      </c>
      <c r="N296" s="727">
        <f t="shared" si="18"/>
        <v>0</v>
      </c>
      <c r="O296" s="727">
        <f t="shared" si="19"/>
        <v>0</v>
      </c>
      <c r="P296" s="742">
        <f t="shared" si="20"/>
        <v>0</v>
      </c>
    </row>
    <row r="297" spans="1:16" ht="29">
      <c r="A297" s="725" t="s">
        <v>826</v>
      </c>
      <c r="B297" s="725"/>
      <c r="C297" s="726" t="s">
        <v>976</v>
      </c>
      <c r="D297" s="726" t="str">
        <f t="shared" si="17"/>
        <v>2-01-02-01-011ACCURED EXPENSES</v>
      </c>
      <c r="E297" s="413" t="s">
        <v>1051</v>
      </c>
      <c r="F297" s="412" t="s">
        <v>473</v>
      </c>
      <c r="G297" s="413" t="s">
        <v>1134</v>
      </c>
      <c r="H297" s="412" t="s">
        <v>1135</v>
      </c>
      <c r="I297" s="726" t="s">
        <v>1722</v>
      </c>
      <c r="J297" s="727"/>
      <c r="K297" s="727"/>
      <c r="L297" s="727">
        <v>0</v>
      </c>
      <c r="M297" s="727">
        <v>0</v>
      </c>
      <c r="N297" s="727">
        <f t="shared" si="18"/>
        <v>0</v>
      </c>
      <c r="O297" s="727">
        <f t="shared" si="19"/>
        <v>0</v>
      </c>
      <c r="P297" s="742">
        <f t="shared" si="20"/>
        <v>0</v>
      </c>
    </row>
    <row r="298" spans="1:16" ht="29">
      <c r="A298" s="725" t="s">
        <v>826</v>
      </c>
      <c r="B298" s="725"/>
      <c r="C298" s="726" t="s">
        <v>976</v>
      </c>
      <c r="D298" s="726" t="str">
        <f t="shared" si="17"/>
        <v>2-01-02-01-011ACCURED EXPENSES</v>
      </c>
      <c r="E298" s="413" t="s">
        <v>1051</v>
      </c>
      <c r="F298" s="412" t="s">
        <v>473</v>
      </c>
      <c r="G298" s="413" t="s">
        <v>1134</v>
      </c>
      <c r="H298" s="412" t="s">
        <v>1135</v>
      </c>
      <c r="I298" s="726" t="s">
        <v>1276</v>
      </c>
      <c r="J298" s="727"/>
      <c r="K298" s="727"/>
      <c r="L298" s="727">
        <v>0</v>
      </c>
      <c r="M298" s="727">
        <v>0</v>
      </c>
      <c r="N298" s="727">
        <f t="shared" si="18"/>
        <v>0</v>
      </c>
      <c r="O298" s="727">
        <f t="shared" si="19"/>
        <v>0</v>
      </c>
      <c r="P298" s="742">
        <f t="shared" si="20"/>
        <v>0</v>
      </c>
    </row>
    <row r="299" spans="1:16" ht="29">
      <c r="A299" s="725" t="s">
        <v>826</v>
      </c>
      <c r="B299" s="725"/>
      <c r="C299" s="726" t="s">
        <v>976</v>
      </c>
      <c r="D299" s="726" t="str">
        <f t="shared" si="17"/>
        <v>2-01-02-01-011ACCURED EXPENSES</v>
      </c>
      <c r="E299" s="413" t="s">
        <v>1051</v>
      </c>
      <c r="F299" s="412" t="s">
        <v>473</v>
      </c>
      <c r="G299" s="413" t="s">
        <v>1134</v>
      </c>
      <c r="H299" s="412" t="s">
        <v>1135</v>
      </c>
      <c r="I299" s="726" t="s">
        <v>1021</v>
      </c>
      <c r="J299" s="727"/>
      <c r="K299" s="727"/>
      <c r="L299" s="727">
        <v>0</v>
      </c>
      <c r="M299" s="727">
        <v>0</v>
      </c>
      <c r="N299" s="727">
        <f t="shared" si="18"/>
        <v>0</v>
      </c>
      <c r="O299" s="727">
        <f t="shared" si="19"/>
        <v>0</v>
      </c>
      <c r="P299" s="742">
        <f t="shared" si="20"/>
        <v>0</v>
      </c>
    </row>
    <row r="300" spans="1:16" ht="29">
      <c r="A300" s="725" t="s">
        <v>826</v>
      </c>
      <c r="B300" s="725"/>
      <c r="C300" s="726" t="s">
        <v>976</v>
      </c>
      <c r="D300" s="726" t="str">
        <f t="shared" si="17"/>
        <v>2-01-02-01-011ACCURED EXPENSES</v>
      </c>
      <c r="E300" s="413" t="s">
        <v>1051</v>
      </c>
      <c r="F300" s="412" t="s">
        <v>473</v>
      </c>
      <c r="G300" s="413" t="s">
        <v>1134</v>
      </c>
      <c r="H300" s="412" t="s">
        <v>1135</v>
      </c>
      <c r="I300" s="726" t="s">
        <v>2072</v>
      </c>
      <c r="J300" s="727"/>
      <c r="K300" s="727"/>
      <c r="L300" s="727">
        <v>0</v>
      </c>
      <c r="M300" s="727">
        <v>0</v>
      </c>
      <c r="N300" s="727">
        <f t="shared" si="18"/>
        <v>0</v>
      </c>
      <c r="O300" s="727">
        <f t="shared" si="19"/>
        <v>0</v>
      </c>
      <c r="P300" s="742">
        <f t="shared" si="20"/>
        <v>0</v>
      </c>
    </row>
    <row r="301" spans="1:16" ht="29">
      <c r="A301" s="725" t="s">
        <v>826</v>
      </c>
      <c r="B301" s="725"/>
      <c r="C301" s="726" t="s">
        <v>976</v>
      </c>
      <c r="D301" s="726" t="str">
        <f t="shared" si="17"/>
        <v>2-01-02-01-011ACCURED EXPENSES</v>
      </c>
      <c r="E301" s="413" t="s">
        <v>1051</v>
      </c>
      <c r="F301" s="412" t="s">
        <v>473</v>
      </c>
      <c r="G301" s="413" t="s">
        <v>1134</v>
      </c>
      <c r="H301" s="412" t="s">
        <v>1135</v>
      </c>
      <c r="I301" s="726" t="s">
        <v>1019</v>
      </c>
      <c r="J301" s="727"/>
      <c r="K301" s="727"/>
      <c r="L301" s="727">
        <v>0</v>
      </c>
      <c r="M301" s="727">
        <v>0</v>
      </c>
      <c r="N301" s="727">
        <f t="shared" si="18"/>
        <v>0</v>
      </c>
      <c r="O301" s="727">
        <f t="shared" si="19"/>
        <v>0</v>
      </c>
      <c r="P301" s="742">
        <f t="shared" si="20"/>
        <v>0</v>
      </c>
    </row>
    <row r="302" spans="1:16" ht="29">
      <c r="A302" s="725" t="s">
        <v>826</v>
      </c>
      <c r="B302" s="725"/>
      <c r="C302" s="726" t="s">
        <v>976</v>
      </c>
      <c r="D302" s="726" t="str">
        <f t="shared" si="17"/>
        <v>2-01-02-01-011ACCURED EXPENSES</v>
      </c>
      <c r="E302" s="413" t="s">
        <v>1051</v>
      </c>
      <c r="F302" s="412" t="s">
        <v>473</v>
      </c>
      <c r="G302" s="413" t="s">
        <v>1134</v>
      </c>
      <c r="H302" s="412" t="s">
        <v>1135</v>
      </c>
      <c r="I302" s="726" t="s">
        <v>1275</v>
      </c>
      <c r="J302" s="727">
        <f>VLOOKUP(A302,'Trial Balance June 2025'!$A$7:$S$522,17,0)</f>
        <v>5519251</v>
      </c>
      <c r="K302" s="727">
        <f>VLOOKUP(A302,'Trial Balance June 2025'!$A$8:$S$522,18,0)</f>
        <v>4760392.2966282675</v>
      </c>
      <c r="L302" s="727">
        <v>0</v>
      </c>
      <c r="M302" s="727">
        <v>0</v>
      </c>
      <c r="N302" s="727">
        <f t="shared" si="18"/>
        <v>5519251</v>
      </c>
      <c r="O302" s="727">
        <f t="shared" si="19"/>
        <v>4760392.2966282675</v>
      </c>
      <c r="P302" s="742">
        <f t="shared" si="20"/>
        <v>758858.7033717325</v>
      </c>
    </row>
    <row r="303" spans="1:16" ht="29">
      <c r="A303" s="725" t="s">
        <v>827</v>
      </c>
      <c r="B303" s="725"/>
      <c r="C303" s="726" t="s">
        <v>1004</v>
      </c>
      <c r="D303" s="726" t="str">
        <f t="shared" si="17"/>
        <v>2-01-02-01-015EOBI PAYABLE</v>
      </c>
      <c r="E303" s="413" t="s">
        <v>1051</v>
      </c>
      <c r="F303" s="412" t="s">
        <v>473</v>
      </c>
      <c r="G303" s="413" t="s">
        <v>1134</v>
      </c>
      <c r="H303" s="412" t="s">
        <v>1137</v>
      </c>
      <c r="I303" s="726" t="s">
        <v>974</v>
      </c>
      <c r="J303" s="727">
        <f>VLOOKUP(A303,'Trial Balance June 2025'!$A$7:$S$522,17,0)</f>
        <v>668415</v>
      </c>
      <c r="K303" s="727">
        <f>VLOOKUP(A303,'Trial Balance June 2025'!$A$8:$S$522,18,0)</f>
        <v>657570</v>
      </c>
      <c r="L303" s="727">
        <v>266400</v>
      </c>
      <c r="M303" s="727">
        <v>266700</v>
      </c>
      <c r="N303" s="727">
        <f t="shared" si="18"/>
        <v>934815</v>
      </c>
      <c r="O303" s="727">
        <f t="shared" si="19"/>
        <v>924270</v>
      </c>
      <c r="P303" s="742">
        <f t="shared" si="20"/>
        <v>10545</v>
      </c>
    </row>
    <row r="304" spans="1:16" ht="29">
      <c r="A304" s="725" t="s">
        <v>827</v>
      </c>
      <c r="B304" s="725"/>
      <c r="C304" s="726" t="s">
        <v>1004</v>
      </c>
      <c r="D304" s="726" t="str">
        <f t="shared" si="17"/>
        <v>2-01-02-01-015EOBI PAYABLE</v>
      </c>
      <c r="E304" s="413" t="s">
        <v>1051</v>
      </c>
      <c r="F304" s="412" t="s">
        <v>473</v>
      </c>
      <c r="G304" s="413" t="s">
        <v>1134</v>
      </c>
      <c r="H304" s="412" t="s">
        <v>1137</v>
      </c>
      <c r="I304" s="726" t="s">
        <v>1276</v>
      </c>
      <c r="J304" s="727"/>
      <c r="K304" s="727"/>
      <c r="L304" s="727">
        <v>0</v>
      </c>
      <c r="M304" s="727">
        <v>0</v>
      </c>
      <c r="N304" s="727">
        <f t="shared" si="18"/>
        <v>0</v>
      </c>
      <c r="O304" s="727">
        <f t="shared" si="19"/>
        <v>0</v>
      </c>
      <c r="P304" s="742">
        <f t="shared" si="20"/>
        <v>0</v>
      </c>
    </row>
    <row r="305" spans="1:16" ht="29">
      <c r="A305" s="725" t="s">
        <v>828</v>
      </c>
      <c r="B305" s="725"/>
      <c r="C305" s="726" t="s">
        <v>1668</v>
      </c>
      <c r="D305" s="726" t="str">
        <f t="shared" si="17"/>
        <v>2-01-02-01-016SESSI PAYABLE</v>
      </c>
      <c r="E305" s="413" t="s">
        <v>1051</v>
      </c>
      <c r="F305" s="412" t="s">
        <v>473</v>
      </c>
      <c r="G305" s="413" t="s">
        <v>1134</v>
      </c>
      <c r="H305" s="412" t="s">
        <v>1137</v>
      </c>
      <c r="I305" s="726" t="s">
        <v>974</v>
      </c>
      <c r="J305" s="727">
        <f>VLOOKUP(A305,'Trial Balance June 2025'!$A$7:$S$522,17,0)</f>
        <v>23896</v>
      </c>
      <c r="K305" s="727">
        <f>VLOOKUP(A305,'Trial Balance June 2025'!$A$8:$S$522,18,0)</f>
        <v>14100</v>
      </c>
      <c r="L305" s="727">
        <v>0</v>
      </c>
      <c r="M305" s="727">
        <v>0</v>
      </c>
      <c r="N305" s="727">
        <f t="shared" si="18"/>
        <v>23896</v>
      </c>
      <c r="O305" s="727">
        <f t="shared" si="19"/>
        <v>14100</v>
      </c>
      <c r="P305" s="742">
        <f t="shared" si="20"/>
        <v>9796</v>
      </c>
    </row>
    <row r="306" spans="1:16" ht="29">
      <c r="A306" s="725" t="s">
        <v>829</v>
      </c>
      <c r="B306" s="725"/>
      <c r="C306" s="726" t="s">
        <v>1669</v>
      </c>
      <c r="D306" s="726" t="str">
        <f t="shared" si="17"/>
        <v>2-01-02-02-001SUPPLIER INCOME TAX WITHHOLD</v>
      </c>
      <c r="E306" s="413" t="s">
        <v>1051</v>
      </c>
      <c r="F306" s="412" t="s">
        <v>473</v>
      </c>
      <c r="G306" s="413" t="s">
        <v>1134</v>
      </c>
      <c r="H306" s="412" t="s">
        <v>1137</v>
      </c>
      <c r="I306" s="726" t="s">
        <v>974</v>
      </c>
      <c r="J306" s="727">
        <f>VLOOKUP(A306,'Trial Balance June 2025'!$A$7:$S$522,17,0)</f>
        <v>1689810</v>
      </c>
      <c r="K306" s="727">
        <f>VLOOKUP(A306,'Trial Balance June 2025'!$A$8:$S$522,18,0)</f>
        <v>1859747</v>
      </c>
      <c r="L306" s="727">
        <v>431192</v>
      </c>
      <c r="M306" s="727">
        <v>431192</v>
      </c>
      <c r="N306" s="727">
        <f t="shared" si="18"/>
        <v>2121002</v>
      </c>
      <c r="O306" s="727">
        <f t="shared" si="19"/>
        <v>2290939</v>
      </c>
      <c r="P306" s="742">
        <f t="shared" si="20"/>
        <v>-169937</v>
      </c>
    </row>
    <row r="307" spans="1:16" ht="29">
      <c r="A307" s="725" t="s">
        <v>829</v>
      </c>
      <c r="B307" s="725"/>
      <c r="C307" s="726" t="s">
        <v>1669</v>
      </c>
      <c r="D307" s="726" t="str">
        <f t="shared" si="17"/>
        <v>2-01-02-02-001SUPPLIER INCOME TAX WITHHOLD</v>
      </c>
      <c r="E307" s="413" t="s">
        <v>1051</v>
      </c>
      <c r="F307" s="412" t="s">
        <v>473</v>
      </c>
      <c r="G307" s="413" t="s">
        <v>1134</v>
      </c>
      <c r="H307" s="412" t="s">
        <v>1137</v>
      </c>
      <c r="I307" s="726" t="s">
        <v>1275</v>
      </c>
      <c r="J307" s="727"/>
      <c r="K307" s="727"/>
      <c r="L307" s="727">
        <v>0</v>
      </c>
      <c r="M307" s="727">
        <v>0</v>
      </c>
      <c r="N307" s="727">
        <f t="shared" si="18"/>
        <v>0</v>
      </c>
      <c r="O307" s="727">
        <f t="shared" si="19"/>
        <v>0</v>
      </c>
      <c r="P307" s="742">
        <f t="shared" si="20"/>
        <v>0</v>
      </c>
    </row>
    <row r="308" spans="1:16" ht="29">
      <c r="A308" s="725" t="s">
        <v>829</v>
      </c>
      <c r="B308" s="725"/>
      <c r="C308" s="726" t="s">
        <v>1669</v>
      </c>
      <c r="D308" s="726" t="str">
        <f t="shared" si="17"/>
        <v>2-01-02-02-001SUPPLIER INCOME TAX WITHHOLD</v>
      </c>
      <c r="E308" s="413" t="s">
        <v>1051</v>
      </c>
      <c r="F308" s="412" t="s">
        <v>473</v>
      </c>
      <c r="G308" s="413" t="s">
        <v>1134</v>
      </c>
      <c r="H308" s="412" t="s">
        <v>1137</v>
      </c>
      <c r="I308" s="726" t="s">
        <v>1723</v>
      </c>
      <c r="J308" s="727"/>
      <c r="K308" s="727"/>
      <c r="L308" s="727">
        <v>0</v>
      </c>
      <c r="M308" s="727">
        <v>0</v>
      </c>
      <c r="N308" s="727">
        <f t="shared" si="18"/>
        <v>0</v>
      </c>
      <c r="O308" s="727">
        <f t="shared" si="19"/>
        <v>0</v>
      </c>
      <c r="P308" s="742">
        <f t="shared" si="20"/>
        <v>0</v>
      </c>
    </row>
    <row r="309" spans="1:16" ht="29">
      <c r="A309" s="725" t="s">
        <v>830</v>
      </c>
      <c r="B309" s="725"/>
      <c r="C309" s="726" t="s">
        <v>1003</v>
      </c>
      <c r="D309" s="726" t="str">
        <f t="shared" si="17"/>
        <v>2-01-02-02-002STAFF INCOME TAX WITHHOLD</v>
      </c>
      <c r="E309" s="413" t="s">
        <v>1051</v>
      </c>
      <c r="F309" s="412" t="s">
        <v>473</v>
      </c>
      <c r="G309" s="413" t="s">
        <v>1134</v>
      </c>
      <c r="H309" s="412" t="s">
        <v>1137</v>
      </c>
      <c r="I309" s="726" t="s">
        <v>974</v>
      </c>
      <c r="J309" s="727">
        <f>VLOOKUP(A309,'Trial Balance June 2025'!$A$7:$S$522,17,0)</f>
        <v>838478</v>
      </c>
      <c r="K309" s="727">
        <f>VLOOKUP(A309,'Trial Balance June 2025'!$A$8:$S$522,18,0)</f>
        <v>888958</v>
      </c>
      <c r="L309" s="727">
        <v>287064</v>
      </c>
      <c r="M309" s="727">
        <v>279800</v>
      </c>
      <c r="N309" s="727">
        <f t="shared" si="18"/>
        <v>1125542</v>
      </c>
      <c r="O309" s="727">
        <f t="shared" si="19"/>
        <v>1168758</v>
      </c>
      <c r="P309" s="742">
        <f t="shared" si="20"/>
        <v>-43216</v>
      </c>
    </row>
    <row r="310" spans="1:16" ht="29">
      <c r="A310" s="725" t="s">
        <v>830</v>
      </c>
      <c r="B310" s="725"/>
      <c r="C310" s="726" t="s">
        <v>1003</v>
      </c>
      <c r="D310" s="726" t="str">
        <f t="shared" si="17"/>
        <v>2-01-02-02-002STAFF INCOME TAX WITHHOLD</v>
      </c>
      <c r="E310" s="413" t="s">
        <v>1051</v>
      </c>
      <c r="F310" s="412" t="s">
        <v>473</v>
      </c>
      <c r="G310" s="413" t="s">
        <v>1134</v>
      </c>
      <c r="H310" s="412" t="s">
        <v>1137</v>
      </c>
      <c r="I310" s="726" t="s">
        <v>1723</v>
      </c>
      <c r="J310" s="727"/>
      <c r="K310" s="727"/>
      <c r="L310" s="727">
        <v>0</v>
      </c>
      <c r="M310" s="727">
        <v>7263</v>
      </c>
      <c r="N310" s="727">
        <f t="shared" si="18"/>
        <v>0</v>
      </c>
      <c r="O310" s="727">
        <f t="shared" si="19"/>
        <v>7263</v>
      </c>
      <c r="P310" s="742">
        <f t="shared" si="20"/>
        <v>-7263</v>
      </c>
    </row>
    <row r="311" spans="1:16" ht="29">
      <c r="A311" s="725" t="s">
        <v>1341</v>
      </c>
      <c r="B311" s="725"/>
      <c r="C311" s="726" t="s">
        <v>1342</v>
      </c>
      <c r="D311" s="726" t="str">
        <f t="shared" si="17"/>
        <v>2-01-02-02-003PROVISION FOR INCOME TAX</v>
      </c>
      <c r="E311" s="413" t="s">
        <v>1051</v>
      </c>
      <c r="F311" s="412" t="s">
        <v>473</v>
      </c>
      <c r="G311" s="413" t="s">
        <v>1134</v>
      </c>
      <c r="H311" s="412" t="s">
        <v>1137</v>
      </c>
      <c r="I311" s="726" t="s">
        <v>974</v>
      </c>
      <c r="J311" s="727">
        <f>VLOOKUP(A311,'Trial Balance June 2025'!$A$7:$S$522,17,0)</f>
        <v>0</v>
      </c>
      <c r="K311" s="727">
        <f>VLOOKUP(A311,'Trial Balance June 2025'!$A$8:$S$522,18,0)</f>
        <v>0</v>
      </c>
      <c r="L311" s="727">
        <v>0</v>
      </c>
      <c r="M311" s="727">
        <v>0</v>
      </c>
      <c r="N311" s="727">
        <f t="shared" si="18"/>
        <v>0</v>
      </c>
      <c r="O311" s="727">
        <f t="shared" si="19"/>
        <v>0</v>
      </c>
      <c r="P311" s="742">
        <f t="shared" si="20"/>
        <v>0</v>
      </c>
    </row>
    <row r="312" spans="1:16" ht="29">
      <c r="A312" s="725" t="s">
        <v>831</v>
      </c>
      <c r="B312" s="725"/>
      <c r="C312" s="726" t="s">
        <v>1670</v>
      </c>
      <c r="D312" s="726" t="str">
        <f t="shared" si="17"/>
        <v>2-01-02-02-004SALES TAX WITHHOLD</v>
      </c>
      <c r="E312" s="413" t="s">
        <v>1051</v>
      </c>
      <c r="F312" s="412" t="s">
        <v>473</v>
      </c>
      <c r="G312" s="413" t="s">
        <v>1134</v>
      </c>
      <c r="H312" s="412" t="s">
        <v>1137</v>
      </c>
      <c r="I312" s="726" t="s">
        <v>974</v>
      </c>
      <c r="J312" s="727">
        <f>VLOOKUP(A312,'Trial Balance June 2025'!$A$7:$S$522,17,0)</f>
        <v>0</v>
      </c>
      <c r="K312" s="727">
        <f>VLOOKUP(A312,'Trial Balance June 2025'!$A$8:$S$522,18,0)</f>
        <v>3106</v>
      </c>
      <c r="L312" s="727">
        <v>0</v>
      </c>
      <c r="M312" s="727">
        <v>0</v>
      </c>
      <c r="N312" s="727">
        <f t="shared" si="18"/>
        <v>0</v>
      </c>
      <c r="O312" s="727">
        <f t="shared" si="19"/>
        <v>3106</v>
      </c>
      <c r="P312" s="742">
        <f t="shared" si="20"/>
        <v>-3106</v>
      </c>
    </row>
    <row r="313" spans="1:16" ht="29">
      <c r="A313" s="725" t="s">
        <v>832</v>
      </c>
      <c r="B313" s="725"/>
      <c r="C313" s="726" t="s">
        <v>1137</v>
      </c>
      <c r="D313" s="726" t="str">
        <f t="shared" si="17"/>
        <v>2-01-03-01-002Other Liabilities</v>
      </c>
      <c r="E313" s="413" t="s">
        <v>1051</v>
      </c>
      <c r="F313" s="412" t="s">
        <v>473</v>
      </c>
      <c r="G313" s="413" t="s">
        <v>1134</v>
      </c>
      <c r="H313" s="412" t="s">
        <v>1137</v>
      </c>
      <c r="I313" s="726" t="s">
        <v>974</v>
      </c>
      <c r="J313" s="727">
        <f>VLOOKUP(A313,'Trial Balance June 2025'!$A$7:$S$522,17,0)</f>
        <v>194400</v>
      </c>
      <c r="K313" s="727">
        <f>VLOOKUP(A313,'Trial Balance June 2025'!$A$8:$S$522,18,0)</f>
        <v>383288</v>
      </c>
      <c r="L313" s="727">
        <v>0</v>
      </c>
      <c r="M313" s="727">
        <v>0</v>
      </c>
      <c r="N313" s="727">
        <f t="shared" si="18"/>
        <v>194400</v>
      </c>
      <c r="O313" s="727">
        <f t="shared" si="19"/>
        <v>383288</v>
      </c>
      <c r="P313" s="742">
        <f t="shared" si="20"/>
        <v>-188888</v>
      </c>
    </row>
    <row r="314" spans="1:16" ht="29">
      <c r="A314" s="725" t="s">
        <v>832</v>
      </c>
      <c r="B314" s="725"/>
      <c r="C314" s="726" t="s">
        <v>1137</v>
      </c>
      <c r="D314" s="726" t="str">
        <f t="shared" si="17"/>
        <v>2-01-03-01-002Other Liabilities</v>
      </c>
      <c r="E314" s="413" t="s">
        <v>1051</v>
      </c>
      <c r="F314" s="412" t="s">
        <v>473</v>
      </c>
      <c r="G314" s="413" t="s">
        <v>1134</v>
      </c>
      <c r="H314" s="412" t="s">
        <v>1137</v>
      </c>
      <c r="I314" s="726" t="s">
        <v>1012</v>
      </c>
      <c r="J314" s="727"/>
      <c r="K314" s="727"/>
      <c r="L314" s="727">
        <v>0</v>
      </c>
      <c r="M314" s="727">
        <v>0</v>
      </c>
      <c r="N314" s="727">
        <f t="shared" si="18"/>
        <v>0</v>
      </c>
      <c r="O314" s="727">
        <f t="shared" si="19"/>
        <v>0</v>
      </c>
      <c r="P314" s="742">
        <f t="shared" si="20"/>
        <v>0</v>
      </c>
    </row>
    <row r="315" spans="1:16" ht="29">
      <c r="A315" s="725" t="s">
        <v>832</v>
      </c>
      <c r="B315" s="725"/>
      <c r="C315" s="726" t="s">
        <v>1137</v>
      </c>
      <c r="D315" s="726" t="str">
        <f t="shared" si="17"/>
        <v>2-01-03-01-002Other Liabilities</v>
      </c>
      <c r="E315" s="413" t="s">
        <v>1051</v>
      </c>
      <c r="F315" s="412" t="s">
        <v>473</v>
      </c>
      <c r="G315" s="413" t="s">
        <v>1134</v>
      </c>
      <c r="H315" s="412" t="s">
        <v>1137</v>
      </c>
      <c r="I315" s="726" t="s">
        <v>2072</v>
      </c>
      <c r="J315" s="727"/>
      <c r="K315" s="727"/>
      <c r="L315" s="727">
        <v>0</v>
      </c>
      <c r="M315" s="727">
        <v>0</v>
      </c>
      <c r="N315" s="727">
        <f t="shared" si="18"/>
        <v>0</v>
      </c>
      <c r="O315" s="727">
        <f t="shared" si="19"/>
        <v>0</v>
      </c>
      <c r="P315" s="742">
        <f t="shared" si="20"/>
        <v>0</v>
      </c>
    </row>
    <row r="316" spans="1:16" ht="29.5" thickBot="1">
      <c r="A316" s="725" t="s">
        <v>833</v>
      </c>
      <c r="B316" s="725"/>
      <c r="C316" s="726" t="s">
        <v>1671</v>
      </c>
      <c r="D316" s="726" t="str">
        <f t="shared" si="17"/>
        <v>2-02-01-01-001STAFF GRATUITY PAYABLE ACCOUNT</v>
      </c>
      <c r="E316" s="413" t="s">
        <v>1051</v>
      </c>
      <c r="F316" s="412" t="s">
        <v>473</v>
      </c>
      <c r="G316" s="413" t="s">
        <v>1134</v>
      </c>
      <c r="H316" s="412" t="s">
        <v>1137</v>
      </c>
      <c r="I316" s="726" t="s">
        <v>974</v>
      </c>
      <c r="J316" s="727">
        <f>VLOOKUP(A316,'Trial Balance June 2025'!$A$7:$S$522,17,0)</f>
        <v>0</v>
      </c>
      <c r="K316" s="727">
        <f>VLOOKUP(A316,'Trial Balance June 2025'!$A$8:$S$522,18,0)</f>
        <v>1940564</v>
      </c>
      <c r="L316" s="727">
        <v>0</v>
      </c>
      <c r="M316" s="727">
        <v>0</v>
      </c>
      <c r="N316" s="727">
        <f t="shared" si="18"/>
        <v>0</v>
      </c>
      <c r="O316" s="727">
        <f t="shared" si="19"/>
        <v>1940564</v>
      </c>
      <c r="P316" s="742">
        <f t="shared" si="20"/>
        <v>-1940564</v>
      </c>
    </row>
    <row r="317" spans="1:16" ht="29.5" thickBot="1">
      <c r="A317" s="725" t="s">
        <v>834</v>
      </c>
      <c r="B317" s="725"/>
      <c r="C317" s="726" t="s">
        <v>1672</v>
      </c>
      <c r="D317" s="726" t="str">
        <f t="shared" si="17"/>
        <v>2-02-01-01-02Payable to Indus Solar Intl</v>
      </c>
      <c r="E317" s="422" t="s">
        <v>1051</v>
      </c>
      <c r="F317" s="412" t="s">
        <v>640</v>
      </c>
      <c r="G317" s="413" t="s">
        <v>1151</v>
      </c>
      <c r="H317" s="413" t="s">
        <v>1152</v>
      </c>
      <c r="I317" s="726" t="s">
        <v>974</v>
      </c>
      <c r="J317" s="727">
        <f>VLOOKUP(A317,'Trial Balance June 2025'!$A$7:$S$522,17,0)</f>
        <v>105750</v>
      </c>
      <c r="K317" s="727">
        <f>VLOOKUP(A317,'Trial Balance June 2025'!$A$8:$S$522,18,0)</f>
        <v>615750</v>
      </c>
      <c r="L317" s="727">
        <v>0</v>
      </c>
      <c r="M317" s="727">
        <v>0</v>
      </c>
      <c r="N317" s="727">
        <f t="shared" si="18"/>
        <v>105750</v>
      </c>
      <c r="O317" s="727">
        <f t="shared" si="19"/>
        <v>615750</v>
      </c>
      <c r="P317" s="742">
        <f t="shared" si="20"/>
        <v>-510000</v>
      </c>
    </row>
    <row r="318" spans="1:16" ht="15" thickBot="1">
      <c r="A318" s="725" t="s">
        <v>835</v>
      </c>
      <c r="B318" s="725"/>
      <c r="C318" s="726" t="s">
        <v>1673</v>
      </c>
      <c r="D318" s="726" t="str">
        <f t="shared" si="17"/>
        <v>3-01-01-01-001FUND BALANCE</v>
      </c>
      <c r="E318" s="422" t="s">
        <v>1051</v>
      </c>
      <c r="F318" s="412" t="s">
        <v>1153</v>
      </c>
      <c r="G318" s="412" t="s">
        <v>1153</v>
      </c>
      <c r="H318" s="412" t="s">
        <v>1153</v>
      </c>
      <c r="I318" s="726" t="s">
        <v>974</v>
      </c>
      <c r="J318" s="727">
        <f>73356131+4304323.7-809205.12-37276920.28</f>
        <v>39574329.299999997</v>
      </c>
      <c r="K318" s="727">
        <f>VLOOKUP(A318,'Trial Balance June 2025'!$A$8:$S$522,18,0)</f>
        <v>0</v>
      </c>
      <c r="L318" s="727">
        <v>0</v>
      </c>
      <c r="M318" s="727">
        <v>0</v>
      </c>
      <c r="N318" s="727">
        <f t="shared" si="18"/>
        <v>39574329.299999997</v>
      </c>
      <c r="O318" s="727">
        <f t="shared" si="19"/>
        <v>0</v>
      </c>
      <c r="P318" s="742">
        <f t="shared" si="20"/>
        <v>39574329.299999997</v>
      </c>
    </row>
    <row r="319" spans="1:16" ht="20.5" thickBot="1">
      <c r="A319" s="725" t="s">
        <v>843</v>
      </c>
      <c r="B319" s="725"/>
      <c r="C319" s="726" t="s">
        <v>1674</v>
      </c>
      <c r="D319" s="726" t="str">
        <f t="shared" si="17"/>
        <v>3-01-01-01-009DEZAIRE FUND BALANCE</v>
      </c>
      <c r="E319" s="422" t="s">
        <v>1051</v>
      </c>
      <c r="F319" s="412" t="s">
        <v>1153</v>
      </c>
      <c r="G319" s="412" t="s">
        <v>1153</v>
      </c>
      <c r="H319" s="412" t="s">
        <v>1153</v>
      </c>
      <c r="I319" s="726" t="s">
        <v>1014</v>
      </c>
      <c r="J319" s="727">
        <f>VLOOKUP(A319,'Trial Balance June 2025'!$A$7:$S$522,17,0)</f>
        <v>0</v>
      </c>
      <c r="K319" s="727">
        <f>VLOOKUP(A319,'Trial Balance June 2025'!$A$8:$S$522,18,0)</f>
        <v>1641568</v>
      </c>
      <c r="L319" s="727">
        <v>0</v>
      </c>
      <c r="M319" s="727">
        <v>0</v>
      </c>
      <c r="N319" s="727">
        <f t="shared" si="18"/>
        <v>0</v>
      </c>
      <c r="O319" s="727">
        <f t="shared" si="19"/>
        <v>1641568</v>
      </c>
      <c r="P319" s="742">
        <f t="shared" si="20"/>
        <v>-1641568</v>
      </c>
    </row>
    <row r="320" spans="1:16">
      <c r="A320" s="725" t="s">
        <v>1343</v>
      </c>
      <c r="B320" s="725"/>
      <c r="C320" s="726" t="s">
        <v>1344</v>
      </c>
      <c r="D320" s="726" t="str">
        <f t="shared" si="17"/>
        <v>3-01-01-01-013RCCHR FUND BALANCE</v>
      </c>
      <c r="E320" s="422" t="s">
        <v>1051</v>
      </c>
      <c r="F320" s="412" t="s">
        <v>1153</v>
      </c>
      <c r="G320" s="412" t="s">
        <v>1153</v>
      </c>
      <c r="H320" s="412" t="s">
        <v>1153</v>
      </c>
      <c r="I320" s="726" t="s">
        <v>1722</v>
      </c>
      <c r="J320" s="727">
        <f>VLOOKUP(A320,'Trial Balance June 2025'!$A$7:$S$522,17,0)</f>
        <v>0</v>
      </c>
      <c r="K320" s="727">
        <f>VLOOKUP(A320,'Trial Balance June 2025'!$A$8:$S$522,18,0)</f>
        <v>0</v>
      </c>
      <c r="L320" s="727">
        <v>0</v>
      </c>
      <c r="M320" s="727">
        <v>0</v>
      </c>
      <c r="N320" s="727">
        <f t="shared" si="18"/>
        <v>0</v>
      </c>
      <c r="O320" s="727">
        <f t="shared" si="19"/>
        <v>0</v>
      </c>
      <c r="P320" s="742">
        <f t="shared" si="20"/>
        <v>0</v>
      </c>
    </row>
    <row r="321" spans="1:16" ht="20">
      <c r="A321" s="725" t="s">
        <v>847</v>
      </c>
      <c r="B321" s="725"/>
      <c r="C321" s="726" t="s">
        <v>1675</v>
      </c>
      <c r="D321" s="726" t="str">
        <f t="shared" si="17"/>
        <v>4-02-01-01-001HOSTEL RENT INCOME WITH FOODS</v>
      </c>
      <c r="E321" s="413" t="s">
        <v>1164</v>
      </c>
      <c r="F321" s="412" t="s">
        <v>1165</v>
      </c>
      <c r="G321" s="412" t="s">
        <v>1166</v>
      </c>
      <c r="H321" s="412" t="s">
        <v>1166</v>
      </c>
      <c r="I321" s="726" t="s">
        <v>974</v>
      </c>
      <c r="J321" s="727"/>
      <c r="K321" s="727"/>
      <c r="L321" s="727">
        <v>0</v>
      </c>
      <c r="M321" s="727">
        <v>103190.28</v>
      </c>
      <c r="N321" s="727">
        <f t="shared" si="18"/>
        <v>0</v>
      </c>
      <c r="O321" s="727">
        <f t="shared" si="19"/>
        <v>103190.28</v>
      </c>
      <c r="P321" s="742">
        <f t="shared" si="20"/>
        <v>-103190.28</v>
      </c>
    </row>
    <row r="322" spans="1:16">
      <c r="A322" s="725" t="s">
        <v>848</v>
      </c>
      <c r="B322" s="725"/>
      <c r="C322" s="726" t="s">
        <v>1676</v>
      </c>
      <c r="D322" s="726" t="str">
        <f t="shared" si="17"/>
        <v>4-02-02-01-001HALL RENTAL INCOME</v>
      </c>
      <c r="E322" s="413" t="s">
        <v>1164</v>
      </c>
      <c r="F322" s="412" t="s">
        <v>1165</v>
      </c>
      <c r="G322" s="412" t="s">
        <v>1166</v>
      </c>
      <c r="H322" s="412" t="s">
        <v>1166</v>
      </c>
      <c r="I322" s="726" t="s">
        <v>974</v>
      </c>
      <c r="J322" s="727"/>
      <c r="K322" s="727"/>
      <c r="L322" s="727">
        <v>0</v>
      </c>
      <c r="M322" s="727">
        <v>30000</v>
      </c>
      <c r="N322" s="727">
        <f t="shared" si="18"/>
        <v>0</v>
      </c>
      <c r="O322" s="727">
        <f t="shared" si="19"/>
        <v>30000</v>
      </c>
      <c r="P322" s="742">
        <f t="shared" si="20"/>
        <v>-30000</v>
      </c>
    </row>
    <row r="323" spans="1:16" ht="20">
      <c r="A323" s="725" t="s">
        <v>849</v>
      </c>
      <c r="B323" s="725"/>
      <c r="C323" s="726" t="s">
        <v>1677</v>
      </c>
      <c r="D323" s="726" t="str">
        <f t="shared" si="17"/>
        <v>4-03-01-01-001DONATION FROM LOCAL SOURCE</v>
      </c>
      <c r="E323" s="413" t="s">
        <v>1164</v>
      </c>
      <c r="F323" s="412" t="s">
        <v>1167</v>
      </c>
      <c r="G323" s="412" t="s">
        <v>1167</v>
      </c>
      <c r="H323" s="412" t="s">
        <v>1167</v>
      </c>
      <c r="I323" s="726" t="s">
        <v>974</v>
      </c>
      <c r="J323" s="727"/>
      <c r="K323" s="727"/>
      <c r="L323" s="727">
        <v>0</v>
      </c>
      <c r="M323" s="727">
        <v>10940035</v>
      </c>
      <c r="N323" s="727">
        <f t="shared" si="18"/>
        <v>0</v>
      </c>
      <c r="O323" s="727">
        <f t="shared" si="19"/>
        <v>10940035</v>
      </c>
      <c r="P323" s="742">
        <f t="shared" si="20"/>
        <v>-10940035</v>
      </c>
    </row>
    <row r="324" spans="1:16" ht="20">
      <c r="A324" s="725" t="s">
        <v>1250</v>
      </c>
      <c r="B324" s="725"/>
      <c r="C324" s="726" t="s">
        <v>1263</v>
      </c>
      <c r="D324" s="726" t="str">
        <f t="shared" si="17"/>
        <v>4-03-01-02-045Donation from Global Rights Compliance</v>
      </c>
      <c r="E324" s="413" t="s">
        <v>1164</v>
      </c>
      <c r="F324" s="412" t="s">
        <v>1167</v>
      </c>
      <c r="G324" s="412" t="s">
        <v>1167</v>
      </c>
      <c r="H324" s="412" t="s">
        <v>1167</v>
      </c>
      <c r="I324" s="726" t="s">
        <v>1275</v>
      </c>
      <c r="J324" s="727"/>
      <c r="K324" s="727"/>
      <c r="L324" s="727">
        <v>0</v>
      </c>
      <c r="M324" s="727">
        <v>10470408.869999999</v>
      </c>
      <c r="N324" s="727">
        <f t="shared" si="18"/>
        <v>0</v>
      </c>
      <c r="O324" s="727">
        <f t="shared" si="19"/>
        <v>10470408.869999999</v>
      </c>
      <c r="P324" s="742">
        <f t="shared" si="20"/>
        <v>-10470408.869999999</v>
      </c>
    </row>
    <row r="325" spans="1:16" ht="20">
      <c r="A325" s="725" t="s">
        <v>2122</v>
      </c>
      <c r="B325" s="725"/>
      <c r="C325" s="726" t="s">
        <v>2123</v>
      </c>
      <c r="D325" s="726" t="str">
        <f t="shared" si="17"/>
        <v>4-03-01-09-001Donation from The Social Change Nest</v>
      </c>
      <c r="E325" s="413" t="s">
        <v>1164</v>
      </c>
      <c r="F325" s="412" t="s">
        <v>1167</v>
      </c>
      <c r="G325" s="412" t="s">
        <v>1167</v>
      </c>
      <c r="H325" s="412" t="s">
        <v>1167</v>
      </c>
      <c r="I325" s="726" t="s">
        <v>974</v>
      </c>
      <c r="J325" s="727"/>
      <c r="K325" s="727"/>
      <c r="L325" s="727">
        <v>0</v>
      </c>
      <c r="M325" s="727">
        <v>3694211.23</v>
      </c>
      <c r="N325" s="727">
        <f t="shared" si="18"/>
        <v>0</v>
      </c>
      <c r="O325" s="727">
        <f t="shared" si="19"/>
        <v>3694211.23</v>
      </c>
      <c r="P325" s="742">
        <f t="shared" si="20"/>
        <v>-3694211.23</v>
      </c>
    </row>
    <row r="326" spans="1:16">
      <c r="A326" s="725" t="s">
        <v>858</v>
      </c>
      <c r="B326" s="725"/>
      <c r="C326" s="726" t="s">
        <v>1264</v>
      </c>
      <c r="D326" s="726" t="str">
        <f t="shared" si="17"/>
        <v>4-04-01-01-007OFFICE RENTAL INCOME</v>
      </c>
      <c r="E326" s="413" t="s">
        <v>1164</v>
      </c>
      <c r="F326" s="412" t="s">
        <v>1165</v>
      </c>
      <c r="G326" s="412" t="s">
        <v>1166</v>
      </c>
      <c r="H326" s="412" t="s">
        <v>1166</v>
      </c>
      <c r="I326" s="726" t="s">
        <v>974</v>
      </c>
      <c r="J326" s="727"/>
      <c r="K326" s="727"/>
      <c r="L326" s="727">
        <v>15950</v>
      </c>
      <c r="M326" s="727">
        <v>948049</v>
      </c>
      <c r="N326" s="727">
        <f t="shared" si="18"/>
        <v>15950</v>
      </c>
      <c r="O326" s="727">
        <f t="shared" si="19"/>
        <v>948049</v>
      </c>
      <c r="P326" s="742">
        <f t="shared" si="20"/>
        <v>-932099</v>
      </c>
    </row>
    <row r="327" spans="1:16" ht="20">
      <c r="A327" s="725" t="s">
        <v>859</v>
      </c>
      <c r="B327" s="725"/>
      <c r="C327" s="726" t="s">
        <v>1679</v>
      </c>
      <c r="D327" s="726" t="str">
        <f t="shared" si="17"/>
        <v>5-01-01-01-001STAFF SALARIES EXPENSE</v>
      </c>
      <c r="E327" s="413" t="s">
        <v>1164</v>
      </c>
      <c r="F327" s="412" t="s">
        <v>1171</v>
      </c>
      <c r="G327" s="412" t="s">
        <v>1172</v>
      </c>
      <c r="H327" s="412" t="s">
        <v>1172</v>
      </c>
      <c r="I327" s="726" t="s">
        <v>974</v>
      </c>
      <c r="J327" s="727"/>
      <c r="K327" s="727"/>
      <c r="L327" s="727">
        <v>3602809</v>
      </c>
      <c r="M327" s="727">
        <v>573216</v>
      </c>
      <c r="N327" s="727">
        <f t="shared" si="18"/>
        <v>3602809</v>
      </c>
      <c r="O327" s="727">
        <f t="shared" si="19"/>
        <v>573216</v>
      </c>
      <c r="P327" s="742">
        <f t="shared" si="20"/>
        <v>3029593</v>
      </c>
    </row>
    <row r="328" spans="1:16">
      <c r="A328" s="725" t="s">
        <v>861</v>
      </c>
      <c r="B328" s="725"/>
      <c r="C328" s="726" t="s">
        <v>1681</v>
      </c>
      <c r="D328" s="726" t="str">
        <f t="shared" ref="D328:D391" si="21">CONCATENATE(A328,C328)</f>
        <v>5-01-01-02-001ELECTRICITY EXPENSE</v>
      </c>
      <c r="E328" s="413" t="s">
        <v>1164</v>
      </c>
      <c r="F328" s="412" t="s">
        <v>1171</v>
      </c>
      <c r="G328" s="412" t="s">
        <v>1173</v>
      </c>
      <c r="H328" s="412" t="s">
        <v>1173</v>
      </c>
      <c r="I328" s="726" t="s">
        <v>974</v>
      </c>
      <c r="J328" s="727"/>
      <c r="K328" s="727"/>
      <c r="L328" s="727">
        <v>899585</v>
      </c>
      <c r="M328" s="727">
        <v>361153</v>
      </c>
      <c r="N328" s="727">
        <f t="shared" ref="N328:N391" si="22">J328+L328</f>
        <v>899585</v>
      </c>
      <c r="O328" s="727">
        <f t="shared" ref="O328:O391" si="23">K328+M328</f>
        <v>361153</v>
      </c>
      <c r="P328" s="742">
        <f t="shared" ref="P328:P391" si="24">N328-O328</f>
        <v>538432</v>
      </c>
    </row>
    <row r="329" spans="1:16">
      <c r="A329" s="725" t="s">
        <v>862</v>
      </c>
      <c r="B329" s="725"/>
      <c r="C329" s="726" t="s">
        <v>1682</v>
      </c>
      <c r="D329" s="726" t="str">
        <f t="shared" si="21"/>
        <v>5-01-01-02-002GAS CHARGES SSGC</v>
      </c>
      <c r="E329" s="413" t="s">
        <v>1164</v>
      </c>
      <c r="F329" s="412" t="s">
        <v>1171</v>
      </c>
      <c r="G329" s="412" t="s">
        <v>1173</v>
      </c>
      <c r="H329" s="412" t="s">
        <v>1173</v>
      </c>
      <c r="I329" s="726" t="s">
        <v>974</v>
      </c>
      <c r="J329" s="727"/>
      <c r="K329" s="727"/>
      <c r="L329" s="727">
        <v>53000</v>
      </c>
      <c r="M329" s="727">
        <v>0</v>
      </c>
      <c r="N329" s="727">
        <f t="shared" si="22"/>
        <v>53000</v>
      </c>
      <c r="O329" s="727">
        <f t="shared" si="23"/>
        <v>0</v>
      </c>
      <c r="P329" s="742">
        <f t="shared" si="24"/>
        <v>53000</v>
      </c>
    </row>
    <row r="330" spans="1:16" ht="20">
      <c r="A330" s="725" t="s">
        <v>863</v>
      </c>
      <c r="B330" s="725"/>
      <c r="C330" s="726" t="s">
        <v>1683</v>
      </c>
      <c r="D330" s="726" t="str">
        <f t="shared" si="21"/>
        <v>5-01-01-02-003TELEPHONE, MOBILE &amp; INTERNET</v>
      </c>
      <c r="E330" s="413" t="s">
        <v>1164</v>
      </c>
      <c r="F330" s="412" t="s">
        <v>1171</v>
      </c>
      <c r="G330" s="412" t="s">
        <v>367</v>
      </c>
      <c r="H330" s="412" t="s">
        <v>367</v>
      </c>
      <c r="I330" s="726" t="s">
        <v>974</v>
      </c>
      <c r="J330" s="727"/>
      <c r="K330" s="727"/>
      <c r="L330" s="727">
        <v>245940</v>
      </c>
      <c r="M330" s="727">
        <v>0</v>
      </c>
      <c r="N330" s="727">
        <f t="shared" si="22"/>
        <v>245940</v>
      </c>
      <c r="O330" s="727">
        <f t="shared" si="23"/>
        <v>0</v>
      </c>
      <c r="P330" s="742">
        <f t="shared" si="24"/>
        <v>245940</v>
      </c>
    </row>
    <row r="331" spans="1:16" ht="20">
      <c r="A331" s="725" t="s">
        <v>864</v>
      </c>
      <c r="B331" s="725"/>
      <c r="C331" s="726" t="s">
        <v>1684</v>
      </c>
      <c r="D331" s="726" t="str">
        <f t="shared" si="21"/>
        <v>5-01-01-02-004WATER &amp; SEWARAGE CHARGES</v>
      </c>
      <c r="E331" s="413" t="s">
        <v>1164</v>
      </c>
      <c r="F331" s="412" t="s">
        <v>1171</v>
      </c>
      <c r="G331" s="412" t="s">
        <v>1173</v>
      </c>
      <c r="H331" s="412" t="s">
        <v>1173</v>
      </c>
      <c r="I331" s="726" t="s">
        <v>974</v>
      </c>
      <c r="J331" s="727"/>
      <c r="K331" s="727"/>
      <c r="L331" s="727">
        <v>127780</v>
      </c>
      <c r="M331" s="727">
        <v>93000</v>
      </c>
      <c r="N331" s="727">
        <f t="shared" si="22"/>
        <v>127780</v>
      </c>
      <c r="O331" s="727">
        <f t="shared" si="23"/>
        <v>93000</v>
      </c>
      <c r="P331" s="742">
        <f t="shared" si="24"/>
        <v>34780</v>
      </c>
    </row>
    <row r="332" spans="1:16" ht="20">
      <c r="A332" s="725" t="s">
        <v>865</v>
      </c>
      <c r="B332" s="725"/>
      <c r="C332" s="726" t="s">
        <v>983</v>
      </c>
      <c r="D332" s="726" t="str">
        <f t="shared" si="21"/>
        <v>5-01-01-03-001VEHICLE FUEL EXPENSE</v>
      </c>
      <c r="E332" s="413" t="s">
        <v>1164</v>
      </c>
      <c r="F332" s="412" t="s">
        <v>1171</v>
      </c>
      <c r="G332" s="412" t="s">
        <v>1174</v>
      </c>
      <c r="H332" s="412" t="s">
        <v>1174</v>
      </c>
      <c r="I332" s="726" t="s">
        <v>974</v>
      </c>
      <c r="J332" s="727"/>
      <c r="K332" s="727"/>
      <c r="L332" s="727">
        <v>469498</v>
      </c>
      <c r="M332" s="727">
        <v>283118</v>
      </c>
      <c r="N332" s="727">
        <f t="shared" si="22"/>
        <v>469498</v>
      </c>
      <c r="O332" s="727">
        <f t="shared" si="23"/>
        <v>283118</v>
      </c>
      <c r="P332" s="742">
        <f t="shared" si="24"/>
        <v>186380</v>
      </c>
    </row>
    <row r="333" spans="1:16" ht="20">
      <c r="A333" s="725" t="s">
        <v>867</v>
      </c>
      <c r="B333" s="725"/>
      <c r="C333" s="726" t="s">
        <v>985</v>
      </c>
      <c r="D333" s="726" t="str">
        <f t="shared" si="21"/>
        <v>5-01-01-04-001VEHICLE REPAIR &amp; MAINTENANCE</v>
      </c>
      <c r="E333" s="413" t="s">
        <v>1164</v>
      </c>
      <c r="F333" s="412" t="s">
        <v>1171</v>
      </c>
      <c r="G333" s="413" t="s">
        <v>1175</v>
      </c>
      <c r="H333" s="413" t="s">
        <v>1175</v>
      </c>
      <c r="I333" s="726" t="s">
        <v>974</v>
      </c>
      <c r="J333" s="727"/>
      <c r="K333" s="727"/>
      <c r="L333" s="727">
        <v>213040</v>
      </c>
      <c r="M333" s="727">
        <v>0</v>
      </c>
      <c r="N333" s="727">
        <f t="shared" si="22"/>
        <v>213040</v>
      </c>
      <c r="O333" s="727">
        <f t="shared" si="23"/>
        <v>0</v>
      </c>
      <c r="P333" s="742">
        <f t="shared" si="24"/>
        <v>213040</v>
      </c>
    </row>
    <row r="334" spans="1:16" ht="20">
      <c r="A334" s="725" t="s">
        <v>869</v>
      </c>
      <c r="B334" s="725"/>
      <c r="C334" s="726" t="s">
        <v>1686</v>
      </c>
      <c r="D334" s="726" t="str">
        <f t="shared" si="21"/>
        <v>5-01-01-04-003BUILDING REPAIR &amp; MAINTENANCE</v>
      </c>
      <c r="E334" s="413" t="s">
        <v>1164</v>
      </c>
      <c r="F334" s="412" t="s">
        <v>1171</v>
      </c>
      <c r="G334" s="413" t="s">
        <v>1177</v>
      </c>
      <c r="H334" s="413" t="s">
        <v>1177</v>
      </c>
      <c r="I334" s="726" t="s">
        <v>974</v>
      </c>
      <c r="J334" s="727"/>
      <c r="K334" s="727"/>
      <c r="L334" s="727">
        <v>615490</v>
      </c>
      <c r="M334" s="727">
        <v>377220</v>
      </c>
      <c r="N334" s="727">
        <f t="shared" si="22"/>
        <v>615490</v>
      </c>
      <c r="O334" s="727">
        <f t="shared" si="23"/>
        <v>377220</v>
      </c>
      <c r="P334" s="742">
        <f t="shared" si="24"/>
        <v>238270</v>
      </c>
    </row>
    <row r="335" spans="1:16" ht="20">
      <c r="A335" s="725" t="s">
        <v>870</v>
      </c>
      <c r="B335" s="725"/>
      <c r="C335" s="726" t="s">
        <v>1687</v>
      </c>
      <c r="D335" s="726" t="str">
        <f t="shared" si="21"/>
        <v>5-01-01-04-004EQUIPMENTS REPAIR &amp; MAINTENANC</v>
      </c>
      <c r="E335" s="413" t="s">
        <v>1164</v>
      </c>
      <c r="F335" s="412" t="s">
        <v>1171</v>
      </c>
      <c r="G335" s="413" t="s">
        <v>1177</v>
      </c>
      <c r="H335" s="413" t="s">
        <v>1177</v>
      </c>
      <c r="I335" s="726" t="s">
        <v>974</v>
      </c>
      <c r="J335" s="727"/>
      <c r="K335" s="727"/>
      <c r="L335" s="727">
        <v>85490</v>
      </c>
      <c r="M335" s="727">
        <v>0</v>
      </c>
      <c r="N335" s="727">
        <f t="shared" si="22"/>
        <v>85490</v>
      </c>
      <c r="O335" s="727">
        <f t="shared" si="23"/>
        <v>0</v>
      </c>
      <c r="P335" s="742">
        <f t="shared" si="24"/>
        <v>85490</v>
      </c>
    </row>
    <row r="336" spans="1:16" ht="20">
      <c r="A336" s="725" t="s">
        <v>1227</v>
      </c>
      <c r="B336" s="725"/>
      <c r="C336" s="726" t="s">
        <v>1688</v>
      </c>
      <c r="D336" s="726" t="str">
        <f t="shared" si="21"/>
        <v>5-01-01-04-005GENERATOR REPAIR &amp; MAINTENANCE</v>
      </c>
      <c r="E336" s="413" t="s">
        <v>1164</v>
      </c>
      <c r="F336" s="412" t="s">
        <v>1171</v>
      </c>
      <c r="G336" s="412" t="s">
        <v>1174</v>
      </c>
      <c r="H336" s="412" t="s">
        <v>1174</v>
      </c>
      <c r="I336" s="726" t="s">
        <v>974</v>
      </c>
      <c r="J336" s="727"/>
      <c r="K336" s="727"/>
      <c r="L336" s="727">
        <v>3110</v>
      </c>
      <c r="M336" s="727">
        <v>0</v>
      </c>
      <c r="N336" s="727">
        <f t="shared" si="22"/>
        <v>3110</v>
      </c>
      <c r="O336" s="727">
        <f t="shared" si="23"/>
        <v>0</v>
      </c>
      <c r="P336" s="742">
        <f t="shared" si="24"/>
        <v>3110</v>
      </c>
    </row>
    <row r="337" spans="1:16" ht="20">
      <c r="A337" s="725" t="s">
        <v>871</v>
      </c>
      <c r="B337" s="725"/>
      <c r="C337" s="726" t="s">
        <v>979</v>
      </c>
      <c r="D337" s="726" t="str">
        <f t="shared" si="21"/>
        <v>5-01-01-04-006COMPUTER REPAIR &amp; MAINTENANCE</v>
      </c>
      <c r="E337" s="413" t="s">
        <v>1164</v>
      </c>
      <c r="F337" s="412" t="s">
        <v>1171</v>
      </c>
      <c r="G337" s="413" t="s">
        <v>1177</v>
      </c>
      <c r="H337" s="413" t="s">
        <v>1177</v>
      </c>
      <c r="I337" s="726" t="s">
        <v>974</v>
      </c>
      <c r="J337" s="727"/>
      <c r="K337" s="727"/>
      <c r="L337" s="727">
        <v>78650</v>
      </c>
      <c r="M337" s="727">
        <v>0</v>
      </c>
      <c r="N337" s="727">
        <f t="shared" si="22"/>
        <v>78650</v>
      </c>
      <c r="O337" s="727">
        <f t="shared" si="23"/>
        <v>0</v>
      </c>
      <c r="P337" s="742">
        <f t="shared" si="24"/>
        <v>78650</v>
      </c>
    </row>
    <row r="338" spans="1:16">
      <c r="A338" s="725" t="s">
        <v>872</v>
      </c>
      <c r="B338" s="725"/>
      <c r="C338" s="726" t="s">
        <v>1689</v>
      </c>
      <c r="D338" s="726" t="str">
        <f t="shared" si="21"/>
        <v>5-01-01-06-001POSTAGE &amp; COURIER</v>
      </c>
      <c r="E338" s="413" t="s">
        <v>1164</v>
      </c>
      <c r="F338" s="412" t="s">
        <v>1171</v>
      </c>
      <c r="G338" s="413" t="s">
        <v>1179</v>
      </c>
      <c r="H338" s="412" t="s">
        <v>1179</v>
      </c>
      <c r="I338" s="726" t="s">
        <v>974</v>
      </c>
      <c r="J338" s="727"/>
      <c r="K338" s="727"/>
      <c r="L338" s="727">
        <v>17540</v>
      </c>
      <c r="M338" s="727">
        <v>0</v>
      </c>
      <c r="N338" s="727">
        <f t="shared" si="22"/>
        <v>17540</v>
      </c>
      <c r="O338" s="727">
        <f t="shared" si="23"/>
        <v>0</v>
      </c>
      <c r="P338" s="742">
        <f t="shared" si="24"/>
        <v>17540</v>
      </c>
    </row>
    <row r="339" spans="1:16" ht="20">
      <c r="A339" s="725" t="s">
        <v>873</v>
      </c>
      <c r="B339" s="725"/>
      <c r="C339" s="726" t="s">
        <v>1690</v>
      </c>
      <c r="D339" s="726" t="str">
        <f t="shared" si="21"/>
        <v>5-01-01-06-002PRINTING &amp; STATIONERIES</v>
      </c>
      <c r="E339" s="413" t="s">
        <v>1164</v>
      </c>
      <c r="F339" s="412" t="s">
        <v>1171</v>
      </c>
      <c r="G339" s="413" t="s">
        <v>1180</v>
      </c>
      <c r="H339" s="412" t="s">
        <v>1180</v>
      </c>
      <c r="I339" s="726" t="s">
        <v>974</v>
      </c>
      <c r="J339" s="727"/>
      <c r="K339" s="727"/>
      <c r="L339" s="727">
        <v>85585</v>
      </c>
      <c r="M339" s="727">
        <v>35000</v>
      </c>
      <c r="N339" s="727">
        <f t="shared" si="22"/>
        <v>85585</v>
      </c>
      <c r="O339" s="727">
        <f t="shared" si="23"/>
        <v>35000</v>
      </c>
      <c r="P339" s="742">
        <f t="shared" si="24"/>
        <v>50585</v>
      </c>
    </row>
    <row r="340" spans="1:16" ht="20">
      <c r="A340" s="725" t="s">
        <v>874</v>
      </c>
      <c r="B340" s="725"/>
      <c r="C340" s="726" t="s">
        <v>1691</v>
      </c>
      <c r="D340" s="726" t="str">
        <f t="shared" si="21"/>
        <v>5-01-01-06-003PHOTOCOPY &amp; COMPUT ACCESSARIES</v>
      </c>
      <c r="E340" s="413" t="s">
        <v>1164</v>
      </c>
      <c r="F340" s="412" t="s">
        <v>1171</v>
      </c>
      <c r="G340" s="413" t="s">
        <v>1180</v>
      </c>
      <c r="H340" s="412" t="s">
        <v>1180</v>
      </c>
      <c r="I340" s="726" t="s">
        <v>974</v>
      </c>
      <c r="J340" s="727"/>
      <c r="K340" s="727"/>
      <c r="L340" s="727">
        <v>8926</v>
      </c>
      <c r="M340" s="727">
        <v>0</v>
      </c>
      <c r="N340" s="727">
        <f t="shared" si="22"/>
        <v>8926</v>
      </c>
      <c r="O340" s="727">
        <f t="shared" si="23"/>
        <v>0</v>
      </c>
      <c r="P340" s="742">
        <f t="shared" si="24"/>
        <v>8926</v>
      </c>
    </row>
    <row r="341" spans="1:16">
      <c r="A341" s="725" t="s">
        <v>875</v>
      </c>
      <c r="B341" s="725"/>
      <c r="C341" s="726" t="s">
        <v>981</v>
      </c>
      <c r="D341" s="726" t="str">
        <f t="shared" si="21"/>
        <v>5-01-01-06-004MISC. EXPENSES</v>
      </c>
      <c r="E341" s="413" t="s">
        <v>1164</v>
      </c>
      <c r="F341" s="412" t="s">
        <v>1171</v>
      </c>
      <c r="G341" s="412" t="s">
        <v>376</v>
      </c>
      <c r="H341" s="412" t="s">
        <v>376</v>
      </c>
      <c r="I341" s="726" t="s">
        <v>974</v>
      </c>
      <c r="J341" s="727"/>
      <c r="K341" s="727"/>
      <c r="L341" s="727">
        <v>502551</v>
      </c>
      <c r="M341" s="727">
        <v>485000</v>
      </c>
      <c r="N341" s="727">
        <f t="shared" si="22"/>
        <v>502551</v>
      </c>
      <c r="O341" s="727">
        <f t="shared" si="23"/>
        <v>485000</v>
      </c>
      <c r="P341" s="742">
        <f t="shared" si="24"/>
        <v>17551</v>
      </c>
    </row>
    <row r="342" spans="1:16">
      <c r="A342" s="725" t="s">
        <v>876</v>
      </c>
      <c r="B342" s="725"/>
      <c r="C342" s="726" t="s">
        <v>986</v>
      </c>
      <c r="D342" s="726" t="str">
        <f t="shared" si="21"/>
        <v>5-01-01-06-005VEHICLE TOLL TAX</v>
      </c>
      <c r="E342" s="413" t="s">
        <v>1164</v>
      </c>
      <c r="F342" s="412" t="s">
        <v>1171</v>
      </c>
      <c r="G342" s="413" t="s">
        <v>1174</v>
      </c>
      <c r="H342" s="412" t="s">
        <v>1174</v>
      </c>
      <c r="I342" s="726" t="s">
        <v>974</v>
      </c>
      <c r="J342" s="727"/>
      <c r="K342" s="727"/>
      <c r="L342" s="727">
        <v>33740</v>
      </c>
      <c r="M342" s="727">
        <v>0</v>
      </c>
      <c r="N342" s="727">
        <f t="shared" si="22"/>
        <v>33740</v>
      </c>
      <c r="O342" s="727">
        <f t="shared" si="23"/>
        <v>0</v>
      </c>
      <c r="P342" s="742">
        <f t="shared" si="24"/>
        <v>33740</v>
      </c>
    </row>
    <row r="343" spans="1:16" ht="20">
      <c r="A343" s="725" t="s">
        <v>877</v>
      </c>
      <c r="B343" s="725"/>
      <c r="C343" s="726" t="s">
        <v>980</v>
      </c>
      <c r="D343" s="726" t="str">
        <f t="shared" si="21"/>
        <v>5-01-01-06-006TRANSPORTATION EXPENSE</v>
      </c>
      <c r="E343" s="413" t="s">
        <v>1164</v>
      </c>
      <c r="F343" s="412" t="s">
        <v>1171</v>
      </c>
      <c r="G343" s="413" t="s">
        <v>1174</v>
      </c>
      <c r="H343" s="412" t="s">
        <v>1174</v>
      </c>
      <c r="I343" s="726" t="s">
        <v>974</v>
      </c>
      <c r="J343" s="727"/>
      <c r="K343" s="727"/>
      <c r="L343" s="727">
        <v>39458</v>
      </c>
      <c r="M343" s="727">
        <v>0</v>
      </c>
      <c r="N343" s="727">
        <f t="shared" si="22"/>
        <v>39458</v>
      </c>
      <c r="O343" s="727">
        <f t="shared" si="23"/>
        <v>0</v>
      </c>
      <c r="P343" s="742">
        <f t="shared" si="24"/>
        <v>39458</v>
      </c>
    </row>
    <row r="344" spans="1:16">
      <c r="A344" s="725" t="s">
        <v>878</v>
      </c>
      <c r="B344" s="725"/>
      <c r="C344" s="726" t="s">
        <v>1692</v>
      </c>
      <c r="D344" s="726" t="str">
        <f t="shared" si="21"/>
        <v>5-01-01-06-007TRAVELLING EXPENSES</v>
      </c>
      <c r="E344" s="413" t="s">
        <v>1164</v>
      </c>
      <c r="F344" s="412" t="s">
        <v>1171</v>
      </c>
      <c r="G344" s="413" t="s">
        <v>1174</v>
      </c>
      <c r="H344" s="412" t="s">
        <v>1174</v>
      </c>
      <c r="I344" s="726" t="s">
        <v>974</v>
      </c>
      <c r="J344" s="727"/>
      <c r="K344" s="727"/>
      <c r="L344" s="727">
        <v>203423</v>
      </c>
      <c r="M344" s="727">
        <v>15000</v>
      </c>
      <c r="N344" s="727">
        <f t="shared" si="22"/>
        <v>203423</v>
      </c>
      <c r="O344" s="727">
        <f t="shared" si="23"/>
        <v>15000</v>
      </c>
      <c r="P344" s="742">
        <f t="shared" si="24"/>
        <v>188423</v>
      </c>
    </row>
    <row r="345" spans="1:16" ht="20">
      <c r="A345" s="725" t="s">
        <v>880</v>
      </c>
      <c r="B345" s="725"/>
      <c r="C345" s="726" t="s">
        <v>1695</v>
      </c>
      <c r="D345" s="726" t="str">
        <f t="shared" si="21"/>
        <v>5-01-01-06-012LIBRARY BOOKS &amp; PERIODICALS</v>
      </c>
      <c r="E345" s="413" t="s">
        <v>1164</v>
      </c>
      <c r="F345" s="412" t="s">
        <v>1171</v>
      </c>
      <c r="G345" s="413" t="s">
        <v>1180</v>
      </c>
      <c r="H345" s="412" t="s">
        <v>1180</v>
      </c>
      <c r="I345" s="726" t="s">
        <v>974</v>
      </c>
      <c r="J345" s="727"/>
      <c r="K345" s="727"/>
      <c r="L345" s="727">
        <v>32460</v>
      </c>
      <c r="M345" s="727">
        <v>0</v>
      </c>
      <c r="N345" s="727">
        <f t="shared" si="22"/>
        <v>32460</v>
      </c>
      <c r="O345" s="727">
        <f t="shared" si="23"/>
        <v>0</v>
      </c>
      <c r="P345" s="742">
        <f t="shared" si="24"/>
        <v>32460</v>
      </c>
    </row>
    <row r="346" spans="1:16" ht="20">
      <c r="A346" s="725" t="s">
        <v>881</v>
      </c>
      <c r="B346" s="725"/>
      <c r="C346" s="726" t="s">
        <v>973</v>
      </c>
      <c r="D346" s="726" t="str">
        <f t="shared" si="21"/>
        <v>5-01-01-07-001LEGAL &amp; PROFESSIONAL FEE</v>
      </c>
      <c r="E346" s="413" t="s">
        <v>1164</v>
      </c>
      <c r="F346" s="412" t="s">
        <v>1171</v>
      </c>
      <c r="G346" s="412" t="s">
        <v>1186</v>
      </c>
      <c r="H346" s="412" t="s">
        <v>1186</v>
      </c>
      <c r="I346" s="726" t="s">
        <v>974</v>
      </c>
      <c r="J346" s="727"/>
      <c r="K346" s="727"/>
      <c r="L346" s="727">
        <v>303956</v>
      </c>
      <c r="M346" s="727">
        <v>0</v>
      </c>
      <c r="N346" s="727">
        <f t="shared" si="22"/>
        <v>303956</v>
      </c>
      <c r="O346" s="727">
        <f t="shared" si="23"/>
        <v>0</v>
      </c>
      <c r="P346" s="742">
        <f t="shared" si="24"/>
        <v>303956</v>
      </c>
    </row>
    <row r="347" spans="1:16" ht="20">
      <c r="A347" s="725" t="s">
        <v>1187</v>
      </c>
      <c r="B347" s="725"/>
      <c r="C347" s="726" t="s">
        <v>1696</v>
      </c>
      <c r="D347" s="726" t="str">
        <f t="shared" si="21"/>
        <v>5-01-01-07-002AUDITOR REMUNERATIONS</v>
      </c>
      <c r="E347" s="413" t="s">
        <v>1164</v>
      </c>
      <c r="F347" s="412" t="s">
        <v>1171</v>
      </c>
      <c r="G347" s="412" t="s">
        <v>590</v>
      </c>
      <c r="H347" s="412" t="s">
        <v>1188</v>
      </c>
      <c r="I347" s="726" t="s">
        <v>974</v>
      </c>
      <c r="J347" s="727"/>
      <c r="K347" s="727"/>
      <c r="L347" s="727">
        <v>21600</v>
      </c>
      <c r="M347" s="727">
        <v>0</v>
      </c>
      <c r="N347" s="727">
        <f t="shared" si="22"/>
        <v>21600</v>
      </c>
      <c r="O347" s="727">
        <f t="shared" si="23"/>
        <v>0</v>
      </c>
      <c r="P347" s="742">
        <f t="shared" si="24"/>
        <v>21600</v>
      </c>
    </row>
    <row r="348" spans="1:16" ht="20">
      <c r="A348" s="725" t="s">
        <v>882</v>
      </c>
      <c r="B348" s="725"/>
      <c r="C348" s="726" t="s">
        <v>1697</v>
      </c>
      <c r="D348" s="726" t="str">
        <f t="shared" si="21"/>
        <v>5-01-01-07-003CONSULTANCY CHARGES</v>
      </c>
      <c r="E348" s="412" t="s">
        <v>1164</v>
      </c>
      <c r="F348" s="412" t="s">
        <v>1171</v>
      </c>
      <c r="G348" s="412" t="s">
        <v>1186</v>
      </c>
      <c r="H348" s="412" t="s">
        <v>1186</v>
      </c>
      <c r="I348" s="726" t="s">
        <v>974</v>
      </c>
      <c r="J348" s="727"/>
      <c r="K348" s="727"/>
      <c r="L348" s="727">
        <v>10000</v>
      </c>
      <c r="M348" s="727">
        <v>0</v>
      </c>
      <c r="N348" s="727">
        <f t="shared" si="22"/>
        <v>10000</v>
      </c>
      <c r="O348" s="727">
        <f t="shared" si="23"/>
        <v>0</v>
      </c>
      <c r="P348" s="742">
        <f t="shared" si="24"/>
        <v>10000</v>
      </c>
    </row>
    <row r="349" spans="1:16" ht="29">
      <c r="A349" s="725" t="s">
        <v>884</v>
      </c>
      <c r="B349" s="725"/>
      <c r="C349" s="726" t="s">
        <v>994</v>
      </c>
      <c r="D349" s="726" t="str">
        <f t="shared" si="21"/>
        <v>5-01-01-08-003EOBI CONTRIBUTIONS</v>
      </c>
      <c r="E349" s="413" t="s">
        <v>1164</v>
      </c>
      <c r="F349" s="412" t="s">
        <v>1181</v>
      </c>
      <c r="G349" s="413" t="s">
        <v>1189</v>
      </c>
      <c r="H349" s="412" t="s">
        <v>1189</v>
      </c>
      <c r="I349" s="726" t="s">
        <v>974</v>
      </c>
      <c r="J349" s="727"/>
      <c r="K349" s="727"/>
      <c r="L349" s="727">
        <v>222000</v>
      </c>
      <c r="M349" s="727">
        <v>49704</v>
      </c>
      <c r="N349" s="727">
        <f t="shared" si="22"/>
        <v>222000</v>
      </c>
      <c r="O349" s="727">
        <f t="shared" si="23"/>
        <v>49704</v>
      </c>
      <c r="P349" s="742">
        <f t="shared" si="24"/>
        <v>172296</v>
      </c>
    </row>
    <row r="350" spans="1:16" ht="29">
      <c r="A350" s="725" t="s">
        <v>884</v>
      </c>
      <c r="B350" s="725"/>
      <c r="C350" s="726" t="s">
        <v>994</v>
      </c>
      <c r="D350" s="726" t="str">
        <f t="shared" si="21"/>
        <v>5-01-01-08-003EOBI CONTRIBUTIONS</v>
      </c>
      <c r="E350" s="413" t="s">
        <v>1164</v>
      </c>
      <c r="F350" s="412" t="s">
        <v>1181</v>
      </c>
      <c r="G350" s="413" t="s">
        <v>1189</v>
      </c>
      <c r="H350" s="412" t="s">
        <v>1189</v>
      </c>
      <c r="I350" s="726" t="s">
        <v>1275</v>
      </c>
      <c r="J350" s="727"/>
      <c r="K350" s="727"/>
      <c r="L350" s="727">
        <v>0</v>
      </c>
      <c r="M350" s="727">
        <v>4527</v>
      </c>
      <c r="N350" s="727">
        <f t="shared" si="22"/>
        <v>0</v>
      </c>
      <c r="O350" s="727">
        <f t="shared" si="23"/>
        <v>4527</v>
      </c>
      <c r="P350" s="742">
        <f t="shared" si="24"/>
        <v>-4527</v>
      </c>
    </row>
    <row r="351" spans="1:16" ht="29">
      <c r="A351" s="725" t="s">
        <v>885</v>
      </c>
      <c r="B351" s="725"/>
      <c r="C351" s="726" t="s">
        <v>1699</v>
      </c>
      <c r="D351" s="726" t="str">
        <f t="shared" si="21"/>
        <v>5-01-01-08-004SESSI CONTRIBUTIONS</v>
      </c>
      <c r="E351" s="413" t="s">
        <v>1164</v>
      </c>
      <c r="F351" s="412" t="s">
        <v>1181</v>
      </c>
      <c r="G351" s="413" t="s">
        <v>1189</v>
      </c>
      <c r="H351" s="412" t="s">
        <v>1189</v>
      </c>
      <c r="I351" s="726" t="s">
        <v>974</v>
      </c>
      <c r="J351" s="727"/>
      <c r="K351" s="727"/>
      <c r="L351" s="727">
        <v>239700</v>
      </c>
      <c r="M351" s="727">
        <v>0</v>
      </c>
      <c r="N351" s="727">
        <f t="shared" si="22"/>
        <v>239700</v>
      </c>
      <c r="O351" s="727">
        <f t="shared" si="23"/>
        <v>0</v>
      </c>
      <c r="P351" s="742">
        <f t="shared" si="24"/>
        <v>239700</v>
      </c>
    </row>
    <row r="352" spans="1:16" ht="29">
      <c r="A352" s="725" t="s">
        <v>886</v>
      </c>
      <c r="B352" s="725"/>
      <c r="C352" s="726" t="s">
        <v>2124</v>
      </c>
      <c r="D352" s="726" t="str">
        <f t="shared" si="21"/>
        <v>5-01-01-08-006STAFF WELFARE EXPENSE</v>
      </c>
      <c r="E352" s="413" t="s">
        <v>1164</v>
      </c>
      <c r="F352" s="412" t="s">
        <v>1171</v>
      </c>
      <c r="G352" s="413" t="s">
        <v>1189</v>
      </c>
      <c r="H352" s="412" t="s">
        <v>1189</v>
      </c>
      <c r="I352" s="726" t="s">
        <v>974</v>
      </c>
      <c r="J352" s="727"/>
      <c r="K352" s="727"/>
      <c r="L352" s="727">
        <v>18374</v>
      </c>
      <c r="M352" s="727">
        <v>0</v>
      </c>
      <c r="N352" s="727">
        <f t="shared" si="22"/>
        <v>18374</v>
      </c>
      <c r="O352" s="727">
        <f t="shared" si="23"/>
        <v>0</v>
      </c>
      <c r="P352" s="742">
        <f t="shared" si="24"/>
        <v>18374</v>
      </c>
    </row>
    <row r="353" spans="1:16">
      <c r="A353" s="725" t="s">
        <v>887</v>
      </c>
      <c r="B353" s="725"/>
      <c r="C353" s="726" t="s">
        <v>1700</v>
      </c>
      <c r="D353" s="726" t="str">
        <f t="shared" si="21"/>
        <v>5-01-01-09-001BANK CHARGES</v>
      </c>
      <c r="E353" s="413" t="s">
        <v>1164</v>
      </c>
      <c r="F353" s="412" t="s">
        <v>1191</v>
      </c>
      <c r="G353" s="413" t="s">
        <v>1190</v>
      </c>
      <c r="H353" s="412" t="s">
        <v>1190</v>
      </c>
      <c r="I353" s="726" t="s">
        <v>974</v>
      </c>
      <c r="J353" s="727"/>
      <c r="K353" s="727"/>
      <c r="L353" s="727">
        <v>12368.25</v>
      </c>
      <c r="M353" s="727">
        <v>1</v>
      </c>
      <c r="N353" s="727">
        <f t="shared" si="22"/>
        <v>12368.25</v>
      </c>
      <c r="O353" s="727">
        <f t="shared" si="23"/>
        <v>1</v>
      </c>
      <c r="P353" s="742">
        <f t="shared" si="24"/>
        <v>12367.25</v>
      </c>
    </row>
    <row r="354" spans="1:16">
      <c r="A354" s="725" t="s">
        <v>887</v>
      </c>
      <c r="B354" s="725"/>
      <c r="C354" s="726" t="s">
        <v>1700</v>
      </c>
      <c r="D354" s="726" t="str">
        <f t="shared" si="21"/>
        <v>5-01-01-09-001BANK CHARGES</v>
      </c>
      <c r="E354" s="413" t="s">
        <v>1164</v>
      </c>
      <c r="F354" s="412" t="s">
        <v>1191</v>
      </c>
      <c r="G354" s="413" t="s">
        <v>1190</v>
      </c>
      <c r="H354" s="412" t="s">
        <v>1190</v>
      </c>
      <c r="I354" s="726" t="s">
        <v>1275</v>
      </c>
      <c r="J354" s="727"/>
      <c r="K354" s="727"/>
      <c r="L354" s="727">
        <v>9913.24</v>
      </c>
      <c r="M354" s="727">
        <v>0</v>
      </c>
      <c r="N354" s="727">
        <f t="shared" si="22"/>
        <v>9913.24</v>
      </c>
      <c r="O354" s="727">
        <f t="shared" si="23"/>
        <v>0</v>
      </c>
      <c r="P354" s="742">
        <f t="shared" si="24"/>
        <v>9913.24</v>
      </c>
    </row>
    <row r="355" spans="1:16" ht="20">
      <c r="A355" s="725" t="s">
        <v>888</v>
      </c>
      <c r="B355" s="725"/>
      <c r="C355" s="726" t="s">
        <v>1701</v>
      </c>
      <c r="D355" s="726" t="str">
        <f t="shared" si="21"/>
        <v>5-01-01-10-001DEPRECIATION EXPENSES-BUILDING</v>
      </c>
      <c r="E355" s="413" t="s">
        <v>1164</v>
      </c>
      <c r="F355" s="412" t="s">
        <v>1171</v>
      </c>
      <c r="G355" s="413" t="s">
        <v>1192</v>
      </c>
      <c r="H355" s="412" t="s">
        <v>1193</v>
      </c>
      <c r="I355" s="726" t="s">
        <v>974</v>
      </c>
      <c r="J355" s="727"/>
      <c r="K355" s="727"/>
      <c r="L355" s="727">
        <v>455276</v>
      </c>
      <c r="M355" s="727">
        <v>0</v>
      </c>
      <c r="N355" s="727">
        <f t="shared" si="22"/>
        <v>455276</v>
      </c>
      <c r="O355" s="727">
        <f t="shared" si="23"/>
        <v>0</v>
      </c>
      <c r="P355" s="742">
        <f t="shared" si="24"/>
        <v>455276</v>
      </c>
    </row>
    <row r="356" spans="1:16" ht="20">
      <c r="A356" s="725" t="s">
        <v>889</v>
      </c>
      <c r="B356" s="725"/>
      <c r="C356" s="726" t="s">
        <v>1702</v>
      </c>
      <c r="D356" s="726" t="str">
        <f t="shared" si="21"/>
        <v>5-01-01-10-002DEPRECIATION EX-GENERATOR</v>
      </c>
      <c r="E356" s="413" t="s">
        <v>1164</v>
      </c>
      <c r="F356" s="412" t="s">
        <v>1171</v>
      </c>
      <c r="G356" s="413" t="s">
        <v>1192</v>
      </c>
      <c r="H356" s="412" t="s">
        <v>1193</v>
      </c>
      <c r="I356" s="726" t="s">
        <v>974</v>
      </c>
      <c r="J356" s="727"/>
      <c r="K356" s="727"/>
      <c r="L356" s="727">
        <v>42323</v>
      </c>
      <c r="M356" s="727">
        <v>0</v>
      </c>
      <c r="N356" s="727">
        <f t="shared" si="22"/>
        <v>42323</v>
      </c>
      <c r="O356" s="727">
        <f t="shared" si="23"/>
        <v>0</v>
      </c>
      <c r="P356" s="742">
        <f t="shared" si="24"/>
        <v>42323</v>
      </c>
    </row>
    <row r="357" spans="1:16" ht="20">
      <c r="A357" s="725" t="s">
        <v>890</v>
      </c>
      <c r="B357" s="725"/>
      <c r="C357" s="726" t="s">
        <v>1703</v>
      </c>
      <c r="D357" s="726" t="str">
        <f t="shared" si="21"/>
        <v>5-01-01-10-003DEPRECIATION EX-ELEC INSTALLA</v>
      </c>
      <c r="E357" s="413" t="s">
        <v>1164</v>
      </c>
      <c r="F357" s="412" t="s">
        <v>1171</v>
      </c>
      <c r="G357" s="413" t="s">
        <v>1192</v>
      </c>
      <c r="H357" s="412" t="s">
        <v>1193</v>
      </c>
      <c r="I357" s="726" t="s">
        <v>974</v>
      </c>
      <c r="J357" s="727"/>
      <c r="K357" s="727"/>
      <c r="L357" s="727">
        <v>358157</v>
      </c>
      <c r="M357" s="727">
        <v>0</v>
      </c>
      <c r="N357" s="727">
        <f t="shared" si="22"/>
        <v>358157</v>
      </c>
      <c r="O357" s="727">
        <f t="shared" si="23"/>
        <v>0</v>
      </c>
      <c r="P357" s="742">
        <f t="shared" si="24"/>
        <v>358157</v>
      </c>
    </row>
    <row r="358" spans="1:16" ht="20">
      <c r="A358" s="725" t="s">
        <v>891</v>
      </c>
      <c r="B358" s="725"/>
      <c r="C358" s="726" t="s">
        <v>1704</v>
      </c>
      <c r="D358" s="726" t="str">
        <f t="shared" si="21"/>
        <v>5-01-01-10-004DEPRECIATION EX- OFFICE EQUIP</v>
      </c>
      <c r="E358" s="413" t="s">
        <v>1164</v>
      </c>
      <c r="F358" s="412" t="s">
        <v>1171</v>
      </c>
      <c r="G358" s="413" t="s">
        <v>1192</v>
      </c>
      <c r="H358" s="412" t="s">
        <v>1193</v>
      </c>
      <c r="I358" s="726" t="s">
        <v>974</v>
      </c>
      <c r="J358" s="727"/>
      <c r="K358" s="727"/>
      <c r="L358" s="727">
        <v>892</v>
      </c>
      <c r="M358" s="727">
        <v>0</v>
      </c>
      <c r="N358" s="727">
        <f t="shared" si="22"/>
        <v>892</v>
      </c>
      <c r="O358" s="727">
        <f t="shared" si="23"/>
        <v>0</v>
      </c>
      <c r="P358" s="742">
        <f t="shared" si="24"/>
        <v>892</v>
      </c>
    </row>
    <row r="359" spans="1:16" ht="20">
      <c r="A359" s="725" t="s">
        <v>892</v>
      </c>
      <c r="B359" s="725"/>
      <c r="C359" s="726" t="s">
        <v>1705</v>
      </c>
      <c r="D359" s="726" t="str">
        <f t="shared" si="21"/>
        <v>5-01-01-10-005DEPRECIATION EXP-FUR &amp; FIX</v>
      </c>
      <c r="E359" s="413" t="s">
        <v>1164</v>
      </c>
      <c r="F359" s="412" t="s">
        <v>1171</v>
      </c>
      <c r="G359" s="413" t="s">
        <v>1192</v>
      </c>
      <c r="H359" s="412" t="s">
        <v>1193</v>
      </c>
      <c r="I359" s="726" t="s">
        <v>974</v>
      </c>
      <c r="J359" s="727"/>
      <c r="K359" s="727"/>
      <c r="L359" s="727">
        <v>1093</v>
      </c>
      <c r="M359" s="727">
        <v>0</v>
      </c>
      <c r="N359" s="727">
        <f t="shared" si="22"/>
        <v>1093</v>
      </c>
      <c r="O359" s="727">
        <f t="shared" si="23"/>
        <v>0</v>
      </c>
      <c r="P359" s="742">
        <f t="shared" si="24"/>
        <v>1093</v>
      </c>
    </row>
    <row r="360" spans="1:16" ht="20">
      <c r="A360" s="725" t="s">
        <v>1195</v>
      </c>
      <c r="B360" s="725"/>
      <c r="C360" s="726" t="s">
        <v>1708</v>
      </c>
      <c r="D360" s="726" t="str">
        <f t="shared" si="21"/>
        <v>5-01-01-10-009SOFTWARE AMORTIZATION</v>
      </c>
      <c r="E360" s="412" t="s">
        <v>1164</v>
      </c>
      <c r="F360" s="412" t="s">
        <v>1171</v>
      </c>
      <c r="G360" s="412" t="s">
        <v>586</v>
      </c>
      <c r="H360" s="412" t="s">
        <v>1196</v>
      </c>
      <c r="I360" s="726" t="s">
        <v>974</v>
      </c>
      <c r="J360" s="727"/>
      <c r="K360" s="727"/>
      <c r="L360" s="727">
        <v>76888</v>
      </c>
      <c r="M360" s="727">
        <v>0</v>
      </c>
      <c r="N360" s="727">
        <f t="shared" si="22"/>
        <v>76888</v>
      </c>
      <c r="O360" s="727">
        <f t="shared" si="23"/>
        <v>0</v>
      </c>
      <c r="P360" s="742">
        <f t="shared" si="24"/>
        <v>76888</v>
      </c>
    </row>
    <row r="361" spans="1:16">
      <c r="A361" s="725" t="s">
        <v>1197</v>
      </c>
      <c r="B361" s="725"/>
      <c r="C361" s="726" t="s">
        <v>1709</v>
      </c>
      <c r="D361" s="726" t="str">
        <f t="shared" si="21"/>
        <v>5-01-01-11-001INCOME TAX EXPENSES</v>
      </c>
      <c r="E361" s="413" t="s">
        <v>1164</v>
      </c>
      <c r="F361" s="412" t="s">
        <v>484</v>
      </c>
      <c r="G361" s="413" t="s">
        <v>1198</v>
      </c>
      <c r="H361" s="412" t="s">
        <v>1198</v>
      </c>
      <c r="I361" s="726" t="s">
        <v>1275</v>
      </c>
      <c r="J361" s="727"/>
      <c r="K361" s="727"/>
      <c r="L361" s="727">
        <v>73015.149999999994</v>
      </c>
      <c r="M361" s="727">
        <v>0</v>
      </c>
      <c r="N361" s="727">
        <f t="shared" si="22"/>
        <v>73015.149999999994</v>
      </c>
      <c r="O361" s="727">
        <f t="shared" si="23"/>
        <v>0</v>
      </c>
      <c r="P361" s="742">
        <f t="shared" si="24"/>
        <v>73015.149999999994</v>
      </c>
    </row>
    <row r="362" spans="1:16">
      <c r="A362" s="725" t="s">
        <v>1197</v>
      </c>
      <c r="B362" s="725"/>
      <c r="C362" s="726" t="s">
        <v>1709</v>
      </c>
      <c r="D362" s="726" t="str">
        <f t="shared" si="21"/>
        <v>5-01-01-11-001INCOME TAX EXPENSES</v>
      </c>
      <c r="E362" s="413" t="s">
        <v>1164</v>
      </c>
      <c r="F362" s="412" t="s">
        <v>484</v>
      </c>
      <c r="G362" s="413" t="s">
        <v>1198</v>
      </c>
      <c r="H362" s="412" t="s">
        <v>1198</v>
      </c>
      <c r="I362" s="726" t="s">
        <v>1723</v>
      </c>
      <c r="J362" s="727"/>
      <c r="K362" s="727"/>
      <c r="L362" s="727">
        <v>105135.79</v>
      </c>
      <c r="M362" s="727">
        <v>62900</v>
      </c>
      <c r="N362" s="727">
        <f t="shared" si="22"/>
        <v>105135.79</v>
      </c>
      <c r="O362" s="727">
        <f t="shared" si="23"/>
        <v>62900</v>
      </c>
      <c r="P362" s="742">
        <f t="shared" si="24"/>
        <v>42235.789999999994</v>
      </c>
    </row>
    <row r="363" spans="1:16">
      <c r="A363" s="725" t="s">
        <v>894</v>
      </c>
      <c r="B363" s="725"/>
      <c r="C363" s="726" t="s">
        <v>982</v>
      </c>
      <c r="D363" s="726" t="str">
        <f t="shared" si="21"/>
        <v>5-01-01-12-001CLEANING &amp; LAUNDRY</v>
      </c>
      <c r="E363" s="413" t="s">
        <v>1164</v>
      </c>
      <c r="F363" s="412" t="s">
        <v>1171</v>
      </c>
      <c r="G363" s="413" t="s">
        <v>376</v>
      </c>
      <c r="H363" s="412" t="s">
        <v>376</v>
      </c>
      <c r="I363" s="726" t="s">
        <v>974</v>
      </c>
      <c r="J363" s="727"/>
      <c r="K363" s="727"/>
      <c r="L363" s="727">
        <v>80045</v>
      </c>
      <c r="M363" s="727">
        <v>0</v>
      </c>
      <c r="N363" s="727">
        <f t="shared" si="22"/>
        <v>80045</v>
      </c>
      <c r="O363" s="727">
        <f t="shared" si="23"/>
        <v>0</v>
      </c>
      <c r="P363" s="742">
        <f t="shared" si="24"/>
        <v>80045</v>
      </c>
    </row>
    <row r="364" spans="1:16" ht="20">
      <c r="A364" s="725" t="s">
        <v>1199</v>
      </c>
      <c r="B364" s="725"/>
      <c r="C364" s="726" t="s">
        <v>1710</v>
      </c>
      <c r="D364" s="726" t="str">
        <f t="shared" si="21"/>
        <v>5-01-01-12-002GARDEN &amp; GROUND UPKEEP</v>
      </c>
      <c r="E364" s="413" t="s">
        <v>1164</v>
      </c>
      <c r="F364" s="412" t="s">
        <v>1171</v>
      </c>
      <c r="G364" s="413" t="s">
        <v>376</v>
      </c>
      <c r="H364" s="412" t="s">
        <v>1200</v>
      </c>
      <c r="I364" s="726" t="s">
        <v>974</v>
      </c>
      <c r="J364" s="727"/>
      <c r="K364" s="727"/>
      <c r="L364" s="727">
        <v>19400</v>
      </c>
      <c r="M364" s="727">
        <v>0</v>
      </c>
      <c r="N364" s="727">
        <f t="shared" si="22"/>
        <v>19400</v>
      </c>
      <c r="O364" s="727">
        <f t="shared" si="23"/>
        <v>0</v>
      </c>
      <c r="P364" s="742">
        <f t="shared" si="24"/>
        <v>19400</v>
      </c>
    </row>
    <row r="365" spans="1:16" ht="20">
      <c r="A365" s="725" t="s">
        <v>1452</v>
      </c>
      <c r="B365" s="725"/>
      <c r="C365" s="726" t="s">
        <v>1453</v>
      </c>
      <c r="D365" s="726" t="str">
        <f t="shared" si="21"/>
        <v>5-01-02-06-044BASIC UTENSILS &amp; COOKING STOVE</v>
      </c>
      <c r="E365" s="413" t="s">
        <v>1164</v>
      </c>
      <c r="F365" s="412" t="s">
        <v>1171</v>
      </c>
      <c r="G365" s="413" t="s">
        <v>1180</v>
      </c>
      <c r="H365" s="412" t="s">
        <v>1180</v>
      </c>
      <c r="I365" s="726" t="s">
        <v>974</v>
      </c>
      <c r="J365" s="727"/>
      <c r="K365" s="727"/>
      <c r="L365" s="727">
        <v>81480</v>
      </c>
      <c r="M365" s="727">
        <v>0</v>
      </c>
      <c r="N365" s="727">
        <f t="shared" si="22"/>
        <v>81480</v>
      </c>
      <c r="O365" s="727">
        <f t="shared" si="23"/>
        <v>0</v>
      </c>
      <c r="P365" s="742">
        <f t="shared" si="24"/>
        <v>81480</v>
      </c>
    </row>
    <row r="366" spans="1:16" ht="20">
      <c r="A366" s="725" t="s">
        <v>899</v>
      </c>
      <c r="B366" s="725"/>
      <c r="C366" s="726" t="s">
        <v>1713</v>
      </c>
      <c r="D366" s="726" t="str">
        <f t="shared" si="21"/>
        <v>5-01-02-07-014PAYMENT OF LOCAL DONATIONS</v>
      </c>
      <c r="E366" s="412" t="s">
        <v>1164</v>
      </c>
      <c r="F366" s="412" t="s">
        <v>1171</v>
      </c>
      <c r="G366" s="412" t="s">
        <v>385</v>
      </c>
      <c r="H366" s="412" t="s">
        <v>385</v>
      </c>
      <c r="I366" s="726" t="s">
        <v>974</v>
      </c>
      <c r="J366" s="727"/>
      <c r="K366" s="727"/>
      <c r="L366" s="727">
        <v>35000</v>
      </c>
      <c r="M366" s="727">
        <v>0</v>
      </c>
      <c r="N366" s="727">
        <f t="shared" si="22"/>
        <v>35000</v>
      </c>
      <c r="O366" s="727">
        <f t="shared" si="23"/>
        <v>0</v>
      </c>
      <c r="P366" s="742">
        <f t="shared" si="24"/>
        <v>35000</v>
      </c>
    </row>
    <row r="367" spans="1:16" ht="43.5">
      <c r="A367" s="728" t="s">
        <v>900</v>
      </c>
      <c r="B367" s="728"/>
      <c r="C367" s="729" t="s">
        <v>2125</v>
      </c>
      <c r="D367" s="726" t="str">
        <f t="shared" si="21"/>
        <v>5-01-02-07-023PILER STAFF TRAINING &amp; EDUCAT.</v>
      </c>
      <c r="E367" s="413" t="s">
        <v>1164</v>
      </c>
      <c r="F367" s="412" t="s">
        <v>1181</v>
      </c>
      <c r="G367" s="413" t="s">
        <v>1182</v>
      </c>
      <c r="H367" s="412" t="s">
        <v>1182</v>
      </c>
      <c r="I367" s="726" t="s">
        <v>974</v>
      </c>
      <c r="J367" s="727"/>
      <c r="K367" s="727"/>
      <c r="L367" s="727">
        <v>41990</v>
      </c>
      <c r="M367" s="727">
        <v>0</v>
      </c>
      <c r="N367" s="727">
        <f t="shared" si="22"/>
        <v>41990</v>
      </c>
      <c r="O367" s="727">
        <f t="shared" si="23"/>
        <v>0</v>
      </c>
      <c r="P367" s="742">
        <f t="shared" si="24"/>
        <v>41990</v>
      </c>
    </row>
    <row r="368" spans="1:16" ht="43.5">
      <c r="A368" s="725" t="s">
        <v>901</v>
      </c>
      <c r="B368" s="725"/>
      <c r="C368" s="726" t="s">
        <v>978</v>
      </c>
      <c r="D368" s="726" t="str">
        <f t="shared" si="21"/>
        <v>5-01-02-07-036WORKSHOP &amp; TRAINING</v>
      </c>
      <c r="E368" s="412" t="s">
        <v>1164</v>
      </c>
      <c r="F368" s="412" t="s">
        <v>1181</v>
      </c>
      <c r="G368" s="412" t="s">
        <v>1182</v>
      </c>
      <c r="H368" s="412" t="s">
        <v>1182</v>
      </c>
      <c r="I368" s="726" t="s">
        <v>974</v>
      </c>
      <c r="J368" s="727"/>
      <c r="K368" s="727"/>
      <c r="L368" s="727">
        <v>56900</v>
      </c>
      <c r="M368" s="727">
        <v>0</v>
      </c>
      <c r="N368" s="727">
        <f t="shared" si="22"/>
        <v>56900</v>
      </c>
      <c r="O368" s="727">
        <f t="shared" si="23"/>
        <v>0</v>
      </c>
      <c r="P368" s="742">
        <f t="shared" si="24"/>
        <v>56900</v>
      </c>
    </row>
    <row r="369" spans="1:16" ht="43.5">
      <c r="A369" s="725" t="s">
        <v>1455</v>
      </c>
      <c r="B369" s="725"/>
      <c r="C369" s="726" t="s">
        <v>1456</v>
      </c>
      <c r="D369" s="726" t="str">
        <f t="shared" si="21"/>
        <v>5-01-02-10-020Shirkat Gah#2.5-Awareness Session with Trade Unions Members &amp; Workers Groups</v>
      </c>
      <c r="E369" s="412" t="s">
        <v>1164</v>
      </c>
      <c r="F369" s="412" t="s">
        <v>1181</v>
      </c>
      <c r="G369" s="412" t="s">
        <v>1456</v>
      </c>
      <c r="H369" s="412" t="s">
        <v>1456</v>
      </c>
      <c r="I369" s="726" t="s">
        <v>974</v>
      </c>
      <c r="J369" s="727"/>
      <c r="K369" s="727"/>
      <c r="L369" s="727">
        <v>3764557</v>
      </c>
      <c r="M369" s="727">
        <v>0</v>
      </c>
      <c r="N369" s="727">
        <f t="shared" si="22"/>
        <v>3764557</v>
      </c>
      <c r="O369" s="727">
        <f t="shared" si="23"/>
        <v>0</v>
      </c>
      <c r="P369" s="742">
        <f t="shared" si="24"/>
        <v>3764557</v>
      </c>
    </row>
    <row r="370" spans="1:16" ht="20">
      <c r="A370" s="725" t="s">
        <v>1467</v>
      </c>
      <c r="B370" s="725"/>
      <c r="C370" s="726" t="s">
        <v>1468</v>
      </c>
      <c r="D370" s="726" t="str">
        <f t="shared" si="21"/>
        <v xml:space="preserve">5-01-02-69-042GLJ-ILRF : OBS-A.49-Field Coordinator </v>
      </c>
      <c r="E370" s="412" t="s">
        <v>1164</v>
      </c>
      <c r="F370" s="412" t="s">
        <v>1181</v>
      </c>
      <c r="G370" s="726" t="s">
        <v>1468</v>
      </c>
      <c r="H370" s="726" t="s">
        <v>1468</v>
      </c>
      <c r="I370" s="726" t="s">
        <v>974</v>
      </c>
      <c r="J370" s="727"/>
      <c r="K370" s="727"/>
      <c r="L370" s="727">
        <v>781000</v>
      </c>
      <c r="M370" s="727">
        <v>0</v>
      </c>
      <c r="N370" s="727">
        <f t="shared" si="22"/>
        <v>781000</v>
      </c>
      <c r="O370" s="727">
        <f t="shared" si="23"/>
        <v>0</v>
      </c>
      <c r="P370" s="742">
        <f t="shared" si="24"/>
        <v>781000</v>
      </c>
    </row>
    <row r="371" spans="1:16" ht="30">
      <c r="A371" s="725" t="s">
        <v>2126</v>
      </c>
      <c r="B371" s="725"/>
      <c r="C371" s="729" t="s">
        <v>2127</v>
      </c>
      <c r="D371" s="726" t="str">
        <f t="shared" si="21"/>
        <v xml:space="preserve">5-01-02-69-049GLJ-ILRF : OBS-B.1.11.a-Translation of the materials ( 2 languages transaltion) </v>
      </c>
      <c r="E371" s="412" t="s">
        <v>1164</v>
      </c>
      <c r="F371" s="412" t="s">
        <v>1181</v>
      </c>
      <c r="G371" s="726" t="s">
        <v>2127</v>
      </c>
      <c r="H371" s="726" t="s">
        <v>2127</v>
      </c>
      <c r="I371" s="726" t="s">
        <v>974</v>
      </c>
      <c r="J371" s="726"/>
      <c r="K371" s="727"/>
      <c r="L371" s="727">
        <v>5000</v>
      </c>
      <c r="M371" s="727">
        <v>0</v>
      </c>
      <c r="N371" s="727">
        <f t="shared" si="22"/>
        <v>5000</v>
      </c>
      <c r="O371" s="727">
        <f t="shared" si="23"/>
        <v>0</v>
      </c>
      <c r="P371" s="742">
        <f t="shared" si="24"/>
        <v>5000</v>
      </c>
    </row>
    <row r="372" spans="1:16" ht="20">
      <c r="A372" s="725" t="s">
        <v>2128</v>
      </c>
      <c r="B372" s="725"/>
      <c r="C372" s="729" t="s">
        <v>2129</v>
      </c>
      <c r="D372" s="726" t="str">
        <f t="shared" si="21"/>
        <v>5-01-02-69-053GLJ-ILRF : OBS-B.2.1.2.c-Report Translation</v>
      </c>
      <c r="E372" s="412" t="s">
        <v>1164</v>
      </c>
      <c r="F372" s="412" t="s">
        <v>1181</v>
      </c>
      <c r="G372" s="726" t="s">
        <v>2129</v>
      </c>
      <c r="H372" s="726" t="s">
        <v>2129</v>
      </c>
      <c r="I372" s="726" t="s">
        <v>974</v>
      </c>
      <c r="J372" s="726"/>
      <c r="K372" s="727"/>
      <c r="L372" s="727">
        <v>30000</v>
      </c>
      <c r="M372" s="727">
        <v>0</v>
      </c>
      <c r="N372" s="727">
        <f t="shared" si="22"/>
        <v>30000</v>
      </c>
      <c r="O372" s="727">
        <f t="shared" si="23"/>
        <v>0</v>
      </c>
      <c r="P372" s="742">
        <f t="shared" si="24"/>
        <v>30000</v>
      </c>
    </row>
    <row r="373" spans="1:16" ht="20">
      <c r="A373" s="725" t="s">
        <v>2130</v>
      </c>
      <c r="B373" s="725"/>
      <c r="C373" s="729" t="s">
        <v>2131</v>
      </c>
      <c r="D373" s="726" t="str">
        <f t="shared" si="21"/>
        <v xml:space="preserve">5-01-02-69-055GLJ-ILRF : OBS-B.2.2.2-Wage Group Meeting </v>
      </c>
      <c r="E373" s="412" t="s">
        <v>1164</v>
      </c>
      <c r="F373" s="412" t="s">
        <v>1181</v>
      </c>
      <c r="G373" s="726" t="s">
        <v>2131</v>
      </c>
      <c r="H373" s="726" t="s">
        <v>2131</v>
      </c>
      <c r="I373" s="726" t="s">
        <v>974</v>
      </c>
      <c r="J373" s="726"/>
      <c r="K373" s="727"/>
      <c r="L373" s="727">
        <v>115000</v>
      </c>
      <c r="M373" s="727">
        <v>0</v>
      </c>
      <c r="N373" s="727">
        <f t="shared" si="22"/>
        <v>115000</v>
      </c>
      <c r="O373" s="727">
        <f t="shared" si="23"/>
        <v>0</v>
      </c>
      <c r="P373" s="742">
        <f t="shared" si="24"/>
        <v>115000</v>
      </c>
    </row>
    <row r="374" spans="1:16" ht="30">
      <c r="A374" s="725" t="s">
        <v>2132</v>
      </c>
      <c r="B374" s="725"/>
      <c r="C374" s="729" t="s">
        <v>2133</v>
      </c>
      <c r="D374" s="726" t="str">
        <f t="shared" si="21"/>
        <v>5-01-02-69-056GLJ-ILRF : OBS-B.2.2.5-Public discussion/seminar-Round Table consultation</v>
      </c>
      <c r="E374" s="412" t="s">
        <v>1164</v>
      </c>
      <c r="F374" s="412" t="s">
        <v>1181</v>
      </c>
      <c r="G374" s="726" t="s">
        <v>2133</v>
      </c>
      <c r="H374" s="726" t="s">
        <v>2133</v>
      </c>
      <c r="I374" s="726" t="s">
        <v>974</v>
      </c>
      <c r="J374" s="726"/>
      <c r="K374" s="727"/>
      <c r="L374" s="727">
        <v>480810</v>
      </c>
      <c r="M374" s="727">
        <v>0</v>
      </c>
      <c r="N374" s="727">
        <f t="shared" si="22"/>
        <v>480810</v>
      </c>
      <c r="O374" s="727">
        <f t="shared" si="23"/>
        <v>0</v>
      </c>
      <c r="P374" s="742">
        <f t="shared" si="24"/>
        <v>480810</v>
      </c>
    </row>
    <row r="375" spans="1:16" ht="20">
      <c r="A375" s="725" t="s">
        <v>2134</v>
      </c>
      <c r="B375" s="725"/>
      <c r="C375" s="729" t="s">
        <v>2135</v>
      </c>
      <c r="D375" s="726" t="str">
        <f t="shared" si="21"/>
        <v>5-01-02-69-080GLJ-ILRF : OBS-B.5.10-National Meeting</v>
      </c>
      <c r="E375" s="412" t="s">
        <v>1164</v>
      </c>
      <c r="F375" s="412" t="s">
        <v>1181</v>
      </c>
      <c r="G375" s="726" t="s">
        <v>2135</v>
      </c>
      <c r="H375" s="726" t="s">
        <v>2135</v>
      </c>
      <c r="I375" s="726" t="s">
        <v>974</v>
      </c>
      <c r="J375" s="726"/>
      <c r="K375" s="727"/>
      <c r="L375" s="727">
        <v>217055</v>
      </c>
      <c r="M375" s="727">
        <v>0</v>
      </c>
      <c r="N375" s="727">
        <f t="shared" si="22"/>
        <v>217055</v>
      </c>
      <c r="O375" s="727">
        <f t="shared" si="23"/>
        <v>0</v>
      </c>
      <c r="P375" s="742">
        <f t="shared" si="24"/>
        <v>217055</v>
      </c>
    </row>
    <row r="376" spans="1:16" ht="20">
      <c r="A376" s="725" t="s">
        <v>2136</v>
      </c>
      <c r="B376" s="725"/>
      <c r="C376" s="729" t="s">
        <v>2137</v>
      </c>
      <c r="D376" s="726" t="str">
        <f t="shared" si="21"/>
        <v>5-01-02-69-083GLJ-ILRF:INKOTA-Gender Justice Coordinator</v>
      </c>
      <c r="E376" s="412" t="s">
        <v>1164</v>
      </c>
      <c r="F376" s="412" t="s">
        <v>1181</v>
      </c>
      <c r="G376" s="726" t="s">
        <v>2137</v>
      </c>
      <c r="H376" s="726" t="s">
        <v>2137</v>
      </c>
      <c r="I376" s="726" t="s">
        <v>974</v>
      </c>
      <c r="J376" s="726"/>
      <c r="K376" s="727"/>
      <c r="L376" s="727">
        <v>452000</v>
      </c>
      <c r="M376" s="727">
        <v>0</v>
      </c>
      <c r="N376" s="727">
        <f t="shared" si="22"/>
        <v>452000</v>
      </c>
      <c r="O376" s="727">
        <f t="shared" si="23"/>
        <v>0</v>
      </c>
      <c r="P376" s="742">
        <f t="shared" si="24"/>
        <v>452000</v>
      </c>
    </row>
    <row r="377" spans="1:16" ht="20">
      <c r="A377" s="725" t="s">
        <v>2138</v>
      </c>
      <c r="B377" s="725"/>
      <c r="C377" s="729" t="s">
        <v>2139</v>
      </c>
      <c r="D377" s="726" t="str">
        <f t="shared" si="21"/>
        <v>5-01-02-69-084GLJ-ILRF:INKOTA-Field Coordinator</v>
      </c>
      <c r="E377" s="412" t="s">
        <v>1164</v>
      </c>
      <c r="F377" s="412" t="s">
        <v>1181</v>
      </c>
      <c r="G377" s="726" t="s">
        <v>2139</v>
      </c>
      <c r="H377" s="726" t="s">
        <v>2139</v>
      </c>
      <c r="I377" s="726" t="s">
        <v>974</v>
      </c>
      <c r="J377" s="726"/>
      <c r="K377" s="727"/>
      <c r="L377" s="727">
        <v>605000</v>
      </c>
      <c r="M377" s="727">
        <v>0</v>
      </c>
      <c r="N377" s="727">
        <f t="shared" si="22"/>
        <v>605000</v>
      </c>
      <c r="O377" s="727">
        <f t="shared" si="23"/>
        <v>0</v>
      </c>
      <c r="P377" s="742">
        <f t="shared" si="24"/>
        <v>605000</v>
      </c>
    </row>
    <row r="378" spans="1:16" ht="40">
      <c r="A378" s="725" t="s">
        <v>2140</v>
      </c>
      <c r="B378" s="725"/>
      <c r="C378" s="729" t="s">
        <v>2141</v>
      </c>
      <c r="D378" s="726" t="str">
        <f t="shared" si="21"/>
        <v>5-01-02-69-085GLJ-ILRF:INKOTA-2.1.a#Organizing strategy-Geographic focus including field strategy &amp; designated tea</v>
      </c>
      <c r="E378" s="412" t="s">
        <v>1164</v>
      </c>
      <c r="F378" s="412" t="s">
        <v>1181</v>
      </c>
      <c r="G378" s="726" t="s">
        <v>2141</v>
      </c>
      <c r="H378" s="726" t="s">
        <v>2141</v>
      </c>
      <c r="I378" s="726" t="s">
        <v>974</v>
      </c>
      <c r="J378" s="726"/>
      <c r="K378" s="727"/>
      <c r="L378" s="727">
        <v>1100</v>
      </c>
      <c r="M378" s="727">
        <v>0</v>
      </c>
      <c r="N378" s="727">
        <f t="shared" si="22"/>
        <v>1100</v>
      </c>
      <c r="O378" s="727">
        <f t="shared" si="23"/>
        <v>0</v>
      </c>
      <c r="P378" s="742">
        <f t="shared" si="24"/>
        <v>1100</v>
      </c>
    </row>
    <row r="379" spans="1:16" ht="30">
      <c r="A379" s="725" t="s">
        <v>2142</v>
      </c>
      <c r="B379" s="725"/>
      <c r="C379" s="729" t="s">
        <v>2143</v>
      </c>
      <c r="D379" s="726" t="str">
        <f t="shared" si="21"/>
        <v>5-01-02-69-086GLJ-ILRF:INKOTA-3.1.a#Organizing training &amp; Capacity development for partner union</v>
      </c>
      <c r="E379" s="412" t="s">
        <v>1164</v>
      </c>
      <c r="F379" s="412" t="s">
        <v>1181</v>
      </c>
      <c r="G379" s="726" t="s">
        <v>2143</v>
      </c>
      <c r="H379" s="726" t="s">
        <v>2143</v>
      </c>
      <c r="I379" s="726" t="s">
        <v>974</v>
      </c>
      <c r="J379" s="726"/>
      <c r="K379" s="727"/>
      <c r="L379" s="727">
        <v>1100</v>
      </c>
      <c r="M379" s="727">
        <v>0</v>
      </c>
      <c r="N379" s="727">
        <f t="shared" si="22"/>
        <v>1100</v>
      </c>
      <c r="O379" s="727">
        <f t="shared" si="23"/>
        <v>0</v>
      </c>
      <c r="P379" s="742">
        <f t="shared" si="24"/>
        <v>1100</v>
      </c>
    </row>
    <row r="380" spans="1:16" ht="30">
      <c r="A380" s="725" t="s">
        <v>2144</v>
      </c>
      <c r="B380" s="725"/>
      <c r="C380" s="729" t="s">
        <v>2145</v>
      </c>
      <c r="D380" s="726" t="str">
        <f t="shared" si="21"/>
        <v xml:space="preserve">5-01-02-69-088GLJ-ILRF:INKOTA-4.1.b#Consumption survey resulting in LW figure to support nation wage bargaining &amp; </v>
      </c>
      <c r="E380" s="412" t="s">
        <v>1164</v>
      </c>
      <c r="F380" s="412" t="s">
        <v>1181</v>
      </c>
      <c r="G380" s="726" t="s">
        <v>2145</v>
      </c>
      <c r="H380" s="726" t="s">
        <v>2145</v>
      </c>
      <c r="I380" s="726" t="s">
        <v>974</v>
      </c>
      <c r="J380" s="726"/>
      <c r="K380" s="727"/>
      <c r="L380" s="727">
        <v>163397</v>
      </c>
      <c r="M380" s="727">
        <v>0</v>
      </c>
      <c r="N380" s="727">
        <f t="shared" si="22"/>
        <v>163397</v>
      </c>
      <c r="O380" s="727">
        <f t="shared" si="23"/>
        <v>0</v>
      </c>
      <c r="P380" s="742">
        <f t="shared" si="24"/>
        <v>163397</v>
      </c>
    </row>
    <row r="381" spans="1:16" ht="20">
      <c r="A381" s="725" t="s">
        <v>2146</v>
      </c>
      <c r="B381" s="725"/>
      <c r="C381" s="729" t="s">
        <v>2147</v>
      </c>
      <c r="D381" s="726" t="str">
        <f t="shared" si="21"/>
        <v>5-01-02-69-091GLJ-ILRF:INKOTA-5.3.c#coordinated day of Action WLC</v>
      </c>
      <c r="E381" s="412" t="s">
        <v>1164</v>
      </c>
      <c r="F381" s="412" t="s">
        <v>1181</v>
      </c>
      <c r="G381" s="726" t="s">
        <v>2147</v>
      </c>
      <c r="H381" s="726" t="s">
        <v>2147</v>
      </c>
      <c r="I381" s="726" t="s">
        <v>974</v>
      </c>
      <c r="J381" s="726"/>
      <c r="K381" s="727"/>
      <c r="L381" s="727">
        <v>154000</v>
      </c>
      <c r="M381" s="727">
        <v>0</v>
      </c>
      <c r="N381" s="727">
        <f t="shared" si="22"/>
        <v>154000</v>
      </c>
      <c r="O381" s="727">
        <f t="shared" si="23"/>
        <v>0</v>
      </c>
      <c r="P381" s="742">
        <f t="shared" si="24"/>
        <v>154000</v>
      </c>
    </row>
    <row r="382" spans="1:16" ht="30">
      <c r="A382" s="725" t="s">
        <v>2148</v>
      </c>
      <c r="B382" s="725"/>
      <c r="C382" s="729" t="s">
        <v>2149</v>
      </c>
      <c r="D382" s="726" t="str">
        <f t="shared" si="21"/>
        <v>5-01-02-69-093GLJ-ILRF:INKOTA-6.1..a#Convening of National Committee to Strengthening the alliance through regular</v>
      </c>
      <c r="E382" s="412" t="s">
        <v>1164</v>
      </c>
      <c r="F382" s="412" t="s">
        <v>1181</v>
      </c>
      <c r="G382" s="726" t="s">
        <v>2149</v>
      </c>
      <c r="H382" s="726" t="s">
        <v>2149</v>
      </c>
      <c r="I382" s="726" t="s">
        <v>974</v>
      </c>
      <c r="J382" s="726"/>
      <c r="K382" s="727"/>
      <c r="L382" s="727">
        <v>22000</v>
      </c>
      <c r="M382" s="727">
        <v>0</v>
      </c>
      <c r="N382" s="727">
        <f t="shared" si="22"/>
        <v>22000</v>
      </c>
      <c r="O382" s="727">
        <f t="shared" si="23"/>
        <v>0</v>
      </c>
      <c r="P382" s="742">
        <f t="shared" si="24"/>
        <v>22000</v>
      </c>
    </row>
    <row r="383" spans="1:16" ht="30">
      <c r="A383" s="725" t="s">
        <v>2150</v>
      </c>
      <c r="B383" s="725"/>
      <c r="C383" s="729" t="s">
        <v>2151</v>
      </c>
      <c r="D383" s="726" t="str">
        <f t="shared" si="21"/>
        <v>5-01-02-69-094GLJ-ILRF:INKOTA-6.2.a#Public dicussion on wage(MW &amp; LW)</v>
      </c>
      <c r="E383" s="412" t="s">
        <v>1164</v>
      </c>
      <c r="F383" s="412" t="s">
        <v>1181</v>
      </c>
      <c r="G383" s="726" t="s">
        <v>2151</v>
      </c>
      <c r="H383" s="726" t="s">
        <v>2151</v>
      </c>
      <c r="I383" s="726" t="s">
        <v>974</v>
      </c>
      <c r="J383" s="726"/>
      <c r="K383" s="727"/>
      <c r="L383" s="727">
        <v>521188</v>
      </c>
      <c r="M383" s="727">
        <v>0</v>
      </c>
      <c r="N383" s="727">
        <f t="shared" si="22"/>
        <v>521188</v>
      </c>
      <c r="O383" s="727">
        <f t="shared" si="23"/>
        <v>0</v>
      </c>
      <c r="P383" s="742">
        <f t="shared" si="24"/>
        <v>521188</v>
      </c>
    </row>
    <row r="384" spans="1:16" ht="20">
      <c r="A384" s="725" t="s">
        <v>2152</v>
      </c>
      <c r="B384" s="725"/>
      <c r="C384" s="729" t="s">
        <v>2153</v>
      </c>
      <c r="D384" s="726" t="str">
        <f t="shared" si="21"/>
        <v>5-01-02-69-097GLJ-ILRF:INKOTA-6.9.a#Interpreter-Regional event</v>
      </c>
      <c r="E384" s="412" t="s">
        <v>1164</v>
      </c>
      <c r="F384" s="412" t="s">
        <v>1181</v>
      </c>
      <c r="G384" s="726" t="s">
        <v>2153</v>
      </c>
      <c r="H384" s="726" t="s">
        <v>2153</v>
      </c>
      <c r="I384" s="726" t="s">
        <v>974</v>
      </c>
      <c r="J384" s="726"/>
      <c r="K384" s="727"/>
      <c r="L384" s="727">
        <v>160000</v>
      </c>
      <c r="M384" s="727">
        <v>0</v>
      </c>
      <c r="N384" s="727">
        <f t="shared" si="22"/>
        <v>160000</v>
      </c>
      <c r="O384" s="727">
        <f t="shared" si="23"/>
        <v>0</v>
      </c>
      <c r="P384" s="742">
        <f t="shared" si="24"/>
        <v>160000</v>
      </c>
    </row>
    <row r="385" spans="1:16">
      <c r="A385" s="725" t="s">
        <v>1257</v>
      </c>
      <c r="B385" s="725"/>
      <c r="C385" s="726" t="s">
        <v>1272</v>
      </c>
      <c r="D385" s="726" t="str">
        <f t="shared" si="21"/>
        <v>5-01-02-74-004GRC-6.3# Office Rent</v>
      </c>
      <c r="E385" s="412" t="s">
        <v>1164</v>
      </c>
      <c r="F385" s="412" t="s">
        <v>1181</v>
      </c>
      <c r="G385" s="726" t="s">
        <v>1272</v>
      </c>
      <c r="H385" s="726" t="s">
        <v>1272</v>
      </c>
      <c r="I385" s="726" t="s">
        <v>1275</v>
      </c>
      <c r="J385" s="726"/>
      <c r="K385" s="727"/>
      <c r="L385" s="727">
        <v>0</v>
      </c>
      <c r="M385" s="727">
        <v>84000</v>
      </c>
      <c r="N385" s="727">
        <f t="shared" si="22"/>
        <v>0</v>
      </c>
      <c r="O385" s="727">
        <f t="shared" si="23"/>
        <v>84000</v>
      </c>
      <c r="P385" s="742">
        <f t="shared" si="24"/>
        <v>-84000</v>
      </c>
    </row>
    <row r="386" spans="1:16">
      <c r="A386" s="725" t="s">
        <v>1257</v>
      </c>
      <c r="B386" s="725"/>
      <c r="C386" s="726" t="s">
        <v>1272</v>
      </c>
      <c r="D386" s="726" t="str">
        <f t="shared" si="21"/>
        <v>5-01-02-74-004GRC-6.3# Office Rent</v>
      </c>
      <c r="E386" s="412" t="s">
        <v>1164</v>
      </c>
      <c r="F386" s="412" t="s">
        <v>1181</v>
      </c>
      <c r="G386" s="726" t="s">
        <v>1272</v>
      </c>
      <c r="H386" s="726" t="s">
        <v>1272</v>
      </c>
      <c r="I386" s="726" t="s">
        <v>1723</v>
      </c>
      <c r="J386" s="726"/>
      <c r="K386" s="727"/>
      <c r="L386" s="727">
        <v>862600</v>
      </c>
      <c r="M386" s="727">
        <v>768200</v>
      </c>
      <c r="N386" s="727">
        <f t="shared" si="22"/>
        <v>862600</v>
      </c>
      <c r="O386" s="727">
        <f t="shared" si="23"/>
        <v>768200</v>
      </c>
      <c r="P386" s="742">
        <f t="shared" si="24"/>
        <v>94400</v>
      </c>
    </row>
    <row r="387" spans="1:16" ht="40">
      <c r="A387" s="725" t="s">
        <v>1258</v>
      </c>
      <c r="B387" s="725"/>
      <c r="C387" s="726" t="s">
        <v>1273</v>
      </c>
      <c r="D387" s="726" t="str">
        <f t="shared" si="21"/>
        <v>5-01-02-74-005GRC-8.1.1# Baseline Assessment (development, implementation, analysis and reporting, recruitment and</v>
      </c>
      <c r="E387" s="412" t="s">
        <v>1164</v>
      </c>
      <c r="F387" s="412" t="s">
        <v>1181</v>
      </c>
      <c r="G387" s="726" t="s">
        <v>1273</v>
      </c>
      <c r="H387" s="726" t="s">
        <v>1273</v>
      </c>
      <c r="I387" s="726" t="s">
        <v>1275</v>
      </c>
      <c r="J387" s="726"/>
      <c r="K387" s="727"/>
      <c r="L387" s="727">
        <v>114520</v>
      </c>
      <c r="M387" s="727">
        <v>0</v>
      </c>
      <c r="N387" s="727">
        <f t="shared" si="22"/>
        <v>114520</v>
      </c>
      <c r="O387" s="727">
        <f t="shared" si="23"/>
        <v>0</v>
      </c>
      <c r="P387" s="742">
        <f t="shared" si="24"/>
        <v>114520</v>
      </c>
    </row>
    <row r="388" spans="1:16" ht="20">
      <c r="A388" s="725" t="s">
        <v>1367</v>
      </c>
      <c r="B388" s="725"/>
      <c r="C388" s="726" t="s">
        <v>1368</v>
      </c>
      <c r="D388" s="726" t="str">
        <f t="shared" si="21"/>
        <v>5-01-02-74-012GRC-8.2.5 # Stationary &amp; material</v>
      </c>
      <c r="E388" s="412" t="s">
        <v>1164</v>
      </c>
      <c r="F388" s="412" t="s">
        <v>1181</v>
      </c>
      <c r="G388" s="726" t="s">
        <v>1368</v>
      </c>
      <c r="H388" s="726" t="s">
        <v>1368</v>
      </c>
      <c r="I388" s="726" t="s">
        <v>1275</v>
      </c>
      <c r="J388" s="726"/>
      <c r="K388" s="727"/>
      <c r="L388" s="727">
        <v>4990</v>
      </c>
      <c r="M388" s="727">
        <v>0</v>
      </c>
      <c r="N388" s="727">
        <f t="shared" si="22"/>
        <v>4990</v>
      </c>
      <c r="O388" s="727">
        <f t="shared" si="23"/>
        <v>0</v>
      </c>
      <c r="P388" s="742">
        <f t="shared" si="24"/>
        <v>4990</v>
      </c>
    </row>
    <row r="389" spans="1:16">
      <c r="A389" s="725" t="s">
        <v>1369</v>
      </c>
      <c r="B389" s="725"/>
      <c r="C389" s="726" t="s">
        <v>1721</v>
      </c>
      <c r="D389" s="726" t="str">
        <f t="shared" si="21"/>
        <v>5-01-02-74-013GRC-Indirect Costs</v>
      </c>
      <c r="E389" s="412" t="s">
        <v>1164</v>
      </c>
      <c r="F389" s="412" t="s">
        <v>1181</v>
      </c>
      <c r="G389" s="726" t="s">
        <v>1721</v>
      </c>
      <c r="H389" s="726" t="s">
        <v>1721</v>
      </c>
      <c r="I389" s="726" t="s">
        <v>1275</v>
      </c>
      <c r="J389" s="726"/>
      <c r="K389" s="727"/>
      <c r="L389" s="727">
        <v>679879</v>
      </c>
      <c r="M389" s="727">
        <v>0</v>
      </c>
      <c r="N389" s="727">
        <f t="shared" si="22"/>
        <v>679879</v>
      </c>
      <c r="O389" s="727">
        <f t="shared" si="23"/>
        <v>0</v>
      </c>
      <c r="P389" s="742">
        <f t="shared" si="24"/>
        <v>679879</v>
      </c>
    </row>
    <row r="390" spans="1:16" ht="20">
      <c r="A390" s="725" t="s">
        <v>1259</v>
      </c>
      <c r="B390" s="725"/>
      <c r="C390" s="726" t="s">
        <v>1274</v>
      </c>
      <c r="D390" s="726" t="str">
        <f t="shared" si="21"/>
        <v>5-01-02-74-015GRC-6.1.2#Paralegal trainer/facilitator</v>
      </c>
      <c r="E390" s="412" t="s">
        <v>1164</v>
      </c>
      <c r="F390" s="412" t="s">
        <v>1181</v>
      </c>
      <c r="G390" s="726" t="s">
        <v>1274</v>
      </c>
      <c r="H390" s="726" t="s">
        <v>1274</v>
      </c>
      <c r="I390" s="726" t="s">
        <v>1275</v>
      </c>
      <c r="J390" s="726"/>
      <c r="K390" s="727"/>
      <c r="L390" s="727">
        <v>0</v>
      </c>
      <c r="M390" s="727">
        <v>691990</v>
      </c>
      <c r="N390" s="727">
        <f t="shared" si="22"/>
        <v>0</v>
      </c>
      <c r="O390" s="727">
        <f t="shared" si="23"/>
        <v>691990</v>
      </c>
      <c r="P390" s="742">
        <f t="shared" si="24"/>
        <v>-691990</v>
      </c>
    </row>
    <row r="391" spans="1:16" ht="20">
      <c r="A391" s="725" t="s">
        <v>1259</v>
      </c>
      <c r="B391" s="725"/>
      <c r="C391" s="726" t="s">
        <v>1274</v>
      </c>
      <c r="D391" s="726" t="str">
        <f t="shared" si="21"/>
        <v>5-01-02-74-015GRC-6.1.2#Paralegal trainer/facilitator</v>
      </c>
      <c r="E391" s="412" t="s">
        <v>1164</v>
      </c>
      <c r="F391" s="412" t="s">
        <v>1181</v>
      </c>
      <c r="G391" s="726" t="s">
        <v>1274</v>
      </c>
      <c r="H391" s="726" t="s">
        <v>1274</v>
      </c>
      <c r="I391" s="726" t="s">
        <v>1723</v>
      </c>
      <c r="J391" s="726"/>
      <c r="K391" s="727"/>
      <c r="L391" s="727">
        <v>10863930</v>
      </c>
      <c r="M391" s="727">
        <v>9751775.3200000003</v>
      </c>
      <c r="N391" s="727">
        <f t="shared" si="22"/>
        <v>10863930</v>
      </c>
      <c r="O391" s="727">
        <f t="shared" si="23"/>
        <v>9751775.3200000003</v>
      </c>
      <c r="P391" s="742">
        <f t="shared" si="24"/>
        <v>1112154.6799999997</v>
      </c>
    </row>
    <row r="392" spans="1:16" ht="20">
      <c r="A392" s="725" t="s">
        <v>1486</v>
      </c>
      <c r="B392" s="725"/>
      <c r="C392" s="726" t="s">
        <v>1487</v>
      </c>
      <c r="D392" s="726" t="str">
        <f t="shared" ref="D392:D407" si="25">CONCATENATE(A392,C392)</f>
        <v>5-01-02-86-001GRC-A.1.1#Project Manager</v>
      </c>
      <c r="E392" s="412" t="s">
        <v>1164</v>
      </c>
      <c r="F392" s="412" t="s">
        <v>1181</v>
      </c>
      <c r="G392" s="726" t="s">
        <v>1487</v>
      </c>
      <c r="H392" s="726" t="s">
        <v>1487</v>
      </c>
      <c r="I392" s="726" t="s">
        <v>1275</v>
      </c>
      <c r="J392" s="726"/>
      <c r="K392" s="727"/>
      <c r="L392" s="727">
        <v>2468400</v>
      </c>
      <c r="M392" s="727">
        <v>0</v>
      </c>
      <c r="N392" s="727">
        <f t="shared" ref="N392:N407" si="26">J392+L392</f>
        <v>2468400</v>
      </c>
      <c r="O392" s="727">
        <f t="shared" ref="O392:O407" si="27">K392+M392</f>
        <v>0</v>
      </c>
      <c r="P392" s="742">
        <f t="shared" ref="P392:P406" si="28">N392-O392</f>
        <v>2468400</v>
      </c>
    </row>
    <row r="393" spans="1:16" ht="20">
      <c r="A393" s="725" t="s">
        <v>1489</v>
      </c>
      <c r="B393" s="725"/>
      <c r="C393" s="726" t="s">
        <v>1490</v>
      </c>
      <c r="D393" s="726" t="str">
        <f t="shared" si="25"/>
        <v>5-01-02-86-002GRC-A.1.2#Finance Coordinator</v>
      </c>
      <c r="E393" s="412" t="s">
        <v>1164</v>
      </c>
      <c r="F393" s="412" t="s">
        <v>1181</v>
      </c>
      <c r="G393" s="726" t="s">
        <v>1490</v>
      </c>
      <c r="H393" s="726" t="s">
        <v>1490</v>
      </c>
      <c r="I393" s="726" t="s">
        <v>1275</v>
      </c>
      <c r="J393" s="726"/>
      <c r="K393" s="727"/>
      <c r="L393" s="727">
        <v>1604727</v>
      </c>
      <c r="M393" s="727">
        <v>0</v>
      </c>
      <c r="N393" s="727">
        <f t="shared" si="26"/>
        <v>1604727</v>
      </c>
      <c r="O393" s="727">
        <f t="shared" si="27"/>
        <v>0</v>
      </c>
      <c r="P393" s="742">
        <f t="shared" si="28"/>
        <v>1604727</v>
      </c>
    </row>
    <row r="394" spans="1:16" ht="20">
      <c r="A394" s="725" t="s">
        <v>1492</v>
      </c>
      <c r="B394" s="725"/>
      <c r="C394" s="726" t="s">
        <v>1493</v>
      </c>
      <c r="D394" s="726" t="str">
        <f t="shared" si="25"/>
        <v>5-01-02-86-003GRC-A.1.3#Project Coordinator</v>
      </c>
      <c r="E394" s="412" t="s">
        <v>1164</v>
      </c>
      <c r="F394" s="412" t="s">
        <v>1181</v>
      </c>
      <c r="G394" s="726" t="s">
        <v>1493</v>
      </c>
      <c r="H394" s="726" t="s">
        <v>1493</v>
      </c>
      <c r="I394" s="726" t="s">
        <v>1275</v>
      </c>
      <c r="J394" s="726"/>
      <c r="K394" s="727"/>
      <c r="L394" s="727">
        <v>1205282</v>
      </c>
      <c r="M394" s="727">
        <v>0</v>
      </c>
      <c r="N394" s="727">
        <f t="shared" si="26"/>
        <v>1205282</v>
      </c>
      <c r="O394" s="727">
        <f t="shared" si="27"/>
        <v>0</v>
      </c>
      <c r="P394" s="742">
        <f t="shared" si="28"/>
        <v>1205282</v>
      </c>
    </row>
    <row r="395" spans="1:16">
      <c r="A395" s="725" t="s">
        <v>1495</v>
      </c>
      <c r="B395" s="725"/>
      <c r="C395" s="726" t="s">
        <v>1496</v>
      </c>
      <c r="D395" s="726" t="str">
        <f t="shared" si="25"/>
        <v>5-01-02-86-004GRC-A.1.#Admn Officer</v>
      </c>
      <c r="E395" s="412" t="s">
        <v>1164</v>
      </c>
      <c r="F395" s="412" t="s">
        <v>1181</v>
      </c>
      <c r="G395" s="726" t="s">
        <v>1496</v>
      </c>
      <c r="H395" s="726" t="s">
        <v>1496</v>
      </c>
      <c r="I395" s="726" t="s">
        <v>974</v>
      </c>
      <c r="J395" s="726"/>
      <c r="K395" s="727"/>
      <c r="L395" s="727">
        <v>88799</v>
      </c>
      <c r="M395" s="727">
        <v>0</v>
      </c>
      <c r="N395" s="727">
        <f t="shared" si="26"/>
        <v>88799</v>
      </c>
      <c r="O395" s="727">
        <f t="shared" si="27"/>
        <v>0</v>
      </c>
      <c r="P395" s="742">
        <f t="shared" si="28"/>
        <v>88799</v>
      </c>
    </row>
    <row r="396" spans="1:16">
      <c r="A396" s="725" t="s">
        <v>1495</v>
      </c>
      <c r="B396" s="725"/>
      <c r="C396" s="726" t="s">
        <v>1496</v>
      </c>
      <c r="D396" s="726" t="str">
        <f t="shared" si="25"/>
        <v>5-01-02-86-004GRC-A.1.#Admn Officer</v>
      </c>
      <c r="E396" s="412" t="s">
        <v>1164</v>
      </c>
      <c r="F396" s="412" t="s">
        <v>1181</v>
      </c>
      <c r="G396" s="726" t="s">
        <v>1496</v>
      </c>
      <c r="H396" s="726" t="s">
        <v>1496</v>
      </c>
      <c r="I396" s="726" t="s">
        <v>1275</v>
      </c>
      <c r="J396" s="726"/>
      <c r="K396" s="727"/>
      <c r="L396" s="727">
        <v>916237</v>
      </c>
      <c r="M396" s="727">
        <v>0</v>
      </c>
      <c r="N396" s="727">
        <f t="shared" si="26"/>
        <v>916237</v>
      </c>
      <c r="O396" s="727">
        <f t="shared" si="27"/>
        <v>0</v>
      </c>
      <c r="P396" s="742">
        <f t="shared" si="28"/>
        <v>916237</v>
      </c>
    </row>
    <row r="397" spans="1:16" ht="20">
      <c r="A397" s="725" t="s">
        <v>1498</v>
      </c>
      <c r="B397" s="725"/>
      <c r="C397" s="726" t="s">
        <v>1499</v>
      </c>
      <c r="D397" s="726" t="str">
        <f t="shared" si="25"/>
        <v>5-01-02-86-005GRC-B.1.1#EOBI Contribution</v>
      </c>
      <c r="E397" s="412" t="s">
        <v>1164</v>
      </c>
      <c r="F397" s="412" t="s">
        <v>1181</v>
      </c>
      <c r="G397" s="726" t="s">
        <v>1499</v>
      </c>
      <c r="H397" s="726" t="s">
        <v>1499</v>
      </c>
      <c r="I397" s="726" t="s">
        <v>1275</v>
      </c>
      <c r="J397" s="726"/>
      <c r="K397" s="727"/>
      <c r="L397" s="727">
        <v>54231</v>
      </c>
      <c r="M397" s="727">
        <v>0</v>
      </c>
      <c r="N397" s="727">
        <f t="shared" si="26"/>
        <v>54231</v>
      </c>
      <c r="O397" s="727">
        <f t="shared" si="27"/>
        <v>0</v>
      </c>
      <c r="P397" s="742">
        <f t="shared" si="28"/>
        <v>54231</v>
      </c>
    </row>
    <row r="398" spans="1:16" ht="20">
      <c r="A398" s="725" t="s">
        <v>2154</v>
      </c>
      <c r="B398" s="725"/>
      <c r="C398" s="729" t="s">
        <v>2155</v>
      </c>
      <c r="D398" s="726" t="str">
        <f t="shared" si="25"/>
        <v>5-01-02-86-013GRC-D.1#Laptop for office use</v>
      </c>
      <c r="E398" s="412" t="s">
        <v>1164</v>
      </c>
      <c r="F398" s="412" t="s">
        <v>1181</v>
      </c>
      <c r="G398" s="726" t="s">
        <v>2155</v>
      </c>
      <c r="H398" s="726" t="s">
        <v>2155</v>
      </c>
      <c r="I398" s="726" t="s">
        <v>1275</v>
      </c>
      <c r="J398" s="726"/>
      <c r="K398" s="727"/>
      <c r="L398" s="727">
        <v>148000</v>
      </c>
      <c r="M398" s="727">
        <v>0</v>
      </c>
      <c r="N398" s="727">
        <f t="shared" si="26"/>
        <v>148000</v>
      </c>
      <c r="O398" s="727">
        <f t="shared" si="27"/>
        <v>0</v>
      </c>
      <c r="P398" s="742">
        <f t="shared" si="28"/>
        <v>148000</v>
      </c>
    </row>
    <row r="399" spans="1:16">
      <c r="A399" s="725" t="s">
        <v>1507</v>
      </c>
      <c r="B399" s="725"/>
      <c r="C399" s="726" t="s">
        <v>1508</v>
      </c>
      <c r="D399" s="726" t="str">
        <f t="shared" si="25"/>
        <v>5-01-02-86-014GRC-F.2#Office Rent</v>
      </c>
      <c r="E399" s="412" t="s">
        <v>1164</v>
      </c>
      <c r="F399" s="412" t="s">
        <v>1181</v>
      </c>
      <c r="G399" s="726" t="s">
        <v>1508</v>
      </c>
      <c r="H399" s="726" t="s">
        <v>1508</v>
      </c>
      <c r="I399" s="726" t="s">
        <v>1275</v>
      </c>
      <c r="J399" s="726"/>
      <c r="K399" s="727"/>
      <c r="L399" s="727">
        <v>932099</v>
      </c>
      <c r="M399" s="727">
        <v>0</v>
      </c>
      <c r="N399" s="727">
        <f t="shared" si="26"/>
        <v>932099</v>
      </c>
      <c r="O399" s="727">
        <f t="shared" si="27"/>
        <v>0</v>
      </c>
      <c r="P399" s="742">
        <f t="shared" si="28"/>
        <v>932099</v>
      </c>
    </row>
    <row r="400" spans="1:16" ht="20">
      <c r="A400" s="725" t="s">
        <v>2156</v>
      </c>
      <c r="B400" s="725"/>
      <c r="C400" s="729" t="s">
        <v>2157</v>
      </c>
      <c r="D400" s="726" t="str">
        <f t="shared" si="25"/>
        <v>5-01-02-86-017GRC-H.1.4#Venue, including food and drinks</v>
      </c>
      <c r="E400" s="412" t="s">
        <v>1164</v>
      </c>
      <c r="F400" s="412" t="s">
        <v>1181</v>
      </c>
      <c r="G400" s="726" t="s">
        <v>2157</v>
      </c>
      <c r="H400" s="726" t="s">
        <v>2157</v>
      </c>
      <c r="I400" s="726" t="s">
        <v>1275</v>
      </c>
      <c r="J400" s="726"/>
      <c r="K400" s="727"/>
      <c r="L400" s="727">
        <v>2000369</v>
      </c>
      <c r="M400" s="727">
        <v>0</v>
      </c>
      <c r="N400" s="727">
        <f t="shared" si="26"/>
        <v>2000369</v>
      </c>
      <c r="O400" s="727">
        <f t="shared" si="27"/>
        <v>0</v>
      </c>
      <c r="P400" s="742">
        <f t="shared" si="28"/>
        <v>2000369</v>
      </c>
    </row>
    <row r="401" spans="1:16" ht="20">
      <c r="A401" s="725" t="s">
        <v>2158</v>
      </c>
      <c r="B401" s="725"/>
      <c r="C401" s="729" t="s">
        <v>2159</v>
      </c>
      <c r="D401" s="726" t="str">
        <f t="shared" si="25"/>
        <v>5-01-02-86-018GRC-H.1.5#Travel for participants</v>
      </c>
      <c r="E401" s="412" t="s">
        <v>1164</v>
      </c>
      <c r="F401" s="412" t="s">
        <v>1181</v>
      </c>
      <c r="G401" s="726" t="s">
        <v>2159</v>
      </c>
      <c r="H401" s="726" t="s">
        <v>2159</v>
      </c>
      <c r="I401" s="726" t="s">
        <v>1275</v>
      </c>
      <c r="J401" s="726"/>
      <c r="K401" s="727"/>
      <c r="L401" s="727">
        <v>785528</v>
      </c>
      <c r="M401" s="727">
        <v>0</v>
      </c>
      <c r="N401" s="727">
        <f t="shared" si="26"/>
        <v>785528</v>
      </c>
      <c r="O401" s="727">
        <f t="shared" si="27"/>
        <v>0</v>
      </c>
      <c r="P401" s="742">
        <f t="shared" si="28"/>
        <v>785528</v>
      </c>
    </row>
    <row r="402" spans="1:16">
      <c r="A402" s="725" t="s">
        <v>2160</v>
      </c>
      <c r="B402" s="725"/>
      <c r="C402" s="729" t="s">
        <v>2161</v>
      </c>
      <c r="D402" s="726" t="str">
        <f t="shared" si="25"/>
        <v>5-01-02-86-019GRC-H.1.7#Facilitators fee</v>
      </c>
      <c r="E402" s="412" t="s">
        <v>1164</v>
      </c>
      <c r="F402" s="412" t="s">
        <v>1181</v>
      </c>
      <c r="G402" s="726" t="s">
        <v>2161</v>
      </c>
      <c r="H402" s="726" t="s">
        <v>2161</v>
      </c>
      <c r="I402" s="726" t="s">
        <v>1275</v>
      </c>
      <c r="J402" s="726"/>
      <c r="K402" s="727"/>
      <c r="L402" s="727">
        <v>333058</v>
      </c>
      <c r="M402" s="727">
        <v>0</v>
      </c>
      <c r="N402" s="727">
        <f t="shared" si="26"/>
        <v>333058</v>
      </c>
      <c r="O402" s="727">
        <f t="shared" si="27"/>
        <v>0</v>
      </c>
      <c r="P402" s="742">
        <f t="shared" si="28"/>
        <v>333058</v>
      </c>
    </row>
    <row r="403" spans="1:16" ht="20">
      <c r="A403" s="725" t="s">
        <v>2162</v>
      </c>
      <c r="B403" s="725"/>
      <c r="C403" s="729" t="s">
        <v>2163</v>
      </c>
      <c r="D403" s="726" t="str">
        <f t="shared" si="25"/>
        <v>5-01-02-86-020GRC-H.1.8#Stationary &amp; material</v>
      </c>
      <c r="E403" s="412" t="s">
        <v>1164</v>
      </c>
      <c r="F403" s="412" t="s">
        <v>1181</v>
      </c>
      <c r="G403" s="726" t="s">
        <v>2163</v>
      </c>
      <c r="H403" s="726" t="s">
        <v>2163</v>
      </c>
      <c r="I403" s="726" t="s">
        <v>1275</v>
      </c>
      <c r="J403" s="726"/>
      <c r="K403" s="727"/>
      <c r="L403" s="727">
        <v>206350</v>
      </c>
      <c r="M403" s="727">
        <v>0</v>
      </c>
      <c r="N403" s="727">
        <f t="shared" si="26"/>
        <v>206350</v>
      </c>
      <c r="O403" s="727">
        <f t="shared" si="27"/>
        <v>0</v>
      </c>
      <c r="P403" s="742">
        <f t="shared" si="28"/>
        <v>206350</v>
      </c>
    </row>
    <row r="404" spans="1:16" ht="30">
      <c r="A404" s="725" t="s">
        <v>2164</v>
      </c>
      <c r="B404" s="725"/>
      <c r="C404" s="729" t="s">
        <v>2165</v>
      </c>
      <c r="D404" s="726" t="str">
        <f t="shared" si="25"/>
        <v>5-01-02-88-005SAPPK-5#Cultural Events engaging all Stakeholders(one in each district)</v>
      </c>
      <c r="E404" s="412" t="s">
        <v>1164</v>
      </c>
      <c r="F404" s="412" t="s">
        <v>1181</v>
      </c>
      <c r="G404" s="726" t="s">
        <v>2165</v>
      </c>
      <c r="H404" s="726" t="s">
        <v>2165</v>
      </c>
      <c r="I404" s="726" t="s">
        <v>974</v>
      </c>
      <c r="J404" s="726"/>
      <c r="K404" s="727"/>
      <c r="L404" s="727">
        <v>112360</v>
      </c>
      <c r="M404" s="727">
        <v>0</v>
      </c>
      <c r="N404" s="727">
        <f t="shared" si="26"/>
        <v>112360</v>
      </c>
      <c r="O404" s="727">
        <f t="shared" si="27"/>
        <v>0</v>
      </c>
      <c r="P404" s="742">
        <f t="shared" si="28"/>
        <v>112360</v>
      </c>
    </row>
    <row r="405" spans="1:16" ht="20">
      <c r="A405" s="725" t="s">
        <v>2166</v>
      </c>
      <c r="B405" s="725"/>
      <c r="C405" s="729" t="s">
        <v>2167</v>
      </c>
      <c r="D405" s="726" t="str">
        <f t="shared" si="25"/>
        <v>5-01-05--002GCE#2-Community Engagement</v>
      </c>
      <c r="E405" s="412" t="s">
        <v>1164</v>
      </c>
      <c r="F405" s="412" t="s">
        <v>1181</v>
      </c>
      <c r="G405" s="726" t="s">
        <v>2167</v>
      </c>
      <c r="H405" s="726" t="s">
        <v>2167</v>
      </c>
      <c r="I405" s="726" t="s">
        <v>974</v>
      </c>
      <c r="J405" s="726"/>
      <c r="K405" s="727"/>
      <c r="L405" s="727">
        <v>139315</v>
      </c>
      <c r="M405" s="727">
        <v>0</v>
      </c>
      <c r="N405" s="727">
        <f t="shared" si="26"/>
        <v>139315</v>
      </c>
      <c r="O405" s="727">
        <f t="shared" si="27"/>
        <v>0</v>
      </c>
      <c r="P405" s="742">
        <f t="shared" si="28"/>
        <v>139315</v>
      </c>
    </row>
    <row r="406" spans="1:16" ht="20">
      <c r="A406" s="725" t="s">
        <v>2168</v>
      </c>
      <c r="B406" s="725"/>
      <c r="C406" s="729" t="s">
        <v>2169</v>
      </c>
      <c r="D406" s="726" t="str">
        <f t="shared" si="25"/>
        <v>5-01-05--004GCE#4-Multistake holder Consultation</v>
      </c>
      <c r="E406" s="412" t="s">
        <v>1164</v>
      </c>
      <c r="F406" s="412" t="s">
        <v>1181</v>
      </c>
      <c r="G406" s="726" t="s">
        <v>2169</v>
      </c>
      <c r="H406" s="726" t="s">
        <v>2169</v>
      </c>
      <c r="I406" s="726" t="s">
        <v>974</v>
      </c>
      <c r="J406" s="726"/>
      <c r="K406" s="727"/>
      <c r="L406" s="727">
        <v>1553283</v>
      </c>
      <c r="M406" s="727">
        <v>0</v>
      </c>
      <c r="N406" s="727">
        <f t="shared" si="26"/>
        <v>1553283</v>
      </c>
      <c r="O406" s="727">
        <f t="shared" si="27"/>
        <v>0</v>
      </c>
      <c r="P406" s="742">
        <f t="shared" si="28"/>
        <v>1553283</v>
      </c>
    </row>
    <row r="407" spans="1:16">
      <c r="A407" s="758" t="s">
        <v>2170</v>
      </c>
      <c r="B407" s="758"/>
      <c r="C407" s="759" t="s">
        <v>2171</v>
      </c>
      <c r="D407" s="759" t="str">
        <f t="shared" si="25"/>
        <v>5-01-05-0-001GCE#6-Report Writer</v>
      </c>
      <c r="E407" s="760" t="s">
        <v>1164</v>
      </c>
      <c r="F407" s="760" t="s">
        <v>1181</v>
      </c>
      <c r="G407" s="759" t="s">
        <v>2171</v>
      </c>
      <c r="H407" s="759" t="s">
        <v>2171</v>
      </c>
      <c r="I407" s="759" t="s">
        <v>974</v>
      </c>
      <c r="J407" s="759"/>
      <c r="K407" s="761"/>
      <c r="L407" s="761">
        <v>235294</v>
      </c>
      <c r="M407" s="761">
        <v>0</v>
      </c>
      <c r="N407" s="761">
        <f t="shared" si="26"/>
        <v>235294</v>
      </c>
      <c r="O407" s="761">
        <f t="shared" si="27"/>
        <v>0</v>
      </c>
      <c r="P407" s="762"/>
    </row>
    <row r="408" spans="1:16" ht="409.6" hidden="1" customHeight="1"/>
    <row r="409" spans="1:16">
      <c r="J409" s="722">
        <f>SUM(J7:J407)</f>
        <v>325376347.56</v>
      </c>
      <c r="K409" s="722">
        <f>SUM(K7:K407)</f>
        <v>325376347.5565899</v>
      </c>
    </row>
    <row r="411" spans="1:16">
      <c r="J411" s="733">
        <f>K409-J409</f>
        <v>-3.4101009368896484E-3</v>
      </c>
    </row>
    <row r="438" spans="10:10">
      <c r="J438" s="1">
        <f>73356131.31+304323.7</f>
        <v>73660455.010000005</v>
      </c>
    </row>
  </sheetData>
  <mergeCells count="2">
    <mergeCell ref="A1:I2"/>
    <mergeCell ref="A3:I4"/>
  </mergeCell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4:P56"/>
  <sheetViews>
    <sheetView workbookViewId="0">
      <selection activeCell="I32" sqref="I32"/>
    </sheetView>
  </sheetViews>
  <sheetFormatPr defaultRowHeight="14.5"/>
  <cols>
    <col min="1" max="1" width="31" bestFit="1" customWidth="1"/>
    <col min="2" max="2" width="18.81640625" bestFit="1" customWidth="1"/>
    <col min="3" max="10" width="15.7265625" customWidth="1"/>
    <col min="13" max="14" width="14.26953125" bestFit="1" customWidth="1"/>
    <col min="15" max="15" width="11.54296875" bestFit="1" customWidth="1"/>
    <col min="16" max="16" width="13.26953125" bestFit="1" customWidth="1"/>
  </cols>
  <sheetData>
    <row r="4" spans="1:10">
      <c r="C4" s="612" t="s">
        <v>2010</v>
      </c>
      <c r="D4" s="612" t="s">
        <v>2011</v>
      </c>
      <c r="E4" s="612" t="s">
        <v>2012</v>
      </c>
      <c r="F4" s="613" t="s">
        <v>2013</v>
      </c>
    </row>
    <row r="5" spans="1:10">
      <c r="A5" s="614" t="s">
        <v>2014</v>
      </c>
      <c r="B5" s="615"/>
    </row>
    <row r="6" spans="1:10">
      <c r="A6" s="612" t="s">
        <v>2015</v>
      </c>
      <c r="C6" s="616">
        <v>36461449</v>
      </c>
      <c r="D6" s="617">
        <v>1.2500000000000001E-2</v>
      </c>
      <c r="E6" s="618">
        <f>C6*D6</f>
        <v>455768.11250000005</v>
      </c>
    </row>
    <row r="7" spans="1:10">
      <c r="B7" s="516"/>
      <c r="C7" s="616"/>
      <c r="D7" s="516"/>
      <c r="E7" s="619"/>
    </row>
    <row r="8" spans="1:10">
      <c r="C8" s="616"/>
      <c r="E8" s="620"/>
    </row>
    <row r="9" spans="1:10">
      <c r="A9" s="614" t="s">
        <v>2016</v>
      </c>
      <c r="B9" s="615"/>
      <c r="C9" s="616"/>
      <c r="E9" s="620"/>
    </row>
    <row r="10" spans="1:10">
      <c r="A10" s="612" t="s">
        <v>2017</v>
      </c>
      <c r="C10" s="616">
        <v>3993289</v>
      </c>
      <c r="D10" s="621"/>
      <c r="E10" s="622"/>
    </row>
    <row r="11" spans="1:10">
      <c r="A11" s="613" t="s">
        <v>2018</v>
      </c>
      <c r="B11" s="612" t="s">
        <v>2019</v>
      </c>
      <c r="C11" s="623">
        <v>0</v>
      </c>
      <c r="E11" s="620"/>
      <c r="F11" s="2"/>
      <c r="G11" s="1"/>
    </row>
    <row r="12" spans="1:10">
      <c r="A12" s="613"/>
      <c r="B12" s="612" t="s">
        <v>2020</v>
      </c>
      <c r="C12" s="624">
        <f>-820984*20%</f>
        <v>-164196.80000000002</v>
      </c>
      <c r="E12" s="620"/>
    </row>
    <row r="13" spans="1:10" hidden="1">
      <c r="A13" s="613"/>
      <c r="B13" s="612" t="s">
        <v>2021</v>
      </c>
      <c r="C13" s="624">
        <v>0</v>
      </c>
      <c r="E13" s="620"/>
      <c r="G13" s="625"/>
    </row>
    <row r="14" spans="1:10">
      <c r="A14" s="613"/>
      <c r="B14" s="612" t="s">
        <v>2022</v>
      </c>
      <c r="C14" s="624">
        <v>0</v>
      </c>
      <c r="E14" s="620"/>
      <c r="G14" s="625"/>
    </row>
    <row r="15" spans="1:10">
      <c r="B15" s="612" t="s">
        <v>2023</v>
      </c>
      <c r="C15" s="624">
        <f>-I55</f>
        <v>-568977.39999999991</v>
      </c>
      <c r="E15" s="620"/>
      <c r="G15" s="625"/>
    </row>
    <row r="16" spans="1:10">
      <c r="C16" s="624"/>
      <c r="E16" s="620"/>
      <c r="G16" s="625"/>
      <c r="I16" s="504"/>
      <c r="J16" s="516"/>
    </row>
    <row r="17" spans="1:10">
      <c r="A17" s="613" t="s">
        <v>551</v>
      </c>
      <c r="B17" s="612" t="s">
        <v>2024</v>
      </c>
      <c r="C17" s="624">
        <v>2907</v>
      </c>
      <c r="E17" s="620"/>
      <c r="G17" s="607"/>
      <c r="I17" s="504"/>
      <c r="J17" s="516"/>
    </row>
    <row r="18" spans="1:10" hidden="1">
      <c r="A18" s="613"/>
      <c r="B18" s="612" t="s">
        <v>2025</v>
      </c>
      <c r="C18" s="624">
        <v>0</v>
      </c>
      <c r="E18" s="620"/>
      <c r="I18" s="504"/>
      <c r="J18" s="516"/>
    </row>
    <row r="19" spans="1:10">
      <c r="A19" s="613"/>
      <c r="B19" s="612" t="s">
        <v>2026</v>
      </c>
      <c r="C19" s="624">
        <v>581759</v>
      </c>
      <c r="E19" s="620"/>
      <c r="I19" s="504"/>
      <c r="J19" s="516"/>
    </row>
    <row r="20" spans="1:10">
      <c r="A20" s="613"/>
      <c r="B20" s="612" t="s">
        <v>2027</v>
      </c>
      <c r="C20" s="626">
        <v>315575</v>
      </c>
      <c r="E20" s="620"/>
      <c r="I20" s="504"/>
      <c r="J20" s="516"/>
    </row>
    <row r="21" spans="1:10">
      <c r="C21" s="616">
        <f>SUM(C11:C20)</f>
        <v>167066.80000000005</v>
      </c>
      <c r="E21" s="620"/>
    </row>
    <row r="22" spans="1:10">
      <c r="A22" s="612" t="s">
        <v>2028</v>
      </c>
      <c r="C22" s="627">
        <f>C10+C21</f>
        <v>4160355.8</v>
      </c>
      <c r="E22" s="620"/>
    </row>
    <row r="23" spans="1:10">
      <c r="A23" t="s">
        <v>2029</v>
      </c>
      <c r="C23" s="616">
        <v>0</v>
      </c>
      <c r="E23" s="620"/>
    </row>
    <row r="24" spans="1:10">
      <c r="C24" s="616"/>
      <c r="E24" s="620"/>
      <c r="H24" s="628"/>
      <c r="I24" s="625"/>
    </row>
    <row r="25" spans="1:10" ht="15" thickBot="1">
      <c r="A25" s="612" t="s">
        <v>2030</v>
      </c>
      <c r="C25" s="629">
        <f>C22+C23</f>
        <v>4160355.8</v>
      </c>
      <c r="D25" s="630">
        <v>0.28999999999999998</v>
      </c>
      <c r="E25" s="622">
        <f>C25*D25</f>
        <v>1206503.1819999998</v>
      </c>
      <c r="G25" s="625"/>
      <c r="H25" s="607"/>
      <c r="I25" s="631"/>
    </row>
    <row r="26" spans="1:10" ht="15" thickTop="1">
      <c r="C26" s="616"/>
      <c r="E26" s="620"/>
      <c r="I26" s="631">
        <f>I25-H24</f>
        <v>0</v>
      </c>
    </row>
    <row r="27" spans="1:10">
      <c r="A27" s="614" t="s">
        <v>2031</v>
      </c>
      <c r="B27" s="615"/>
      <c r="C27" s="616"/>
      <c r="E27" s="620"/>
    </row>
    <row r="28" spans="1:10">
      <c r="A28" s="613" t="s">
        <v>2017</v>
      </c>
      <c r="C28" s="632">
        <v>3993289</v>
      </c>
      <c r="D28" s="630">
        <v>0.17</v>
      </c>
      <c r="E28" s="622">
        <f>C28*D28</f>
        <v>678859.13</v>
      </c>
    </row>
    <row r="29" spans="1:10" ht="15" thickBot="1">
      <c r="B29" s="851" t="s">
        <v>2032</v>
      </c>
      <c r="C29" s="851"/>
      <c r="D29" s="851"/>
      <c r="E29" s="851"/>
      <c r="F29" s="634">
        <f>MAX(E28,E25,E6)</f>
        <v>1206503.1819999998</v>
      </c>
    </row>
    <row r="30" spans="1:10" ht="15" thickTop="1">
      <c r="C30" s="616"/>
    </row>
    <row r="31" spans="1:10" hidden="1">
      <c r="C31" s="616"/>
      <c r="E31" s="633" t="s">
        <v>2033</v>
      </c>
      <c r="F31" s="635">
        <f>C25*0.04</f>
        <v>166414.23199999999</v>
      </c>
      <c r="G31" s="619"/>
    </row>
    <row r="32" spans="1:10">
      <c r="C32" s="616"/>
      <c r="E32" s="633" t="s">
        <v>2034</v>
      </c>
      <c r="F32" s="619"/>
      <c r="G32" s="619"/>
    </row>
    <row r="33" spans="1:16" ht="15" thickBot="1">
      <c r="C33" s="616"/>
      <c r="E33" s="633" t="s">
        <v>2035</v>
      </c>
      <c r="F33" s="636">
        <f>SUM(F29+F32)</f>
        <v>1206503.1819999998</v>
      </c>
    </row>
    <row r="34" spans="1:16" ht="15" thickTop="1">
      <c r="C34" s="616"/>
      <c r="E34" s="516"/>
    </row>
    <row r="35" spans="1:16" ht="15" hidden="1" thickBot="1">
      <c r="A35" s="852">
        <v>2025</v>
      </c>
      <c r="B35" s="853"/>
      <c r="C35" s="853"/>
      <c r="D35" s="853"/>
      <c r="E35" s="853"/>
      <c r="F35" s="853"/>
      <c r="G35" s="853"/>
      <c r="H35" s="853"/>
      <c r="I35" s="853"/>
      <c r="J35" s="854"/>
      <c r="N35" s="631">
        <f>(F37-H37)*E37</f>
        <v>4491184.5</v>
      </c>
      <c r="O35" s="631">
        <f>B37*E37</f>
        <v>105195.3</v>
      </c>
      <c r="P35" s="631">
        <f>N35+O35</f>
        <v>4596379.8</v>
      </c>
    </row>
    <row r="36" spans="1:16" ht="24.5" hidden="1" thickBot="1">
      <c r="A36" s="637" t="s">
        <v>2036</v>
      </c>
      <c r="B36" s="638" t="s">
        <v>2037</v>
      </c>
      <c r="C36" s="638" t="s">
        <v>2038</v>
      </c>
      <c r="D36" s="638" t="s">
        <v>2039</v>
      </c>
      <c r="E36" s="638" t="s">
        <v>2011</v>
      </c>
      <c r="F36" s="638" t="s">
        <v>2040</v>
      </c>
      <c r="G36" s="638" t="s">
        <v>2041</v>
      </c>
      <c r="H36" s="638" t="s">
        <v>2021</v>
      </c>
      <c r="I36" s="638" t="s">
        <v>491</v>
      </c>
      <c r="J36" s="639" t="s">
        <v>2042</v>
      </c>
    </row>
    <row r="37" spans="1:16" ht="36" hidden="1">
      <c r="A37" s="640" t="s">
        <v>2043</v>
      </c>
      <c r="B37" s="641">
        <v>350651</v>
      </c>
      <c r="C37" s="642"/>
      <c r="D37" s="642"/>
      <c r="E37" s="643">
        <v>0.3</v>
      </c>
      <c r="F37" s="641">
        <v>19960820</v>
      </c>
      <c r="G37" s="643">
        <v>0.25</v>
      </c>
      <c r="H37" s="641">
        <f>F37*G37</f>
        <v>4990205</v>
      </c>
      <c r="I37" s="641">
        <f>(B37*E37)+((F37-H37)*E37)</f>
        <v>4596379.8</v>
      </c>
      <c r="J37" s="644">
        <f>B37+F37-H37-I37</f>
        <v>10724886.199999999</v>
      </c>
      <c r="M37" s="631">
        <f>B37+F37</f>
        <v>20311471</v>
      </c>
      <c r="N37" s="631">
        <f>M37*E37</f>
        <v>6093441.2999999998</v>
      </c>
      <c r="P37" s="2">
        <f>P35-N37</f>
        <v>-1497061.5</v>
      </c>
    </row>
    <row r="38" spans="1:16" hidden="1">
      <c r="A38" s="645" t="s">
        <v>2044</v>
      </c>
      <c r="B38" s="646">
        <v>26232612.65625</v>
      </c>
      <c r="C38" s="647"/>
      <c r="D38" s="647"/>
      <c r="E38" s="648">
        <v>0.15</v>
      </c>
      <c r="F38" s="646">
        <v>0</v>
      </c>
      <c r="G38" s="648">
        <v>0.25</v>
      </c>
      <c r="H38" s="646">
        <v>0</v>
      </c>
      <c r="I38" s="646">
        <f t="shared" ref="I38:I42" si="0">(B38*E38)+((F38-H38)*E38)</f>
        <v>3934891.8984375</v>
      </c>
      <c r="J38" s="649">
        <f t="shared" ref="J38:J42" si="1">B38+F38-H38-I38</f>
        <v>22297720.7578125</v>
      </c>
      <c r="P38" s="2">
        <f>H37</f>
        <v>4990205</v>
      </c>
    </row>
    <row r="39" spans="1:16" hidden="1">
      <c r="A39" s="645"/>
      <c r="B39" s="646"/>
      <c r="C39" s="647"/>
      <c r="D39" s="647"/>
      <c r="E39" s="648"/>
      <c r="F39" s="646"/>
      <c r="G39" s="648"/>
      <c r="H39" s="646"/>
      <c r="I39" s="646"/>
      <c r="J39" s="649"/>
      <c r="P39" s="2"/>
    </row>
    <row r="40" spans="1:16" hidden="1">
      <c r="A40" s="645"/>
      <c r="B40" s="646"/>
      <c r="C40" s="647"/>
      <c r="D40" s="647"/>
      <c r="E40" s="648"/>
      <c r="F40" s="646"/>
      <c r="G40" s="648"/>
      <c r="H40" s="646"/>
      <c r="I40" s="646"/>
      <c r="J40" s="649"/>
      <c r="P40" s="2"/>
    </row>
    <row r="41" spans="1:16" hidden="1">
      <c r="A41" s="650" t="s">
        <v>2045</v>
      </c>
      <c r="B41" s="651">
        <v>4283493.4000000004</v>
      </c>
      <c r="C41" s="652"/>
      <c r="D41" s="652"/>
      <c r="E41" s="653">
        <v>0.15</v>
      </c>
      <c r="F41" s="651">
        <v>0</v>
      </c>
      <c r="G41" s="653">
        <v>0</v>
      </c>
      <c r="H41" s="651">
        <v>0</v>
      </c>
      <c r="I41" s="646">
        <f t="shared" si="0"/>
        <v>642524.01</v>
      </c>
      <c r="J41" s="649">
        <f t="shared" si="1"/>
        <v>3640969.3900000006</v>
      </c>
      <c r="P41" s="2">
        <f>SUM(P37:P38)</f>
        <v>3493143.5</v>
      </c>
    </row>
    <row r="42" spans="1:16" ht="15" hidden="1" thickBot="1">
      <c r="A42" s="654" t="s">
        <v>2046</v>
      </c>
      <c r="B42" s="655">
        <v>21859767.050000001</v>
      </c>
      <c r="C42" s="656"/>
      <c r="D42" s="656"/>
      <c r="E42" s="657">
        <v>0.15</v>
      </c>
      <c r="F42" s="655">
        <v>14460080</v>
      </c>
      <c r="G42" s="657">
        <v>0</v>
      </c>
      <c r="H42" s="655">
        <v>0</v>
      </c>
      <c r="I42" s="658">
        <f t="shared" si="0"/>
        <v>5447977.0575000001</v>
      </c>
      <c r="J42" s="659">
        <f t="shared" si="1"/>
        <v>30871869.992499996</v>
      </c>
    </row>
    <row r="43" spans="1:16" ht="17.25" hidden="1" customHeight="1" thickBot="1">
      <c r="A43" s="660"/>
      <c r="B43" s="661">
        <v>52726524.106250003</v>
      </c>
      <c r="C43" s="662"/>
      <c r="D43" s="662"/>
      <c r="E43" s="662"/>
      <c r="F43" s="661">
        <f>SUM(F37:F42)</f>
        <v>34420900</v>
      </c>
      <c r="G43" s="662"/>
      <c r="H43" s="661">
        <f>SUM(H37:H42)</f>
        <v>4990205</v>
      </c>
      <c r="I43" s="661">
        <f>SUM(I37:I42)</f>
        <v>14621772.7659375</v>
      </c>
      <c r="J43" s="661">
        <f>SUM(J37:J42)</f>
        <v>67535446.340312496</v>
      </c>
    </row>
    <row r="44" spans="1:16" hidden="1"/>
    <row r="45" spans="1:16" hidden="1"/>
    <row r="46" spans="1:16" hidden="1">
      <c r="H46" s="625">
        <v>4990205</v>
      </c>
      <c r="I46" s="625">
        <v>12376180</v>
      </c>
    </row>
    <row r="47" spans="1:16" ht="15" thickBot="1"/>
    <row r="48" spans="1:16" ht="15" thickBot="1">
      <c r="A48" s="852">
        <v>2025</v>
      </c>
      <c r="B48" s="853"/>
      <c r="C48" s="853"/>
      <c r="D48" s="853"/>
      <c r="E48" s="853"/>
      <c r="F48" s="853"/>
      <c r="G48" s="853"/>
      <c r="H48" s="853"/>
      <c r="I48" s="853"/>
      <c r="J48" s="854"/>
    </row>
    <row r="49" spans="1:10" ht="24.5" thickBot="1">
      <c r="A49" s="637" t="s">
        <v>2036</v>
      </c>
      <c r="B49" s="638" t="s">
        <v>2047</v>
      </c>
      <c r="C49" s="638" t="s">
        <v>2038</v>
      </c>
      <c r="D49" s="638" t="s">
        <v>2039</v>
      </c>
      <c r="E49" s="638" t="s">
        <v>2011</v>
      </c>
      <c r="F49" s="638" t="s">
        <v>2040</v>
      </c>
      <c r="G49" s="638" t="s">
        <v>2041</v>
      </c>
      <c r="H49" s="638" t="s">
        <v>2021</v>
      </c>
      <c r="I49" s="638" t="s">
        <v>491</v>
      </c>
      <c r="J49" s="639" t="s">
        <v>2053</v>
      </c>
    </row>
    <row r="50" spans="1:10">
      <c r="A50" s="640" t="s">
        <v>2048</v>
      </c>
      <c r="B50" s="641">
        <v>64241</v>
      </c>
      <c r="C50" s="642"/>
      <c r="D50" s="642"/>
      <c r="E50" s="653">
        <v>0.15</v>
      </c>
      <c r="F50" s="641"/>
      <c r="G50" s="643"/>
      <c r="H50" s="663">
        <f>F50*G50</f>
        <v>0</v>
      </c>
      <c r="I50" s="641">
        <f>(B50*E50)+((F50-H50)*E50)</f>
        <v>9636.15</v>
      </c>
      <c r="J50" s="644">
        <f>B50+F50-H50-I50</f>
        <v>54604.85</v>
      </c>
    </row>
    <row r="51" spans="1:10">
      <c r="A51" s="645" t="s">
        <v>2049</v>
      </c>
      <c r="B51" s="646">
        <v>3159625</v>
      </c>
      <c r="C51" s="647"/>
      <c r="D51" s="647"/>
      <c r="E51" s="648">
        <v>0.1</v>
      </c>
      <c r="F51" s="646"/>
      <c r="G51" s="648"/>
      <c r="H51" s="651">
        <f t="shared" ref="H51:H53" si="2">F51*G51</f>
        <v>0</v>
      </c>
      <c r="I51" s="646">
        <f t="shared" ref="I51:I54" si="3">(B51*E51)+((F51-H51)*E51)</f>
        <v>315962.5</v>
      </c>
      <c r="J51" s="649">
        <f t="shared" ref="J51:J54" si="4">B51+F51-H51-I51</f>
        <v>2843662.5</v>
      </c>
    </row>
    <row r="52" spans="1:10">
      <c r="A52" s="645" t="s">
        <v>2050</v>
      </c>
      <c r="B52" s="646">
        <v>1509722</v>
      </c>
      <c r="C52" s="647"/>
      <c r="D52" s="647"/>
      <c r="E52" s="648">
        <v>0.15</v>
      </c>
      <c r="F52" s="646"/>
      <c r="G52" s="648"/>
      <c r="H52" s="651">
        <f t="shared" si="2"/>
        <v>0</v>
      </c>
      <c r="I52" s="646">
        <f t="shared" si="3"/>
        <v>226458.3</v>
      </c>
      <c r="J52" s="649">
        <f t="shared" si="4"/>
        <v>1283263.7</v>
      </c>
    </row>
    <row r="53" spans="1:10">
      <c r="A53" s="645" t="s">
        <v>2051</v>
      </c>
      <c r="B53" s="646">
        <v>50400</v>
      </c>
      <c r="C53" s="647"/>
      <c r="D53" s="647"/>
      <c r="E53" s="648">
        <v>0.3</v>
      </c>
      <c r="F53" s="646"/>
      <c r="G53" s="648"/>
      <c r="H53" s="651">
        <f t="shared" si="2"/>
        <v>0</v>
      </c>
      <c r="I53" s="646">
        <f t="shared" si="3"/>
        <v>15120</v>
      </c>
      <c r="J53" s="649">
        <f t="shared" si="4"/>
        <v>35280</v>
      </c>
    </row>
    <row r="54" spans="1:10" ht="15" thickBot="1">
      <c r="A54" s="654" t="s">
        <v>2052</v>
      </c>
      <c r="B54" s="655">
        <v>12003</v>
      </c>
      <c r="C54" s="656"/>
      <c r="D54" s="656"/>
      <c r="E54" s="657">
        <v>0.15</v>
      </c>
      <c r="F54" s="655"/>
      <c r="G54" s="657"/>
      <c r="H54" s="655">
        <v>0</v>
      </c>
      <c r="I54" s="658">
        <f t="shared" si="3"/>
        <v>1800.45</v>
      </c>
      <c r="J54" s="659">
        <f t="shared" si="4"/>
        <v>10202.549999999999</v>
      </c>
    </row>
    <row r="55" spans="1:10" ht="15" thickBot="1">
      <c r="A55" s="660"/>
      <c r="B55" s="661">
        <f>SUM(B50:B54)</f>
        <v>4795991</v>
      </c>
      <c r="C55" s="662"/>
      <c r="D55" s="662"/>
      <c r="E55" s="662"/>
      <c r="F55" s="661">
        <f>SUM(F50:F54)</f>
        <v>0</v>
      </c>
      <c r="G55" s="662"/>
      <c r="H55" s="661">
        <f>SUM(H50:H54)</f>
        <v>0</v>
      </c>
      <c r="I55" s="661">
        <f>SUM(I50:I54)</f>
        <v>568977.39999999991</v>
      </c>
      <c r="J55" s="661">
        <f>SUM(J50:J54)</f>
        <v>4227013.5999999996</v>
      </c>
    </row>
    <row r="56" spans="1:10" ht="15" thickTop="1"/>
  </sheetData>
  <mergeCells count="3">
    <mergeCell ref="B29:E29"/>
    <mergeCell ref="A35:J35"/>
    <mergeCell ref="A48:J4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78"/>
  <sheetViews>
    <sheetView topLeftCell="A17" workbookViewId="0">
      <selection activeCell="C32" sqref="C32"/>
    </sheetView>
  </sheetViews>
  <sheetFormatPr defaultRowHeight="14.5"/>
  <cols>
    <col min="2" max="2" width="18" customWidth="1"/>
    <col min="3" max="3" width="79.26953125" customWidth="1"/>
    <col min="4" max="4" width="16" customWidth="1"/>
    <col min="5" max="6" width="17.1796875" style="1" customWidth="1"/>
    <col min="7" max="7" width="11" bestFit="1" customWidth="1"/>
    <col min="8" max="8" width="13.453125" bestFit="1" customWidth="1"/>
    <col min="10" max="10" width="19.54296875" bestFit="1" customWidth="1"/>
    <col min="11" max="12" width="11.54296875" style="1" bestFit="1" customWidth="1"/>
    <col min="13" max="13" width="11.54296875" style="1" customWidth="1"/>
    <col min="14" max="14" width="11.81640625" bestFit="1" customWidth="1"/>
    <col min="15" max="15" width="10.54296875" style="1" bestFit="1" customWidth="1"/>
    <col min="16" max="16" width="11.54296875" style="1" bestFit="1" customWidth="1"/>
    <col min="17" max="17" width="20.54296875" bestFit="1" customWidth="1"/>
    <col min="18" max="18" width="11.54296875" bestFit="1" customWidth="1"/>
    <col min="20" max="21" width="11.54296875" bestFit="1" customWidth="1"/>
  </cols>
  <sheetData>
    <row r="1" spans="1:16">
      <c r="A1" s="401" t="s">
        <v>1211</v>
      </c>
      <c r="B1" s="401"/>
      <c r="K1"/>
      <c r="L1"/>
      <c r="M1"/>
      <c r="O1"/>
      <c r="P1"/>
    </row>
    <row r="2" spans="1:16">
      <c r="E2" s="435">
        <f>+SUBTOTAL(9,E5:E112)</f>
        <v>5539150.3300000001</v>
      </c>
      <c r="F2" s="435">
        <f>+SUBTOTAL(9,F5:F112)</f>
        <v>5539150.3300000001</v>
      </c>
      <c r="I2" s="2"/>
      <c r="K2"/>
      <c r="L2"/>
      <c r="M2"/>
      <c r="O2"/>
      <c r="P2"/>
    </row>
    <row r="3" spans="1:16" ht="15" thickBot="1">
      <c r="K3"/>
      <c r="L3"/>
      <c r="M3"/>
      <c r="O3"/>
      <c r="P3"/>
    </row>
    <row r="4" spans="1:16" ht="21.75" customHeight="1" thickBot="1">
      <c r="A4" s="402" t="s">
        <v>1212</v>
      </c>
      <c r="B4" s="589" t="s">
        <v>1214</v>
      </c>
      <c r="C4" s="589" t="s">
        <v>965</v>
      </c>
      <c r="D4" s="590" t="s">
        <v>1215</v>
      </c>
      <c r="E4" s="591" t="s">
        <v>455</v>
      </c>
      <c r="F4" s="591" t="s">
        <v>456</v>
      </c>
      <c r="K4"/>
      <c r="L4"/>
      <c r="M4"/>
      <c r="O4"/>
      <c r="P4"/>
    </row>
    <row r="5" spans="1:16">
      <c r="A5" s="588"/>
      <c r="B5" s="592" t="s">
        <v>875</v>
      </c>
      <c r="C5" s="585" t="s">
        <v>1976</v>
      </c>
      <c r="D5" s="585"/>
      <c r="E5" s="587">
        <v>50200</v>
      </c>
      <c r="F5" s="587"/>
      <c r="K5"/>
      <c r="L5"/>
      <c r="M5"/>
      <c r="O5"/>
      <c r="P5"/>
    </row>
    <row r="6" spans="1:16">
      <c r="B6" s="585" t="s">
        <v>763</v>
      </c>
      <c r="C6" s="585" t="s">
        <v>1977</v>
      </c>
      <c r="D6" s="585"/>
      <c r="E6" s="587"/>
      <c r="F6" s="587">
        <v>50200</v>
      </c>
    </row>
    <row r="7" spans="1:16">
      <c r="E7" s="593"/>
      <c r="F7" s="593"/>
      <c r="K7" s="593"/>
      <c r="L7" s="593"/>
      <c r="M7" s="593"/>
      <c r="O7" s="593"/>
      <c r="P7" s="593"/>
    </row>
    <row r="8" spans="1:16">
      <c r="B8" s="585" t="s">
        <v>875</v>
      </c>
      <c r="C8" s="585" t="s">
        <v>1976</v>
      </c>
      <c r="D8" s="585"/>
      <c r="E8" s="587">
        <v>75865</v>
      </c>
      <c r="F8" s="587"/>
    </row>
    <row r="9" spans="1:16">
      <c r="B9" s="585" t="s">
        <v>763</v>
      </c>
      <c r="C9" s="585" t="s">
        <v>1978</v>
      </c>
      <c r="D9" s="585"/>
      <c r="E9" s="587"/>
      <c r="F9" s="587">
        <v>75865</v>
      </c>
    </row>
    <row r="11" spans="1:16">
      <c r="B11" s="585" t="s">
        <v>763</v>
      </c>
      <c r="C11" s="585" t="s">
        <v>1979</v>
      </c>
      <c r="D11" s="585"/>
      <c r="E11" s="587">
        <v>30000</v>
      </c>
      <c r="F11" s="587"/>
    </row>
    <row r="12" spans="1:16">
      <c r="B12" s="585" t="s">
        <v>763</v>
      </c>
      <c r="C12" s="585" t="s">
        <v>1987</v>
      </c>
      <c r="D12" s="585"/>
      <c r="E12" s="587"/>
      <c r="F12" s="587">
        <v>9150</v>
      </c>
    </row>
    <row r="13" spans="1:16">
      <c r="B13" s="585" t="s">
        <v>763</v>
      </c>
      <c r="C13" s="585" t="s">
        <v>1988</v>
      </c>
      <c r="D13" s="585"/>
      <c r="E13" s="587"/>
      <c r="F13" s="587">
        <v>20000</v>
      </c>
    </row>
    <row r="14" spans="1:16">
      <c r="B14" s="585" t="s">
        <v>1169</v>
      </c>
      <c r="C14" s="585" t="s">
        <v>1980</v>
      </c>
      <c r="D14" s="585"/>
      <c r="E14" s="587"/>
      <c r="F14" s="587">
        <v>850</v>
      </c>
    </row>
    <row r="16" spans="1:16">
      <c r="B16" s="585" t="s">
        <v>875</v>
      </c>
      <c r="C16" s="585" t="s">
        <v>1976</v>
      </c>
      <c r="D16" s="585"/>
      <c r="E16" s="587">
        <v>36000</v>
      </c>
      <c r="F16" s="587"/>
    </row>
    <row r="17" spans="2:7">
      <c r="B17" s="585" t="s">
        <v>1975</v>
      </c>
      <c r="C17" s="585" t="s">
        <v>1981</v>
      </c>
      <c r="D17" s="585"/>
      <c r="E17" s="587">
        <v>50000</v>
      </c>
      <c r="F17" s="587"/>
    </row>
    <row r="18" spans="2:7">
      <c r="B18" s="585" t="s">
        <v>771</v>
      </c>
      <c r="C18" s="585" t="s">
        <v>1982</v>
      </c>
      <c r="D18" s="585"/>
      <c r="E18" s="587">
        <v>5050</v>
      </c>
      <c r="F18" s="587"/>
    </row>
    <row r="19" spans="2:7">
      <c r="B19" s="585" t="s">
        <v>1975</v>
      </c>
      <c r="C19" s="585" t="s">
        <v>1983</v>
      </c>
      <c r="D19" s="585"/>
      <c r="E19" s="587"/>
      <c r="F19" s="587">
        <v>87050</v>
      </c>
    </row>
    <row r="20" spans="2:7">
      <c r="B20" s="585" t="s">
        <v>1975</v>
      </c>
      <c r="C20" s="585" t="s">
        <v>1984</v>
      </c>
      <c r="D20" s="585"/>
      <c r="E20" s="587"/>
      <c r="F20" s="587">
        <v>4000</v>
      </c>
    </row>
    <row r="22" spans="2:7">
      <c r="B22" s="585" t="s">
        <v>1559</v>
      </c>
      <c r="C22" s="585" t="s">
        <v>1985</v>
      </c>
      <c r="D22" s="585"/>
      <c r="E22" s="587">
        <v>10247</v>
      </c>
      <c r="F22" s="587"/>
    </row>
    <row r="23" spans="2:7">
      <c r="B23" s="585" t="s">
        <v>737</v>
      </c>
      <c r="C23" s="585" t="s">
        <v>1986</v>
      </c>
      <c r="D23" s="585"/>
      <c r="E23" s="587"/>
      <c r="F23" s="587">
        <v>10247</v>
      </c>
      <c r="G23" t="s">
        <v>971</v>
      </c>
    </row>
    <row r="25" spans="2:7">
      <c r="B25" s="585" t="s">
        <v>781</v>
      </c>
      <c r="C25" s="585" t="s">
        <v>1635</v>
      </c>
      <c r="D25" s="585"/>
      <c r="E25" s="587">
        <v>19881</v>
      </c>
      <c r="F25" s="587"/>
    </row>
    <row r="26" spans="2:7">
      <c r="B26" s="585" t="s">
        <v>889</v>
      </c>
      <c r="C26" s="585" t="s">
        <v>1702</v>
      </c>
      <c r="D26" s="585"/>
      <c r="E26" s="587"/>
      <c r="F26" s="587">
        <v>19881</v>
      </c>
    </row>
    <row r="28" spans="2:7">
      <c r="B28" t="s">
        <v>788</v>
      </c>
      <c r="C28" t="s">
        <v>1300</v>
      </c>
      <c r="G28" t="s">
        <v>2070</v>
      </c>
    </row>
    <row r="29" spans="2:7">
      <c r="B29" t="s">
        <v>1553</v>
      </c>
      <c r="C29" t="s">
        <v>1989</v>
      </c>
      <c r="F29" s="1">
        <f>E28</f>
        <v>0</v>
      </c>
    </row>
    <row r="31" spans="2:7">
      <c r="B31" t="s">
        <v>1194</v>
      </c>
      <c r="C31" t="s">
        <v>1990</v>
      </c>
    </row>
    <row r="32" spans="2:7">
      <c r="B32" t="s">
        <v>789</v>
      </c>
      <c r="C32" t="s">
        <v>1991</v>
      </c>
      <c r="F32" s="1">
        <f>E31</f>
        <v>0</v>
      </c>
    </row>
    <row r="34" spans="2:6">
      <c r="B34" t="s">
        <v>791</v>
      </c>
      <c r="C34" t="s">
        <v>1993</v>
      </c>
      <c r="E34" s="1">
        <v>115326</v>
      </c>
    </row>
    <row r="35" spans="2:6">
      <c r="B35" t="s">
        <v>1195</v>
      </c>
      <c r="C35" t="s">
        <v>1996</v>
      </c>
      <c r="F35" s="1">
        <f>E34</f>
        <v>115326</v>
      </c>
    </row>
    <row r="37" spans="2:6">
      <c r="C37" t="s">
        <v>1994</v>
      </c>
      <c r="E37" s="1">
        <v>337290</v>
      </c>
    </row>
    <row r="38" spans="2:6">
      <c r="B38" t="s">
        <v>790</v>
      </c>
      <c r="C38" t="s">
        <v>1995</v>
      </c>
      <c r="F38" s="1">
        <f>E37</f>
        <v>337290</v>
      </c>
    </row>
    <row r="41" spans="2:6">
      <c r="B41" t="s">
        <v>859</v>
      </c>
      <c r="C41" t="s">
        <v>1488</v>
      </c>
      <c r="E41" s="607">
        <v>2619012</v>
      </c>
      <c r="F41" s="607"/>
    </row>
    <row r="42" spans="2:6">
      <c r="B42" t="s">
        <v>861</v>
      </c>
      <c r="C42" t="s">
        <v>276</v>
      </c>
      <c r="E42" s="607">
        <v>190818</v>
      </c>
      <c r="F42" s="607"/>
    </row>
    <row r="43" spans="2:6">
      <c r="B43" t="s">
        <v>863</v>
      </c>
      <c r="C43" t="s">
        <v>278</v>
      </c>
      <c r="E43" s="607">
        <v>5500</v>
      </c>
      <c r="F43" s="607"/>
    </row>
    <row r="44" spans="2:6">
      <c r="B44" t="s">
        <v>864</v>
      </c>
      <c r="C44" t="s">
        <v>279</v>
      </c>
      <c r="E44" s="607">
        <v>7500</v>
      </c>
      <c r="F44" s="607"/>
    </row>
    <row r="45" spans="2:6">
      <c r="B45" t="s">
        <v>865</v>
      </c>
      <c r="C45" t="s">
        <v>280</v>
      </c>
      <c r="E45" s="607">
        <v>186450</v>
      </c>
      <c r="F45" s="607"/>
    </row>
    <row r="46" spans="2:6">
      <c r="B46" t="s">
        <v>867</v>
      </c>
      <c r="C46" t="s">
        <v>282</v>
      </c>
      <c r="E46" s="607">
        <v>2580</v>
      </c>
      <c r="F46" s="607"/>
    </row>
    <row r="47" spans="2:6">
      <c r="B47" t="s">
        <v>869</v>
      </c>
      <c r="C47" t="s">
        <v>284</v>
      </c>
      <c r="E47" s="607">
        <v>247770</v>
      </c>
      <c r="F47" s="607"/>
    </row>
    <row r="48" spans="2:6">
      <c r="B48" t="s">
        <v>870</v>
      </c>
      <c r="C48" t="s">
        <v>285</v>
      </c>
      <c r="E48" s="607">
        <v>22390</v>
      </c>
      <c r="F48" s="607"/>
    </row>
    <row r="49" spans="2:8">
      <c r="B49" t="s">
        <v>872</v>
      </c>
      <c r="C49" t="s">
        <v>287</v>
      </c>
      <c r="E49" s="607">
        <v>4050</v>
      </c>
      <c r="F49" s="607"/>
    </row>
    <row r="50" spans="2:8">
      <c r="B50" t="s">
        <v>873</v>
      </c>
      <c r="C50" t="s">
        <v>288</v>
      </c>
      <c r="E50" s="607">
        <v>4650</v>
      </c>
      <c r="F50" s="607"/>
    </row>
    <row r="51" spans="2:8">
      <c r="B51" t="s">
        <v>875</v>
      </c>
      <c r="C51" t="s">
        <v>290</v>
      </c>
      <c r="E51" s="607">
        <v>389988.33</v>
      </c>
      <c r="F51" s="607"/>
    </row>
    <row r="52" spans="2:8">
      <c r="B52" t="s">
        <v>877</v>
      </c>
      <c r="C52" t="s">
        <v>292</v>
      </c>
      <c r="E52" s="607">
        <v>1800</v>
      </c>
      <c r="F52" s="607"/>
    </row>
    <row r="53" spans="2:8">
      <c r="B53" t="s">
        <v>880</v>
      </c>
      <c r="C53" t="s">
        <v>294</v>
      </c>
      <c r="E53" s="607">
        <v>4790</v>
      </c>
      <c r="F53" s="607"/>
    </row>
    <row r="54" spans="2:8">
      <c r="B54" t="s">
        <v>894</v>
      </c>
      <c r="C54" t="s">
        <v>312</v>
      </c>
      <c r="E54" s="607">
        <v>17630</v>
      </c>
      <c r="F54" s="607"/>
    </row>
    <row r="55" spans="2:8">
      <c r="B55" t="s">
        <v>1345</v>
      </c>
      <c r="C55" t="s">
        <v>1783</v>
      </c>
      <c r="E55" s="607">
        <v>362500</v>
      </c>
      <c r="F55" s="607"/>
    </row>
    <row r="56" spans="2:8">
      <c r="B56" t="s">
        <v>849</v>
      </c>
      <c r="C56" s="584" t="s">
        <v>270</v>
      </c>
      <c r="E56" s="607"/>
      <c r="F56" s="607">
        <v>2619012</v>
      </c>
      <c r="H56" t="s">
        <v>849</v>
      </c>
    </row>
    <row r="57" spans="2:8">
      <c r="B57" t="s">
        <v>849</v>
      </c>
      <c r="C57" s="584" t="s">
        <v>270</v>
      </c>
      <c r="E57" s="607"/>
      <c r="F57" s="607">
        <v>190818</v>
      </c>
    </row>
    <row r="58" spans="2:8">
      <c r="B58" t="s">
        <v>849</v>
      </c>
      <c r="C58" s="584" t="s">
        <v>270</v>
      </c>
      <c r="E58" s="607"/>
      <c r="F58" s="607">
        <v>5500</v>
      </c>
    </row>
    <row r="59" spans="2:8">
      <c r="B59" t="s">
        <v>849</v>
      </c>
      <c r="C59" s="584" t="s">
        <v>270</v>
      </c>
      <c r="E59" s="607"/>
      <c r="F59" s="607">
        <v>7500</v>
      </c>
    </row>
    <row r="60" spans="2:8">
      <c r="B60" t="s">
        <v>849</v>
      </c>
      <c r="C60" s="584" t="s">
        <v>270</v>
      </c>
      <c r="E60" s="607"/>
      <c r="F60" s="607">
        <v>186450</v>
      </c>
    </row>
    <row r="61" spans="2:8">
      <c r="B61" t="s">
        <v>849</v>
      </c>
      <c r="C61" s="584" t="s">
        <v>270</v>
      </c>
      <c r="E61" s="607"/>
      <c r="F61" s="607">
        <v>2580</v>
      </c>
    </row>
    <row r="62" spans="2:8">
      <c r="B62" t="s">
        <v>849</v>
      </c>
      <c r="C62" s="584" t="s">
        <v>270</v>
      </c>
      <c r="E62" s="607"/>
      <c r="F62" s="607">
        <v>247770</v>
      </c>
    </row>
    <row r="63" spans="2:8">
      <c r="B63" t="s">
        <v>849</v>
      </c>
      <c r="C63" s="584" t="s">
        <v>270</v>
      </c>
      <c r="E63" s="607"/>
      <c r="F63" s="607">
        <v>22390</v>
      </c>
    </row>
    <row r="64" spans="2:8">
      <c r="B64" t="s">
        <v>849</v>
      </c>
      <c r="C64" s="584" t="s">
        <v>270</v>
      </c>
      <c r="E64" s="607"/>
      <c r="F64" s="607">
        <v>4050</v>
      </c>
    </row>
    <row r="65" spans="2:6">
      <c r="B65" t="s">
        <v>849</v>
      </c>
      <c r="C65" s="584" t="s">
        <v>270</v>
      </c>
      <c r="E65" s="607"/>
      <c r="F65" s="607">
        <v>4650</v>
      </c>
    </row>
    <row r="66" spans="2:6">
      <c r="B66" t="s">
        <v>849</v>
      </c>
      <c r="C66" s="584" t="s">
        <v>270</v>
      </c>
      <c r="E66" s="607"/>
      <c r="F66" s="607">
        <v>389988.33</v>
      </c>
    </row>
    <row r="67" spans="2:6">
      <c r="B67" t="s">
        <v>849</v>
      </c>
      <c r="C67" s="584" t="s">
        <v>270</v>
      </c>
      <c r="E67" s="607"/>
      <c r="F67" s="607">
        <v>1800</v>
      </c>
    </row>
    <row r="68" spans="2:6">
      <c r="B68" t="s">
        <v>849</v>
      </c>
      <c r="C68" s="584" t="s">
        <v>270</v>
      </c>
      <c r="E68" s="607"/>
      <c r="F68" s="607">
        <v>4790</v>
      </c>
    </row>
    <row r="69" spans="2:6">
      <c r="B69" t="s">
        <v>849</v>
      </c>
      <c r="C69" s="584" t="s">
        <v>270</v>
      </c>
      <c r="E69" s="607"/>
      <c r="F69" s="607">
        <v>17630</v>
      </c>
    </row>
    <row r="70" spans="2:6">
      <c r="B70" t="s">
        <v>849</v>
      </c>
      <c r="C70" s="584" t="s">
        <v>270</v>
      </c>
      <c r="E70" s="607"/>
      <c r="F70" s="607">
        <v>362500</v>
      </c>
    </row>
    <row r="72" spans="2:6">
      <c r="B72" t="s">
        <v>860</v>
      </c>
      <c r="C72" t="s">
        <v>275</v>
      </c>
      <c r="E72" s="607">
        <v>27004</v>
      </c>
    </row>
    <row r="73" spans="2:6">
      <c r="B73" t="s">
        <v>884</v>
      </c>
      <c r="C73" t="s">
        <v>298</v>
      </c>
      <c r="E73" s="607">
        <v>36000</v>
      </c>
    </row>
    <row r="74" spans="2:6">
      <c r="B74" t="s">
        <v>849</v>
      </c>
      <c r="C74" t="s">
        <v>270</v>
      </c>
      <c r="E74" s="607"/>
      <c r="F74" s="1">
        <v>27004</v>
      </c>
    </row>
    <row r="75" spans="2:6">
      <c r="B75" t="s">
        <v>849</v>
      </c>
      <c r="C75" t="s">
        <v>270</v>
      </c>
      <c r="E75"/>
      <c r="F75" s="1">
        <v>36000</v>
      </c>
    </row>
    <row r="77" spans="2:6">
      <c r="C77" t="s">
        <v>2055</v>
      </c>
      <c r="E77" s="1">
        <v>678859</v>
      </c>
    </row>
    <row r="78" spans="2:6">
      <c r="C78" t="s">
        <v>1309</v>
      </c>
      <c r="F78" s="1">
        <f>+E77</f>
        <v>678859</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G140"/>
  <sheetViews>
    <sheetView topLeftCell="A5" workbookViewId="0">
      <selection activeCell="H30" sqref="H30"/>
    </sheetView>
  </sheetViews>
  <sheetFormatPr defaultRowHeight="14.5"/>
  <cols>
    <col min="1" max="1" width="82.1796875" bestFit="1" customWidth="1"/>
    <col min="2" max="2" width="12.54296875" bestFit="1" customWidth="1"/>
    <col min="3" max="3" width="13.26953125" bestFit="1" customWidth="1"/>
    <col min="4" max="4" width="17.1796875" bestFit="1" customWidth="1"/>
    <col min="5" max="8" width="10.54296875" bestFit="1" customWidth="1"/>
  </cols>
  <sheetData>
    <row r="3" spans="1:4">
      <c r="A3" s="271" t="s">
        <v>644</v>
      </c>
      <c r="B3" t="s">
        <v>951</v>
      </c>
      <c r="C3" t="s">
        <v>949</v>
      </c>
      <c r="D3" t="s">
        <v>950</v>
      </c>
    </row>
    <row r="4" spans="1:4">
      <c r="A4" s="272" t="s">
        <v>584</v>
      </c>
      <c r="B4" s="2">
        <v>11915008</v>
      </c>
      <c r="C4" s="2">
        <v>19370</v>
      </c>
      <c r="D4" s="2">
        <v>11895638</v>
      </c>
    </row>
    <row r="5" spans="1:4">
      <c r="A5" s="273" t="s">
        <v>379</v>
      </c>
      <c r="B5" s="2">
        <v>50000</v>
      </c>
      <c r="C5" s="2">
        <v>0</v>
      </c>
      <c r="D5" s="2">
        <v>50000</v>
      </c>
    </row>
    <row r="6" spans="1:4">
      <c r="A6" s="274" t="s">
        <v>379</v>
      </c>
      <c r="B6" s="2">
        <v>50000</v>
      </c>
      <c r="C6" s="2">
        <v>0</v>
      </c>
      <c r="D6" s="2">
        <v>50000</v>
      </c>
    </row>
    <row r="7" spans="1:4">
      <c r="A7" s="273" t="s">
        <v>383</v>
      </c>
      <c r="B7" s="2">
        <v>1240867</v>
      </c>
      <c r="C7" s="2">
        <v>0</v>
      </c>
      <c r="D7" s="2">
        <v>1240867</v>
      </c>
    </row>
    <row r="8" spans="1:4">
      <c r="A8" s="274" t="s">
        <v>383</v>
      </c>
      <c r="B8" s="2">
        <v>1240867</v>
      </c>
      <c r="C8" s="2">
        <v>0</v>
      </c>
      <c r="D8" s="2">
        <v>1240867</v>
      </c>
    </row>
    <row r="9" spans="1:4">
      <c r="A9" s="273" t="s">
        <v>366</v>
      </c>
      <c r="B9" s="2">
        <v>1037260</v>
      </c>
      <c r="C9" s="2">
        <v>0</v>
      </c>
      <c r="D9" s="2">
        <v>1037260</v>
      </c>
    </row>
    <row r="10" spans="1:4">
      <c r="A10" s="274" t="s">
        <v>366</v>
      </c>
      <c r="B10" s="2">
        <v>1037260</v>
      </c>
      <c r="C10" s="2">
        <v>0</v>
      </c>
      <c r="D10" s="2">
        <v>1037260</v>
      </c>
    </row>
    <row r="11" spans="1:4">
      <c r="A11" s="273" t="s">
        <v>371</v>
      </c>
      <c r="B11" s="2">
        <v>65320</v>
      </c>
      <c r="C11" s="2">
        <v>13750</v>
      </c>
      <c r="D11" s="2">
        <v>51570</v>
      </c>
    </row>
    <row r="12" spans="1:4">
      <c r="A12" s="274" t="s">
        <v>371</v>
      </c>
      <c r="B12" s="2">
        <v>65320</v>
      </c>
      <c r="C12" s="2">
        <v>13750</v>
      </c>
      <c r="D12" s="2">
        <v>51570</v>
      </c>
    </row>
    <row r="13" spans="1:4">
      <c r="A13" s="273" t="s">
        <v>370</v>
      </c>
      <c r="B13" s="2">
        <v>206464</v>
      </c>
      <c r="C13" s="2">
        <v>0</v>
      </c>
      <c r="D13" s="2">
        <v>206464</v>
      </c>
    </row>
    <row r="14" spans="1:4">
      <c r="A14" s="274" t="s">
        <v>370</v>
      </c>
      <c r="B14" s="2">
        <v>206464</v>
      </c>
      <c r="C14" s="2">
        <v>0</v>
      </c>
      <c r="D14" s="2">
        <v>206464</v>
      </c>
    </row>
    <row r="15" spans="1:4">
      <c r="A15" s="273" t="s">
        <v>377</v>
      </c>
      <c r="B15" s="2">
        <v>293644</v>
      </c>
      <c r="C15" s="2">
        <v>0</v>
      </c>
      <c r="D15" s="2">
        <v>293644</v>
      </c>
    </row>
    <row r="16" spans="1:4">
      <c r="A16" s="274" t="s">
        <v>377</v>
      </c>
      <c r="B16" s="2">
        <v>293644</v>
      </c>
      <c r="C16" s="2">
        <v>0</v>
      </c>
      <c r="D16" s="2">
        <v>293644</v>
      </c>
    </row>
    <row r="17" spans="1:4">
      <c r="A17" s="273" t="s">
        <v>589</v>
      </c>
      <c r="B17" s="2">
        <v>54000</v>
      </c>
      <c r="C17" s="2">
        <v>0</v>
      </c>
      <c r="D17" s="2">
        <v>54000</v>
      </c>
    </row>
    <row r="18" spans="1:4">
      <c r="A18" s="274" t="s">
        <v>385</v>
      </c>
      <c r="B18" s="2">
        <v>54000</v>
      </c>
      <c r="C18" s="2">
        <v>0</v>
      </c>
      <c r="D18" s="2">
        <v>54000</v>
      </c>
    </row>
    <row r="19" spans="1:4">
      <c r="A19" s="273" t="s">
        <v>380</v>
      </c>
      <c r="B19" s="2">
        <v>67400</v>
      </c>
      <c r="C19" s="2">
        <v>0</v>
      </c>
      <c r="D19" s="2">
        <v>67400</v>
      </c>
    </row>
    <row r="20" spans="1:4">
      <c r="A20" s="274" t="s">
        <v>380</v>
      </c>
      <c r="B20" s="2">
        <v>67400</v>
      </c>
      <c r="C20" s="2">
        <v>0</v>
      </c>
      <c r="D20" s="2">
        <v>67400</v>
      </c>
    </row>
    <row r="21" spans="1:4">
      <c r="A21" s="273" t="s">
        <v>376</v>
      </c>
      <c r="B21" s="2">
        <v>311322</v>
      </c>
      <c r="C21" s="2">
        <v>1140</v>
      </c>
      <c r="D21" s="2">
        <v>310182</v>
      </c>
    </row>
    <row r="22" spans="1:4">
      <c r="A22" s="274" t="s">
        <v>376</v>
      </c>
      <c r="B22" s="2">
        <v>311322</v>
      </c>
      <c r="C22" s="2">
        <v>1140</v>
      </c>
      <c r="D22" s="2">
        <v>310182</v>
      </c>
    </row>
    <row r="23" spans="1:4">
      <c r="A23" s="273" t="s">
        <v>388</v>
      </c>
      <c r="B23" s="2">
        <v>90329</v>
      </c>
      <c r="C23" s="2">
        <v>0</v>
      </c>
      <c r="D23" s="2">
        <v>90329</v>
      </c>
    </row>
    <row r="24" spans="1:4">
      <c r="A24" s="274" t="s">
        <v>388</v>
      </c>
      <c r="B24" s="2">
        <v>90329</v>
      </c>
      <c r="C24" s="2">
        <v>0</v>
      </c>
      <c r="D24" s="2">
        <v>90329</v>
      </c>
    </row>
    <row r="25" spans="1:4">
      <c r="A25" s="273" t="s">
        <v>374</v>
      </c>
      <c r="B25" s="2">
        <v>38201</v>
      </c>
      <c r="C25" s="2">
        <v>0</v>
      </c>
      <c r="D25" s="2">
        <v>38201</v>
      </c>
    </row>
    <row r="26" spans="1:4">
      <c r="A26" s="274" t="s">
        <v>374</v>
      </c>
      <c r="B26" s="2">
        <v>38201</v>
      </c>
      <c r="C26" s="2">
        <v>0</v>
      </c>
      <c r="D26" s="2">
        <v>38201</v>
      </c>
    </row>
    <row r="27" spans="1:4">
      <c r="A27" s="273" t="s">
        <v>365</v>
      </c>
      <c r="B27" s="2">
        <v>6400325</v>
      </c>
      <c r="C27" s="2">
        <v>0</v>
      </c>
      <c r="D27" s="2">
        <v>6400325</v>
      </c>
    </row>
    <row r="28" spans="1:4">
      <c r="A28" s="274" t="s">
        <v>365</v>
      </c>
      <c r="B28" s="2">
        <v>6400325</v>
      </c>
      <c r="C28" s="2">
        <v>0</v>
      </c>
      <c r="D28" s="2">
        <v>6400325</v>
      </c>
    </row>
    <row r="29" spans="1:4">
      <c r="A29" s="273" t="s">
        <v>375</v>
      </c>
      <c r="B29" s="2">
        <v>199788</v>
      </c>
      <c r="C29" s="2">
        <v>0</v>
      </c>
      <c r="D29" s="2">
        <v>199788</v>
      </c>
    </row>
    <row r="30" spans="1:4">
      <c r="A30" s="274" t="s">
        <v>375</v>
      </c>
      <c r="B30" s="2">
        <v>199788</v>
      </c>
      <c r="C30" s="2">
        <v>0</v>
      </c>
      <c r="D30" s="2">
        <v>199788</v>
      </c>
    </row>
    <row r="31" spans="1:4">
      <c r="A31" s="273" t="s">
        <v>367</v>
      </c>
      <c r="B31" s="2">
        <v>280530</v>
      </c>
      <c r="C31" s="2">
        <v>0</v>
      </c>
      <c r="D31" s="2">
        <v>280530</v>
      </c>
    </row>
    <row r="32" spans="1:4">
      <c r="A32" s="274" t="s">
        <v>367</v>
      </c>
      <c r="B32" s="2">
        <v>280530</v>
      </c>
      <c r="C32" s="2">
        <v>0</v>
      </c>
      <c r="D32" s="2">
        <v>280530</v>
      </c>
    </row>
    <row r="33" spans="1:4">
      <c r="A33" s="273" t="s">
        <v>368</v>
      </c>
      <c r="B33" s="2">
        <v>1423134</v>
      </c>
      <c r="C33" s="2">
        <v>3040</v>
      </c>
      <c r="D33" s="2">
        <v>1420094</v>
      </c>
    </row>
    <row r="34" spans="1:4">
      <c r="A34" s="274" t="s">
        <v>368</v>
      </c>
      <c r="B34" s="2">
        <v>1423134</v>
      </c>
      <c r="C34" s="2">
        <v>3040</v>
      </c>
      <c r="D34" s="2">
        <v>1420094</v>
      </c>
    </row>
    <row r="35" spans="1:4">
      <c r="A35" s="273" t="s">
        <v>373</v>
      </c>
      <c r="B35" s="2">
        <v>8350</v>
      </c>
      <c r="C35" s="2">
        <v>0</v>
      </c>
      <c r="D35" s="2">
        <v>8350</v>
      </c>
    </row>
    <row r="36" spans="1:4">
      <c r="A36" s="274" t="s">
        <v>373</v>
      </c>
      <c r="B36" s="2">
        <v>8350</v>
      </c>
      <c r="C36" s="2">
        <v>0</v>
      </c>
      <c r="D36" s="2">
        <v>8350</v>
      </c>
    </row>
    <row r="37" spans="1:4">
      <c r="A37" s="273" t="s">
        <v>369</v>
      </c>
      <c r="B37" s="2">
        <v>148074</v>
      </c>
      <c r="C37" s="2">
        <v>1440</v>
      </c>
      <c r="D37" s="2">
        <v>146634</v>
      </c>
    </row>
    <row r="38" spans="1:4">
      <c r="A38" s="274" t="s">
        <v>369</v>
      </c>
      <c r="B38" s="2">
        <v>148074</v>
      </c>
      <c r="C38" s="2">
        <v>1440</v>
      </c>
      <c r="D38" s="2">
        <v>146634</v>
      </c>
    </row>
    <row r="39" spans="1:4">
      <c r="A39" s="272" t="s">
        <v>466</v>
      </c>
      <c r="B39" s="2">
        <v>4854357.92</v>
      </c>
      <c r="C39" s="2">
        <v>3236199.7499999995</v>
      </c>
      <c r="D39" s="2">
        <v>1618158.17</v>
      </c>
    </row>
    <row r="40" spans="1:4">
      <c r="A40" s="273" t="s">
        <v>467</v>
      </c>
      <c r="B40" s="2">
        <v>3185685.63</v>
      </c>
      <c r="C40" s="2">
        <v>3092654.7499999995</v>
      </c>
      <c r="D40" s="2">
        <v>93030.879999999801</v>
      </c>
    </row>
    <row r="41" spans="1:4">
      <c r="A41" s="274" t="s">
        <v>329</v>
      </c>
      <c r="B41" s="2">
        <v>3185685.63</v>
      </c>
      <c r="C41" s="2">
        <v>3092654.7499999995</v>
      </c>
      <c r="D41" s="2">
        <v>93030.879999999801</v>
      </c>
    </row>
    <row r="42" spans="1:4">
      <c r="A42" s="273" t="s">
        <v>563</v>
      </c>
      <c r="B42" s="2">
        <v>1668672.29</v>
      </c>
      <c r="C42" s="2">
        <v>143545</v>
      </c>
      <c r="D42" s="2">
        <v>1525127.29</v>
      </c>
    </row>
    <row r="43" spans="1:4">
      <c r="A43" s="274" t="s">
        <v>334</v>
      </c>
      <c r="B43" s="2">
        <v>361418</v>
      </c>
      <c r="C43" s="2">
        <v>120000</v>
      </c>
      <c r="D43" s="2">
        <v>241418</v>
      </c>
    </row>
    <row r="44" spans="1:4">
      <c r="A44" s="274" t="s">
        <v>335</v>
      </c>
      <c r="B44" s="2">
        <v>62721</v>
      </c>
      <c r="C44" s="2">
        <v>15000</v>
      </c>
      <c r="D44" s="2">
        <v>47721</v>
      </c>
    </row>
    <row r="45" spans="1:4">
      <c r="A45" s="274" t="s">
        <v>331</v>
      </c>
      <c r="B45" s="2">
        <v>959965.29</v>
      </c>
      <c r="C45" s="2">
        <v>8545</v>
      </c>
      <c r="D45" s="2">
        <v>951420.29</v>
      </c>
    </row>
    <row r="46" spans="1:4">
      <c r="A46" s="274" t="s">
        <v>337</v>
      </c>
      <c r="B46" s="2">
        <v>25440</v>
      </c>
      <c r="C46" s="2">
        <v>0</v>
      </c>
      <c r="D46" s="2">
        <v>25440</v>
      </c>
    </row>
    <row r="47" spans="1:4">
      <c r="A47" s="274" t="s">
        <v>333</v>
      </c>
      <c r="B47" s="2">
        <v>219700</v>
      </c>
      <c r="C47" s="2">
        <v>0</v>
      </c>
      <c r="D47" s="2">
        <v>219700</v>
      </c>
    </row>
    <row r="48" spans="1:4">
      <c r="A48" s="274" t="s">
        <v>336</v>
      </c>
      <c r="B48" s="2">
        <v>39428</v>
      </c>
      <c r="C48" s="2">
        <v>0</v>
      </c>
      <c r="D48" s="2">
        <v>39428</v>
      </c>
    </row>
    <row r="49" spans="1:4">
      <c r="A49" s="272" t="s">
        <v>473</v>
      </c>
      <c r="B49" s="2">
        <v>5081544</v>
      </c>
      <c r="C49" s="2">
        <v>43590227</v>
      </c>
      <c r="D49" s="2">
        <v>-38508683</v>
      </c>
    </row>
    <row r="50" spans="1:4">
      <c r="A50" s="273" t="s">
        <v>570</v>
      </c>
      <c r="B50" s="2">
        <v>913653</v>
      </c>
      <c r="C50" s="2">
        <v>4679102</v>
      </c>
      <c r="D50" s="2">
        <v>-3765449</v>
      </c>
    </row>
    <row r="51" spans="1:4">
      <c r="A51" s="274" t="s">
        <v>358</v>
      </c>
      <c r="B51" s="2">
        <v>125600</v>
      </c>
      <c r="C51" s="2">
        <v>2917172</v>
      </c>
      <c r="D51" s="2">
        <v>-2791572</v>
      </c>
    </row>
    <row r="52" spans="1:4">
      <c r="A52" s="274" t="s">
        <v>359</v>
      </c>
      <c r="B52" s="2">
        <v>788053</v>
      </c>
      <c r="C52" s="2">
        <v>1761930</v>
      </c>
      <c r="D52" s="2">
        <v>-973877</v>
      </c>
    </row>
    <row r="53" spans="1:4">
      <c r="A53" s="273" t="s">
        <v>571</v>
      </c>
      <c r="B53" s="2">
        <v>4167891</v>
      </c>
      <c r="C53" s="2">
        <v>38911125</v>
      </c>
      <c r="D53" s="2">
        <v>-34743234</v>
      </c>
    </row>
    <row r="54" spans="1:4">
      <c r="A54" s="274" t="s">
        <v>332</v>
      </c>
      <c r="B54" s="2">
        <v>4167891</v>
      </c>
      <c r="C54" s="2">
        <v>38911125</v>
      </c>
      <c r="D54" s="2">
        <v>-34743234</v>
      </c>
    </row>
    <row r="55" spans="1:4">
      <c r="A55" s="272" t="s">
        <v>641</v>
      </c>
      <c r="B55" s="2">
        <v>12988.21</v>
      </c>
      <c r="C55" s="2">
        <v>0</v>
      </c>
      <c r="D55" s="2">
        <v>12988.21</v>
      </c>
    </row>
    <row r="56" spans="1:4">
      <c r="A56" s="273" t="s">
        <v>382</v>
      </c>
      <c r="B56" s="2">
        <v>12988.21</v>
      </c>
      <c r="C56" s="2">
        <v>0</v>
      </c>
      <c r="D56" s="2">
        <v>12988.21</v>
      </c>
    </row>
    <row r="57" spans="1:4">
      <c r="A57" s="274" t="s">
        <v>382</v>
      </c>
      <c r="B57" s="2">
        <v>12988.21</v>
      </c>
      <c r="C57" s="2">
        <v>0</v>
      </c>
      <c r="D57" s="2">
        <v>12988.21</v>
      </c>
    </row>
    <row r="58" spans="1:4">
      <c r="A58" s="272" t="s">
        <v>362</v>
      </c>
      <c r="B58" s="2">
        <v>29320775.739999998</v>
      </c>
      <c r="C58" s="2">
        <v>23174648.859999999</v>
      </c>
      <c r="D58" s="2">
        <v>6146126.8799999952</v>
      </c>
    </row>
    <row r="59" spans="1:4">
      <c r="A59" s="273" t="s">
        <v>362</v>
      </c>
      <c r="B59" s="2">
        <v>29320775.739999998</v>
      </c>
      <c r="C59" s="2">
        <v>23174648.859999999</v>
      </c>
      <c r="D59" s="2">
        <v>6146126.8799999952</v>
      </c>
    </row>
    <row r="60" spans="1:4">
      <c r="A60" s="274" t="s">
        <v>362</v>
      </c>
      <c r="B60" s="2">
        <v>29320775.739999998</v>
      </c>
      <c r="C60" s="2">
        <v>23174648.859999999</v>
      </c>
      <c r="D60" s="2">
        <v>6146126.8799999952</v>
      </c>
    </row>
    <row r="61" spans="1:4">
      <c r="A61" s="272" t="s">
        <v>364</v>
      </c>
      <c r="B61" s="2">
        <v>0</v>
      </c>
      <c r="C61" s="2">
        <v>15447369.83</v>
      </c>
      <c r="D61" s="2">
        <v>-15447369.83</v>
      </c>
    </row>
    <row r="62" spans="1:4">
      <c r="A62" s="273" t="s">
        <v>364</v>
      </c>
      <c r="B62" s="2">
        <v>0</v>
      </c>
      <c r="C62" s="2">
        <v>15447369.83</v>
      </c>
      <c r="D62" s="2">
        <v>-15447369.83</v>
      </c>
    </row>
    <row r="63" spans="1:4">
      <c r="A63" s="274" t="s">
        <v>364</v>
      </c>
      <c r="B63" s="2">
        <v>0</v>
      </c>
      <c r="C63" s="2">
        <v>15447369.83</v>
      </c>
      <c r="D63" s="2">
        <v>-15447369.83</v>
      </c>
    </row>
    <row r="64" spans="1:4">
      <c r="A64" s="272" t="s">
        <v>330</v>
      </c>
      <c r="B64" s="2">
        <v>48240554.5</v>
      </c>
      <c r="C64" s="2">
        <v>48240554.549999997</v>
      </c>
      <c r="D64" s="2">
        <v>-4.9999999813735485E-2</v>
      </c>
    </row>
    <row r="65" spans="1:7">
      <c r="A65" s="273" t="s">
        <v>330</v>
      </c>
      <c r="B65" s="2">
        <v>48240554.5</v>
      </c>
      <c r="C65" s="2">
        <v>48240554.549999997</v>
      </c>
      <c r="D65" s="2">
        <v>-4.9999999813735485E-2</v>
      </c>
    </row>
    <row r="66" spans="1:7">
      <c r="A66" s="274" t="s">
        <v>330</v>
      </c>
      <c r="B66" s="2">
        <v>48240554.5</v>
      </c>
      <c r="C66" s="2">
        <v>48240554.549999997</v>
      </c>
      <c r="D66" s="2">
        <v>-4.9999999813735485E-2</v>
      </c>
    </row>
    <row r="67" spans="1:7">
      <c r="A67" s="272" t="s">
        <v>637</v>
      </c>
      <c r="B67" s="2">
        <v>39156063</v>
      </c>
      <c r="C67" s="2">
        <v>18644374</v>
      </c>
      <c r="D67" s="2">
        <v>20511689</v>
      </c>
    </row>
    <row r="68" spans="1:7">
      <c r="A68" s="273" t="s">
        <v>639</v>
      </c>
      <c r="B68" s="2">
        <v>460096</v>
      </c>
      <c r="C68" s="2">
        <v>392058</v>
      </c>
      <c r="D68" s="2">
        <v>68038</v>
      </c>
    </row>
    <row r="69" spans="1:7">
      <c r="A69" s="274" t="s">
        <v>353</v>
      </c>
      <c r="B69" s="2">
        <v>0</v>
      </c>
      <c r="C69" s="2">
        <v>392058</v>
      </c>
      <c r="D69" s="2">
        <v>-392058</v>
      </c>
    </row>
    <row r="70" spans="1:7">
      <c r="A70" s="274" t="s">
        <v>352</v>
      </c>
      <c r="B70" s="2">
        <v>460096</v>
      </c>
      <c r="C70" s="2">
        <v>0</v>
      </c>
      <c r="D70" s="2">
        <v>460096</v>
      </c>
    </row>
    <row r="71" spans="1:7">
      <c r="A71" s="273" t="s">
        <v>638</v>
      </c>
      <c r="B71" s="2">
        <v>38695967</v>
      </c>
      <c r="C71" s="2">
        <v>18252316</v>
      </c>
      <c r="D71" s="2">
        <v>20443651</v>
      </c>
    </row>
    <row r="72" spans="1:7">
      <c r="A72" s="274" t="s">
        <v>357</v>
      </c>
      <c r="B72" s="2">
        <v>0</v>
      </c>
      <c r="C72" s="2">
        <v>308439</v>
      </c>
      <c r="D72" s="2">
        <v>-308439</v>
      </c>
    </row>
    <row r="73" spans="1:7">
      <c r="A73" s="274" t="s">
        <v>341</v>
      </c>
      <c r="B73" s="2">
        <v>0</v>
      </c>
      <c r="C73" s="2">
        <v>7810244</v>
      </c>
      <c r="D73" s="2">
        <v>-7810244</v>
      </c>
    </row>
    <row r="74" spans="1:7">
      <c r="A74" s="274" t="s">
        <v>351</v>
      </c>
      <c r="B74" s="2">
        <v>0</v>
      </c>
      <c r="C74" s="2">
        <v>2767134</v>
      </c>
      <c r="D74" s="2">
        <v>-2767134</v>
      </c>
    </row>
    <row r="75" spans="1:7">
      <c r="A75" s="274" t="s">
        <v>345</v>
      </c>
      <c r="B75" s="2">
        <v>315575</v>
      </c>
      <c r="C75" s="2">
        <v>2608368</v>
      </c>
      <c r="D75" s="2">
        <v>-2292793</v>
      </c>
      <c r="F75" s="2"/>
      <c r="G75" s="2"/>
    </row>
    <row r="76" spans="1:7">
      <c r="A76" s="274" t="s">
        <v>349</v>
      </c>
      <c r="B76" s="2">
        <v>0</v>
      </c>
      <c r="C76" s="2">
        <v>785919</v>
      </c>
      <c r="D76" s="2">
        <v>-785919</v>
      </c>
    </row>
    <row r="77" spans="1:7">
      <c r="A77" s="274" t="s">
        <v>343</v>
      </c>
      <c r="B77" s="2">
        <v>0</v>
      </c>
      <c r="C77" s="2">
        <v>934587</v>
      </c>
      <c r="D77" s="2">
        <v>-934587</v>
      </c>
    </row>
    <row r="78" spans="1:7">
      <c r="A78" s="274" t="s">
        <v>347</v>
      </c>
      <c r="B78" s="2">
        <v>0</v>
      </c>
      <c r="C78" s="2">
        <v>806290</v>
      </c>
      <c r="D78" s="2">
        <v>-806290</v>
      </c>
    </row>
    <row r="79" spans="1:7">
      <c r="A79" s="274" t="s">
        <v>355</v>
      </c>
      <c r="B79" s="2">
        <v>0</v>
      </c>
      <c r="C79" s="2">
        <v>1915760</v>
      </c>
      <c r="D79" s="2">
        <v>-1915760</v>
      </c>
    </row>
    <row r="80" spans="1:7">
      <c r="A80" s="274" t="s">
        <v>356</v>
      </c>
      <c r="B80" s="2">
        <v>308439</v>
      </c>
      <c r="C80" s="2">
        <v>0</v>
      </c>
      <c r="D80" s="2">
        <v>308439</v>
      </c>
    </row>
    <row r="81" spans="1:4">
      <c r="A81" s="274" t="s">
        <v>340</v>
      </c>
      <c r="B81" s="2">
        <v>22763815</v>
      </c>
      <c r="C81" s="2">
        <v>0</v>
      </c>
      <c r="D81" s="2">
        <v>22763815</v>
      </c>
    </row>
    <row r="82" spans="1:4">
      <c r="A82" s="274" t="s">
        <v>350</v>
      </c>
      <c r="B82" s="2">
        <v>2767134</v>
      </c>
      <c r="C82" s="2">
        <v>0</v>
      </c>
      <c r="D82" s="2">
        <v>2767134</v>
      </c>
    </row>
    <row r="83" spans="1:4">
      <c r="A83" s="274" t="s">
        <v>344</v>
      </c>
      <c r="B83" s="2">
        <v>5261033</v>
      </c>
      <c r="C83" s="2">
        <v>315575</v>
      </c>
      <c r="D83" s="2">
        <v>4945458</v>
      </c>
    </row>
    <row r="84" spans="1:4">
      <c r="A84" s="274" t="s">
        <v>348</v>
      </c>
      <c r="B84" s="2">
        <v>868377</v>
      </c>
      <c r="C84" s="2">
        <v>0</v>
      </c>
      <c r="D84" s="2">
        <v>868377</v>
      </c>
    </row>
    <row r="85" spans="1:4">
      <c r="A85" s="274" t="s">
        <v>342</v>
      </c>
      <c r="B85" s="2">
        <v>1244075</v>
      </c>
      <c r="C85" s="2">
        <v>0</v>
      </c>
      <c r="D85" s="2">
        <v>1244075</v>
      </c>
    </row>
    <row r="86" spans="1:4">
      <c r="A86" s="274" t="s">
        <v>339</v>
      </c>
      <c r="B86" s="2">
        <v>1721000</v>
      </c>
      <c r="C86" s="2">
        <v>0</v>
      </c>
      <c r="D86" s="2">
        <v>1721000</v>
      </c>
    </row>
    <row r="87" spans="1:4">
      <c r="A87" s="274" t="s">
        <v>346</v>
      </c>
      <c r="B87" s="2">
        <v>911914</v>
      </c>
      <c r="C87" s="2">
        <v>0</v>
      </c>
      <c r="D87" s="2">
        <v>911914</v>
      </c>
    </row>
    <row r="88" spans="1:4">
      <c r="A88" s="274" t="s">
        <v>354</v>
      </c>
      <c r="B88" s="2">
        <v>2534605</v>
      </c>
      <c r="C88" s="2">
        <v>0</v>
      </c>
      <c r="D88" s="2">
        <v>2534605</v>
      </c>
    </row>
    <row r="89" spans="1:4">
      <c r="A89" s="272" t="s">
        <v>640</v>
      </c>
      <c r="B89" s="2">
        <v>0</v>
      </c>
      <c r="C89" s="2">
        <v>3365485</v>
      </c>
      <c r="D89" s="2">
        <v>-3365485</v>
      </c>
    </row>
    <row r="90" spans="1:4">
      <c r="A90" s="273" t="s">
        <v>471</v>
      </c>
      <c r="B90" s="2">
        <v>0</v>
      </c>
      <c r="C90" s="2">
        <v>1940564</v>
      </c>
      <c r="D90" s="2">
        <v>-1940564</v>
      </c>
    </row>
    <row r="91" spans="1:4">
      <c r="A91" s="274" t="s">
        <v>360</v>
      </c>
      <c r="B91" s="2">
        <v>0</v>
      </c>
      <c r="C91" s="2">
        <v>1940564</v>
      </c>
      <c r="D91" s="2">
        <v>-1940564</v>
      </c>
    </row>
    <row r="92" spans="1:4">
      <c r="A92" s="273" t="s">
        <v>472</v>
      </c>
      <c r="B92" s="2">
        <v>0</v>
      </c>
      <c r="C92" s="2">
        <v>1424921</v>
      </c>
      <c r="D92" s="2">
        <v>-1424921</v>
      </c>
    </row>
    <row r="93" spans="1:4">
      <c r="A93" s="274" t="s">
        <v>361</v>
      </c>
      <c r="B93" s="2">
        <v>0</v>
      </c>
      <c r="C93" s="2">
        <v>1424921</v>
      </c>
      <c r="D93" s="2">
        <v>-1424921</v>
      </c>
    </row>
    <row r="94" spans="1:4">
      <c r="A94" s="272" t="s">
        <v>573</v>
      </c>
      <c r="B94" s="2">
        <v>17847686.759999998</v>
      </c>
      <c r="C94" s="2">
        <v>6630</v>
      </c>
      <c r="D94" s="2">
        <v>17841056.759999998</v>
      </c>
    </row>
    <row r="95" spans="1:4">
      <c r="A95" s="273" t="s">
        <v>384</v>
      </c>
      <c r="B95" s="2">
        <v>1049214</v>
      </c>
      <c r="C95" s="2">
        <v>0</v>
      </c>
      <c r="D95" s="2">
        <v>1049214</v>
      </c>
    </row>
    <row r="96" spans="1:4">
      <c r="A96" s="274" t="s">
        <v>384</v>
      </c>
      <c r="B96" s="2">
        <v>1049214</v>
      </c>
      <c r="C96" s="2">
        <v>0</v>
      </c>
      <c r="D96" s="2">
        <v>1049214</v>
      </c>
    </row>
    <row r="97" spans="1:4">
      <c r="A97" s="273" t="s">
        <v>386</v>
      </c>
      <c r="B97" s="2">
        <v>725680</v>
      </c>
      <c r="C97" s="2">
        <v>6630</v>
      </c>
      <c r="D97" s="2">
        <v>719050</v>
      </c>
    </row>
    <row r="98" spans="1:4">
      <c r="A98" s="274" t="s">
        <v>386</v>
      </c>
      <c r="B98" s="2">
        <v>725680</v>
      </c>
      <c r="C98" s="2">
        <v>6630</v>
      </c>
      <c r="D98" s="2">
        <v>719050</v>
      </c>
    </row>
    <row r="99" spans="1:4">
      <c r="A99" s="273" t="s">
        <v>452</v>
      </c>
      <c r="B99" s="2">
        <v>253200</v>
      </c>
      <c r="C99" s="2">
        <v>0</v>
      </c>
      <c r="D99" s="2">
        <v>253200</v>
      </c>
    </row>
    <row r="100" spans="1:4">
      <c r="A100" s="274" t="s">
        <v>452</v>
      </c>
      <c r="B100" s="2">
        <v>253200</v>
      </c>
      <c r="C100" s="2">
        <v>0</v>
      </c>
      <c r="D100" s="2">
        <v>253200</v>
      </c>
    </row>
    <row r="101" spans="1:4">
      <c r="A101" s="273" t="s">
        <v>454</v>
      </c>
      <c r="B101" s="2">
        <v>3677045</v>
      </c>
      <c r="C101" s="2">
        <v>0</v>
      </c>
      <c r="D101" s="2">
        <v>3677045</v>
      </c>
    </row>
    <row r="102" spans="1:4">
      <c r="A102" s="274" t="s">
        <v>454</v>
      </c>
      <c r="B102" s="2">
        <v>3677045</v>
      </c>
      <c r="C102" s="2">
        <v>0</v>
      </c>
      <c r="D102" s="2">
        <v>3677045</v>
      </c>
    </row>
    <row r="103" spans="1:4">
      <c r="A103" s="273" t="s">
        <v>392</v>
      </c>
      <c r="B103" s="2">
        <v>157334</v>
      </c>
      <c r="C103" s="2">
        <v>0</v>
      </c>
      <c r="D103" s="2">
        <v>157334</v>
      </c>
    </row>
    <row r="104" spans="1:4">
      <c r="A104" s="274" t="s">
        <v>392</v>
      </c>
      <c r="B104" s="2">
        <v>157334</v>
      </c>
      <c r="C104" s="2">
        <v>0</v>
      </c>
      <c r="D104" s="2">
        <v>157334</v>
      </c>
    </row>
    <row r="105" spans="1:4">
      <c r="A105" s="273" t="s">
        <v>576</v>
      </c>
      <c r="B105" s="2">
        <v>671066</v>
      </c>
      <c r="C105" s="2">
        <v>0</v>
      </c>
      <c r="D105" s="2">
        <v>671066</v>
      </c>
    </row>
    <row r="106" spans="1:4">
      <c r="A106" s="274" t="s">
        <v>391</v>
      </c>
      <c r="B106" s="2">
        <v>671066</v>
      </c>
      <c r="C106" s="2">
        <v>0</v>
      </c>
      <c r="D106" s="2">
        <v>671066</v>
      </c>
    </row>
    <row r="107" spans="1:4">
      <c r="A107" s="273" t="s">
        <v>577</v>
      </c>
      <c r="B107" s="2">
        <v>70275</v>
      </c>
      <c r="C107" s="2">
        <v>0</v>
      </c>
      <c r="D107" s="2">
        <v>70275</v>
      </c>
    </row>
    <row r="108" spans="1:4">
      <c r="A108" s="274" t="s">
        <v>387</v>
      </c>
      <c r="B108" s="2">
        <v>70275</v>
      </c>
      <c r="C108" s="2">
        <v>0</v>
      </c>
      <c r="D108" s="2">
        <v>70275</v>
      </c>
    </row>
    <row r="109" spans="1:4">
      <c r="A109" s="273" t="s">
        <v>643</v>
      </c>
      <c r="B109" s="2">
        <v>819552</v>
      </c>
      <c r="C109" s="2">
        <v>0</v>
      </c>
      <c r="D109" s="2">
        <v>819552</v>
      </c>
    </row>
    <row r="110" spans="1:4">
      <c r="A110" s="274" t="s">
        <v>453</v>
      </c>
      <c r="B110" s="2">
        <v>763717</v>
      </c>
      <c r="C110" s="2">
        <v>0</v>
      </c>
      <c r="D110" s="2">
        <v>763717</v>
      </c>
    </row>
    <row r="111" spans="1:4">
      <c r="A111" s="274" t="s">
        <v>365</v>
      </c>
      <c r="B111" s="2">
        <v>55835</v>
      </c>
      <c r="C111" s="2">
        <v>0</v>
      </c>
      <c r="D111" s="2">
        <v>55835</v>
      </c>
    </row>
    <row r="112" spans="1:4">
      <c r="A112" s="273" t="s">
        <v>390</v>
      </c>
      <c r="B112" s="2">
        <v>1220454.76</v>
      </c>
      <c r="C112" s="2">
        <v>0</v>
      </c>
      <c r="D112" s="2">
        <v>1220454.76</v>
      </c>
    </row>
    <row r="113" spans="1:4">
      <c r="A113" s="274" t="s">
        <v>390</v>
      </c>
      <c r="B113" s="2">
        <v>1220454.76</v>
      </c>
      <c r="C113" s="2">
        <v>0</v>
      </c>
      <c r="D113" s="2">
        <v>1220454.76</v>
      </c>
    </row>
    <row r="114" spans="1:4">
      <c r="A114" s="273" t="s">
        <v>575</v>
      </c>
      <c r="B114" s="2">
        <v>2896105</v>
      </c>
      <c r="C114" s="2">
        <v>0</v>
      </c>
      <c r="D114" s="2">
        <v>2896105</v>
      </c>
    </row>
    <row r="115" spans="1:4">
      <c r="A115" s="274" t="s">
        <v>389</v>
      </c>
      <c r="B115" s="2">
        <v>1787128</v>
      </c>
      <c r="C115" s="2">
        <v>0</v>
      </c>
      <c r="D115" s="2">
        <v>1787128</v>
      </c>
    </row>
    <row r="116" spans="1:4">
      <c r="A116" s="274" t="s">
        <v>575</v>
      </c>
      <c r="B116" s="2">
        <v>1108977</v>
      </c>
      <c r="C116" s="2">
        <v>0</v>
      </c>
      <c r="D116" s="2">
        <v>1108977</v>
      </c>
    </row>
    <row r="117" spans="1:4">
      <c r="A117" s="273" t="s">
        <v>642</v>
      </c>
      <c r="B117" s="2">
        <v>260000</v>
      </c>
      <c r="C117" s="2">
        <v>0</v>
      </c>
      <c r="D117" s="2">
        <v>260000</v>
      </c>
    </row>
    <row r="118" spans="1:4">
      <c r="A118" s="274" t="s">
        <v>451</v>
      </c>
      <c r="B118" s="2">
        <v>260000</v>
      </c>
      <c r="C118" s="2">
        <v>0</v>
      </c>
      <c r="D118" s="2">
        <v>260000</v>
      </c>
    </row>
    <row r="119" spans="1:4">
      <c r="A119" s="273" t="s">
        <v>365</v>
      </c>
      <c r="B119" s="2">
        <v>1044958</v>
      </c>
      <c r="C119" s="2">
        <v>0</v>
      </c>
      <c r="D119" s="2">
        <v>1044958</v>
      </c>
    </row>
    <row r="120" spans="1:4">
      <c r="A120" s="274" t="s">
        <v>365</v>
      </c>
      <c r="B120" s="2">
        <v>1044958</v>
      </c>
      <c r="C120" s="2">
        <v>0</v>
      </c>
      <c r="D120" s="2">
        <v>1044958</v>
      </c>
    </row>
    <row r="121" spans="1:4">
      <c r="A121" s="273" t="s">
        <v>578</v>
      </c>
      <c r="B121" s="2">
        <v>4848243</v>
      </c>
      <c r="C121" s="2">
        <v>0</v>
      </c>
      <c r="D121" s="2">
        <v>4848243</v>
      </c>
    </row>
    <row r="122" spans="1:4">
      <c r="A122" s="274" t="s">
        <v>365</v>
      </c>
      <c r="B122" s="2">
        <v>4848243</v>
      </c>
      <c r="C122" s="2">
        <v>0</v>
      </c>
      <c r="D122" s="2">
        <v>4848243</v>
      </c>
    </row>
    <row r="123" spans="1:4">
      <c r="A123" s="273" t="s">
        <v>381</v>
      </c>
      <c r="B123" s="2">
        <v>154560</v>
      </c>
      <c r="C123" s="2">
        <v>0</v>
      </c>
      <c r="D123" s="2">
        <v>154560</v>
      </c>
    </row>
    <row r="124" spans="1:4">
      <c r="A124" s="274" t="s">
        <v>381</v>
      </c>
      <c r="B124" s="2">
        <v>154560</v>
      </c>
      <c r="C124" s="2">
        <v>0</v>
      </c>
      <c r="D124" s="2">
        <v>154560</v>
      </c>
    </row>
    <row r="125" spans="1:4">
      <c r="A125" s="272" t="s">
        <v>482</v>
      </c>
      <c r="B125" s="2">
        <v>0</v>
      </c>
      <c r="C125" s="2">
        <v>704119</v>
      </c>
      <c r="D125" s="2">
        <v>-704119</v>
      </c>
    </row>
    <row r="126" spans="1:4">
      <c r="A126" s="273" t="s">
        <v>363</v>
      </c>
      <c r="B126" s="2">
        <v>0</v>
      </c>
      <c r="C126" s="2">
        <v>644119</v>
      </c>
      <c r="D126" s="2">
        <v>-644119</v>
      </c>
    </row>
    <row r="127" spans="1:4">
      <c r="A127" s="274" t="s">
        <v>363</v>
      </c>
      <c r="B127" s="2">
        <v>0</v>
      </c>
      <c r="C127" s="2">
        <v>644119</v>
      </c>
      <c r="D127" s="2">
        <v>-644119</v>
      </c>
    </row>
    <row r="128" spans="1:4">
      <c r="A128" s="273" t="s">
        <v>593</v>
      </c>
      <c r="B128" s="2">
        <v>0</v>
      </c>
      <c r="C128" s="2">
        <v>60000</v>
      </c>
      <c r="D128" s="2">
        <v>-60000</v>
      </c>
    </row>
    <row r="129" spans="1:7">
      <c r="A129" s="274" t="s">
        <v>338</v>
      </c>
      <c r="B129" s="2">
        <v>0</v>
      </c>
      <c r="C129" s="2">
        <v>60000</v>
      </c>
      <c r="D129" s="2">
        <v>-60000</v>
      </c>
    </row>
    <row r="130" spans="1:7">
      <c r="A130" s="272" t="s">
        <v>645</v>
      </c>
      <c r="B130" s="2">
        <v>156428978.13</v>
      </c>
      <c r="C130" s="2">
        <v>156428977.99000001</v>
      </c>
      <c r="D130" s="2">
        <v>0.139999995008111</v>
      </c>
    </row>
    <row r="133" spans="1:7">
      <c r="B133" s="1"/>
      <c r="C133" s="1"/>
    </row>
    <row r="135" spans="1:7">
      <c r="G135" s="2"/>
    </row>
    <row r="136" spans="1:7">
      <c r="G136" s="2"/>
    </row>
    <row r="139" spans="1:7">
      <c r="B139" s="1"/>
      <c r="C139" s="1"/>
    </row>
    <row r="140" spans="1:7">
      <c r="A140" s="299"/>
      <c r="B140" s="1"/>
      <c r="C140" s="1"/>
    </row>
  </sheetData>
  <pageMargins left="0.7" right="0.7" top="0.75" bottom="0.75" header="0.3" footer="0.3"/>
  <pageSetup orientation="portrait" horizontalDpi="4294967295" verticalDpi="4294967295"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dimension ref="A1:U433"/>
  <sheetViews>
    <sheetView workbookViewId="0">
      <pane xSplit="2" ySplit="6" topLeftCell="J221" activePane="bottomRight" state="frozen"/>
      <selection activeCell="A27" sqref="A27"/>
      <selection pane="topRight" activeCell="A27" sqref="A27"/>
      <selection pane="bottomLeft" activeCell="A27" sqref="A27"/>
      <selection pane="bottomRight" activeCell="A27" sqref="A27"/>
    </sheetView>
  </sheetViews>
  <sheetFormatPr defaultRowHeight="12.5"/>
  <cols>
    <col min="1" max="1" width="16.453125" style="277" customWidth="1"/>
    <col min="2" max="2" width="45.453125" style="277" bestFit="1" customWidth="1"/>
    <col min="3" max="5" width="45.453125" style="277" customWidth="1"/>
    <col min="6" max="6" width="19.7265625" style="277" customWidth="1"/>
    <col min="7" max="7" width="19.1796875" style="277" customWidth="1"/>
    <col min="8" max="8" width="15.1796875" style="277" bestFit="1" customWidth="1"/>
    <col min="9" max="9" width="13.54296875" style="277" customWidth="1"/>
    <col min="10" max="10" width="14" style="277" customWidth="1"/>
    <col min="11" max="11" width="14.7265625" style="277" bestFit="1" customWidth="1"/>
    <col min="12" max="12" width="12.54296875" style="277" bestFit="1" customWidth="1"/>
    <col min="13" max="13" width="0" style="277" hidden="1" customWidth="1"/>
    <col min="14" max="14" width="14.453125" style="277" customWidth="1"/>
    <col min="15" max="15" width="11.54296875" style="277" customWidth="1"/>
    <col min="16" max="16" width="15" style="277" customWidth="1"/>
    <col min="17" max="17" width="16.1796875" style="277" customWidth="1"/>
    <col min="18" max="18" width="15" style="277" customWidth="1"/>
    <col min="19" max="19" width="9.1796875" style="277"/>
    <col min="20" max="20" width="10.26953125" style="277" bestFit="1" customWidth="1"/>
    <col min="21" max="21" width="12.81640625" style="277" bestFit="1" customWidth="1"/>
    <col min="22" max="221" width="9.1796875" style="277"/>
    <col min="222" max="222" width="16.453125" style="277" customWidth="1"/>
    <col min="223" max="223" width="34.7265625" style="277" bestFit="1" customWidth="1"/>
    <col min="224" max="224" width="12.26953125" style="277" customWidth="1"/>
    <col min="225" max="228" width="0" style="277" hidden="1" customWidth="1"/>
    <col min="229" max="230" width="11.7265625" style="277" bestFit="1" customWidth="1"/>
    <col min="231" max="231" width="0" style="277" hidden="1" customWidth="1"/>
    <col min="232" max="233" width="11.26953125" style="277" bestFit="1" customWidth="1"/>
    <col min="234" max="237" width="12.81640625" style="277" bestFit="1" customWidth="1"/>
    <col min="238" max="239" width="11.26953125" style="277" bestFit="1" customWidth="1"/>
    <col min="240" max="241" width="10.81640625" style="277" bestFit="1" customWidth="1"/>
    <col min="242" max="242" width="9.81640625" style="277" bestFit="1" customWidth="1"/>
    <col min="243" max="243" width="10" style="277" bestFit="1" customWidth="1"/>
    <col min="244" max="244" width="11" style="277" bestFit="1" customWidth="1"/>
    <col min="245" max="245" width="10" style="277" bestFit="1" customWidth="1"/>
    <col min="246" max="249" width="9.1796875" style="277"/>
    <col min="250" max="251" width="10" style="277" bestFit="1" customWidth="1"/>
    <col min="252" max="254" width="11" style="277" bestFit="1" customWidth="1"/>
    <col min="255" max="255" width="10" style="277" bestFit="1" customWidth="1"/>
    <col min="256" max="257" width="9.1796875" style="277"/>
    <col min="258" max="258" width="10.81640625" style="277" bestFit="1" customWidth="1"/>
    <col min="259" max="259" width="11" style="277" bestFit="1" customWidth="1"/>
    <col min="260" max="263" width="9.1796875" style="277"/>
    <col min="264" max="264" width="10.81640625" style="277" bestFit="1" customWidth="1"/>
    <col min="265" max="265" width="11" style="277" bestFit="1" customWidth="1"/>
    <col min="266" max="267" width="9.1796875" style="277"/>
    <col min="268" max="269" width="10" style="277" bestFit="1" customWidth="1"/>
    <col min="270" max="477" width="9.1796875" style="277"/>
    <col min="478" max="478" width="16.453125" style="277" customWidth="1"/>
    <col min="479" max="479" width="34.7265625" style="277" bestFit="1" customWidth="1"/>
    <col min="480" max="480" width="12.26953125" style="277" customWidth="1"/>
    <col min="481" max="484" width="0" style="277" hidden="1" customWidth="1"/>
    <col min="485" max="486" width="11.7265625" style="277" bestFit="1" customWidth="1"/>
    <col min="487" max="487" width="0" style="277" hidden="1" customWidth="1"/>
    <col min="488" max="489" width="11.26953125" style="277" bestFit="1" customWidth="1"/>
    <col min="490" max="493" width="12.81640625" style="277" bestFit="1" customWidth="1"/>
    <col min="494" max="495" width="11.26953125" style="277" bestFit="1" customWidth="1"/>
    <col min="496" max="497" width="10.81640625" style="277" bestFit="1" customWidth="1"/>
    <col min="498" max="498" width="9.81640625" style="277" bestFit="1" customWidth="1"/>
    <col min="499" max="499" width="10" style="277" bestFit="1" customWidth="1"/>
    <col min="500" max="500" width="11" style="277" bestFit="1" customWidth="1"/>
    <col min="501" max="501" width="10" style="277" bestFit="1" customWidth="1"/>
    <col min="502" max="505" width="9.1796875" style="277"/>
    <col min="506" max="507" width="10" style="277" bestFit="1" customWidth="1"/>
    <col min="508" max="510" width="11" style="277" bestFit="1" customWidth="1"/>
    <col min="511" max="511" width="10" style="277" bestFit="1" customWidth="1"/>
    <col min="512" max="513" width="9.1796875" style="277"/>
    <col min="514" max="514" width="10.81640625" style="277" bestFit="1" customWidth="1"/>
    <col min="515" max="515" width="11" style="277" bestFit="1" customWidth="1"/>
    <col min="516" max="519" width="9.1796875" style="277"/>
    <col min="520" max="520" width="10.81640625" style="277" bestFit="1" customWidth="1"/>
    <col min="521" max="521" width="11" style="277" bestFit="1" customWidth="1"/>
    <col min="522" max="523" width="9.1796875" style="277"/>
    <col min="524" max="525" width="10" style="277" bestFit="1" customWidth="1"/>
    <col min="526" max="733" width="9.1796875" style="277"/>
    <col min="734" max="734" width="16.453125" style="277" customWidth="1"/>
    <col min="735" max="735" width="34.7265625" style="277" bestFit="1" customWidth="1"/>
    <col min="736" max="736" width="12.26953125" style="277" customWidth="1"/>
    <col min="737" max="740" width="0" style="277" hidden="1" customWidth="1"/>
    <col min="741" max="742" width="11.7265625" style="277" bestFit="1" customWidth="1"/>
    <col min="743" max="743" width="0" style="277" hidden="1" customWidth="1"/>
    <col min="744" max="745" width="11.26953125" style="277" bestFit="1" customWidth="1"/>
    <col min="746" max="749" width="12.81640625" style="277" bestFit="1" customWidth="1"/>
    <col min="750" max="751" width="11.26953125" style="277" bestFit="1" customWidth="1"/>
    <col min="752" max="753" width="10.81640625" style="277" bestFit="1" customWidth="1"/>
    <col min="754" max="754" width="9.81640625" style="277" bestFit="1" customWidth="1"/>
    <col min="755" max="755" width="10" style="277" bestFit="1" customWidth="1"/>
    <col min="756" max="756" width="11" style="277" bestFit="1" customWidth="1"/>
    <col min="757" max="757" width="10" style="277" bestFit="1" customWidth="1"/>
    <col min="758" max="761" width="9.1796875" style="277"/>
    <col min="762" max="763" width="10" style="277" bestFit="1" customWidth="1"/>
    <col min="764" max="766" width="11" style="277" bestFit="1" customWidth="1"/>
    <col min="767" max="767" width="10" style="277" bestFit="1" customWidth="1"/>
    <col min="768" max="769" width="9.1796875" style="277"/>
    <col min="770" max="770" width="10.81640625" style="277" bestFit="1" customWidth="1"/>
    <col min="771" max="771" width="11" style="277" bestFit="1" customWidth="1"/>
    <col min="772" max="775" width="9.1796875" style="277"/>
    <col min="776" max="776" width="10.81640625" style="277" bestFit="1" customWidth="1"/>
    <col min="777" max="777" width="11" style="277" bestFit="1" customWidth="1"/>
    <col min="778" max="779" width="9.1796875" style="277"/>
    <col min="780" max="781" width="10" style="277" bestFit="1" customWidth="1"/>
    <col min="782" max="989" width="9.1796875" style="277"/>
    <col min="990" max="990" width="16.453125" style="277" customWidth="1"/>
    <col min="991" max="991" width="34.7265625" style="277" bestFit="1" customWidth="1"/>
    <col min="992" max="992" width="12.26953125" style="277" customWidth="1"/>
    <col min="993" max="996" width="0" style="277" hidden="1" customWidth="1"/>
    <col min="997" max="998" width="11.7265625" style="277" bestFit="1" customWidth="1"/>
    <col min="999" max="999" width="0" style="277" hidden="1" customWidth="1"/>
    <col min="1000" max="1001" width="11.26953125" style="277" bestFit="1" customWidth="1"/>
    <col min="1002" max="1005" width="12.81640625" style="277" bestFit="1" customWidth="1"/>
    <col min="1006" max="1007" width="11.26953125" style="277" bestFit="1" customWidth="1"/>
    <col min="1008" max="1009" width="10.81640625" style="277" bestFit="1" customWidth="1"/>
    <col min="1010" max="1010" width="9.81640625" style="277" bestFit="1" customWidth="1"/>
    <col min="1011" max="1011" width="10" style="277" bestFit="1" customWidth="1"/>
    <col min="1012" max="1012" width="11" style="277" bestFit="1" customWidth="1"/>
    <col min="1013" max="1013" width="10" style="277" bestFit="1" customWidth="1"/>
    <col min="1014" max="1017" width="9.1796875" style="277"/>
    <col min="1018" max="1019" width="10" style="277" bestFit="1" customWidth="1"/>
    <col min="1020" max="1022" width="11" style="277" bestFit="1" customWidth="1"/>
    <col min="1023" max="1023" width="10" style="277" bestFit="1" customWidth="1"/>
    <col min="1024" max="1025" width="9.1796875" style="277"/>
    <col min="1026" max="1026" width="10.81640625" style="277" bestFit="1" customWidth="1"/>
    <col min="1027" max="1027" width="11" style="277" bestFit="1" customWidth="1"/>
    <col min="1028" max="1031" width="9.1796875" style="277"/>
    <col min="1032" max="1032" width="10.81640625" style="277" bestFit="1" customWidth="1"/>
    <col min="1033" max="1033" width="11" style="277" bestFit="1" customWidth="1"/>
    <col min="1034" max="1035" width="9.1796875" style="277"/>
    <col min="1036" max="1037" width="10" style="277" bestFit="1" customWidth="1"/>
    <col min="1038" max="1245" width="9.1796875" style="277"/>
    <col min="1246" max="1246" width="16.453125" style="277" customWidth="1"/>
    <col min="1247" max="1247" width="34.7265625" style="277" bestFit="1" customWidth="1"/>
    <col min="1248" max="1248" width="12.26953125" style="277" customWidth="1"/>
    <col min="1249" max="1252" width="0" style="277" hidden="1" customWidth="1"/>
    <col min="1253" max="1254" width="11.7265625" style="277" bestFit="1" customWidth="1"/>
    <col min="1255" max="1255" width="0" style="277" hidden="1" customWidth="1"/>
    <col min="1256" max="1257" width="11.26953125" style="277" bestFit="1" customWidth="1"/>
    <col min="1258" max="1261" width="12.81640625" style="277" bestFit="1" customWidth="1"/>
    <col min="1262" max="1263" width="11.26953125" style="277" bestFit="1" customWidth="1"/>
    <col min="1264" max="1265" width="10.81640625" style="277" bestFit="1" customWidth="1"/>
    <col min="1266" max="1266" width="9.81640625" style="277" bestFit="1" customWidth="1"/>
    <col min="1267" max="1267" width="10" style="277" bestFit="1" customWidth="1"/>
    <col min="1268" max="1268" width="11" style="277" bestFit="1" customWidth="1"/>
    <col min="1269" max="1269" width="10" style="277" bestFit="1" customWidth="1"/>
    <col min="1270" max="1273" width="9.1796875" style="277"/>
    <col min="1274" max="1275" width="10" style="277" bestFit="1" customWidth="1"/>
    <col min="1276" max="1278" width="11" style="277" bestFit="1" customWidth="1"/>
    <col min="1279" max="1279" width="10" style="277" bestFit="1" customWidth="1"/>
    <col min="1280" max="1281" width="9.1796875" style="277"/>
    <col min="1282" max="1282" width="10.81640625" style="277" bestFit="1" customWidth="1"/>
    <col min="1283" max="1283" width="11" style="277" bestFit="1" customWidth="1"/>
    <col min="1284" max="1287" width="9.1796875" style="277"/>
    <col min="1288" max="1288" width="10.81640625" style="277" bestFit="1" customWidth="1"/>
    <col min="1289" max="1289" width="11" style="277" bestFit="1" customWidth="1"/>
    <col min="1290" max="1291" width="9.1796875" style="277"/>
    <col min="1292" max="1293" width="10" style="277" bestFit="1" customWidth="1"/>
    <col min="1294" max="1501" width="9.1796875" style="277"/>
    <col min="1502" max="1502" width="16.453125" style="277" customWidth="1"/>
    <col min="1503" max="1503" width="34.7265625" style="277" bestFit="1" customWidth="1"/>
    <col min="1504" max="1504" width="12.26953125" style="277" customWidth="1"/>
    <col min="1505" max="1508" width="0" style="277" hidden="1" customWidth="1"/>
    <col min="1509" max="1510" width="11.7265625" style="277" bestFit="1" customWidth="1"/>
    <col min="1511" max="1511" width="0" style="277" hidden="1" customWidth="1"/>
    <col min="1512" max="1513" width="11.26953125" style="277" bestFit="1" customWidth="1"/>
    <col min="1514" max="1517" width="12.81640625" style="277" bestFit="1" customWidth="1"/>
    <col min="1518" max="1519" width="11.26953125" style="277" bestFit="1" customWidth="1"/>
    <col min="1520" max="1521" width="10.81640625" style="277" bestFit="1" customWidth="1"/>
    <col min="1522" max="1522" width="9.81640625" style="277" bestFit="1" customWidth="1"/>
    <col min="1523" max="1523" width="10" style="277" bestFit="1" customWidth="1"/>
    <col min="1524" max="1524" width="11" style="277" bestFit="1" customWidth="1"/>
    <col min="1525" max="1525" width="10" style="277" bestFit="1" customWidth="1"/>
    <col min="1526" max="1529" width="9.1796875" style="277"/>
    <col min="1530" max="1531" width="10" style="277" bestFit="1" customWidth="1"/>
    <col min="1532" max="1534" width="11" style="277" bestFit="1" customWidth="1"/>
    <col min="1535" max="1535" width="10" style="277" bestFit="1" customWidth="1"/>
    <col min="1536" max="1537" width="9.1796875" style="277"/>
    <col min="1538" max="1538" width="10.81640625" style="277" bestFit="1" customWidth="1"/>
    <col min="1539" max="1539" width="11" style="277" bestFit="1" customWidth="1"/>
    <col min="1540" max="1543" width="9.1796875" style="277"/>
    <col min="1544" max="1544" width="10.81640625" style="277" bestFit="1" customWidth="1"/>
    <col min="1545" max="1545" width="11" style="277" bestFit="1" customWidth="1"/>
    <col min="1546" max="1547" width="9.1796875" style="277"/>
    <col min="1548" max="1549" width="10" style="277" bestFit="1" customWidth="1"/>
    <col min="1550" max="1757" width="9.1796875" style="277"/>
    <col min="1758" max="1758" width="16.453125" style="277" customWidth="1"/>
    <col min="1759" max="1759" width="34.7265625" style="277" bestFit="1" customWidth="1"/>
    <col min="1760" max="1760" width="12.26953125" style="277" customWidth="1"/>
    <col min="1761" max="1764" width="0" style="277" hidden="1" customWidth="1"/>
    <col min="1765" max="1766" width="11.7265625" style="277" bestFit="1" customWidth="1"/>
    <col min="1767" max="1767" width="0" style="277" hidden="1" customWidth="1"/>
    <col min="1768" max="1769" width="11.26953125" style="277" bestFit="1" customWidth="1"/>
    <col min="1770" max="1773" width="12.81640625" style="277" bestFit="1" customWidth="1"/>
    <col min="1774" max="1775" width="11.26953125" style="277" bestFit="1" customWidth="1"/>
    <col min="1776" max="1777" width="10.81640625" style="277" bestFit="1" customWidth="1"/>
    <col min="1778" max="1778" width="9.81640625" style="277" bestFit="1" customWidth="1"/>
    <col min="1779" max="1779" width="10" style="277" bestFit="1" customWidth="1"/>
    <col min="1780" max="1780" width="11" style="277" bestFit="1" customWidth="1"/>
    <col min="1781" max="1781" width="10" style="277" bestFit="1" customWidth="1"/>
    <col min="1782" max="1785" width="9.1796875" style="277"/>
    <col min="1786" max="1787" width="10" style="277" bestFit="1" customWidth="1"/>
    <col min="1788" max="1790" width="11" style="277" bestFit="1" customWidth="1"/>
    <col min="1791" max="1791" width="10" style="277" bestFit="1" customWidth="1"/>
    <col min="1792" max="1793" width="9.1796875" style="277"/>
    <col min="1794" max="1794" width="10.81640625" style="277" bestFit="1" customWidth="1"/>
    <col min="1795" max="1795" width="11" style="277" bestFit="1" customWidth="1"/>
    <col min="1796" max="1799" width="9.1796875" style="277"/>
    <col min="1800" max="1800" width="10.81640625" style="277" bestFit="1" customWidth="1"/>
    <col min="1801" max="1801" width="11" style="277" bestFit="1" customWidth="1"/>
    <col min="1802" max="1803" width="9.1796875" style="277"/>
    <col min="1804" max="1805" width="10" style="277" bestFit="1" customWidth="1"/>
    <col min="1806" max="2013" width="9.1796875" style="277"/>
    <col min="2014" max="2014" width="16.453125" style="277" customWidth="1"/>
    <col min="2015" max="2015" width="34.7265625" style="277" bestFit="1" customWidth="1"/>
    <col min="2016" max="2016" width="12.26953125" style="277" customWidth="1"/>
    <col min="2017" max="2020" width="0" style="277" hidden="1" customWidth="1"/>
    <col min="2021" max="2022" width="11.7265625" style="277" bestFit="1" customWidth="1"/>
    <col min="2023" max="2023" width="0" style="277" hidden="1" customWidth="1"/>
    <col min="2024" max="2025" width="11.26953125" style="277" bestFit="1" customWidth="1"/>
    <col min="2026" max="2029" width="12.81640625" style="277" bestFit="1" customWidth="1"/>
    <col min="2030" max="2031" width="11.26953125" style="277" bestFit="1" customWidth="1"/>
    <col min="2032" max="2033" width="10.81640625" style="277" bestFit="1" customWidth="1"/>
    <col min="2034" max="2034" width="9.81640625" style="277" bestFit="1" customWidth="1"/>
    <col min="2035" max="2035" width="10" style="277" bestFit="1" customWidth="1"/>
    <col min="2036" max="2036" width="11" style="277" bestFit="1" customWidth="1"/>
    <col min="2037" max="2037" width="10" style="277" bestFit="1" customWidth="1"/>
    <col min="2038" max="2041" width="9.1796875" style="277"/>
    <col min="2042" max="2043" width="10" style="277" bestFit="1" customWidth="1"/>
    <col min="2044" max="2046" width="11" style="277" bestFit="1" customWidth="1"/>
    <col min="2047" max="2047" width="10" style="277" bestFit="1" customWidth="1"/>
    <col min="2048" max="2049" width="9.1796875" style="277"/>
    <col min="2050" max="2050" width="10.81640625" style="277" bestFit="1" customWidth="1"/>
    <col min="2051" max="2051" width="11" style="277" bestFit="1" customWidth="1"/>
    <col min="2052" max="2055" width="9.1796875" style="277"/>
    <col min="2056" max="2056" width="10.81640625" style="277" bestFit="1" customWidth="1"/>
    <col min="2057" max="2057" width="11" style="277" bestFit="1" customWidth="1"/>
    <col min="2058" max="2059" width="9.1796875" style="277"/>
    <col min="2060" max="2061" width="10" style="277" bestFit="1" customWidth="1"/>
    <col min="2062" max="2269" width="9.1796875" style="277"/>
    <col min="2270" max="2270" width="16.453125" style="277" customWidth="1"/>
    <col min="2271" max="2271" width="34.7265625" style="277" bestFit="1" customWidth="1"/>
    <col min="2272" max="2272" width="12.26953125" style="277" customWidth="1"/>
    <col min="2273" max="2276" width="0" style="277" hidden="1" customWidth="1"/>
    <col min="2277" max="2278" width="11.7265625" style="277" bestFit="1" customWidth="1"/>
    <col min="2279" max="2279" width="0" style="277" hidden="1" customWidth="1"/>
    <col min="2280" max="2281" width="11.26953125" style="277" bestFit="1" customWidth="1"/>
    <col min="2282" max="2285" width="12.81640625" style="277" bestFit="1" customWidth="1"/>
    <col min="2286" max="2287" width="11.26953125" style="277" bestFit="1" customWidth="1"/>
    <col min="2288" max="2289" width="10.81640625" style="277" bestFit="1" customWidth="1"/>
    <col min="2290" max="2290" width="9.81640625" style="277" bestFit="1" customWidth="1"/>
    <col min="2291" max="2291" width="10" style="277" bestFit="1" customWidth="1"/>
    <col min="2292" max="2292" width="11" style="277" bestFit="1" customWidth="1"/>
    <col min="2293" max="2293" width="10" style="277" bestFit="1" customWidth="1"/>
    <col min="2294" max="2297" width="9.1796875" style="277"/>
    <col min="2298" max="2299" width="10" style="277" bestFit="1" customWidth="1"/>
    <col min="2300" max="2302" width="11" style="277" bestFit="1" customWidth="1"/>
    <col min="2303" max="2303" width="10" style="277" bestFit="1" customWidth="1"/>
    <col min="2304" max="2305" width="9.1796875" style="277"/>
    <col min="2306" max="2306" width="10.81640625" style="277" bestFit="1" customWidth="1"/>
    <col min="2307" max="2307" width="11" style="277" bestFit="1" customWidth="1"/>
    <col min="2308" max="2311" width="9.1796875" style="277"/>
    <col min="2312" max="2312" width="10.81640625" style="277" bestFit="1" customWidth="1"/>
    <col min="2313" max="2313" width="11" style="277" bestFit="1" customWidth="1"/>
    <col min="2314" max="2315" width="9.1796875" style="277"/>
    <col min="2316" max="2317" width="10" style="277" bestFit="1" customWidth="1"/>
    <col min="2318" max="2525" width="9.1796875" style="277"/>
    <col min="2526" max="2526" width="16.453125" style="277" customWidth="1"/>
    <col min="2527" max="2527" width="34.7265625" style="277" bestFit="1" customWidth="1"/>
    <col min="2528" max="2528" width="12.26953125" style="277" customWidth="1"/>
    <col min="2529" max="2532" width="0" style="277" hidden="1" customWidth="1"/>
    <col min="2533" max="2534" width="11.7265625" style="277" bestFit="1" customWidth="1"/>
    <col min="2535" max="2535" width="0" style="277" hidden="1" customWidth="1"/>
    <col min="2536" max="2537" width="11.26953125" style="277" bestFit="1" customWidth="1"/>
    <col min="2538" max="2541" width="12.81640625" style="277" bestFit="1" customWidth="1"/>
    <col min="2542" max="2543" width="11.26953125" style="277" bestFit="1" customWidth="1"/>
    <col min="2544" max="2545" width="10.81640625" style="277" bestFit="1" customWidth="1"/>
    <col min="2546" max="2546" width="9.81640625" style="277" bestFit="1" customWidth="1"/>
    <col min="2547" max="2547" width="10" style="277" bestFit="1" customWidth="1"/>
    <col min="2548" max="2548" width="11" style="277" bestFit="1" customWidth="1"/>
    <col min="2549" max="2549" width="10" style="277" bestFit="1" customWidth="1"/>
    <col min="2550" max="2553" width="9.1796875" style="277"/>
    <col min="2554" max="2555" width="10" style="277" bestFit="1" customWidth="1"/>
    <col min="2556" max="2558" width="11" style="277" bestFit="1" customWidth="1"/>
    <col min="2559" max="2559" width="10" style="277" bestFit="1" customWidth="1"/>
    <col min="2560" max="2561" width="9.1796875" style="277"/>
    <col min="2562" max="2562" width="10.81640625" style="277" bestFit="1" customWidth="1"/>
    <col min="2563" max="2563" width="11" style="277" bestFit="1" customWidth="1"/>
    <col min="2564" max="2567" width="9.1796875" style="277"/>
    <col min="2568" max="2568" width="10.81640625" style="277" bestFit="1" customWidth="1"/>
    <col min="2569" max="2569" width="11" style="277" bestFit="1" customWidth="1"/>
    <col min="2570" max="2571" width="9.1796875" style="277"/>
    <col min="2572" max="2573" width="10" style="277" bestFit="1" customWidth="1"/>
    <col min="2574" max="2781" width="9.1796875" style="277"/>
    <col min="2782" max="2782" width="16.453125" style="277" customWidth="1"/>
    <col min="2783" max="2783" width="34.7265625" style="277" bestFit="1" customWidth="1"/>
    <col min="2784" max="2784" width="12.26953125" style="277" customWidth="1"/>
    <col min="2785" max="2788" width="0" style="277" hidden="1" customWidth="1"/>
    <col min="2789" max="2790" width="11.7265625" style="277" bestFit="1" customWidth="1"/>
    <col min="2791" max="2791" width="0" style="277" hidden="1" customWidth="1"/>
    <col min="2792" max="2793" width="11.26953125" style="277" bestFit="1" customWidth="1"/>
    <col min="2794" max="2797" width="12.81640625" style="277" bestFit="1" customWidth="1"/>
    <col min="2798" max="2799" width="11.26953125" style="277" bestFit="1" customWidth="1"/>
    <col min="2800" max="2801" width="10.81640625" style="277" bestFit="1" customWidth="1"/>
    <col min="2802" max="2802" width="9.81640625" style="277" bestFit="1" customWidth="1"/>
    <col min="2803" max="2803" width="10" style="277" bestFit="1" customWidth="1"/>
    <col min="2804" max="2804" width="11" style="277" bestFit="1" customWidth="1"/>
    <col min="2805" max="2805" width="10" style="277" bestFit="1" customWidth="1"/>
    <col min="2806" max="2809" width="9.1796875" style="277"/>
    <col min="2810" max="2811" width="10" style="277" bestFit="1" customWidth="1"/>
    <col min="2812" max="2814" width="11" style="277" bestFit="1" customWidth="1"/>
    <col min="2815" max="2815" width="10" style="277" bestFit="1" customWidth="1"/>
    <col min="2816" max="2817" width="9.1796875" style="277"/>
    <col min="2818" max="2818" width="10.81640625" style="277" bestFit="1" customWidth="1"/>
    <col min="2819" max="2819" width="11" style="277" bestFit="1" customWidth="1"/>
    <col min="2820" max="2823" width="9.1796875" style="277"/>
    <col min="2824" max="2824" width="10.81640625" style="277" bestFit="1" customWidth="1"/>
    <col min="2825" max="2825" width="11" style="277" bestFit="1" customWidth="1"/>
    <col min="2826" max="2827" width="9.1796875" style="277"/>
    <col min="2828" max="2829" width="10" style="277" bestFit="1" customWidth="1"/>
    <col min="2830" max="3037" width="9.1796875" style="277"/>
    <col min="3038" max="3038" width="16.453125" style="277" customWidth="1"/>
    <col min="3039" max="3039" width="34.7265625" style="277" bestFit="1" customWidth="1"/>
    <col min="3040" max="3040" width="12.26953125" style="277" customWidth="1"/>
    <col min="3041" max="3044" width="0" style="277" hidden="1" customWidth="1"/>
    <col min="3045" max="3046" width="11.7265625" style="277" bestFit="1" customWidth="1"/>
    <col min="3047" max="3047" width="0" style="277" hidden="1" customWidth="1"/>
    <col min="3048" max="3049" width="11.26953125" style="277" bestFit="1" customWidth="1"/>
    <col min="3050" max="3053" width="12.81640625" style="277" bestFit="1" customWidth="1"/>
    <col min="3054" max="3055" width="11.26953125" style="277" bestFit="1" customWidth="1"/>
    <col min="3056" max="3057" width="10.81640625" style="277" bestFit="1" customWidth="1"/>
    <col min="3058" max="3058" width="9.81640625" style="277" bestFit="1" customWidth="1"/>
    <col min="3059" max="3059" width="10" style="277" bestFit="1" customWidth="1"/>
    <col min="3060" max="3060" width="11" style="277" bestFit="1" customWidth="1"/>
    <col min="3061" max="3061" width="10" style="277" bestFit="1" customWidth="1"/>
    <col min="3062" max="3065" width="9.1796875" style="277"/>
    <col min="3066" max="3067" width="10" style="277" bestFit="1" customWidth="1"/>
    <col min="3068" max="3070" width="11" style="277" bestFit="1" customWidth="1"/>
    <col min="3071" max="3071" width="10" style="277" bestFit="1" customWidth="1"/>
    <col min="3072" max="3073" width="9.1796875" style="277"/>
    <col min="3074" max="3074" width="10.81640625" style="277" bestFit="1" customWidth="1"/>
    <col min="3075" max="3075" width="11" style="277" bestFit="1" customWidth="1"/>
    <col min="3076" max="3079" width="9.1796875" style="277"/>
    <col min="3080" max="3080" width="10.81640625" style="277" bestFit="1" customWidth="1"/>
    <col min="3081" max="3081" width="11" style="277" bestFit="1" customWidth="1"/>
    <col min="3082" max="3083" width="9.1796875" style="277"/>
    <col min="3084" max="3085" width="10" style="277" bestFit="1" customWidth="1"/>
    <col min="3086" max="3293" width="9.1796875" style="277"/>
    <col min="3294" max="3294" width="16.453125" style="277" customWidth="1"/>
    <col min="3295" max="3295" width="34.7265625" style="277" bestFit="1" customWidth="1"/>
    <col min="3296" max="3296" width="12.26953125" style="277" customWidth="1"/>
    <col min="3297" max="3300" width="0" style="277" hidden="1" customWidth="1"/>
    <col min="3301" max="3302" width="11.7265625" style="277" bestFit="1" customWidth="1"/>
    <col min="3303" max="3303" width="0" style="277" hidden="1" customWidth="1"/>
    <col min="3304" max="3305" width="11.26953125" style="277" bestFit="1" customWidth="1"/>
    <col min="3306" max="3309" width="12.81640625" style="277" bestFit="1" customWidth="1"/>
    <col min="3310" max="3311" width="11.26953125" style="277" bestFit="1" customWidth="1"/>
    <col min="3312" max="3313" width="10.81640625" style="277" bestFit="1" customWidth="1"/>
    <col min="3314" max="3314" width="9.81640625" style="277" bestFit="1" customWidth="1"/>
    <col min="3315" max="3315" width="10" style="277" bestFit="1" customWidth="1"/>
    <col min="3316" max="3316" width="11" style="277" bestFit="1" customWidth="1"/>
    <col min="3317" max="3317" width="10" style="277" bestFit="1" customWidth="1"/>
    <col min="3318" max="3321" width="9.1796875" style="277"/>
    <col min="3322" max="3323" width="10" style="277" bestFit="1" customWidth="1"/>
    <col min="3324" max="3326" width="11" style="277" bestFit="1" customWidth="1"/>
    <col min="3327" max="3327" width="10" style="277" bestFit="1" customWidth="1"/>
    <col min="3328" max="3329" width="9.1796875" style="277"/>
    <col min="3330" max="3330" width="10.81640625" style="277" bestFit="1" customWidth="1"/>
    <col min="3331" max="3331" width="11" style="277" bestFit="1" customWidth="1"/>
    <col min="3332" max="3335" width="9.1796875" style="277"/>
    <col min="3336" max="3336" width="10.81640625" style="277" bestFit="1" customWidth="1"/>
    <col min="3337" max="3337" width="11" style="277" bestFit="1" customWidth="1"/>
    <col min="3338" max="3339" width="9.1796875" style="277"/>
    <col min="3340" max="3341" width="10" style="277" bestFit="1" customWidth="1"/>
    <col min="3342" max="3549" width="9.1796875" style="277"/>
    <col min="3550" max="3550" width="16.453125" style="277" customWidth="1"/>
    <col min="3551" max="3551" width="34.7265625" style="277" bestFit="1" customWidth="1"/>
    <col min="3552" max="3552" width="12.26953125" style="277" customWidth="1"/>
    <col min="3553" max="3556" width="0" style="277" hidden="1" customWidth="1"/>
    <col min="3557" max="3558" width="11.7265625" style="277" bestFit="1" customWidth="1"/>
    <col min="3559" max="3559" width="0" style="277" hidden="1" customWidth="1"/>
    <col min="3560" max="3561" width="11.26953125" style="277" bestFit="1" customWidth="1"/>
    <col min="3562" max="3565" width="12.81640625" style="277" bestFit="1" customWidth="1"/>
    <col min="3566" max="3567" width="11.26953125" style="277" bestFit="1" customWidth="1"/>
    <col min="3568" max="3569" width="10.81640625" style="277" bestFit="1" customWidth="1"/>
    <col min="3570" max="3570" width="9.81640625" style="277" bestFit="1" customWidth="1"/>
    <col min="3571" max="3571" width="10" style="277" bestFit="1" customWidth="1"/>
    <col min="3572" max="3572" width="11" style="277" bestFit="1" customWidth="1"/>
    <col min="3573" max="3573" width="10" style="277" bestFit="1" customWidth="1"/>
    <col min="3574" max="3577" width="9.1796875" style="277"/>
    <col min="3578" max="3579" width="10" style="277" bestFit="1" customWidth="1"/>
    <col min="3580" max="3582" width="11" style="277" bestFit="1" customWidth="1"/>
    <col min="3583" max="3583" width="10" style="277" bestFit="1" customWidth="1"/>
    <col min="3584" max="3585" width="9.1796875" style="277"/>
    <col min="3586" max="3586" width="10.81640625" style="277" bestFit="1" customWidth="1"/>
    <col min="3587" max="3587" width="11" style="277" bestFit="1" customWidth="1"/>
    <col min="3588" max="3591" width="9.1796875" style="277"/>
    <col min="3592" max="3592" width="10.81640625" style="277" bestFit="1" customWidth="1"/>
    <col min="3593" max="3593" width="11" style="277" bestFit="1" customWidth="1"/>
    <col min="3594" max="3595" width="9.1796875" style="277"/>
    <col min="3596" max="3597" width="10" style="277" bestFit="1" customWidth="1"/>
    <col min="3598" max="3805" width="9.1796875" style="277"/>
    <col min="3806" max="3806" width="16.453125" style="277" customWidth="1"/>
    <col min="3807" max="3807" width="34.7265625" style="277" bestFit="1" customWidth="1"/>
    <col min="3808" max="3808" width="12.26953125" style="277" customWidth="1"/>
    <col min="3809" max="3812" width="0" style="277" hidden="1" customWidth="1"/>
    <col min="3813" max="3814" width="11.7265625" style="277" bestFit="1" customWidth="1"/>
    <col min="3815" max="3815" width="0" style="277" hidden="1" customWidth="1"/>
    <col min="3816" max="3817" width="11.26953125" style="277" bestFit="1" customWidth="1"/>
    <col min="3818" max="3821" width="12.81640625" style="277" bestFit="1" customWidth="1"/>
    <col min="3822" max="3823" width="11.26953125" style="277" bestFit="1" customWidth="1"/>
    <col min="3824" max="3825" width="10.81640625" style="277" bestFit="1" customWidth="1"/>
    <col min="3826" max="3826" width="9.81640625" style="277" bestFit="1" customWidth="1"/>
    <col min="3827" max="3827" width="10" style="277" bestFit="1" customWidth="1"/>
    <col min="3828" max="3828" width="11" style="277" bestFit="1" customWidth="1"/>
    <col min="3829" max="3829" width="10" style="277" bestFit="1" customWidth="1"/>
    <col min="3830" max="3833" width="9.1796875" style="277"/>
    <col min="3834" max="3835" width="10" style="277" bestFit="1" customWidth="1"/>
    <col min="3836" max="3838" width="11" style="277" bestFit="1" customWidth="1"/>
    <col min="3839" max="3839" width="10" style="277" bestFit="1" customWidth="1"/>
    <col min="3840" max="3841" width="9.1796875" style="277"/>
    <col min="3842" max="3842" width="10.81640625" style="277" bestFit="1" customWidth="1"/>
    <col min="3843" max="3843" width="11" style="277" bestFit="1" customWidth="1"/>
    <col min="3844" max="3847" width="9.1796875" style="277"/>
    <col min="3848" max="3848" width="10.81640625" style="277" bestFit="1" customWidth="1"/>
    <col min="3849" max="3849" width="11" style="277" bestFit="1" customWidth="1"/>
    <col min="3850" max="3851" width="9.1796875" style="277"/>
    <col min="3852" max="3853" width="10" style="277" bestFit="1" customWidth="1"/>
    <col min="3854" max="4061" width="9.1796875" style="277"/>
    <col min="4062" max="4062" width="16.453125" style="277" customWidth="1"/>
    <col min="4063" max="4063" width="34.7265625" style="277" bestFit="1" customWidth="1"/>
    <col min="4064" max="4064" width="12.26953125" style="277" customWidth="1"/>
    <col min="4065" max="4068" width="0" style="277" hidden="1" customWidth="1"/>
    <col min="4069" max="4070" width="11.7265625" style="277" bestFit="1" customWidth="1"/>
    <col min="4071" max="4071" width="0" style="277" hidden="1" customWidth="1"/>
    <col min="4072" max="4073" width="11.26953125" style="277" bestFit="1" customWidth="1"/>
    <col min="4074" max="4077" width="12.81640625" style="277" bestFit="1" customWidth="1"/>
    <col min="4078" max="4079" width="11.26953125" style="277" bestFit="1" customWidth="1"/>
    <col min="4080" max="4081" width="10.81640625" style="277" bestFit="1" customWidth="1"/>
    <col min="4082" max="4082" width="9.81640625" style="277" bestFit="1" customWidth="1"/>
    <col min="4083" max="4083" width="10" style="277" bestFit="1" customWidth="1"/>
    <col min="4084" max="4084" width="11" style="277" bestFit="1" customWidth="1"/>
    <col min="4085" max="4085" width="10" style="277" bestFit="1" customWidth="1"/>
    <col min="4086" max="4089" width="9.1796875" style="277"/>
    <col min="4090" max="4091" width="10" style="277" bestFit="1" customWidth="1"/>
    <col min="4092" max="4094" width="11" style="277" bestFit="1" customWidth="1"/>
    <col min="4095" max="4095" width="10" style="277" bestFit="1" customWidth="1"/>
    <col min="4096" max="4097" width="9.1796875" style="277"/>
    <col min="4098" max="4098" width="10.81640625" style="277" bestFit="1" customWidth="1"/>
    <col min="4099" max="4099" width="11" style="277" bestFit="1" customWidth="1"/>
    <col min="4100" max="4103" width="9.1796875" style="277"/>
    <col min="4104" max="4104" width="10.81640625" style="277" bestFit="1" customWidth="1"/>
    <col min="4105" max="4105" width="11" style="277" bestFit="1" customWidth="1"/>
    <col min="4106" max="4107" width="9.1796875" style="277"/>
    <col min="4108" max="4109" width="10" style="277" bestFit="1" customWidth="1"/>
    <col min="4110" max="4317" width="9.1796875" style="277"/>
    <col min="4318" max="4318" width="16.453125" style="277" customWidth="1"/>
    <col min="4319" max="4319" width="34.7265625" style="277" bestFit="1" customWidth="1"/>
    <col min="4320" max="4320" width="12.26953125" style="277" customWidth="1"/>
    <col min="4321" max="4324" width="0" style="277" hidden="1" customWidth="1"/>
    <col min="4325" max="4326" width="11.7265625" style="277" bestFit="1" customWidth="1"/>
    <col min="4327" max="4327" width="0" style="277" hidden="1" customWidth="1"/>
    <col min="4328" max="4329" width="11.26953125" style="277" bestFit="1" customWidth="1"/>
    <col min="4330" max="4333" width="12.81640625" style="277" bestFit="1" customWidth="1"/>
    <col min="4334" max="4335" width="11.26953125" style="277" bestFit="1" customWidth="1"/>
    <col min="4336" max="4337" width="10.81640625" style="277" bestFit="1" customWidth="1"/>
    <col min="4338" max="4338" width="9.81640625" style="277" bestFit="1" customWidth="1"/>
    <col min="4339" max="4339" width="10" style="277" bestFit="1" customWidth="1"/>
    <col min="4340" max="4340" width="11" style="277" bestFit="1" customWidth="1"/>
    <col min="4341" max="4341" width="10" style="277" bestFit="1" customWidth="1"/>
    <col min="4342" max="4345" width="9.1796875" style="277"/>
    <col min="4346" max="4347" width="10" style="277" bestFit="1" customWidth="1"/>
    <col min="4348" max="4350" width="11" style="277" bestFit="1" customWidth="1"/>
    <col min="4351" max="4351" width="10" style="277" bestFit="1" customWidth="1"/>
    <col min="4352" max="4353" width="9.1796875" style="277"/>
    <col min="4354" max="4354" width="10.81640625" style="277" bestFit="1" customWidth="1"/>
    <col min="4355" max="4355" width="11" style="277" bestFit="1" customWidth="1"/>
    <col min="4356" max="4359" width="9.1796875" style="277"/>
    <col min="4360" max="4360" width="10.81640625" style="277" bestFit="1" customWidth="1"/>
    <col min="4361" max="4361" width="11" style="277" bestFit="1" customWidth="1"/>
    <col min="4362" max="4363" width="9.1796875" style="277"/>
    <col min="4364" max="4365" width="10" style="277" bestFit="1" customWidth="1"/>
    <col min="4366" max="4573" width="9.1796875" style="277"/>
    <col min="4574" max="4574" width="16.453125" style="277" customWidth="1"/>
    <col min="4575" max="4575" width="34.7265625" style="277" bestFit="1" customWidth="1"/>
    <col min="4576" max="4576" width="12.26953125" style="277" customWidth="1"/>
    <col min="4577" max="4580" width="0" style="277" hidden="1" customWidth="1"/>
    <col min="4581" max="4582" width="11.7265625" style="277" bestFit="1" customWidth="1"/>
    <col min="4583" max="4583" width="0" style="277" hidden="1" customWidth="1"/>
    <col min="4584" max="4585" width="11.26953125" style="277" bestFit="1" customWidth="1"/>
    <col min="4586" max="4589" width="12.81640625" style="277" bestFit="1" customWidth="1"/>
    <col min="4590" max="4591" width="11.26953125" style="277" bestFit="1" customWidth="1"/>
    <col min="4592" max="4593" width="10.81640625" style="277" bestFit="1" customWidth="1"/>
    <col min="4594" max="4594" width="9.81640625" style="277" bestFit="1" customWidth="1"/>
    <col min="4595" max="4595" width="10" style="277" bestFit="1" customWidth="1"/>
    <col min="4596" max="4596" width="11" style="277" bestFit="1" customWidth="1"/>
    <col min="4597" max="4597" width="10" style="277" bestFit="1" customWidth="1"/>
    <col min="4598" max="4601" width="9.1796875" style="277"/>
    <col min="4602" max="4603" width="10" style="277" bestFit="1" customWidth="1"/>
    <col min="4604" max="4606" width="11" style="277" bestFit="1" customWidth="1"/>
    <col min="4607" max="4607" width="10" style="277" bestFit="1" customWidth="1"/>
    <col min="4608" max="4609" width="9.1796875" style="277"/>
    <col min="4610" max="4610" width="10.81640625" style="277" bestFit="1" customWidth="1"/>
    <col min="4611" max="4611" width="11" style="277" bestFit="1" customWidth="1"/>
    <col min="4612" max="4615" width="9.1796875" style="277"/>
    <col min="4616" max="4616" width="10.81640625" style="277" bestFit="1" customWidth="1"/>
    <col min="4617" max="4617" width="11" style="277" bestFit="1" customWidth="1"/>
    <col min="4618" max="4619" width="9.1796875" style="277"/>
    <col min="4620" max="4621" width="10" style="277" bestFit="1" customWidth="1"/>
    <col min="4622" max="4829" width="9.1796875" style="277"/>
    <col min="4830" max="4830" width="16.453125" style="277" customWidth="1"/>
    <col min="4831" max="4831" width="34.7265625" style="277" bestFit="1" customWidth="1"/>
    <col min="4832" max="4832" width="12.26953125" style="277" customWidth="1"/>
    <col min="4833" max="4836" width="0" style="277" hidden="1" customWidth="1"/>
    <col min="4837" max="4838" width="11.7265625" style="277" bestFit="1" customWidth="1"/>
    <col min="4839" max="4839" width="0" style="277" hidden="1" customWidth="1"/>
    <col min="4840" max="4841" width="11.26953125" style="277" bestFit="1" customWidth="1"/>
    <col min="4842" max="4845" width="12.81640625" style="277" bestFit="1" customWidth="1"/>
    <col min="4846" max="4847" width="11.26953125" style="277" bestFit="1" customWidth="1"/>
    <col min="4848" max="4849" width="10.81640625" style="277" bestFit="1" customWidth="1"/>
    <col min="4850" max="4850" width="9.81640625" style="277" bestFit="1" customWidth="1"/>
    <col min="4851" max="4851" width="10" style="277" bestFit="1" customWidth="1"/>
    <col min="4852" max="4852" width="11" style="277" bestFit="1" customWidth="1"/>
    <col min="4853" max="4853" width="10" style="277" bestFit="1" customWidth="1"/>
    <col min="4854" max="4857" width="9.1796875" style="277"/>
    <col min="4858" max="4859" width="10" style="277" bestFit="1" customWidth="1"/>
    <col min="4860" max="4862" width="11" style="277" bestFit="1" customWidth="1"/>
    <col min="4863" max="4863" width="10" style="277" bestFit="1" customWidth="1"/>
    <col min="4864" max="4865" width="9.1796875" style="277"/>
    <col min="4866" max="4866" width="10.81640625" style="277" bestFit="1" customWidth="1"/>
    <col min="4867" max="4867" width="11" style="277" bestFit="1" customWidth="1"/>
    <col min="4868" max="4871" width="9.1796875" style="277"/>
    <col min="4872" max="4872" width="10.81640625" style="277" bestFit="1" customWidth="1"/>
    <col min="4873" max="4873" width="11" style="277" bestFit="1" customWidth="1"/>
    <col min="4874" max="4875" width="9.1796875" style="277"/>
    <col min="4876" max="4877" width="10" style="277" bestFit="1" customWidth="1"/>
    <col min="4878" max="5085" width="9.1796875" style="277"/>
    <col min="5086" max="5086" width="16.453125" style="277" customWidth="1"/>
    <col min="5087" max="5087" width="34.7265625" style="277" bestFit="1" customWidth="1"/>
    <col min="5088" max="5088" width="12.26953125" style="277" customWidth="1"/>
    <col min="5089" max="5092" width="0" style="277" hidden="1" customWidth="1"/>
    <col min="5093" max="5094" width="11.7265625" style="277" bestFit="1" customWidth="1"/>
    <col min="5095" max="5095" width="0" style="277" hidden="1" customWidth="1"/>
    <col min="5096" max="5097" width="11.26953125" style="277" bestFit="1" customWidth="1"/>
    <col min="5098" max="5101" width="12.81640625" style="277" bestFit="1" customWidth="1"/>
    <col min="5102" max="5103" width="11.26953125" style="277" bestFit="1" customWidth="1"/>
    <col min="5104" max="5105" width="10.81640625" style="277" bestFit="1" customWidth="1"/>
    <col min="5106" max="5106" width="9.81640625" style="277" bestFit="1" customWidth="1"/>
    <col min="5107" max="5107" width="10" style="277" bestFit="1" customWidth="1"/>
    <col min="5108" max="5108" width="11" style="277" bestFit="1" customWidth="1"/>
    <col min="5109" max="5109" width="10" style="277" bestFit="1" customWidth="1"/>
    <col min="5110" max="5113" width="9.1796875" style="277"/>
    <col min="5114" max="5115" width="10" style="277" bestFit="1" customWidth="1"/>
    <col min="5116" max="5118" width="11" style="277" bestFit="1" customWidth="1"/>
    <col min="5119" max="5119" width="10" style="277" bestFit="1" customWidth="1"/>
    <col min="5120" max="5121" width="9.1796875" style="277"/>
    <col min="5122" max="5122" width="10.81640625" style="277" bestFit="1" customWidth="1"/>
    <col min="5123" max="5123" width="11" style="277" bestFit="1" customWidth="1"/>
    <col min="5124" max="5127" width="9.1796875" style="277"/>
    <col min="5128" max="5128" width="10.81640625" style="277" bestFit="1" customWidth="1"/>
    <col min="5129" max="5129" width="11" style="277" bestFit="1" customWidth="1"/>
    <col min="5130" max="5131" width="9.1796875" style="277"/>
    <col min="5132" max="5133" width="10" style="277" bestFit="1" customWidth="1"/>
    <col min="5134" max="5341" width="9.1796875" style="277"/>
    <col min="5342" max="5342" width="16.453125" style="277" customWidth="1"/>
    <col min="5343" max="5343" width="34.7265625" style="277" bestFit="1" customWidth="1"/>
    <col min="5344" max="5344" width="12.26953125" style="277" customWidth="1"/>
    <col min="5345" max="5348" width="0" style="277" hidden="1" customWidth="1"/>
    <col min="5349" max="5350" width="11.7265625" style="277" bestFit="1" customWidth="1"/>
    <col min="5351" max="5351" width="0" style="277" hidden="1" customWidth="1"/>
    <col min="5352" max="5353" width="11.26953125" style="277" bestFit="1" customWidth="1"/>
    <col min="5354" max="5357" width="12.81640625" style="277" bestFit="1" customWidth="1"/>
    <col min="5358" max="5359" width="11.26953125" style="277" bestFit="1" customWidth="1"/>
    <col min="5360" max="5361" width="10.81640625" style="277" bestFit="1" customWidth="1"/>
    <col min="5362" max="5362" width="9.81640625" style="277" bestFit="1" customWidth="1"/>
    <col min="5363" max="5363" width="10" style="277" bestFit="1" customWidth="1"/>
    <col min="5364" max="5364" width="11" style="277" bestFit="1" customWidth="1"/>
    <col min="5365" max="5365" width="10" style="277" bestFit="1" customWidth="1"/>
    <col min="5366" max="5369" width="9.1796875" style="277"/>
    <col min="5370" max="5371" width="10" style="277" bestFit="1" customWidth="1"/>
    <col min="5372" max="5374" width="11" style="277" bestFit="1" customWidth="1"/>
    <col min="5375" max="5375" width="10" style="277" bestFit="1" customWidth="1"/>
    <col min="5376" max="5377" width="9.1796875" style="277"/>
    <col min="5378" max="5378" width="10.81640625" style="277" bestFit="1" customWidth="1"/>
    <col min="5379" max="5379" width="11" style="277" bestFit="1" customWidth="1"/>
    <col min="5380" max="5383" width="9.1796875" style="277"/>
    <col min="5384" max="5384" width="10.81640625" style="277" bestFit="1" customWidth="1"/>
    <col min="5385" max="5385" width="11" style="277" bestFit="1" customWidth="1"/>
    <col min="5386" max="5387" width="9.1796875" style="277"/>
    <col min="5388" max="5389" width="10" style="277" bestFit="1" customWidth="1"/>
    <col min="5390" max="5597" width="9.1796875" style="277"/>
    <col min="5598" max="5598" width="16.453125" style="277" customWidth="1"/>
    <col min="5599" max="5599" width="34.7265625" style="277" bestFit="1" customWidth="1"/>
    <col min="5600" max="5600" width="12.26953125" style="277" customWidth="1"/>
    <col min="5601" max="5604" width="0" style="277" hidden="1" customWidth="1"/>
    <col min="5605" max="5606" width="11.7265625" style="277" bestFit="1" customWidth="1"/>
    <col min="5607" max="5607" width="0" style="277" hidden="1" customWidth="1"/>
    <col min="5608" max="5609" width="11.26953125" style="277" bestFit="1" customWidth="1"/>
    <col min="5610" max="5613" width="12.81640625" style="277" bestFit="1" customWidth="1"/>
    <col min="5614" max="5615" width="11.26953125" style="277" bestFit="1" customWidth="1"/>
    <col min="5616" max="5617" width="10.81640625" style="277" bestFit="1" customWidth="1"/>
    <col min="5618" max="5618" width="9.81640625" style="277" bestFit="1" customWidth="1"/>
    <col min="5619" max="5619" width="10" style="277" bestFit="1" customWidth="1"/>
    <col min="5620" max="5620" width="11" style="277" bestFit="1" customWidth="1"/>
    <col min="5621" max="5621" width="10" style="277" bestFit="1" customWidth="1"/>
    <col min="5622" max="5625" width="9.1796875" style="277"/>
    <col min="5626" max="5627" width="10" style="277" bestFit="1" customWidth="1"/>
    <col min="5628" max="5630" width="11" style="277" bestFit="1" customWidth="1"/>
    <col min="5631" max="5631" width="10" style="277" bestFit="1" customWidth="1"/>
    <col min="5632" max="5633" width="9.1796875" style="277"/>
    <col min="5634" max="5634" width="10.81640625" style="277" bestFit="1" customWidth="1"/>
    <col min="5635" max="5635" width="11" style="277" bestFit="1" customWidth="1"/>
    <col min="5636" max="5639" width="9.1796875" style="277"/>
    <col min="5640" max="5640" width="10.81640625" style="277" bestFit="1" customWidth="1"/>
    <col min="5641" max="5641" width="11" style="277" bestFit="1" customWidth="1"/>
    <col min="5642" max="5643" width="9.1796875" style="277"/>
    <col min="5644" max="5645" width="10" style="277" bestFit="1" customWidth="1"/>
    <col min="5646" max="5853" width="9.1796875" style="277"/>
    <col min="5854" max="5854" width="16.453125" style="277" customWidth="1"/>
    <col min="5855" max="5855" width="34.7265625" style="277" bestFit="1" customWidth="1"/>
    <col min="5856" max="5856" width="12.26953125" style="277" customWidth="1"/>
    <col min="5857" max="5860" width="0" style="277" hidden="1" customWidth="1"/>
    <col min="5861" max="5862" width="11.7265625" style="277" bestFit="1" customWidth="1"/>
    <col min="5863" max="5863" width="0" style="277" hidden="1" customWidth="1"/>
    <col min="5864" max="5865" width="11.26953125" style="277" bestFit="1" customWidth="1"/>
    <col min="5866" max="5869" width="12.81640625" style="277" bestFit="1" customWidth="1"/>
    <col min="5870" max="5871" width="11.26953125" style="277" bestFit="1" customWidth="1"/>
    <col min="5872" max="5873" width="10.81640625" style="277" bestFit="1" customWidth="1"/>
    <col min="5874" max="5874" width="9.81640625" style="277" bestFit="1" customWidth="1"/>
    <col min="5875" max="5875" width="10" style="277" bestFit="1" customWidth="1"/>
    <col min="5876" max="5876" width="11" style="277" bestFit="1" customWidth="1"/>
    <col min="5877" max="5877" width="10" style="277" bestFit="1" customWidth="1"/>
    <col min="5878" max="5881" width="9.1796875" style="277"/>
    <col min="5882" max="5883" width="10" style="277" bestFit="1" customWidth="1"/>
    <col min="5884" max="5886" width="11" style="277" bestFit="1" customWidth="1"/>
    <col min="5887" max="5887" width="10" style="277" bestFit="1" customWidth="1"/>
    <col min="5888" max="5889" width="9.1796875" style="277"/>
    <col min="5890" max="5890" width="10.81640625" style="277" bestFit="1" customWidth="1"/>
    <col min="5891" max="5891" width="11" style="277" bestFit="1" customWidth="1"/>
    <col min="5892" max="5895" width="9.1796875" style="277"/>
    <col min="5896" max="5896" width="10.81640625" style="277" bestFit="1" customWidth="1"/>
    <col min="5897" max="5897" width="11" style="277" bestFit="1" customWidth="1"/>
    <col min="5898" max="5899" width="9.1796875" style="277"/>
    <col min="5900" max="5901" width="10" style="277" bestFit="1" customWidth="1"/>
    <col min="5902" max="6109" width="9.1796875" style="277"/>
    <col min="6110" max="6110" width="16.453125" style="277" customWidth="1"/>
    <col min="6111" max="6111" width="34.7265625" style="277" bestFit="1" customWidth="1"/>
    <col min="6112" max="6112" width="12.26953125" style="277" customWidth="1"/>
    <col min="6113" max="6116" width="0" style="277" hidden="1" customWidth="1"/>
    <col min="6117" max="6118" width="11.7265625" style="277" bestFit="1" customWidth="1"/>
    <col min="6119" max="6119" width="0" style="277" hidden="1" customWidth="1"/>
    <col min="6120" max="6121" width="11.26953125" style="277" bestFit="1" customWidth="1"/>
    <col min="6122" max="6125" width="12.81640625" style="277" bestFit="1" customWidth="1"/>
    <col min="6126" max="6127" width="11.26953125" style="277" bestFit="1" customWidth="1"/>
    <col min="6128" max="6129" width="10.81640625" style="277" bestFit="1" customWidth="1"/>
    <col min="6130" max="6130" width="9.81640625" style="277" bestFit="1" customWidth="1"/>
    <col min="6131" max="6131" width="10" style="277" bestFit="1" customWidth="1"/>
    <col min="6132" max="6132" width="11" style="277" bestFit="1" customWidth="1"/>
    <col min="6133" max="6133" width="10" style="277" bestFit="1" customWidth="1"/>
    <col min="6134" max="6137" width="9.1796875" style="277"/>
    <col min="6138" max="6139" width="10" style="277" bestFit="1" customWidth="1"/>
    <col min="6140" max="6142" width="11" style="277" bestFit="1" customWidth="1"/>
    <col min="6143" max="6143" width="10" style="277" bestFit="1" customWidth="1"/>
    <col min="6144" max="6145" width="9.1796875" style="277"/>
    <col min="6146" max="6146" width="10.81640625" style="277" bestFit="1" customWidth="1"/>
    <col min="6147" max="6147" width="11" style="277" bestFit="1" customWidth="1"/>
    <col min="6148" max="6151" width="9.1796875" style="277"/>
    <col min="6152" max="6152" width="10.81640625" style="277" bestFit="1" customWidth="1"/>
    <col min="6153" max="6153" width="11" style="277" bestFit="1" customWidth="1"/>
    <col min="6154" max="6155" width="9.1796875" style="277"/>
    <col min="6156" max="6157" width="10" style="277" bestFit="1" customWidth="1"/>
    <col min="6158" max="6365" width="9.1796875" style="277"/>
    <col min="6366" max="6366" width="16.453125" style="277" customWidth="1"/>
    <col min="6367" max="6367" width="34.7265625" style="277" bestFit="1" customWidth="1"/>
    <col min="6368" max="6368" width="12.26953125" style="277" customWidth="1"/>
    <col min="6369" max="6372" width="0" style="277" hidden="1" customWidth="1"/>
    <col min="6373" max="6374" width="11.7265625" style="277" bestFit="1" customWidth="1"/>
    <col min="6375" max="6375" width="0" style="277" hidden="1" customWidth="1"/>
    <col min="6376" max="6377" width="11.26953125" style="277" bestFit="1" customWidth="1"/>
    <col min="6378" max="6381" width="12.81640625" style="277" bestFit="1" customWidth="1"/>
    <col min="6382" max="6383" width="11.26953125" style="277" bestFit="1" customWidth="1"/>
    <col min="6384" max="6385" width="10.81640625" style="277" bestFit="1" customWidth="1"/>
    <col min="6386" max="6386" width="9.81640625" style="277" bestFit="1" customWidth="1"/>
    <col min="6387" max="6387" width="10" style="277" bestFit="1" customWidth="1"/>
    <col min="6388" max="6388" width="11" style="277" bestFit="1" customWidth="1"/>
    <col min="6389" max="6389" width="10" style="277" bestFit="1" customWidth="1"/>
    <col min="6390" max="6393" width="9.1796875" style="277"/>
    <col min="6394" max="6395" width="10" style="277" bestFit="1" customWidth="1"/>
    <col min="6396" max="6398" width="11" style="277" bestFit="1" customWidth="1"/>
    <col min="6399" max="6399" width="10" style="277" bestFit="1" customWidth="1"/>
    <col min="6400" max="6401" width="9.1796875" style="277"/>
    <col min="6402" max="6402" width="10.81640625" style="277" bestFit="1" customWidth="1"/>
    <col min="6403" max="6403" width="11" style="277" bestFit="1" customWidth="1"/>
    <col min="6404" max="6407" width="9.1796875" style="277"/>
    <col min="6408" max="6408" width="10.81640625" style="277" bestFit="1" customWidth="1"/>
    <col min="6409" max="6409" width="11" style="277" bestFit="1" customWidth="1"/>
    <col min="6410" max="6411" width="9.1796875" style="277"/>
    <col min="6412" max="6413" width="10" style="277" bestFit="1" customWidth="1"/>
    <col min="6414" max="6621" width="9.1796875" style="277"/>
    <col min="6622" max="6622" width="16.453125" style="277" customWidth="1"/>
    <col min="6623" max="6623" width="34.7265625" style="277" bestFit="1" customWidth="1"/>
    <col min="6624" max="6624" width="12.26953125" style="277" customWidth="1"/>
    <col min="6625" max="6628" width="0" style="277" hidden="1" customWidth="1"/>
    <col min="6629" max="6630" width="11.7265625" style="277" bestFit="1" customWidth="1"/>
    <col min="6631" max="6631" width="0" style="277" hidden="1" customWidth="1"/>
    <col min="6632" max="6633" width="11.26953125" style="277" bestFit="1" customWidth="1"/>
    <col min="6634" max="6637" width="12.81640625" style="277" bestFit="1" customWidth="1"/>
    <col min="6638" max="6639" width="11.26953125" style="277" bestFit="1" customWidth="1"/>
    <col min="6640" max="6641" width="10.81640625" style="277" bestFit="1" customWidth="1"/>
    <col min="6642" max="6642" width="9.81640625" style="277" bestFit="1" customWidth="1"/>
    <col min="6643" max="6643" width="10" style="277" bestFit="1" customWidth="1"/>
    <col min="6644" max="6644" width="11" style="277" bestFit="1" customWidth="1"/>
    <col min="6645" max="6645" width="10" style="277" bestFit="1" customWidth="1"/>
    <col min="6646" max="6649" width="9.1796875" style="277"/>
    <col min="6650" max="6651" width="10" style="277" bestFit="1" customWidth="1"/>
    <col min="6652" max="6654" width="11" style="277" bestFit="1" customWidth="1"/>
    <col min="6655" max="6655" width="10" style="277" bestFit="1" customWidth="1"/>
    <col min="6656" max="6657" width="9.1796875" style="277"/>
    <col min="6658" max="6658" width="10.81640625" style="277" bestFit="1" customWidth="1"/>
    <col min="6659" max="6659" width="11" style="277" bestFit="1" customWidth="1"/>
    <col min="6660" max="6663" width="9.1796875" style="277"/>
    <col min="6664" max="6664" width="10.81640625" style="277" bestFit="1" customWidth="1"/>
    <col min="6665" max="6665" width="11" style="277" bestFit="1" customWidth="1"/>
    <col min="6666" max="6667" width="9.1796875" style="277"/>
    <col min="6668" max="6669" width="10" style="277" bestFit="1" customWidth="1"/>
    <col min="6670" max="6877" width="9.1796875" style="277"/>
    <col min="6878" max="6878" width="16.453125" style="277" customWidth="1"/>
    <col min="6879" max="6879" width="34.7265625" style="277" bestFit="1" customWidth="1"/>
    <col min="6880" max="6880" width="12.26953125" style="277" customWidth="1"/>
    <col min="6881" max="6884" width="0" style="277" hidden="1" customWidth="1"/>
    <col min="6885" max="6886" width="11.7265625" style="277" bestFit="1" customWidth="1"/>
    <col min="6887" max="6887" width="0" style="277" hidden="1" customWidth="1"/>
    <col min="6888" max="6889" width="11.26953125" style="277" bestFit="1" customWidth="1"/>
    <col min="6890" max="6893" width="12.81640625" style="277" bestFit="1" customWidth="1"/>
    <col min="6894" max="6895" width="11.26953125" style="277" bestFit="1" customWidth="1"/>
    <col min="6896" max="6897" width="10.81640625" style="277" bestFit="1" customWidth="1"/>
    <col min="6898" max="6898" width="9.81640625" style="277" bestFit="1" customWidth="1"/>
    <col min="6899" max="6899" width="10" style="277" bestFit="1" customWidth="1"/>
    <col min="6900" max="6900" width="11" style="277" bestFit="1" customWidth="1"/>
    <col min="6901" max="6901" width="10" style="277" bestFit="1" customWidth="1"/>
    <col min="6902" max="6905" width="9.1796875" style="277"/>
    <col min="6906" max="6907" width="10" style="277" bestFit="1" customWidth="1"/>
    <col min="6908" max="6910" width="11" style="277" bestFit="1" customWidth="1"/>
    <col min="6911" max="6911" width="10" style="277" bestFit="1" customWidth="1"/>
    <col min="6912" max="6913" width="9.1796875" style="277"/>
    <col min="6914" max="6914" width="10.81640625" style="277" bestFit="1" customWidth="1"/>
    <col min="6915" max="6915" width="11" style="277" bestFit="1" customWidth="1"/>
    <col min="6916" max="6919" width="9.1796875" style="277"/>
    <col min="6920" max="6920" width="10.81640625" style="277" bestFit="1" customWidth="1"/>
    <col min="6921" max="6921" width="11" style="277" bestFit="1" customWidth="1"/>
    <col min="6922" max="6923" width="9.1796875" style="277"/>
    <col min="6924" max="6925" width="10" style="277" bestFit="1" customWidth="1"/>
    <col min="6926" max="7133" width="9.1796875" style="277"/>
    <col min="7134" max="7134" width="16.453125" style="277" customWidth="1"/>
    <col min="7135" max="7135" width="34.7265625" style="277" bestFit="1" customWidth="1"/>
    <col min="7136" max="7136" width="12.26953125" style="277" customWidth="1"/>
    <col min="7137" max="7140" width="0" style="277" hidden="1" customWidth="1"/>
    <col min="7141" max="7142" width="11.7265625" style="277" bestFit="1" customWidth="1"/>
    <col min="7143" max="7143" width="0" style="277" hidden="1" customWidth="1"/>
    <col min="7144" max="7145" width="11.26953125" style="277" bestFit="1" customWidth="1"/>
    <col min="7146" max="7149" width="12.81640625" style="277" bestFit="1" customWidth="1"/>
    <col min="7150" max="7151" width="11.26953125" style="277" bestFit="1" customWidth="1"/>
    <col min="7152" max="7153" width="10.81640625" style="277" bestFit="1" customWidth="1"/>
    <col min="7154" max="7154" width="9.81640625" style="277" bestFit="1" customWidth="1"/>
    <col min="7155" max="7155" width="10" style="277" bestFit="1" customWidth="1"/>
    <col min="7156" max="7156" width="11" style="277" bestFit="1" customWidth="1"/>
    <col min="7157" max="7157" width="10" style="277" bestFit="1" customWidth="1"/>
    <col min="7158" max="7161" width="9.1796875" style="277"/>
    <col min="7162" max="7163" width="10" style="277" bestFit="1" customWidth="1"/>
    <col min="7164" max="7166" width="11" style="277" bestFit="1" customWidth="1"/>
    <col min="7167" max="7167" width="10" style="277" bestFit="1" customWidth="1"/>
    <col min="7168" max="7169" width="9.1796875" style="277"/>
    <col min="7170" max="7170" width="10.81640625" style="277" bestFit="1" customWidth="1"/>
    <col min="7171" max="7171" width="11" style="277" bestFit="1" customWidth="1"/>
    <col min="7172" max="7175" width="9.1796875" style="277"/>
    <col min="7176" max="7176" width="10.81640625" style="277" bestFit="1" customWidth="1"/>
    <col min="7177" max="7177" width="11" style="277" bestFit="1" customWidth="1"/>
    <col min="7178" max="7179" width="9.1796875" style="277"/>
    <col min="7180" max="7181" width="10" style="277" bestFit="1" customWidth="1"/>
    <col min="7182" max="7389" width="9.1796875" style="277"/>
    <col min="7390" max="7390" width="16.453125" style="277" customWidth="1"/>
    <col min="7391" max="7391" width="34.7265625" style="277" bestFit="1" customWidth="1"/>
    <col min="7392" max="7392" width="12.26953125" style="277" customWidth="1"/>
    <col min="7393" max="7396" width="0" style="277" hidden="1" customWidth="1"/>
    <col min="7397" max="7398" width="11.7265625" style="277" bestFit="1" customWidth="1"/>
    <col min="7399" max="7399" width="0" style="277" hidden="1" customWidth="1"/>
    <col min="7400" max="7401" width="11.26953125" style="277" bestFit="1" customWidth="1"/>
    <col min="7402" max="7405" width="12.81640625" style="277" bestFit="1" customWidth="1"/>
    <col min="7406" max="7407" width="11.26953125" style="277" bestFit="1" customWidth="1"/>
    <col min="7408" max="7409" width="10.81640625" style="277" bestFit="1" customWidth="1"/>
    <col min="7410" max="7410" width="9.81640625" style="277" bestFit="1" customWidth="1"/>
    <col min="7411" max="7411" width="10" style="277" bestFit="1" customWidth="1"/>
    <col min="7412" max="7412" width="11" style="277" bestFit="1" customWidth="1"/>
    <col min="7413" max="7413" width="10" style="277" bestFit="1" customWidth="1"/>
    <col min="7414" max="7417" width="9.1796875" style="277"/>
    <col min="7418" max="7419" width="10" style="277" bestFit="1" customWidth="1"/>
    <col min="7420" max="7422" width="11" style="277" bestFit="1" customWidth="1"/>
    <col min="7423" max="7423" width="10" style="277" bestFit="1" customWidth="1"/>
    <col min="7424" max="7425" width="9.1796875" style="277"/>
    <col min="7426" max="7426" width="10.81640625" style="277" bestFit="1" customWidth="1"/>
    <col min="7427" max="7427" width="11" style="277" bestFit="1" customWidth="1"/>
    <col min="7428" max="7431" width="9.1796875" style="277"/>
    <col min="7432" max="7432" width="10.81640625" style="277" bestFit="1" customWidth="1"/>
    <col min="7433" max="7433" width="11" style="277" bestFit="1" customWidth="1"/>
    <col min="7434" max="7435" width="9.1796875" style="277"/>
    <col min="7436" max="7437" width="10" style="277" bestFit="1" customWidth="1"/>
    <col min="7438" max="7645" width="9.1796875" style="277"/>
    <col min="7646" max="7646" width="16.453125" style="277" customWidth="1"/>
    <col min="7647" max="7647" width="34.7265625" style="277" bestFit="1" customWidth="1"/>
    <col min="7648" max="7648" width="12.26953125" style="277" customWidth="1"/>
    <col min="7649" max="7652" width="0" style="277" hidden="1" customWidth="1"/>
    <col min="7653" max="7654" width="11.7265625" style="277" bestFit="1" customWidth="1"/>
    <col min="7655" max="7655" width="0" style="277" hidden="1" customWidth="1"/>
    <col min="7656" max="7657" width="11.26953125" style="277" bestFit="1" customWidth="1"/>
    <col min="7658" max="7661" width="12.81640625" style="277" bestFit="1" customWidth="1"/>
    <col min="7662" max="7663" width="11.26953125" style="277" bestFit="1" customWidth="1"/>
    <col min="7664" max="7665" width="10.81640625" style="277" bestFit="1" customWidth="1"/>
    <col min="7666" max="7666" width="9.81640625" style="277" bestFit="1" customWidth="1"/>
    <col min="7667" max="7667" width="10" style="277" bestFit="1" customWidth="1"/>
    <col min="7668" max="7668" width="11" style="277" bestFit="1" customWidth="1"/>
    <col min="7669" max="7669" width="10" style="277" bestFit="1" customWidth="1"/>
    <col min="7670" max="7673" width="9.1796875" style="277"/>
    <col min="7674" max="7675" width="10" style="277" bestFit="1" customWidth="1"/>
    <col min="7676" max="7678" width="11" style="277" bestFit="1" customWidth="1"/>
    <col min="7679" max="7679" width="10" style="277" bestFit="1" customWidth="1"/>
    <col min="7680" max="7681" width="9.1796875" style="277"/>
    <col min="7682" max="7682" width="10.81640625" style="277" bestFit="1" customWidth="1"/>
    <col min="7683" max="7683" width="11" style="277" bestFit="1" customWidth="1"/>
    <col min="7684" max="7687" width="9.1796875" style="277"/>
    <col min="7688" max="7688" width="10.81640625" style="277" bestFit="1" customWidth="1"/>
    <col min="7689" max="7689" width="11" style="277" bestFit="1" customWidth="1"/>
    <col min="7690" max="7691" width="9.1796875" style="277"/>
    <col min="7692" max="7693" width="10" style="277" bestFit="1" customWidth="1"/>
    <col min="7694" max="7901" width="9.1796875" style="277"/>
    <col min="7902" max="7902" width="16.453125" style="277" customWidth="1"/>
    <col min="7903" max="7903" width="34.7265625" style="277" bestFit="1" customWidth="1"/>
    <col min="7904" max="7904" width="12.26953125" style="277" customWidth="1"/>
    <col min="7905" max="7908" width="0" style="277" hidden="1" customWidth="1"/>
    <col min="7909" max="7910" width="11.7265625" style="277" bestFit="1" customWidth="1"/>
    <col min="7911" max="7911" width="0" style="277" hidden="1" customWidth="1"/>
    <col min="7912" max="7913" width="11.26953125" style="277" bestFit="1" customWidth="1"/>
    <col min="7914" max="7917" width="12.81640625" style="277" bestFit="1" customWidth="1"/>
    <col min="7918" max="7919" width="11.26953125" style="277" bestFit="1" customWidth="1"/>
    <col min="7920" max="7921" width="10.81640625" style="277" bestFit="1" customWidth="1"/>
    <col min="7922" max="7922" width="9.81640625" style="277" bestFit="1" customWidth="1"/>
    <col min="7923" max="7923" width="10" style="277" bestFit="1" customWidth="1"/>
    <col min="7924" max="7924" width="11" style="277" bestFit="1" customWidth="1"/>
    <col min="7925" max="7925" width="10" style="277" bestFit="1" customWidth="1"/>
    <col min="7926" max="7929" width="9.1796875" style="277"/>
    <col min="7930" max="7931" width="10" style="277" bestFit="1" customWidth="1"/>
    <col min="7932" max="7934" width="11" style="277" bestFit="1" customWidth="1"/>
    <col min="7935" max="7935" width="10" style="277" bestFit="1" customWidth="1"/>
    <col min="7936" max="7937" width="9.1796875" style="277"/>
    <col min="7938" max="7938" width="10.81640625" style="277" bestFit="1" customWidth="1"/>
    <col min="7939" max="7939" width="11" style="277" bestFit="1" customWidth="1"/>
    <col min="7940" max="7943" width="9.1796875" style="277"/>
    <col min="7944" max="7944" width="10.81640625" style="277" bestFit="1" customWidth="1"/>
    <col min="7945" max="7945" width="11" style="277" bestFit="1" customWidth="1"/>
    <col min="7946" max="7947" width="9.1796875" style="277"/>
    <col min="7948" max="7949" width="10" style="277" bestFit="1" customWidth="1"/>
    <col min="7950" max="8157" width="9.1796875" style="277"/>
    <col min="8158" max="8158" width="16.453125" style="277" customWidth="1"/>
    <col min="8159" max="8159" width="34.7265625" style="277" bestFit="1" customWidth="1"/>
    <col min="8160" max="8160" width="12.26953125" style="277" customWidth="1"/>
    <col min="8161" max="8164" width="0" style="277" hidden="1" customWidth="1"/>
    <col min="8165" max="8166" width="11.7265625" style="277" bestFit="1" customWidth="1"/>
    <col min="8167" max="8167" width="0" style="277" hidden="1" customWidth="1"/>
    <col min="8168" max="8169" width="11.26953125" style="277" bestFit="1" customWidth="1"/>
    <col min="8170" max="8173" width="12.81640625" style="277" bestFit="1" customWidth="1"/>
    <col min="8174" max="8175" width="11.26953125" style="277" bestFit="1" customWidth="1"/>
    <col min="8176" max="8177" width="10.81640625" style="277" bestFit="1" customWidth="1"/>
    <col min="8178" max="8178" width="9.81640625" style="277" bestFit="1" customWidth="1"/>
    <col min="8179" max="8179" width="10" style="277" bestFit="1" customWidth="1"/>
    <col min="8180" max="8180" width="11" style="277" bestFit="1" customWidth="1"/>
    <col min="8181" max="8181" width="10" style="277" bestFit="1" customWidth="1"/>
    <col min="8182" max="8185" width="9.1796875" style="277"/>
    <col min="8186" max="8187" width="10" style="277" bestFit="1" customWidth="1"/>
    <col min="8188" max="8190" width="11" style="277" bestFit="1" customWidth="1"/>
    <col min="8191" max="8191" width="10" style="277" bestFit="1" customWidth="1"/>
    <col min="8192" max="8193" width="9.1796875" style="277"/>
    <col min="8194" max="8194" width="10.81640625" style="277" bestFit="1" customWidth="1"/>
    <col min="8195" max="8195" width="11" style="277" bestFit="1" customWidth="1"/>
    <col min="8196" max="8199" width="9.1796875" style="277"/>
    <col min="8200" max="8200" width="10.81640625" style="277" bestFit="1" customWidth="1"/>
    <col min="8201" max="8201" width="11" style="277" bestFit="1" customWidth="1"/>
    <col min="8202" max="8203" width="9.1796875" style="277"/>
    <col min="8204" max="8205" width="10" style="277" bestFit="1" customWidth="1"/>
    <col min="8206" max="8413" width="9.1796875" style="277"/>
    <col min="8414" max="8414" width="16.453125" style="277" customWidth="1"/>
    <col min="8415" max="8415" width="34.7265625" style="277" bestFit="1" customWidth="1"/>
    <col min="8416" max="8416" width="12.26953125" style="277" customWidth="1"/>
    <col min="8417" max="8420" width="0" style="277" hidden="1" customWidth="1"/>
    <col min="8421" max="8422" width="11.7265625" style="277" bestFit="1" customWidth="1"/>
    <col min="8423" max="8423" width="0" style="277" hidden="1" customWidth="1"/>
    <col min="8424" max="8425" width="11.26953125" style="277" bestFit="1" customWidth="1"/>
    <col min="8426" max="8429" width="12.81640625" style="277" bestFit="1" customWidth="1"/>
    <col min="8430" max="8431" width="11.26953125" style="277" bestFit="1" customWidth="1"/>
    <col min="8432" max="8433" width="10.81640625" style="277" bestFit="1" customWidth="1"/>
    <col min="8434" max="8434" width="9.81640625" style="277" bestFit="1" customWidth="1"/>
    <col min="8435" max="8435" width="10" style="277" bestFit="1" customWidth="1"/>
    <col min="8436" max="8436" width="11" style="277" bestFit="1" customWidth="1"/>
    <col min="8437" max="8437" width="10" style="277" bestFit="1" customWidth="1"/>
    <col min="8438" max="8441" width="9.1796875" style="277"/>
    <col min="8442" max="8443" width="10" style="277" bestFit="1" customWidth="1"/>
    <col min="8444" max="8446" width="11" style="277" bestFit="1" customWidth="1"/>
    <col min="8447" max="8447" width="10" style="277" bestFit="1" customWidth="1"/>
    <col min="8448" max="8449" width="9.1796875" style="277"/>
    <col min="8450" max="8450" width="10.81640625" style="277" bestFit="1" customWidth="1"/>
    <col min="8451" max="8451" width="11" style="277" bestFit="1" customWidth="1"/>
    <col min="8452" max="8455" width="9.1796875" style="277"/>
    <col min="8456" max="8456" width="10.81640625" style="277" bestFit="1" customWidth="1"/>
    <col min="8457" max="8457" width="11" style="277" bestFit="1" customWidth="1"/>
    <col min="8458" max="8459" width="9.1796875" style="277"/>
    <col min="8460" max="8461" width="10" style="277" bestFit="1" customWidth="1"/>
    <col min="8462" max="8669" width="9.1796875" style="277"/>
    <col min="8670" max="8670" width="16.453125" style="277" customWidth="1"/>
    <col min="8671" max="8671" width="34.7265625" style="277" bestFit="1" customWidth="1"/>
    <col min="8672" max="8672" width="12.26953125" style="277" customWidth="1"/>
    <col min="8673" max="8676" width="0" style="277" hidden="1" customWidth="1"/>
    <col min="8677" max="8678" width="11.7265625" style="277" bestFit="1" customWidth="1"/>
    <col min="8679" max="8679" width="0" style="277" hidden="1" customWidth="1"/>
    <col min="8680" max="8681" width="11.26953125" style="277" bestFit="1" customWidth="1"/>
    <col min="8682" max="8685" width="12.81640625" style="277" bestFit="1" customWidth="1"/>
    <col min="8686" max="8687" width="11.26953125" style="277" bestFit="1" customWidth="1"/>
    <col min="8688" max="8689" width="10.81640625" style="277" bestFit="1" customWidth="1"/>
    <col min="8690" max="8690" width="9.81640625" style="277" bestFit="1" customWidth="1"/>
    <col min="8691" max="8691" width="10" style="277" bestFit="1" customWidth="1"/>
    <col min="8692" max="8692" width="11" style="277" bestFit="1" customWidth="1"/>
    <col min="8693" max="8693" width="10" style="277" bestFit="1" customWidth="1"/>
    <col min="8694" max="8697" width="9.1796875" style="277"/>
    <col min="8698" max="8699" width="10" style="277" bestFit="1" customWidth="1"/>
    <col min="8700" max="8702" width="11" style="277" bestFit="1" customWidth="1"/>
    <col min="8703" max="8703" width="10" style="277" bestFit="1" customWidth="1"/>
    <col min="8704" max="8705" width="9.1796875" style="277"/>
    <col min="8706" max="8706" width="10.81640625" style="277" bestFit="1" customWidth="1"/>
    <col min="8707" max="8707" width="11" style="277" bestFit="1" customWidth="1"/>
    <col min="8708" max="8711" width="9.1796875" style="277"/>
    <col min="8712" max="8712" width="10.81640625" style="277" bestFit="1" customWidth="1"/>
    <col min="8713" max="8713" width="11" style="277" bestFit="1" customWidth="1"/>
    <col min="8714" max="8715" width="9.1796875" style="277"/>
    <col min="8716" max="8717" width="10" style="277" bestFit="1" customWidth="1"/>
    <col min="8718" max="8925" width="9.1796875" style="277"/>
    <col min="8926" max="8926" width="16.453125" style="277" customWidth="1"/>
    <col min="8927" max="8927" width="34.7265625" style="277" bestFit="1" customWidth="1"/>
    <col min="8928" max="8928" width="12.26953125" style="277" customWidth="1"/>
    <col min="8929" max="8932" width="0" style="277" hidden="1" customWidth="1"/>
    <col min="8933" max="8934" width="11.7265625" style="277" bestFit="1" customWidth="1"/>
    <col min="8935" max="8935" width="0" style="277" hidden="1" customWidth="1"/>
    <col min="8936" max="8937" width="11.26953125" style="277" bestFit="1" customWidth="1"/>
    <col min="8938" max="8941" width="12.81640625" style="277" bestFit="1" customWidth="1"/>
    <col min="8942" max="8943" width="11.26953125" style="277" bestFit="1" customWidth="1"/>
    <col min="8944" max="8945" width="10.81640625" style="277" bestFit="1" customWidth="1"/>
    <col min="8946" max="8946" width="9.81640625" style="277" bestFit="1" customWidth="1"/>
    <col min="8947" max="8947" width="10" style="277" bestFit="1" customWidth="1"/>
    <col min="8948" max="8948" width="11" style="277" bestFit="1" customWidth="1"/>
    <col min="8949" max="8949" width="10" style="277" bestFit="1" customWidth="1"/>
    <col min="8950" max="8953" width="9.1796875" style="277"/>
    <col min="8954" max="8955" width="10" style="277" bestFit="1" customWidth="1"/>
    <col min="8956" max="8958" width="11" style="277" bestFit="1" customWidth="1"/>
    <col min="8959" max="8959" width="10" style="277" bestFit="1" customWidth="1"/>
    <col min="8960" max="8961" width="9.1796875" style="277"/>
    <col min="8962" max="8962" width="10.81640625" style="277" bestFit="1" customWidth="1"/>
    <col min="8963" max="8963" width="11" style="277" bestFit="1" customWidth="1"/>
    <col min="8964" max="8967" width="9.1796875" style="277"/>
    <col min="8968" max="8968" width="10.81640625" style="277" bestFit="1" customWidth="1"/>
    <col min="8969" max="8969" width="11" style="277" bestFit="1" customWidth="1"/>
    <col min="8970" max="8971" width="9.1796875" style="277"/>
    <col min="8972" max="8973" width="10" style="277" bestFit="1" customWidth="1"/>
    <col min="8974" max="9181" width="9.1796875" style="277"/>
    <col min="9182" max="9182" width="16.453125" style="277" customWidth="1"/>
    <col min="9183" max="9183" width="34.7265625" style="277" bestFit="1" customWidth="1"/>
    <col min="9184" max="9184" width="12.26953125" style="277" customWidth="1"/>
    <col min="9185" max="9188" width="0" style="277" hidden="1" customWidth="1"/>
    <col min="9189" max="9190" width="11.7265625" style="277" bestFit="1" customWidth="1"/>
    <col min="9191" max="9191" width="0" style="277" hidden="1" customWidth="1"/>
    <col min="9192" max="9193" width="11.26953125" style="277" bestFit="1" customWidth="1"/>
    <col min="9194" max="9197" width="12.81640625" style="277" bestFit="1" customWidth="1"/>
    <col min="9198" max="9199" width="11.26953125" style="277" bestFit="1" customWidth="1"/>
    <col min="9200" max="9201" width="10.81640625" style="277" bestFit="1" customWidth="1"/>
    <col min="9202" max="9202" width="9.81640625" style="277" bestFit="1" customWidth="1"/>
    <col min="9203" max="9203" width="10" style="277" bestFit="1" customWidth="1"/>
    <col min="9204" max="9204" width="11" style="277" bestFit="1" customWidth="1"/>
    <col min="9205" max="9205" width="10" style="277" bestFit="1" customWidth="1"/>
    <col min="9206" max="9209" width="9.1796875" style="277"/>
    <col min="9210" max="9211" width="10" style="277" bestFit="1" customWidth="1"/>
    <col min="9212" max="9214" width="11" style="277" bestFit="1" customWidth="1"/>
    <col min="9215" max="9215" width="10" style="277" bestFit="1" customWidth="1"/>
    <col min="9216" max="9217" width="9.1796875" style="277"/>
    <col min="9218" max="9218" width="10.81640625" style="277" bestFit="1" customWidth="1"/>
    <col min="9219" max="9219" width="11" style="277" bestFit="1" customWidth="1"/>
    <col min="9220" max="9223" width="9.1796875" style="277"/>
    <col min="9224" max="9224" width="10.81640625" style="277" bestFit="1" customWidth="1"/>
    <col min="9225" max="9225" width="11" style="277" bestFit="1" customWidth="1"/>
    <col min="9226" max="9227" width="9.1796875" style="277"/>
    <col min="9228" max="9229" width="10" style="277" bestFit="1" customWidth="1"/>
    <col min="9230" max="9437" width="9.1796875" style="277"/>
    <col min="9438" max="9438" width="16.453125" style="277" customWidth="1"/>
    <col min="9439" max="9439" width="34.7265625" style="277" bestFit="1" customWidth="1"/>
    <col min="9440" max="9440" width="12.26953125" style="277" customWidth="1"/>
    <col min="9441" max="9444" width="0" style="277" hidden="1" customWidth="1"/>
    <col min="9445" max="9446" width="11.7265625" style="277" bestFit="1" customWidth="1"/>
    <col min="9447" max="9447" width="0" style="277" hidden="1" customWidth="1"/>
    <col min="9448" max="9449" width="11.26953125" style="277" bestFit="1" customWidth="1"/>
    <col min="9450" max="9453" width="12.81640625" style="277" bestFit="1" customWidth="1"/>
    <col min="9454" max="9455" width="11.26953125" style="277" bestFit="1" customWidth="1"/>
    <col min="9456" max="9457" width="10.81640625" style="277" bestFit="1" customWidth="1"/>
    <col min="9458" max="9458" width="9.81640625" style="277" bestFit="1" customWidth="1"/>
    <col min="9459" max="9459" width="10" style="277" bestFit="1" customWidth="1"/>
    <col min="9460" max="9460" width="11" style="277" bestFit="1" customWidth="1"/>
    <col min="9461" max="9461" width="10" style="277" bestFit="1" customWidth="1"/>
    <col min="9462" max="9465" width="9.1796875" style="277"/>
    <col min="9466" max="9467" width="10" style="277" bestFit="1" customWidth="1"/>
    <col min="9468" max="9470" width="11" style="277" bestFit="1" customWidth="1"/>
    <col min="9471" max="9471" width="10" style="277" bestFit="1" customWidth="1"/>
    <col min="9472" max="9473" width="9.1796875" style="277"/>
    <col min="9474" max="9474" width="10.81640625" style="277" bestFit="1" customWidth="1"/>
    <col min="9475" max="9475" width="11" style="277" bestFit="1" customWidth="1"/>
    <col min="9476" max="9479" width="9.1796875" style="277"/>
    <col min="9480" max="9480" width="10.81640625" style="277" bestFit="1" customWidth="1"/>
    <col min="9481" max="9481" width="11" style="277" bestFit="1" customWidth="1"/>
    <col min="9482" max="9483" width="9.1796875" style="277"/>
    <col min="9484" max="9485" width="10" style="277" bestFit="1" customWidth="1"/>
    <col min="9486" max="9693" width="9.1796875" style="277"/>
    <col min="9694" max="9694" width="16.453125" style="277" customWidth="1"/>
    <col min="9695" max="9695" width="34.7265625" style="277" bestFit="1" customWidth="1"/>
    <col min="9696" max="9696" width="12.26953125" style="277" customWidth="1"/>
    <col min="9697" max="9700" width="0" style="277" hidden="1" customWidth="1"/>
    <col min="9701" max="9702" width="11.7265625" style="277" bestFit="1" customWidth="1"/>
    <col min="9703" max="9703" width="0" style="277" hidden="1" customWidth="1"/>
    <col min="9704" max="9705" width="11.26953125" style="277" bestFit="1" customWidth="1"/>
    <col min="9706" max="9709" width="12.81640625" style="277" bestFit="1" customWidth="1"/>
    <col min="9710" max="9711" width="11.26953125" style="277" bestFit="1" customWidth="1"/>
    <col min="9712" max="9713" width="10.81640625" style="277" bestFit="1" customWidth="1"/>
    <col min="9714" max="9714" width="9.81640625" style="277" bestFit="1" customWidth="1"/>
    <col min="9715" max="9715" width="10" style="277" bestFit="1" customWidth="1"/>
    <col min="9716" max="9716" width="11" style="277" bestFit="1" customWidth="1"/>
    <col min="9717" max="9717" width="10" style="277" bestFit="1" customWidth="1"/>
    <col min="9718" max="9721" width="9.1796875" style="277"/>
    <col min="9722" max="9723" width="10" style="277" bestFit="1" customWidth="1"/>
    <col min="9724" max="9726" width="11" style="277" bestFit="1" customWidth="1"/>
    <col min="9727" max="9727" width="10" style="277" bestFit="1" customWidth="1"/>
    <col min="9728" max="9729" width="9.1796875" style="277"/>
    <col min="9730" max="9730" width="10.81640625" style="277" bestFit="1" customWidth="1"/>
    <col min="9731" max="9731" width="11" style="277" bestFit="1" customWidth="1"/>
    <col min="9732" max="9735" width="9.1796875" style="277"/>
    <col min="9736" max="9736" width="10.81640625" style="277" bestFit="1" customWidth="1"/>
    <col min="9737" max="9737" width="11" style="277" bestFit="1" customWidth="1"/>
    <col min="9738" max="9739" width="9.1796875" style="277"/>
    <col min="9740" max="9741" width="10" style="277" bestFit="1" customWidth="1"/>
    <col min="9742" max="9949" width="9.1796875" style="277"/>
    <col min="9950" max="9950" width="16.453125" style="277" customWidth="1"/>
    <col min="9951" max="9951" width="34.7265625" style="277" bestFit="1" customWidth="1"/>
    <col min="9952" max="9952" width="12.26953125" style="277" customWidth="1"/>
    <col min="9953" max="9956" width="0" style="277" hidden="1" customWidth="1"/>
    <col min="9957" max="9958" width="11.7265625" style="277" bestFit="1" customWidth="1"/>
    <col min="9959" max="9959" width="0" style="277" hidden="1" customWidth="1"/>
    <col min="9960" max="9961" width="11.26953125" style="277" bestFit="1" customWidth="1"/>
    <col min="9962" max="9965" width="12.81640625" style="277" bestFit="1" customWidth="1"/>
    <col min="9966" max="9967" width="11.26953125" style="277" bestFit="1" customWidth="1"/>
    <col min="9968" max="9969" width="10.81640625" style="277" bestFit="1" customWidth="1"/>
    <col min="9970" max="9970" width="9.81640625" style="277" bestFit="1" customWidth="1"/>
    <col min="9971" max="9971" width="10" style="277" bestFit="1" customWidth="1"/>
    <col min="9972" max="9972" width="11" style="277" bestFit="1" customWidth="1"/>
    <col min="9973" max="9973" width="10" style="277" bestFit="1" customWidth="1"/>
    <col min="9974" max="9977" width="9.1796875" style="277"/>
    <col min="9978" max="9979" width="10" style="277" bestFit="1" customWidth="1"/>
    <col min="9980" max="9982" width="11" style="277" bestFit="1" customWidth="1"/>
    <col min="9983" max="9983" width="10" style="277" bestFit="1" customWidth="1"/>
    <col min="9984" max="9985" width="9.1796875" style="277"/>
    <col min="9986" max="9986" width="10.81640625" style="277" bestFit="1" customWidth="1"/>
    <col min="9987" max="9987" width="11" style="277" bestFit="1" customWidth="1"/>
    <col min="9988" max="9991" width="9.1796875" style="277"/>
    <col min="9992" max="9992" width="10.81640625" style="277" bestFit="1" customWidth="1"/>
    <col min="9993" max="9993" width="11" style="277" bestFit="1" customWidth="1"/>
    <col min="9994" max="9995" width="9.1796875" style="277"/>
    <col min="9996" max="9997" width="10" style="277" bestFit="1" customWidth="1"/>
    <col min="9998" max="10205" width="9.1796875" style="277"/>
    <col min="10206" max="10206" width="16.453125" style="277" customWidth="1"/>
    <col min="10207" max="10207" width="34.7265625" style="277" bestFit="1" customWidth="1"/>
    <col min="10208" max="10208" width="12.26953125" style="277" customWidth="1"/>
    <col min="10209" max="10212" width="0" style="277" hidden="1" customWidth="1"/>
    <col min="10213" max="10214" width="11.7265625" style="277" bestFit="1" customWidth="1"/>
    <col min="10215" max="10215" width="0" style="277" hidden="1" customWidth="1"/>
    <col min="10216" max="10217" width="11.26953125" style="277" bestFit="1" customWidth="1"/>
    <col min="10218" max="10221" width="12.81640625" style="277" bestFit="1" customWidth="1"/>
    <col min="10222" max="10223" width="11.26953125" style="277" bestFit="1" customWidth="1"/>
    <col min="10224" max="10225" width="10.81640625" style="277" bestFit="1" customWidth="1"/>
    <col min="10226" max="10226" width="9.81640625" style="277" bestFit="1" customWidth="1"/>
    <col min="10227" max="10227" width="10" style="277" bestFit="1" customWidth="1"/>
    <col min="10228" max="10228" width="11" style="277" bestFit="1" customWidth="1"/>
    <col min="10229" max="10229" width="10" style="277" bestFit="1" customWidth="1"/>
    <col min="10230" max="10233" width="9.1796875" style="277"/>
    <col min="10234" max="10235" width="10" style="277" bestFit="1" customWidth="1"/>
    <col min="10236" max="10238" width="11" style="277" bestFit="1" customWidth="1"/>
    <col min="10239" max="10239" width="10" style="277" bestFit="1" customWidth="1"/>
    <col min="10240" max="10241" width="9.1796875" style="277"/>
    <col min="10242" max="10242" width="10.81640625" style="277" bestFit="1" customWidth="1"/>
    <col min="10243" max="10243" width="11" style="277" bestFit="1" customWidth="1"/>
    <col min="10244" max="10247" width="9.1796875" style="277"/>
    <col min="10248" max="10248" width="10.81640625" style="277" bestFit="1" customWidth="1"/>
    <col min="10249" max="10249" width="11" style="277" bestFit="1" customWidth="1"/>
    <col min="10250" max="10251" width="9.1796875" style="277"/>
    <col min="10252" max="10253" width="10" style="277" bestFit="1" customWidth="1"/>
    <col min="10254" max="10461" width="9.1796875" style="277"/>
    <col min="10462" max="10462" width="16.453125" style="277" customWidth="1"/>
    <col min="10463" max="10463" width="34.7265625" style="277" bestFit="1" customWidth="1"/>
    <col min="10464" max="10464" width="12.26953125" style="277" customWidth="1"/>
    <col min="10465" max="10468" width="0" style="277" hidden="1" customWidth="1"/>
    <col min="10469" max="10470" width="11.7265625" style="277" bestFit="1" customWidth="1"/>
    <col min="10471" max="10471" width="0" style="277" hidden="1" customWidth="1"/>
    <col min="10472" max="10473" width="11.26953125" style="277" bestFit="1" customWidth="1"/>
    <col min="10474" max="10477" width="12.81640625" style="277" bestFit="1" customWidth="1"/>
    <col min="10478" max="10479" width="11.26953125" style="277" bestFit="1" customWidth="1"/>
    <col min="10480" max="10481" width="10.81640625" style="277" bestFit="1" customWidth="1"/>
    <col min="10482" max="10482" width="9.81640625" style="277" bestFit="1" customWidth="1"/>
    <col min="10483" max="10483" width="10" style="277" bestFit="1" customWidth="1"/>
    <col min="10484" max="10484" width="11" style="277" bestFit="1" customWidth="1"/>
    <col min="10485" max="10485" width="10" style="277" bestFit="1" customWidth="1"/>
    <col min="10486" max="10489" width="9.1796875" style="277"/>
    <col min="10490" max="10491" width="10" style="277" bestFit="1" customWidth="1"/>
    <col min="10492" max="10494" width="11" style="277" bestFit="1" customWidth="1"/>
    <col min="10495" max="10495" width="10" style="277" bestFit="1" customWidth="1"/>
    <col min="10496" max="10497" width="9.1796875" style="277"/>
    <col min="10498" max="10498" width="10.81640625" style="277" bestFit="1" customWidth="1"/>
    <col min="10499" max="10499" width="11" style="277" bestFit="1" customWidth="1"/>
    <col min="10500" max="10503" width="9.1796875" style="277"/>
    <col min="10504" max="10504" width="10.81640625" style="277" bestFit="1" customWidth="1"/>
    <col min="10505" max="10505" width="11" style="277" bestFit="1" customWidth="1"/>
    <col min="10506" max="10507" width="9.1796875" style="277"/>
    <col min="10508" max="10509" width="10" style="277" bestFit="1" customWidth="1"/>
    <col min="10510" max="10717" width="9.1796875" style="277"/>
    <col min="10718" max="10718" width="16.453125" style="277" customWidth="1"/>
    <col min="10719" max="10719" width="34.7265625" style="277" bestFit="1" customWidth="1"/>
    <col min="10720" max="10720" width="12.26953125" style="277" customWidth="1"/>
    <col min="10721" max="10724" width="0" style="277" hidden="1" customWidth="1"/>
    <col min="10725" max="10726" width="11.7265625" style="277" bestFit="1" customWidth="1"/>
    <col min="10727" max="10727" width="0" style="277" hidden="1" customWidth="1"/>
    <col min="10728" max="10729" width="11.26953125" style="277" bestFit="1" customWidth="1"/>
    <col min="10730" max="10733" width="12.81640625" style="277" bestFit="1" customWidth="1"/>
    <col min="10734" max="10735" width="11.26953125" style="277" bestFit="1" customWidth="1"/>
    <col min="10736" max="10737" width="10.81640625" style="277" bestFit="1" customWidth="1"/>
    <col min="10738" max="10738" width="9.81640625" style="277" bestFit="1" customWidth="1"/>
    <col min="10739" max="10739" width="10" style="277" bestFit="1" customWidth="1"/>
    <col min="10740" max="10740" width="11" style="277" bestFit="1" customWidth="1"/>
    <col min="10741" max="10741" width="10" style="277" bestFit="1" customWidth="1"/>
    <col min="10742" max="10745" width="9.1796875" style="277"/>
    <col min="10746" max="10747" width="10" style="277" bestFit="1" customWidth="1"/>
    <col min="10748" max="10750" width="11" style="277" bestFit="1" customWidth="1"/>
    <col min="10751" max="10751" width="10" style="277" bestFit="1" customWidth="1"/>
    <col min="10752" max="10753" width="9.1796875" style="277"/>
    <col min="10754" max="10754" width="10.81640625" style="277" bestFit="1" customWidth="1"/>
    <col min="10755" max="10755" width="11" style="277" bestFit="1" customWidth="1"/>
    <col min="10756" max="10759" width="9.1796875" style="277"/>
    <col min="10760" max="10760" width="10.81640625" style="277" bestFit="1" customWidth="1"/>
    <col min="10761" max="10761" width="11" style="277" bestFit="1" customWidth="1"/>
    <col min="10762" max="10763" width="9.1796875" style="277"/>
    <col min="10764" max="10765" width="10" style="277" bestFit="1" customWidth="1"/>
    <col min="10766" max="10973" width="9.1796875" style="277"/>
    <col min="10974" max="10974" width="16.453125" style="277" customWidth="1"/>
    <col min="10975" max="10975" width="34.7265625" style="277" bestFit="1" customWidth="1"/>
    <col min="10976" max="10976" width="12.26953125" style="277" customWidth="1"/>
    <col min="10977" max="10980" width="0" style="277" hidden="1" customWidth="1"/>
    <col min="10981" max="10982" width="11.7265625" style="277" bestFit="1" customWidth="1"/>
    <col min="10983" max="10983" width="0" style="277" hidden="1" customWidth="1"/>
    <col min="10984" max="10985" width="11.26953125" style="277" bestFit="1" customWidth="1"/>
    <col min="10986" max="10989" width="12.81640625" style="277" bestFit="1" customWidth="1"/>
    <col min="10990" max="10991" width="11.26953125" style="277" bestFit="1" customWidth="1"/>
    <col min="10992" max="10993" width="10.81640625" style="277" bestFit="1" customWidth="1"/>
    <col min="10994" max="10994" width="9.81640625" style="277" bestFit="1" customWidth="1"/>
    <col min="10995" max="10995" width="10" style="277" bestFit="1" customWidth="1"/>
    <col min="10996" max="10996" width="11" style="277" bestFit="1" customWidth="1"/>
    <col min="10997" max="10997" width="10" style="277" bestFit="1" customWidth="1"/>
    <col min="10998" max="11001" width="9.1796875" style="277"/>
    <col min="11002" max="11003" width="10" style="277" bestFit="1" customWidth="1"/>
    <col min="11004" max="11006" width="11" style="277" bestFit="1" customWidth="1"/>
    <col min="11007" max="11007" width="10" style="277" bestFit="1" customWidth="1"/>
    <col min="11008" max="11009" width="9.1796875" style="277"/>
    <col min="11010" max="11010" width="10.81640625" style="277" bestFit="1" customWidth="1"/>
    <col min="11011" max="11011" width="11" style="277" bestFit="1" customWidth="1"/>
    <col min="11012" max="11015" width="9.1796875" style="277"/>
    <col min="11016" max="11016" width="10.81640625" style="277" bestFit="1" customWidth="1"/>
    <col min="11017" max="11017" width="11" style="277" bestFit="1" customWidth="1"/>
    <col min="11018" max="11019" width="9.1796875" style="277"/>
    <col min="11020" max="11021" width="10" style="277" bestFit="1" customWidth="1"/>
    <col min="11022" max="11229" width="9.1796875" style="277"/>
    <col min="11230" max="11230" width="16.453125" style="277" customWidth="1"/>
    <col min="11231" max="11231" width="34.7265625" style="277" bestFit="1" customWidth="1"/>
    <col min="11232" max="11232" width="12.26953125" style="277" customWidth="1"/>
    <col min="11233" max="11236" width="0" style="277" hidden="1" customWidth="1"/>
    <col min="11237" max="11238" width="11.7265625" style="277" bestFit="1" customWidth="1"/>
    <col min="11239" max="11239" width="0" style="277" hidden="1" customWidth="1"/>
    <col min="11240" max="11241" width="11.26953125" style="277" bestFit="1" customWidth="1"/>
    <col min="11242" max="11245" width="12.81640625" style="277" bestFit="1" customWidth="1"/>
    <col min="11246" max="11247" width="11.26953125" style="277" bestFit="1" customWidth="1"/>
    <col min="11248" max="11249" width="10.81640625" style="277" bestFit="1" customWidth="1"/>
    <col min="11250" max="11250" width="9.81640625" style="277" bestFit="1" customWidth="1"/>
    <col min="11251" max="11251" width="10" style="277" bestFit="1" customWidth="1"/>
    <col min="11252" max="11252" width="11" style="277" bestFit="1" customWidth="1"/>
    <col min="11253" max="11253" width="10" style="277" bestFit="1" customWidth="1"/>
    <col min="11254" max="11257" width="9.1796875" style="277"/>
    <col min="11258" max="11259" width="10" style="277" bestFit="1" customWidth="1"/>
    <col min="11260" max="11262" width="11" style="277" bestFit="1" customWidth="1"/>
    <col min="11263" max="11263" width="10" style="277" bestFit="1" customWidth="1"/>
    <col min="11264" max="11265" width="9.1796875" style="277"/>
    <col min="11266" max="11266" width="10.81640625" style="277" bestFit="1" customWidth="1"/>
    <col min="11267" max="11267" width="11" style="277" bestFit="1" customWidth="1"/>
    <col min="11268" max="11271" width="9.1796875" style="277"/>
    <col min="11272" max="11272" width="10.81640625" style="277" bestFit="1" customWidth="1"/>
    <col min="11273" max="11273" width="11" style="277" bestFit="1" customWidth="1"/>
    <col min="11274" max="11275" width="9.1796875" style="277"/>
    <col min="11276" max="11277" width="10" style="277" bestFit="1" customWidth="1"/>
    <col min="11278" max="11485" width="9.1796875" style="277"/>
    <col min="11486" max="11486" width="16.453125" style="277" customWidth="1"/>
    <col min="11487" max="11487" width="34.7265625" style="277" bestFit="1" customWidth="1"/>
    <col min="11488" max="11488" width="12.26953125" style="277" customWidth="1"/>
    <col min="11489" max="11492" width="0" style="277" hidden="1" customWidth="1"/>
    <col min="11493" max="11494" width="11.7265625" style="277" bestFit="1" customWidth="1"/>
    <col min="11495" max="11495" width="0" style="277" hidden="1" customWidth="1"/>
    <col min="11496" max="11497" width="11.26953125" style="277" bestFit="1" customWidth="1"/>
    <col min="11498" max="11501" width="12.81640625" style="277" bestFit="1" customWidth="1"/>
    <col min="11502" max="11503" width="11.26953125" style="277" bestFit="1" customWidth="1"/>
    <col min="11504" max="11505" width="10.81640625" style="277" bestFit="1" customWidth="1"/>
    <col min="11506" max="11506" width="9.81640625" style="277" bestFit="1" customWidth="1"/>
    <col min="11507" max="11507" width="10" style="277" bestFit="1" customWidth="1"/>
    <col min="11508" max="11508" width="11" style="277" bestFit="1" customWidth="1"/>
    <col min="11509" max="11509" width="10" style="277" bestFit="1" customWidth="1"/>
    <col min="11510" max="11513" width="9.1796875" style="277"/>
    <col min="11514" max="11515" width="10" style="277" bestFit="1" customWidth="1"/>
    <col min="11516" max="11518" width="11" style="277" bestFit="1" customWidth="1"/>
    <col min="11519" max="11519" width="10" style="277" bestFit="1" customWidth="1"/>
    <col min="11520" max="11521" width="9.1796875" style="277"/>
    <col min="11522" max="11522" width="10.81640625" style="277" bestFit="1" customWidth="1"/>
    <col min="11523" max="11523" width="11" style="277" bestFit="1" customWidth="1"/>
    <col min="11524" max="11527" width="9.1796875" style="277"/>
    <col min="11528" max="11528" width="10.81640625" style="277" bestFit="1" customWidth="1"/>
    <col min="11529" max="11529" width="11" style="277" bestFit="1" customWidth="1"/>
    <col min="11530" max="11531" width="9.1796875" style="277"/>
    <col min="11532" max="11533" width="10" style="277" bestFit="1" customWidth="1"/>
    <col min="11534" max="11741" width="9.1796875" style="277"/>
    <col min="11742" max="11742" width="16.453125" style="277" customWidth="1"/>
    <col min="11743" max="11743" width="34.7265625" style="277" bestFit="1" customWidth="1"/>
    <col min="11744" max="11744" width="12.26953125" style="277" customWidth="1"/>
    <col min="11745" max="11748" width="0" style="277" hidden="1" customWidth="1"/>
    <col min="11749" max="11750" width="11.7265625" style="277" bestFit="1" customWidth="1"/>
    <col min="11751" max="11751" width="0" style="277" hidden="1" customWidth="1"/>
    <col min="11752" max="11753" width="11.26953125" style="277" bestFit="1" customWidth="1"/>
    <col min="11754" max="11757" width="12.81640625" style="277" bestFit="1" customWidth="1"/>
    <col min="11758" max="11759" width="11.26953125" style="277" bestFit="1" customWidth="1"/>
    <col min="11760" max="11761" width="10.81640625" style="277" bestFit="1" customWidth="1"/>
    <col min="11762" max="11762" width="9.81640625" style="277" bestFit="1" customWidth="1"/>
    <col min="11763" max="11763" width="10" style="277" bestFit="1" customWidth="1"/>
    <col min="11764" max="11764" width="11" style="277" bestFit="1" customWidth="1"/>
    <col min="11765" max="11765" width="10" style="277" bestFit="1" customWidth="1"/>
    <col min="11766" max="11769" width="9.1796875" style="277"/>
    <col min="11770" max="11771" width="10" style="277" bestFit="1" customWidth="1"/>
    <col min="11772" max="11774" width="11" style="277" bestFit="1" customWidth="1"/>
    <col min="11775" max="11775" width="10" style="277" bestFit="1" customWidth="1"/>
    <col min="11776" max="11777" width="9.1796875" style="277"/>
    <col min="11778" max="11778" width="10.81640625" style="277" bestFit="1" customWidth="1"/>
    <col min="11779" max="11779" width="11" style="277" bestFit="1" customWidth="1"/>
    <col min="11780" max="11783" width="9.1796875" style="277"/>
    <col min="11784" max="11784" width="10.81640625" style="277" bestFit="1" customWidth="1"/>
    <col min="11785" max="11785" width="11" style="277" bestFit="1" customWidth="1"/>
    <col min="11786" max="11787" width="9.1796875" style="277"/>
    <col min="11788" max="11789" width="10" style="277" bestFit="1" customWidth="1"/>
    <col min="11790" max="11997" width="9.1796875" style="277"/>
    <col min="11998" max="11998" width="16.453125" style="277" customWidth="1"/>
    <col min="11999" max="11999" width="34.7265625" style="277" bestFit="1" customWidth="1"/>
    <col min="12000" max="12000" width="12.26953125" style="277" customWidth="1"/>
    <col min="12001" max="12004" width="0" style="277" hidden="1" customWidth="1"/>
    <col min="12005" max="12006" width="11.7265625" style="277" bestFit="1" customWidth="1"/>
    <col min="12007" max="12007" width="0" style="277" hidden="1" customWidth="1"/>
    <col min="12008" max="12009" width="11.26953125" style="277" bestFit="1" customWidth="1"/>
    <col min="12010" max="12013" width="12.81640625" style="277" bestFit="1" customWidth="1"/>
    <col min="12014" max="12015" width="11.26953125" style="277" bestFit="1" customWidth="1"/>
    <col min="12016" max="12017" width="10.81640625" style="277" bestFit="1" customWidth="1"/>
    <col min="12018" max="12018" width="9.81640625" style="277" bestFit="1" customWidth="1"/>
    <col min="12019" max="12019" width="10" style="277" bestFit="1" customWidth="1"/>
    <col min="12020" max="12020" width="11" style="277" bestFit="1" customWidth="1"/>
    <col min="12021" max="12021" width="10" style="277" bestFit="1" customWidth="1"/>
    <col min="12022" max="12025" width="9.1796875" style="277"/>
    <col min="12026" max="12027" width="10" style="277" bestFit="1" customWidth="1"/>
    <col min="12028" max="12030" width="11" style="277" bestFit="1" customWidth="1"/>
    <col min="12031" max="12031" width="10" style="277" bestFit="1" customWidth="1"/>
    <col min="12032" max="12033" width="9.1796875" style="277"/>
    <col min="12034" max="12034" width="10.81640625" style="277" bestFit="1" customWidth="1"/>
    <col min="12035" max="12035" width="11" style="277" bestFit="1" customWidth="1"/>
    <col min="12036" max="12039" width="9.1796875" style="277"/>
    <col min="12040" max="12040" width="10.81640625" style="277" bestFit="1" customWidth="1"/>
    <col min="12041" max="12041" width="11" style="277" bestFit="1" customWidth="1"/>
    <col min="12042" max="12043" width="9.1796875" style="277"/>
    <col min="12044" max="12045" width="10" style="277" bestFit="1" customWidth="1"/>
    <col min="12046" max="12253" width="9.1796875" style="277"/>
    <col min="12254" max="12254" width="16.453125" style="277" customWidth="1"/>
    <col min="12255" max="12255" width="34.7265625" style="277" bestFit="1" customWidth="1"/>
    <col min="12256" max="12256" width="12.26953125" style="277" customWidth="1"/>
    <col min="12257" max="12260" width="0" style="277" hidden="1" customWidth="1"/>
    <col min="12261" max="12262" width="11.7265625" style="277" bestFit="1" customWidth="1"/>
    <col min="12263" max="12263" width="0" style="277" hidden="1" customWidth="1"/>
    <col min="12264" max="12265" width="11.26953125" style="277" bestFit="1" customWidth="1"/>
    <col min="12266" max="12269" width="12.81640625" style="277" bestFit="1" customWidth="1"/>
    <col min="12270" max="12271" width="11.26953125" style="277" bestFit="1" customWidth="1"/>
    <col min="12272" max="12273" width="10.81640625" style="277" bestFit="1" customWidth="1"/>
    <col min="12274" max="12274" width="9.81640625" style="277" bestFit="1" customWidth="1"/>
    <col min="12275" max="12275" width="10" style="277" bestFit="1" customWidth="1"/>
    <col min="12276" max="12276" width="11" style="277" bestFit="1" customWidth="1"/>
    <col min="12277" max="12277" width="10" style="277" bestFit="1" customWidth="1"/>
    <col min="12278" max="12281" width="9.1796875" style="277"/>
    <col min="12282" max="12283" width="10" style="277" bestFit="1" customWidth="1"/>
    <col min="12284" max="12286" width="11" style="277" bestFit="1" customWidth="1"/>
    <col min="12287" max="12287" width="10" style="277" bestFit="1" customWidth="1"/>
    <col min="12288" max="12289" width="9.1796875" style="277"/>
    <col min="12290" max="12290" width="10.81640625" style="277" bestFit="1" customWidth="1"/>
    <col min="12291" max="12291" width="11" style="277" bestFit="1" customWidth="1"/>
    <col min="12292" max="12295" width="9.1796875" style="277"/>
    <col min="12296" max="12296" width="10.81640625" style="277" bestFit="1" customWidth="1"/>
    <col min="12297" max="12297" width="11" style="277" bestFit="1" customWidth="1"/>
    <col min="12298" max="12299" width="9.1796875" style="277"/>
    <col min="12300" max="12301" width="10" style="277" bestFit="1" customWidth="1"/>
    <col min="12302" max="12509" width="9.1796875" style="277"/>
    <col min="12510" max="12510" width="16.453125" style="277" customWidth="1"/>
    <col min="12511" max="12511" width="34.7265625" style="277" bestFit="1" customWidth="1"/>
    <col min="12512" max="12512" width="12.26953125" style="277" customWidth="1"/>
    <col min="12513" max="12516" width="0" style="277" hidden="1" customWidth="1"/>
    <col min="12517" max="12518" width="11.7265625" style="277" bestFit="1" customWidth="1"/>
    <col min="12519" max="12519" width="0" style="277" hidden="1" customWidth="1"/>
    <col min="12520" max="12521" width="11.26953125" style="277" bestFit="1" customWidth="1"/>
    <col min="12522" max="12525" width="12.81640625" style="277" bestFit="1" customWidth="1"/>
    <col min="12526" max="12527" width="11.26953125" style="277" bestFit="1" customWidth="1"/>
    <col min="12528" max="12529" width="10.81640625" style="277" bestFit="1" customWidth="1"/>
    <col min="12530" max="12530" width="9.81640625" style="277" bestFit="1" customWidth="1"/>
    <col min="12531" max="12531" width="10" style="277" bestFit="1" customWidth="1"/>
    <col min="12532" max="12532" width="11" style="277" bestFit="1" customWidth="1"/>
    <col min="12533" max="12533" width="10" style="277" bestFit="1" customWidth="1"/>
    <col min="12534" max="12537" width="9.1796875" style="277"/>
    <col min="12538" max="12539" width="10" style="277" bestFit="1" customWidth="1"/>
    <col min="12540" max="12542" width="11" style="277" bestFit="1" customWidth="1"/>
    <col min="12543" max="12543" width="10" style="277" bestFit="1" customWidth="1"/>
    <col min="12544" max="12545" width="9.1796875" style="277"/>
    <col min="12546" max="12546" width="10.81640625" style="277" bestFit="1" customWidth="1"/>
    <col min="12547" max="12547" width="11" style="277" bestFit="1" customWidth="1"/>
    <col min="12548" max="12551" width="9.1796875" style="277"/>
    <col min="12552" max="12552" width="10.81640625" style="277" bestFit="1" customWidth="1"/>
    <col min="12553" max="12553" width="11" style="277" bestFit="1" customWidth="1"/>
    <col min="12554" max="12555" width="9.1796875" style="277"/>
    <col min="12556" max="12557" width="10" style="277" bestFit="1" customWidth="1"/>
    <col min="12558" max="12765" width="9.1796875" style="277"/>
    <col min="12766" max="12766" width="16.453125" style="277" customWidth="1"/>
    <col min="12767" max="12767" width="34.7265625" style="277" bestFit="1" customWidth="1"/>
    <col min="12768" max="12768" width="12.26953125" style="277" customWidth="1"/>
    <col min="12769" max="12772" width="0" style="277" hidden="1" customWidth="1"/>
    <col min="12773" max="12774" width="11.7265625" style="277" bestFit="1" customWidth="1"/>
    <col min="12775" max="12775" width="0" style="277" hidden="1" customWidth="1"/>
    <col min="12776" max="12777" width="11.26953125" style="277" bestFit="1" customWidth="1"/>
    <col min="12778" max="12781" width="12.81640625" style="277" bestFit="1" customWidth="1"/>
    <col min="12782" max="12783" width="11.26953125" style="277" bestFit="1" customWidth="1"/>
    <col min="12784" max="12785" width="10.81640625" style="277" bestFit="1" customWidth="1"/>
    <col min="12786" max="12786" width="9.81640625" style="277" bestFit="1" customWidth="1"/>
    <col min="12787" max="12787" width="10" style="277" bestFit="1" customWidth="1"/>
    <col min="12788" max="12788" width="11" style="277" bestFit="1" customWidth="1"/>
    <col min="12789" max="12789" width="10" style="277" bestFit="1" customWidth="1"/>
    <col min="12790" max="12793" width="9.1796875" style="277"/>
    <col min="12794" max="12795" width="10" style="277" bestFit="1" customWidth="1"/>
    <col min="12796" max="12798" width="11" style="277" bestFit="1" customWidth="1"/>
    <col min="12799" max="12799" width="10" style="277" bestFit="1" customWidth="1"/>
    <col min="12800" max="12801" width="9.1796875" style="277"/>
    <col min="12802" max="12802" width="10.81640625" style="277" bestFit="1" customWidth="1"/>
    <col min="12803" max="12803" width="11" style="277" bestFit="1" customWidth="1"/>
    <col min="12804" max="12807" width="9.1796875" style="277"/>
    <col min="12808" max="12808" width="10.81640625" style="277" bestFit="1" customWidth="1"/>
    <col min="12809" max="12809" width="11" style="277" bestFit="1" customWidth="1"/>
    <col min="12810" max="12811" width="9.1796875" style="277"/>
    <col min="12812" max="12813" width="10" style="277" bestFit="1" customWidth="1"/>
    <col min="12814" max="13021" width="9.1796875" style="277"/>
    <col min="13022" max="13022" width="16.453125" style="277" customWidth="1"/>
    <col min="13023" max="13023" width="34.7265625" style="277" bestFit="1" customWidth="1"/>
    <col min="13024" max="13024" width="12.26953125" style="277" customWidth="1"/>
    <col min="13025" max="13028" width="0" style="277" hidden="1" customWidth="1"/>
    <col min="13029" max="13030" width="11.7265625" style="277" bestFit="1" customWidth="1"/>
    <col min="13031" max="13031" width="0" style="277" hidden="1" customWidth="1"/>
    <col min="13032" max="13033" width="11.26953125" style="277" bestFit="1" customWidth="1"/>
    <col min="13034" max="13037" width="12.81640625" style="277" bestFit="1" customWidth="1"/>
    <col min="13038" max="13039" width="11.26953125" style="277" bestFit="1" customWidth="1"/>
    <col min="13040" max="13041" width="10.81640625" style="277" bestFit="1" customWidth="1"/>
    <col min="13042" max="13042" width="9.81640625" style="277" bestFit="1" customWidth="1"/>
    <col min="13043" max="13043" width="10" style="277" bestFit="1" customWidth="1"/>
    <col min="13044" max="13044" width="11" style="277" bestFit="1" customWidth="1"/>
    <col min="13045" max="13045" width="10" style="277" bestFit="1" customWidth="1"/>
    <col min="13046" max="13049" width="9.1796875" style="277"/>
    <col min="13050" max="13051" width="10" style="277" bestFit="1" customWidth="1"/>
    <col min="13052" max="13054" width="11" style="277" bestFit="1" customWidth="1"/>
    <col min="13055" max="13055" width="10" style="277" bestFit="1" customWidth="1"/>
    <col min="13056" max="13057" width="9.1796875" style="277"/>
    <col min="13058" max="13058" width="10.81640625" style="277" bestFit="1" customWidth="1"/>
    <col min="13059" max="13059" width="11" style="277" bestFit="1" customWidth="1"/>
    <col min="13060" max="13063" width="9.1796875" style="277"/>
    <col min="13064" max="13064" width="10.81640625" style="277" bestFit="1" customWidth="1"/>
    <col min="13065" max="13065" width="11" style="277" bestFit="1" customWidth="1"/>
    <col min="13066" max="13067" width="9.1796875" style="277"/>
    <col min="13068" max="13069" width="10" style="277" bestFit="1" customWidth="1"/>
    <col min="13070" max="13277" width="9.1796875" style="277"/>
    <col min="13278" max="13278" width="16.453125" style="277" customWidth="1"/>
    <col min="13279" max="13279" width="34.7265625" style="277" bestFit="1" customWidth="1"/>
    <col min="13280" max="13280" width="12.26953125" style="277" customWidth="1"/>
    <col min="13281" max="13284" width="0" style="277" hidden="1" customWidth="1"/>
    <col min="13285" max="13286" width="11.7265625" style="277" bestFit="1" customWidth="1"/>
    <col min="13287" max="13287" width="0" style="277" hidden="1" customWidth="1"/>
    <col min="13288" max="13289" width="11.26953125" style="277" bestFit="1" customWidth="1"/>
    <col min="13290" max="13293" width="12.81640625" style="277" bestFit="1" customWidth="1"/>
    <col min="13294" max="13295" width="11.26953125" style="277" bestFit="1" customWidth="1"/>
    <col min="13296" max="13297" width="10.81640625" style="277" bestFit="1" customWidth="1"/>
    <col min="13298" max="13298" width="9.81640625" style="277" bestFit="1" customWidth="1"/>
    <col min="13299" max="13299" width="10" style="277" bestFit="1" customWidth="1"/>
    <col min="13300" max="13300" width="11" style="277" bestFit="1" customWidth="1"/>
    <col min="13301" max="13301" width="10" style="277" bestFit="1" customWidth="1"/>
    <col min="13302" max="13305" width="9.1796875" style="277"/>
    <col min="13306" max="13307" width="10" style="277" bestFit="1" customWidth="1"/>
    <col min="13308" max="13310" width="11" style="277" bestFit="1" customWidth="1"/>
    <col min="13311" max="13311" width="10" style="277" bestFit="1" customWidth="1"/>
    <col min="13312" max="13313" width="9.1796875" style="277"/>
    <col min="13314" max="13314" width="10.81640625" style="277" bestFit="1" customWidth="1"/>
    <col min="13315" max="13315" width="11" style="277" bestFit="1" customWidth="1"/>
    <col min="13316" max="13319" width="9.1796875" style="277"/>
    <col min="13320" max="13320" width="10.81640625" style="277" bestFit="1" customWidth="1"/>
    <col min="13321" max="13321" width="11" style="277" bestFit="1" customWidth="1"/>
    <col min="13322" max="13323" width="9.1796875" style="277"/>
    <col min="13324" max="13325" width="10" style="277" bestFit="1" customWidth="1"/>
    <col min="13326" max="13533" width="9.1796875" style="277"/>
    <col min="13534" max="13534" width="16.453125" style="277" customWidth="1"/>
    <col min="13535" max="13535" width="34.7265625" style="277" bestFit="1" customWidth="1"/>
    <col min="13536" max="13536" width="12.26953125" style="277" customWidth="1"/>
    <col min="13537" max="13540" width="0" style="277" hidden="1" customWidth="1"/>
    <col min="13541" max="13542" width="11.7265625" style="277" bestFit="1" customWidth="1"/>
    <col min="13543" max="13543" width="0" style="277" hidden="1" customWidth="1"/>
    <col min="13544" max="13545" width="11.26953125" style="277" bestFit="1" customWidth="1"/>
    <col min="13546" max="13549" width="12.81640625" style="277" bestFit="1" customWidth="1"/>
    <col min="13550" max="13551" width="11.26953125" style="277" bestFit="1" customWidth="1"/>
    <col min="13552" max="13553" width="10.81640625" style="277" bestFit="1" customWidth="1"/>
    <col min="13554" max="13554" width="9.81640625" style="277" bestFit="1" customWidth="1"/>
    <col min="13555" max="13555" width="10" style="277" bestFit="1" customWidth="1"/>
    <col min="13556" max="13556" width="11" style="277" bestFit="1" customWidth="1"/>
    <col min="13557" max="13557" width="10" style="277" bestFit="1" customWidth="1"/>
    <col min="13558" max="13561" width="9.1796875" style="277"/>
    <col min="13562" max="13563" width="10" style="277" bestFit="1" customWidth="1"/>
    <col min="13564" max="13566" width="11" style="277" bestFit="1" customWidth="1"/>
    <col min="13567" max="13567" width="10" style="277" bestFit="1" customWidth="1"/>
    <col min="13568" max="13569" width="9.1796875" style="277"/>
    <col min="13570" max="13570" width="10.81640625" style="277" bestFit="1" customWidth="1"/>
    <col min="13571" max="13571" width="11" style="277" bestFit="1" customWidth="1"/>
    <col min="13572" max="13575" width="9.1796875" style="277"/>
    <col min="13576" max="13576" width="10.81640625" style="277" bestFit="1" customWidth="1"/>
    <col min="13577" max="13577" width="11" style="277" bestFit="1" customWidth="1"/>
    <col min="13578" max="13579" width="9.1796875" style="277"/>
    <col min="13580" max="13581" width="10" style="277" bestFit="1" customWidth="1"/>
    <col min="13582" max="13789" width="9.1796875" style="277"/>
    <col min="13790" max="13790" width="16.453125" style="277" customWidth="1"/>
    <col min="13791" max="13791" width="34.7265625" style="277" bestFit="1" customWidth="1"/>
    <col min="13792" max="13792" width="12.26953125" style="277" customWidth="1"/>
    <col min="13793" max="13796" width="0" style="277" hidden="1" customWidth="1"/>
    <col min="13797" max="13798" width="11.7265625" style="277" bestFit="1" customWidth="1"/>
    <col min="13799" max="13799" width="0" style="277" hidden="1" customWidth="1"/>
    <col min="13800" max="13801" width="11.26953125" style="277" bestFit="1" customWidth="1"/>
    <col min="13802" max="13805" width="12.81640625" style="277" bestFit="1" customWidth="1"/>
    <col min="13806" max="13807" width="11.26953125" style="277" bestFit="1" customWidth="1"/>
    <col min="13808" max="13809" width="10.81640625" style="277" bestFit="1" customWidth="1"/>
    <col min="13810" max="13810" width="9.81640625" style="277" bestFit="1" customWidth="1"/>
    <col min="13811" max="13811" width="10" style="277" bestFit="1" customWidth="1"/>
    <col min="13812" max="13812" width="11" style="277" bestFit="1" customWidth="1"/>
    <col min="13813" max="13813" width="10" style="277" bestFit="1" customWidth="1"/>
    <col min="13814" max="13817" width="9.1796875" style="277"/>
    <col min="13818" max="13819" width="10" style="277" bestFit="1" customWidth="1"/>
    <col min="13820" max="13822" width="11" style="277" bestFit="1" customWidth="1"/>
    <col min="13823" max="13823" width="10" style="277" bestFit="1" customWidth="1"/>
    <col min="13824" max="13825" width="9.1796875" style="277"/>
    <col min="13826" max="13826" width="10.81640625" style="277" bestFit="1" customWidth="1"/>
    <col min="13827" max="13827" width="11" style="277" bestFit="1" customWidth="1"/>
    <col min="13828" max="13831" width="9.1796875" style="277"/>
    <col min="13832" max="13832" width="10.81640625" style="277" bestFit="1" customWidth="1"/>
    <col min="13833" max="13833" width="11" style="277" bestFit="1" customWidth="1"/>
    <col min="13834" max="13835" width="9.1796875" style="277"/>
    <col min="13836" max="13837" width="10" style="277" bestFit="1" customWidth="1"/>
    <col min="13838" max="14045" width="9.1796875" style="277"/>
    <col min="14046" max="14046" width="16.453125" style="277" customWidth="1"/>
    <col min="14047" max="14047" width="34.7265625" style="277" bestFit="1" customWidth="1"/>
    <col min="14048" max="14048" width="12.26953125" style="277" customWidth="1"/>
    <col min="14049" max="14052" width="0" style="277" hidden="1" customWidth="1"/>
    <col min="14053" max="14054" width="11.7265625" style="277" bestFit="1" customWidth="1"/>
    <col min="14055" max="14055" width="0" style="277" hidden="1" customWidth="1"/>
    <col min="14056" max="14057" width="11.26953125" style="277" bestFit="1" customWidth="1"/>
    <col min="14058" max="14061" width="12.81640625" style="277" bestFit="1" customWidth="1"/>
    <col min="14062" max="14063" width="11.26953125" style="277" bestFit="1" customWidth="1"/>
    <col min="14064" max="14065" width="10.81640625" style="277" bestFit="1" customWidth="1"/>
    <col min="14066" max="14066" width="9.81640625" style="277" bestFit="1" customWidth="1"/>
    <col min="14067" max="14067" width="10" style="277" bestFit="1" customWidth="1"/>
    <col min="14068" max="14068" width="11" style="277" bestFit="1" customWidth="1"/>
    <col min="14069" max="14069" width="10" style="277" bestFit="1" customWidth="1"/>
    <col min="14070" max="14073" width="9.1796875" style="277"/>
    <col min="14074" max="14075" width="10" style="277" bestFit="1" customWidth="1"/>
    <col min="14076" max="14078" width="11" style="277" bestFit="1" customWidth="1"/>
    <col min="14079" max="14079" width="10" style="277" bestFit="1" customWidth="1"/>
    <col min="14080" max="14081" width="9.1796875" style="277"/>
    <col min="14082" max="14082" width="10.81640625" style="277" bestFit="1" customWidth="1"/>
    <col min="14083" max="14083" width="11" style="277" bestFit="1" customWidth="1"/>
    <col min="14084" max="14087" width="9.1796875" style="277"/>
    <col min="14088" max="14088" width="10.81640625" style="277" bestFit="1" customWidth="1"/>
    <col min="14089" max="14089" width="11" style="277" bestFit="1" customWidth="1"/>
    <col min="14090" max="14091" width="9.1796875" style="277"/>
    <col min="14092" max="14093" width="10" style="277" bestFit="1" customWidth="1"/>
    <col min="14094" max="14301" width="9.1796875" style="277"/>
    <col min="14302" max="14302" width="16.453125" style="277" customWidth="1"/>
    <col min="14303" max="14303" width="34.7265625" style="277" bestFit="1" customWidth="1"/>
    <col min="14304" max="14304" width="12.26953125" style="277" customWidth="1"/>
    <col min="14305" max="14308" width="0" style="277" hidden="1" customWidth="1"/>
    <col min="14309" max="14310" width="11.7265625" style="277" bestFit="1" customWidth="1"/>
    <col min="14311" max="14311" width="0" style="277" hidden="1" customWidth="1"/>
    <col min="14312" max="14313" width="11.26953125" style="277" bestFit="1" customWidth="1"/>
    <col min="14314" max="14317" width="12.81640625" style="277" bestFit="1" customWidth="1"/>
    <col min="14318" max="14319" width="11.26953125" style="277" bestFit="1" customWidth="1"/>
    <col min="14320" max="14321" width="10.81640625" style="277" bestFit="1" customWidth="1"/>
    <col min="14322" max="14322" width="9.81640625" style="277" bestFit="1" customWidth="1"/>
    <col min="14323" max="14323" width="10" style="277" bestFit="1" customWidth="1"/>
    <col min="14324" max="14324" width="11" style="277" bestFit="1" customWidth="1"/>
    <col min="14325" max="14325" width="10" style="277" bestFit="1" customWidth="1"/>
    <col min="14326" max="14329" width="9.1796875" style="277"/>
    <col min="14330" max="14331" width="10" style="277" bestFit="1" customWidth="1"/>
    <col min="14332" max="14334" width="11" style="277" bestFit="1" customWidth="1"/>
    <col min="14335" max="14335" width="10" style="277" bestFit="1" customWidth="1"/>
    <col min="14336" max="14337" width="9.1796875" style="277"/>
    <col min="14338" max="14338" width="10.81640625" style="277" bestFit="1" customWidth="1"/>
    <col min="14339" max="14339" width="11" style="277" bestFit="1" customWidth="1"/>
    <col min="14340" max="14343" width="9.1796875" style="277"/>
    <col min="14344" max="14344" width="10.81640625" style="277" bestFit="1" customWidth="1"/>
    <col min="14345" max="14345" width="11" style="277" bestFit="1" customWidth="1"/>
    <col min="14346" max="14347" width="9.1796875" style="277"/>
    <col min="14348" max="14349" width="10" style="277" bestFit="1" customWidth="1"/>
    <col min="14350" max="14557" width="9.1796875" style="277"/>
    <col min="14558" max="14558" width="16.453125" style="277" customWidth="1"/>
    <col min="14559" max="14559" width="34.7265625" style="277" bestFit="1" customWidth="1"/>
    <col min="14560" max="14560" width="12.26953125" style="277" customWidth="1"/>
    <col min="14561" max="14564" width="0" style="277" hidden="1" customWidth="1"/>
    <col min="14565" max="14566" width="11.7265625" style="277" bestFit="1" customWidth="1"/>
    <col min="14567" max="14567" width="0" style="277" hidden="1" customWidth="1"/>
    <col min="14568" max="14569" width="11.26953125" style="277" bestFit="1" customWidth="1"/>
    <col min="14570" max="14573" width="12.81640625" style="277" bestFit="1" customWidth="1"/>
    <col min="14574" max="14575" width="11.26953125" style="277" bestFit="1" customWidth="1"/>
    <col min="14576" max="14577" width="10.81640625" style="277" bestFit="1" customWidth="1"/>
    <col min="14578" max="14578" width="9.81640625" style="277" bestFit="1" customWidth="1"/>
    <col min="14579" max="14579" width="10" style="277" bestFit="1" customWidth="1"/>
    <col min="14580" max="14580" width="11" style="277" bestFit="1" customWidth="1"/>
    <col min="14581" max="14581" width="10" style="277" bestFit="1" customWidth="1"/>
    <col min="14582" max="14585" width="9.1796875" style="277"/>
    <col min="14586" max="14587" width="10" style="277" bestFit="1" customWidth="1"/>
    <col min="14588" max="14590" width="11" style="277" bestFit="1" customWidth="1"/>
    <col min="14591" max="14591" width="10" style="277" bestFit="1" customWidth="1"/>
    <col min="14592" max="14593" width="9.1796875" style="277"/>
    <col min="14594" max="14594" width="10.81640625" style="277" bestFit="1" customWidth="1"/>
    <col min="14595" max="14595" width="11" style="277" bestFit="1" customWidth="1"/>
    <col min="14596" max="14599" width="9.1796875" style="277"/>
    <col min="14600" max="14600" width="10.81640625" style="277" bestFit="1" customWidth="1"/>
    <col min="14601" max="14601" width="11" style="277" bestFit="1" customWidth="1"/>
    <col min="14602" max="14603" width="9.1796875" style="277"/>
    <col min="14604" max="14605" width="10" style="277" bestFit="1" customWidth="1"/>
    <col min="14606" max="14813" width="9.1796875" style="277"/>
    <col min="14814" max="14814" width="16.453125" style="277" customWidth="1"/>
    <col min="14815" max="14815" width="34.7265625" style="277" bestFit="1" customWidth="1"/>
    <col min="14816" max="14816" width="12.26953125" style="277" customWidth="1"/>
    <col min="14817" max="14820" width="0" style="277" hidden="1" customWidth="1"/>
    <col min="14821" max="14822" width="11.7265625" style="277" bestFit="1" customWidth="1"/>
    <col min="14823" max="14823" width="0" style="277" hidden="1" customWidth="1"/>
    <col min="14824" max="14825" width="11.26953125" style="277" bestFit="1" customWidth="1"/>
    <col min="14826" max="14829" width="12.81640625" style="277" bestFit="1" customWidth="1"/>
    <col min="14830" max="14831" width="11.26953125" style="277" bestFit="1" customWidth="1"/>
    <col min="14832" max="14833" width="10.81640625" style="277" bestFit="1" customWidth="1"/>
    <col min="14834" max="14834" width="9.81640625" style="277" bestFit="1" customWidth="1"/>
    <col min="14835" max="14835" width="10" style="277" bestFit="1" customWidth="1"/>
    <col min="14836" max="14836" width="11" style="277" bestFit="1" customWidth="1"/>
    <col min="14837" max="14837" width="10" style="277" bestFit="1" customWidth="1"/>
    <col min="14838" max="14841" width="9.1796875" style="277"/>
    <col min="14842" max="14843" width="10" style="277" bestFit="1" customWidth="1"/>
    <col min="14844" max="14846" width="11" style="277" bestFit="1" customWidth="1"/>
    <col min="14847" max="14847" width="10" style="277" bestFit="1" customWidth="1"/>
    <col min="14848" max="14849" width="9.1796875" style="277"/>
    <col min="14850" max="14850" width="10.81640625" style="277" bestFit="1" customWidth="1"/>
    <col min="14851" max="14851" width="11" style="277" bestFit="1" customWidth="1"/>
    <col min="14852" max="14855" width="9.1796875" style="277"/>
    <col min="14856" max="14856" width="10.81640625" style="277" bestFit="1" customWidth="1"/>
    <col min="14857" max="14857" width="11" style="277" bestFit="1" customWidth="1"/>
    <col min="14858" max="14859" width="9.1796875" style="277"/>
    <col min="14860" max="14861" width="10" style="277" bestFit="1" customWidth="1"/>
    <col min="14862" max="15069" width="9.1796875" style="277"/>
    <col min="15070" max="15070" width="16.453125" style="277" customWidth="1"/>
    <col min="15071" max="15071" width="34.7265625" style="277" bestFit="1" customWidth="1"/>
    <col min="15072" max="15072" width="12.26953125" style="277" customWidth="1"/>
    <col min="15073" max="15076" width="0" style="277" hidden="1" customWidth="1"/>
    <col min="15077" max="15078" width="11.7265625" style="277" bestFit="1" customWidth="1"/>
    <col min="15079" max="15079" width="0" style="277" hidden="1" customWidth="1"/>
    <col min="15080" max="15081" width="11.26953125" style="277" bestFit="1" customWidth="1"/>
    <col min="15082" max="15085" width="12.81640625" style="277" bestFit="1" customWidth="1"/>
    <col min="15086" max="15087" width="11.26953125" style="277" bestFit="1" customWidth="1"/>
    <col min="15088" max="15089" width="10.81640625" style="277" bestFit="1" customWidth="1"/>
    <col min="15090" max="15090" width="9.81640625" style="277" bestFit="1" customWidth="1"/>
    <col min="15091" max="15091" width="10" style="277" bestFit="1" customWidth="1"/>
    <col min="15092" max="15092" width="11" style="277" bestFit="1" customWidth="1"/>
    <col min="15093" max="15093" width="10" style="277" bestFit="1" customWidth="1"/>
    <col min="15094" max="15097" width="9.1796875" style="277"/>
    <col min="15098" max="15099" width="10" style="277" bestFit="1" customWidth="1"/>
    <col min="15100" max="15102" width="11" style="277" bestFit="1" customWidth="1"/>
    <col min="15103" max="15103" width="10" style="277" bestFit="1" customWidth="1"/>
    <col min="15104" max="15105" width="9.1796875" style="277"/>
    <col min="15106" max="15106" width="10.81640625" style="277" bestFit="1" customWidth="1"/>
    <col min="15107" max="15107" width="11" style="277" bestFit="1" customWidth="1"/>
    <col min="15108" max="15111" width="9.1796875" style="277"/>
    <col min="15112" max="15112" width="10.81640625" style="277" bestFit="1" customWidth="1"/>
    <col min="15113" max="15113" width="11" style="277" bestFit="1" customWidth="1"/>
    <col min="15114" max="15115" width="9.1796875" style="277"/>
    <col min="15116" max="15117" width="10" style="277" bestFit="1" customWidth="1"/>
    <col min="15118" max="15325" width="9.1796875" style="277"/>
    <col min="15326" max="15326" width="16.453125" style="277" customWidth="1"/>
    <col min="15327" max="15327" width="34.7265625" style="277" bestFit="1" customWidth="1"/>
    <col min="15328" max="15328" width="12.26953125" style="277" customWidth="1"/>
    <col min="15329" max="15332" width="0" style="277" hidden="1" customWidth="1"/>
    <col min="15333" max="15334" width="11.7265625" style="277" bestFit="1" customWidth="1"/>
    <col min="15335" max="15335" width="0" style="277" hidden="1" customWidth="1"/>
    <col min="15336" max="15337" width="11.26953125" style="277" bestFit="1" customWidth="1"/>
    <col min="15338" max="15341" width="12.81640625" style="277" bestFit="1" customWidth="1"/>
    <col min="15342" max="15343" width="11.26953125" style="277" bestFit="1" customWidth="1"/>
    <col min="15344" max="15345" width="10.81640625" style="277" bestFit="1" customWidth="1"/>
    <col min="15346" max="15346" width="9.81640625" style="277" bestFit="1" customWidth="1"/>
    <col min="15347" max="15347" width="10" style="277" bestFit="1" customWidth="1"/>
    <col min="15348" max="15348" width="11" style="277" bestFit="1" customWidth="1"/>
    <col min="15349" max="15349" width="10" style="277" bestFit="1" customWidth="1"/>
    <col min="15350" max="15353" width="9.1796875" style="277"/>
    <col min="15354" max="15355" width="10" style="277" bestFit="1" customWidth="1"/>
    <col min="15356" max="15358" width="11" style="277" bestFit="1" customWidth="1"/>
    <col min="15359" max="15359" width="10" style="277" bestFit="1" customWidth="1"/>
    <col min="15360" max="15361" width="9.1796875" style="277"/>
    <col min="15362" max="15362" width="10.81640625" style="277" bestFit="1" customWidth="1"/>
    <col min="15363" max="15363" width="11" style="277" bestFit="1" customWidth="1"/>
    <col min="15364" max="15367" width="9.1796875" style="277"/>
    <col min="15368" max="15368" width="10.81640625" style="277" bestFit="1" customWidth="1"/>
    <col min="15369" max="15369" width="11" style="277" bestFit="1" customWidth="1"/>
    <col min="15370" max="15371" width="9.1796875" style="277"/>
    <col min="15372" max="15373" width="10" style="277" bestFit="1" customWidth="1"/>
    <col min="15374" max="15581" width="9.1796875" style="277"/>
    <col min="15582" max="15582" width="16.453125" style="277" customWidth="1"/>
    <col min="15583" max="15583" width="34.7265625" style="277" bestFit="1" customWidth="1"/>
    <col min="15584" max="15584" width="12.26953125" style="277" customWidth="1"/>
    <col min="15585" max="15588" width="0" style="277" hidden="1" customWidth="1"/>
    <col min="15589" max="15590" width="11.7265625" style="277" bestFit="1" customWidth="1"/>
    <col min="15591" max="15591" width="0" style="277" hidden="1" customWidth="1"/>
    <col min="15592" max="15593" width="11.26953125" style="277" bestFit="1" customWidth="1"/>
    <col min="15594" max="15597" width="12.81640625" style="277" bestFit="1" customWidth="1"/>
    <col min="15598" max="15599" width="11.26953125" style="277" bestFit="1" customWidth="1"/>
    <col min="15600" max="15601" width="10.81640625" style="277" bestFit="1" customWidth="1"/>
    <col min="15602" max="15602" width="9.81640625" style="277" bestFit="1" customWidth="1"/>
    <col min="15603" max="15603" width="10" style="277" bestFit="1" customWidth="1"/>
    <col min="15604" max="15604" width="11" style="277" bestFit="1" customWidth="1"/>
    <col min="15605" max="15605" width="10" style="277" bestFit="1" customWidth="1"/>
    <col min="15606" max="15609" width="9.1796875" style="277"/>
    <col min="15610" max="15611" width="10" style="277" bestFit="1" customWidth="1"/>
    <col min="15612" max="15614" width="11" style="277" bestFit="1" customWidth="1"/>
    <col min="15615" max="15615" width="10" style="277" bestFit="1" customWidth="1"/>
    <col min="15616" max="15617" width="9.1796875" style="277"/>
    <col min="15618" max="15618" width="10.81640625" style="277" bestFit="1" customWidth="1"/>
    <col min="15619" max="15619" width="11" style="277" bestFit="1" customWidth="1"/>
    <col min="15620" max="15623" width="9.1796875" style="277"/>
    <col min="15624" max="15624" width="10.81640625" style="277" bestFit="1" customWidth="1"/>
    <col min="15625" max="15625" width="11" style="277" bestFit="1" customWidth="1"/>
    <col min="15626" max="15627" width="9.1796875" style="277"/>
    <col min="15628" max="15629" width="10" style="277" bestFit="1" customWidth="1"/>
    <col min="15630" max="15837" width="9.1796875" style="277"/>
    <col min="15838" max="15838" width="16.453125" style="277" customWidth="1"/>
    <col min="15839" max="15839" width="34.7265625" style="277" bestFit="1" customWidth="1"/>
    <col min="15840" max="15840" width="12.26953125" style="277" customWidth="1"/>
    <col min="15841" max="15844" width="0" style="277" hidden="1" customWidth="1"/>
    <col min="15845" max="15846" width="11.7265625" style="277" bestFit="1" customWidth="1"/>
    <col min="15847" max="15847" width="0" style="277" hidden="1" customWidth="1"/>
    <col min="15848" max="15849" width="11.26953125" style="277" bestFit="1" customWidth="1"/>
    <col min="15850" max="15853" width="12.81640625" style="277" bestFit="1" customWidth="1"/>
    <col min="15854" max="15855" width="11.26953125" style="277" bestFit="1" customWidth="1"/>
    <col min="15856" max="15857" width="10.81640625" style="277" bestFit="1" customWidth="1"/>
    <col min="15858" max="15858" width="9.81640625" style="277" bestFit="1" customWidth="1"/>
    <col min="15859" max="15859" width="10" style="277" bestFit="1" customWidth="1"/>
    <col min="15860" max="15860" width="11" style="277" bestFit="1" customWidth="1"/>
    <col min="15861" max="15861" width="10" style="277" bestFit="1" customWidth="1"/>
    <col min="15862" max="15865" width="9.1796875" style="277"/>
    <col min="15866" max="15867" width="10" style="277" bestFit="1" customWidth="1"/>
    <col min="15868" max="15870" width="11" style="277" bestFit="1" customWidth="1"/>
    <col min="15871" max="15871" width="10" style="277" bestFit="1" customWidth="1"/>
    <col min="15872" max="15873" width="9.1796875" style="277"/>
    <col min="15874" max="15874" width="10.81640625" style="277" bestFit="1" customWidth="1"/>
    <col min="15875" max="15875" width="11" style="277" bestFit="1" customWidth="1"/>
    <col min="15876" max="15879" width="9.1796875" style="277"/>
    <col min="15880" max="15880" width="10.81640625" style="277" bestFit="1" customWidth="1"/>
    <col min="15881" max="15881" width="11" style="277" bestFit="1" customWidth="1"/>
    <col min="15882" max="15883" width="9.1796875" style="277"/>
    <col min="15884" max="15885" width="10" style="277" bestFit="1" customWidth="1"/>
    <col min="15886" max="16093" width="9.1796875" style="277"/>
    <col min="16094" max="16094" width="16.453125" style="277" customWidth="1"/>
    <col min="16095" max="16095" width="34.7265625" style="277" bestFit="1" customWidth="1"/>
    <col min="16096" max="16096" width="12.26953125" style="277" customWidth="1"/>
    <col min="16097" max="16100" width="0" style="277" hidden="1" customWidth="1"/>
    <col min="16101" max="16102" width="11.7265625" style="277" bestFit="1" customWidth="1"/>
    <col min="16103" max="16103" width="0" style="277" hidden="1" customWidth="1"/>
    <col min="16104" max="16105" width="11.26953125" style="277" bestFit="1" customWidth="1"/>
    <col min="16106" max="16109" width="12.81640625" style="277" bestFit="1" customWidth="1"/>
    <col min="16110" max="16111" width="11.26953125" style="277" bestFit="1" customWidth="1"/>
    <col min="16112" max="16113" width="10.81640625" style="277" bestFit="1" customWidth="1"/>
    <col min="16114" max="16114" width="9.81640625" style="277" bestFit="1" customWidth="1"/>
    <col min="16115" max="16115" width="10" style="277" bestFit="1" customWidth="1"/>
    <col min="16116" max="16116" width="11" style="277" bestFit="1" customWidth="1"/>
    <col min="16117" max="16117" width="10" style="277" bestFit="1" customWidth="1"/>
    <col min="16118" max="16121" width="9.1796875" style="277"/>
    <col min="16122" max="16123" width="10" style="277" bestFit="1" customWidth="1"/>
    <col min="16124" max="16126" width="11" style="277" bestFit="1" customWidth="1"/>
    <col min="16127" max="16127" width="10" style="277" bestFit="1" customWidth="1"/>
    <col min="16128" max="16129" width="9.1796875" style="277"/>
    <col min="16130" max="16130" width="10.81640625" style="277" bestFit="1" customWidth="1"/>
    <col min="16131" max="16131" width="11" style="277" bestFit="1" customWidth="1"/>
    <col min="16132" max="16135" width="9.1796875" style="277"/>
    <col min="16136" max="16136" width="10.81640625" style="277" bestFit="1" customWidth="1"/>
    <col min="16137" max="16137" width="11" style="277" bestFit="1" customWidth="1"/>
    <col min="16138" max="16139" width="9.1796875" style="277"/>
    <col min="16140" max="16141" width="10" style="277" bestFit="1" customWidth="1"/>
    <col min="16142" max="16384" width="9.1796875" style="277"/>
  </cols>
  <sheetData>
    <row r="1" spans="1:18" ht="20">
      <c r="A1" s="276" t="s">
        <v>676</v>
      </c>
      <c r="B1" s="276"/>
      <c r="C1" s="276"/>
      <c r="D1" s="276"/>
      <c r="E1" s="276"/>
      <c r="F1" s="276"/>
    </row>
    <row r="2" spans="1:18" ht="12.75" customHeight="1">
      <c r="A2" s="278" t="s">
        <v>677</v>
      </c>
      <c r="B2" s="278"/>
      <c r="C2" s="278"/>
      <c r="D2" s="278"/>
      <c r="E2" s="278"/>
      <c r="F2" s="278"/>
      <c r="G2" s="286">
        <f>G3-H3</f>
        <v>-4916920</v>
      </c>
      <c r="H2" s="279"/>
      <c r="I2" s="285">
        <f>I3-J3</f>
        <v>2165348</v>
      </c>
      <c r="K2" s="285">
        <f>K3-L3</f>
        <v>-2751572</v>
      </c>
      <c r="N2" s="285">
        <f>N3-O3</f>
        <v>-40000</v>
      </c>
      <c r="P2" s="285">
        <f>P3-Q3</f>
        <v>-2791572</v>
      </c>
      <c r="Q2" s="285">
        <f>+Q3-P3</f>
        <v>2791572</v>
      </c>
    </row>
    <row r="3" spans="1:18" ht="13.9" customHeight="1">
      <c r="A3" s="279" t="s">
        <v>678</v>
      </c>
      <c r="B3" s="279"/>
      <c r="C3" s="279"/>
      <c r="D3" s="279"/>
      <c r="E3" s="280"/>
      <c r="F3" s="280"/>
      <c r="G3" s="286">
        <f t="shared" ref="G3:Q3" si="0">SUBTOTAL(9,G7:G424)</f>
        <v>55600</v>
      </c>
      <c r="H3" s="287">
        <f t="shared" si="0"/>
        <v>4972520</v>
      </c>
      <c r="I3" s="287">
        <f t="shared" si="0"/>
        <v>9340633</v>
      </c>
      <c r="J3" s="287">
        <f t="shared" si="0"/>
        <v>7175285</v>
      </c>
      <c r="K3" s="287">
        <f t="shared" si="0"/>
        <v>125600</v>
      </c>
      <c r="L3" s="287">
        <f t="shared" si="0"/>
        <v>2877172</v>
      </c>
      <c r="M3" s="287">
        <f t="shared" si="0"/>
        <v>0</v>
      </c>
      <c r="N3" s="287">
        <f t="shared" si="0"/>
        <v>0</v>
      </c>
      <c r="O3" s="287">
        <f t="shared" si="0"/>
        <v>40000</v>
      </c>
      <c r="P3" s="287">
        <f t="shared" si="0"/>
        <v>125600</v>
      </c>
      <c r="Q3" s="287">
        <f t="shared" si="0"/>
        <v>2917172</v>
      </c>
    </row>
    <row r="4" spans="1:18" ht="13.9" customHeight="1" thickBot="1">
      <c r="A4" s="279"/>
      <c r="B4" s="279"/>
      <c r="C4" s="279"/>
      <c r="D4" s="279"/>
      <c r="E4" s="279"/>
      <c r="F4" s="279"/>
      <c r="G4" s="281"/>
      <c r="H4" s="281"/>
    </row>
    <row r="5" spans="1:18" ht="18" customHeight="1" thickBot="1">
      <c r="A5" s="282"/>
      <c r="B5" s="282"/>
      <c r="C5" s="282"/>
      <c r="D5" s="282"/>
      <c r="E5" s="282"/>
      <c r="F5" s="311"/>
      <c r="G5" s="855" t="s">
        <v>568</v>
      </c>
      <c r="H5" s="856"/>
      <c r="I5" s="855" t="s">
        <v>942</v>
      </c>
      <c r="J5" s="856"/>
      <c r="K5" s="855" t="s">
        <v>943</v>
      </c>
      <c r="L5" s="856"/>
      <c r="N5" s="855" t="s">
        <v>646</v>
      </c>
      <c r="O5" s="857"/>
      <c r="P5" s="855" t="s">
        <v>944</v>
      </c>
      <c r="Q5" s="856"/>
      <c r="R5" s="275"/>
    </row>
    <row r="6" spans="1:18" ht="12.75" customHeight="1" thickBot="1">
      <c r="A6" s="288" t="s">
        <v>948</v>
      </c>
      <c r="B6" s="288" t="s">
        <v>941</v>
      </c>
      <c r="C6" s="288" t="s">
        <v>945</v>
      </c>
      <c r="D6" s="288" t="s">
        <v>946</v>
      </c>
      <c r="E6" s="288" t="s">
        <v>947</v>
      </c>
      <c r="F6" s="303" t="s">
        <v>1010</v>
      </c>
      <c r="G6" s="326" t="s">
        <v>455</v>
      </c>
      <c r="H6" s="326" t="s">
        <v>456</v>
      </c>
      <c r="I6" s="326" t="s">
        <v>455</v>
      </c>
      <c r="J6" s="326" t="s">
        <v>456</v>
      </c>
      <c r="K6" s="326" t="s">
        <v>455</v>
      </c>
      <c r="L6" s="326" t="s">
        <v>456</v>
      </c>
      <c r="M6" s="326" t="s">
        <v>455</v>
      </c>
      <c r="N6" s="326" t="s">
        <v>455</v>
      </c>
      <c r="O6" s="326" t="s">
        <v>456</v>
      </c>
      <c r="P6" s="326" t="s">
        <v>455</v>
      </c>
      <c r="Q6" s="326" t="s">
        <v>456</v>
      </c>
      <c r="R6" s="327" t="s">
        <v>647</v>
      </c>
    </row>
    <row r="7" spans="1:18" hidden="1">
      <c r="A7" s="317" t="s">
        <v>679</v>
      </c>
      <c r="B7" s="312" t="s">
        <v>0</v>
      </c>
      <c r="C7" s="312" t="s">
        <v>466</v>
      </c>
      <c r="D7" s="312" t="s">
        <v>467</v>
      </c>
      <c r="E7" s="321" t="s">
        <v>329</v>
      </c>
      <c r="F7" s="312" t="s">
        <v>974</v>
      </c>
      <c r="G7" s="332">
        <v>1</v>
      </c>
      <c r="H7" s="333">
        <v>0</v>
      </c>
      <c r="I7" s="332">
        <v>0</v>
      </c>
      <c r="J7" s="333">
        <v>0</v>
      </c>
      <c r="K7" s="334">
        <v>1</v>
      </c>
      <c r="L7" s="335">
        <v>0</v>
      </c>
      <c r="M7" s="336"/>
      <c r="N7" s="337"/>
      <c r="O7" s="338"/>
      <c r="P7" s="337">
        <f t="shared" ref="P7:P70" si="1">K7+N7</f>
        <v>1</v>
      </c>
      <c r="Q7" s="338">
        <f t="shared" ref="Q7:Q70" si="2">L7+O7</f>
        <v>0</v>
      </c>
      <c r="R7" s="306">
        <f t="shared" ref="R7:R70" si="3">P7-Q7</f>
        <v>1</v>
      </c>
    </row>
    <row r="8" spans="1:18" hidden="1">
      <c r="A8" s="318" t="s">
        <v>680</v>
      </c>
      <c r="B8" s="313" t="s">
        <v>1</v>
      </c>
      <c r="C8" s="313" t="s">
        <v>466</v>
      </c>
      <c r="D8" s="313" t="s">
        <v>467</v>
      </c>
      <c r="E8" s="322" t="s">
        <v>329</v>
      </c>
      <c r="F8" s="313" t="s">
        <v>974</v>
      </c>
      <c r="G8" s="339">
        <v>143120</v>
      </c>
      <c r="H8" s="340">
        <v>0</v>
      </c>
      <c r="I8" s="339">
        <v>0</v>
      </c>
      <c r="J8" s="340">
        <v>0</v>
      </c>
      <c r="K8" s="341">
        <v>143120</v>
      </c>
      <c r="L8" s="342">
        <v>0</v>
      </c>
      <c r="M8" s="336"/>
      <c r="N8" s="343"/>
      <c r="O8" s="344"/>
      <c r="P8" s="343">
        <f t="shared" si="1"/>
        <v>143120</v>
      </c>
      <c r="Q8" s="344">
        <f t="shared" si="2"/>
        <v>0</v>
      </c>
      <c r="R8" s="328">
        <f t="shared" si="3"/>
        <v>143120</v>
      </c>
    </row>
    <row r="9" spans="1:18" hidden="1">
      <c r="A9" s="318" t="s">
        <v>681</v>
      </c>
      <c r="B9" s="313" t="s">
        <v>3</v>
      </c>
      <c r="C9" s="313" t="s">
        <v>466</v>
      </c>
      <c r="D9" s="313" t="s">
        <v>467</v>
      </c>
      <c r="E9" s="322" t="s">
        <v>329</v>
      </c>
      <c r="F9" s="313" t="s">
        <v>1011</v>
      </c>
      <c r="G9" s="339">
        <v>0</v>
      </c>
      <c r="H9" s="340">
        <v>809205</v>
      </c>
      <c r="I9" s="339">
        <v>0</v>
      </c>
      <c r="J9" s="340">
        <v>0</v>
      </c>
      <c r="K9" s="341">
        <v>0</v>
      </c>
      <c r="L9" s="342">
        <v>809205</v>
      </c>
      <c r="M9" s="336"/>
      <c r="N9" s="343"/>
      <c r="O9" s="344"/>
      <c r="P9" s="343">
        <f t="shared" si="1"/>
        <v>0</v>
      </c>
      <c r="Q9" s="344">
        <f t="shared" si="2"/>
        <v>809205</v>
      </c>
      <c r="R9" s="328">
        <f t="shared" si="3"/>
        <v>-809205</v>
      </c>
    </row>
    <row r="10" spans="1:18" hidden="1">
      <c r="A10" s="318" t="s">
        <v>681</v>
      </c>
      <c r="B10" s="313" t="s">
        <v>2</v>
      </c>
      <c r="C10" s="313" t="s">
        <v>466</v>
      </c>
      <c r="D10" s="313" t="s">
        <v>467</v>
      </c>
      <c r="E10" s="322" t="s">
        <v>329</v>
      </c>
      <c r="F10" s="313" t="s">
        <v>1020</v>
      </c>
      <c r="G10" s="339">
        <v>581069</v>
      </c>
      <c r="H10" s="340">
        <v>0</v>
      </c>
      <c r="I10" s="339">
        <v>0</v>
      </c>
      <c r="J10" s="340">
        <v>0</v>
      </c>
      <c r="K10" s="341">
        <v>581069</v>
      </c>
      <c r="L10" s="342">
        <v>0</v>
      </c>
      <c r="M10" s="336"/>
      <c r="N10" s="343"/>
      <c r="O10" s="344"/>
      <c r="P10" s="343">
        <f t="shared" si="1"/>
        <v>581069</v>
      </c>
      <c r="Q10" s="344">
        <f t="shared" si="2"/>
        <v>0</v>
      </c>
      <c r="R10" s="328">
        <f t="shared" si="3"/>
        <v>581069</v>
      </c>
    </row>
    <row r="11" spans="1:18" hidden="1">
      <c r="A11" s="318" t="s">
        <v>682</v>
      </c>
      <c r="B11" s="313" t="s">
        <v>4</v>
      </c>
      <c r="C11" s="313" t="s">
        <v>466</v>
      </c>
      <c r="D11" s="313" t="s">
        <v>467</v>
      </c>
      <c r="E11" s="322" t="s">
        <v>329</v>
      </c>
      <c r="F11" s="313" t="s">
        <v>974</v>
      </c>
      <c r="G11" s="339">
        <v>62500</v>
      </c>
      <c r="H11" s="340">
        <v>0</v>
      </c>
      <c r="I11" s="339">
        <v>0</v>
      </c>
      <c r="J11" s="340">
        <v>0</v>
      </c>
      <c r="K11" s="341">
        <v>62500</v>
      </c>
      <c r="L11" s="342">
        <v>0</v>
      </c>
      <c r="M11" s="336"/>
      <c r="N11" s="343"/>
      <c r="O11" s="344"/>
      <c r="P11" s="343">
        <f t="shared" si="1"/>
        <v>62500</v>
      </c>
      <c r="Q11" s="344">
        <f t="shared" si="2"/>
        <v>0</v>
      </c>
      <c r="R11" s="328">
        <f t="shared" si="3"/>
        <v>62500</v>
      </c>
    </row>
    <row r="12" spans="1:18" hidden="1">
      <c r="A12" s="318" t="s">
        <v>683</v>
      </c>
      <c r="B12" s="313" t="s">
        <v>5</v>
      </c>
      <c r="C12" s="313" t="s">
        <v>466</v>
      </c>
      <c r="D12" s="313" t="s">
        <v>467</v>
      </c>
      <c r="E12" s="322" t="s">
        <v>329</v>
      </c>
      <c r="F12" s="313" t="s">
        <v>974</v>
      </c>
      <c r="G12" s="339">
        <v>51853</v>
      </c>
      <c r="H12" s="340">
        <v>0</v>
      </c>
      <c r="I12" s="339">
        <v>0</v>
      </c>
      <c r="J12" s="340">
        <v>0</v>
      </c>
      <c r="K12" s="341">
        <v>51853</v>
      </c>
      <c r="L12" s="342">
        <v>0</v>
      </c>
      <c r="M12" s="336"/>
      <c r="N12" s="343"/>
      <c r="O12" s="344"/>
      <c r="P12" s="343">
        <f t="shared" si="1"/>
        <v>51853</v>
      </c>
      <c r="Q12" s="344">
        <f t="shared" si="2"/>
        <v>0</v>
      </c>
      <c r="R12" s="328">
        <f t="shared" si="3"/>
        <v>51853</v>
      </c>
    </row>
    <row r="13" spans="1:18" hidden="1">
      <c r="A13" s="318" t="s">
        <v>684</v>
      </c>
      <c r="B13" s="313" t="s">
        <v>6</v>
      </c>
      <c r="C13" s="313" t="s">
        <v>466</v>
      </c>
      <c r="D13" s="313" t="s">
        <v>467</v>
      </c>
      <c r="E13" s="322" t="s">
        <v>329</v>
      </c>
      <c r="F13" s="313" t="s">
        <v>974</v>
      </c>
      <c r="G13" s="339">
        <v>15489</v>
      </c>
      <c r="H13" s="340">
        <v>0</v>
      </c>
      <c r="I13" s="339">
        <v>0</v>
      </c>
      <c r="J13" s="340">
        <v>0</v>
      </c>
      <c r="K13" s="341">
        <v>15489</v>
      </c>
      <c r="L13" s="342">
        <v>0</v>
      </c>
      <c r="M13" s="336"/>
      <c r="N13" s="343"/>
      <c r="O13" s="344"/>
      <c r="P13" s="343">
        <f t="shared" si="1"/>
        <v>15489</v>
      </c>
      <c r="Q13" s="344">
        <f t="shared" si="2"/>
        <v>0</v>
      </c>
      <c r="R13" s="328">
        <f t="shared" si="3"/>
        <v>15489</v>
      </c>
    </row>
    <row r="14" spans="1:18" hidden="1">
      <c r="A14" s="318" t="s">
        <v>685</v>
      </c>
      <c r="B14" s="313" t="s">
        <v>7</v>
      </c>
      <c r="C14" s="313" t="s">
        <v>466</v>
      </c>
      <c r="D14" s="313" t="s">
        <v>467</v>
      </c>
      <c r="E14" s="322" t="s">
        <v>329</v>
      </c>
      <c r="F14" s="313" t="s">
        <v>974</v>
      </c>
      <c r="G14" s="339">
        <v>29198</v>
      </c>
      <c r="H14" s="340">
        <v>0</v>
      </c>
      <c r="I14" s="339">
        <v>0</v>
      </c>
      <c r="J14" s="340">
        <v>0</v>
      </c>
      <c r="K14" s="341">
        <v>29198</v>
      </c>
      <c r="L14" s="342">
        <v>0</v>
      </c>
      <c r="M14" s="336"/>
      <c r="N14" s="343"/>
      <c r="O14" s="344"/>
      <c r="P14" s="343">
        <f t="shared" si="1"/>
        <v>29198</v>
      </c>
      <c r="Q14" s="344">
        <f t="shared" si="2"/>
        <v>0</v>
      </c>
      <c r="R14" s="328">
        <f t="shared" si="3"/>
        <v>29198</v>
      </c>
    </row>
    <row r="15" spans="1:18" hidden="1">
      <c r="A15" s="318" t="s">
        <v>686</v>
      </c>
      <c r="B15" s="313" t="s">
        <v>8</v>
      </c>
      <c r="C15" s="313" t="s">
        <v>466</v>
      </c>
      <c r="D15" s="313" t="s">
        <v>467</v>
      </c>
      <c r="E15" s="322" t="s">
        <v>329</v>
      </c>
      <c r="F15" s="313" t="s">
        <v>974</v>
      </c>
      <c r="G15" s="339">
        <v>1577606.14</v>
      </c>
      <c r="H15" s="340">
        <v>0</v>
      </c>
      <c r="I15" s="339">
        <v>14002024</v>
      </c>
      <c r="J15" s="340">
        <v>15715481.35</v>
      </c>
      <c r="K15" s="341">
        <v>0</v>
      </c>
      <c r="L15" s="342">
        <v>135851.21</v>
      </c>
      <c r="M15" s="336"/>
      <c r="N15" s="343"/>
      <c r="O15" s="344"/>
      <c r="P15" s="343">
        <f t="shared" si="1"/>
        <v>0</v>
      </c>
      <c r="Q15" s="344">
        <f t="shared" si="2"/>
        <v>135851.21</v>
      </c>
      <c r="R15" s="328">
        <f t="shared" si="3"/>
        <v>-135851.21</v>
      </c>
    </row>
    <row r="16" spans="1:18" hidden="1">
      <c r="A16" s="318" t="s">
        <v>687</v>
      </c>
      <c r="B16" s="313" t="s">
        <v>10</v>
      </c>
      <c r="C16" s="313" t="s">
        <v>466</v>
      </c>
      <c r="D16" s="313" t="s">
        <v>467</v>
      </c>
      <c r="E16" s="322" t="s">
        <v>329</v>
      </c>
      <c r="F16" s="313" t="s">
        <v>1012</v>
      </c>
      <c r="G16" s="339">
        <v>34383.199999999997</v>
      </c>
      <c r="H16" s="340">
        <v>0</v>
      </c>
      <c r="I16" s="339">
        <v>0</v>
      </c>
      <c r="J16" s="340">
        <v>0</v>
      </c>
      <c r="K16" s="341">
        <v>34383.199999999997</v>
      </c>
      <c r="L16" s="342">
        <v>0</v>
      </c>
      <c r="M16" s="336"/>
      <c r="N16" s="343"/>
      <c r="O16" s="344"/>
      <c r="P16" s="343">
        <f t="shared" si="1"/>
        <v>34383.199999999997</v>
      </c>
      <c r="Q16" s="344">
        <f t="shared" si="2"/>
        <v>0</v>
      </c>
      <c r="R16" s="328">
        <f t="shared" si="3"/>
        <v>34383.199999999997</v>
      </c>
    </row>
    <row r="17" spans="1:18" hidden="1">
      <c r="A17" s="318" t="s">
        <v>687</v>
      </c>
      <c r="B17" s="313" t="s">
        <v>9</v>
      </c>
      <c r="C17" s="313" t="s">
        <v>466</v>
      </c>
      <c r="D17" s="313" t="s">
        <v>467</v>
      </c>
      <c r="E17" s="322" t="s">
        <v>329</v>
      </c>
      <c r="F17" s="313" t="s">
        <v>1019</v>
      </c>
      <c r="G17" s="339">
        <v>330629.83</v>
      </c>
      <c r="H17" s="340">
        <v>0</v>
      </c>
      <c r="I17" s="339">
        <v>8787215.2400000002</v>
      </c>
      <c r="J17" s="340">
        <v>9329194.9499999993</v>
      </c>
      <c r="K17" s="341">
        <v>0</v>
      </c>
      <c r="L17" s="342">
        <v>211349.88</v>
      </c>
      <c r="M17" s="336"/>
      <c r="N17" s="343"/>
      <c r="O17" s="344"/>
      <c r="P17" s="343">
        <f t="shared" si="1"/>
        <v>0</v>
      </c>
      <c r="Q17" s="344">
        <f t="shared" si="2"/>
        <v>211349.88</v>
      </c>
      <c r="R17" s="328">
        <f t="shared" si="3"/>
        <v>-211349.88</v>
      </c>
    </row>
    <row r="18" spans="1:18" hidden="1">
      <c r="A18" s="318" t="s">
        <v>688</v>
      </c>
      <c r="B18" s="313" t="s">
        <v>11</v>
      </c>
      <c r="C18" s="313" t="s">
        <v>466</v>
      </c>
      <c r="D18" s="313" t="s">
        <v>467</v>
      </c>
      <c r="E18" s="322" t="s">
        <v>329</v>
      </c>
      <c r="F18" s="313" t="s">
        <v>974</v>
      </c>
      <c r="G18" s="339">
        <v>7803.45</v>
      </c>
      <c r="H18" s="340">
        <v>0</v>
      </c>
      <c r="I18" s="339">
        <v>961600</v>
      </c>
      <c r="J18" s="340">
        <v>941575.75</v>
      </c>
      <c r="K18" s="341">
        <v>27827.7</v>
      </c>
      <c r="L18" s="342">
        <v>0</v>
      </c>
      <c r="M18" s="336"/>
      <c r="N18" s="343"/>
      <c r="O18" s="344"/>
      <c r="P18" s="343">
        <f t="shared" si="1"/>
        <v>27827.7</v>
      </c>
      <c r="Q18" s="344">
        <f t="shared" si="2"/>
        <v>0</v>
      </c>
      <c r="R18" s="328">
        <f t="shared" si="3"/>
        <v>27827.7</v>
      </c>
    </row>
    <row r="19" spans="1:18" hidden="1">
      <c r="A19" s="318" t="s">
        <v>688</v>
      </c>
      <c r="B19" s="313" t="s">
        <v>12</v>
      </c>
      <c r="C19" s="313" t="s">
        <v>466</v>
      </c>
      <c r="D19" s="313" t="s">
        <v>467</v>
      </c>
      <c r="E19" s="322" t="s">
        <v>329</v>
      </c>
      <c r="F19" s="313" t="s">
        <v>1021</v>
      </c>
      <c r="G19" s="339">
        <v>73944.37</v>
      </c>
      <c r="H19" s="340">
        <v>0</v>
      </c>
      <c r="I19" s="339">
        <v>0</v>
      </c>
      <c r="J19" s="340">
        <v>0</v>
      </c>
      <c r="K19" s="341">
        <v>73944.37</v>
      </c>
      <c r="L19" s="342">
        <v>0</v>
      </c>
      <c r="M19" s="336"/>
      <c r="N19" s="343"/>
      <c r="O19" s="344"/>
      <c r="P19" s="343">
        <f t="shared" si="1"/>
        <v>73944.37</v>
      </c>
      <c r="Q19" s="344">
        <f t="shared" si="2"/>
        <v>0</v>
      </c>
      <c r="R19" s="328">
        <f t="shared" si="3"/>
        <v>73944.37</v>
      </c>
    </row>
    <row r="20" spans="1:18" hidden="1">
      <c r="A20" s="318" t="s">
        <v>688</v>
      </c>
      <c r="B20" s="313" t="s">
        <v>13</v>
      </c>
      <c r="C20" s="313" t="s">
        <v>466</v>
      </c>
      <c r="D20" s="313" t="s">
        <v>467</v>
      </c>
      <c r="E20" s="322" t="s">
        <v>329</v>
      </c>
      <c r="F20" s="313" t="s">
        <v>1025</v>
      </c>
      <c r="G20" s="339">
        <v>0</v>
      </c>
      <c r="H20" s="340">
        <v>73924.7</v>
      </c>
      <c r="I20" s="339">
        <v>0</v>
      </c>
      <c r="J20" s="340">
        <v>0</v>
      </c>
      <c r="K20" s="341">
        <v>0</v>
      </c>
      <c r="L20" s="342">
        <v>73924.7</v>
      </c>
      <c r="M20" s="336"/>
      <c r="N20" s="343"/>
      <c r="O20" s="344"/>
      <c r="P20" s="343">
        <f t="shared" si="1"/>
        <v>0</v>
      </c>
      <c r="Q20" s="344">
        <f t="shared" si="2"/>
        <v>73924.7</v>
      </c>
      <c r="R20" s="328">
        <f t="shared" si="3"/>
        <v>-73924.7</v>
      </c>
    </row>
    <row r="21" spans="1:18" hidden="1">
      <c r="A21" s="318" t="s">
        <v>689</v>
      </c>
      <c r="B21" s="313" t="s">
        <v>16</v>
      </c>
      <c r="C21" s="313" t="s">
        <v>466</v>
      </c>
      <c r="D21" s="313" t="s">
        <v>467</v>
      </c>
      <c r="E21" s="322" t="s">
        <v>329</v>
      </c>
      <c r="F21" s="313" t="s">
        <v>1013</v>
      </c>
      <c r="G21" s="339">
        <v>0.6</v>
      </c>
      <c r="H21" s="340">
        <v>0</v>
      </c>
      <c r="I21" s="339">
        <v>0</v>
      </c>
      <c r="J21" s="340">
        <v>0</v>
      </c>
      <c r="K21" s="341">
        <v>0.6</v>
      </c>
      <c r="L21" s="342">
        <v>0</v>
      </c>
      <c r="M21" s="336"/>
      <c r="N21" s="343"/>
      <c r="O21" s="344"/>
      <c r="P21" s="343">
        <f t="shared" si="1"/>
        <v>0.6</v>
      </c>
      <c r="Q21" s="344">
        <f t="shared" si="2"/>
        <v>0</v>
      </c>
      <c r="R21" s="328">
        <f t="shared" si="3"/>
        <v>0.6</v>
      </c>
    </row>
    <row r="22" spans="1:18" hidden="1">
      <c r="A22" s="318" t="s">
        <v>689</v>
      </c>
      <c r="B22" s="313" t="s">
        <v>393</v>
      </c>
      <c r="C22" s="313" t="s">
        <v>466</v>
      </c>
      <c r="D22" s="313" t="s">
        <v>467</v>
      </c>
      <c r="E22" s="322" t="s">
        <v>329</v>
      </c>
      <c r="F22" s="313" t="s">
        <v>974</v>
      </c>
      <c r="G22" s="339">
        <v>0</v>
      </c>
      <c r="H22" s="340">
        <v>0</v>
      </c>
      <c r="I22" s="339">
        <v>782070</v>
      </c>
      <c r="J22" s="340">
        <v>118.65</v>
      </c>
      <c r="K22" s="341">
        <v>781951.35</v>
      </c>
      <c r="L22" s="342">
        <v>0</v>
      </c>
      <c r="M22" s="336"/>
      <c r="N22" s="343"/>
      <c r="O22" s="344"/>
      <c r="P22" s="343">
        <f t="shared" si="1"/>
        <v>781951.35</v>
      </c>
      <c r="Q22" s="344">
        <f t="shared" si="2"/>
        <v>0</v>
      </c>
      <c r="R22" s="328">
        <f t="shared" si="3"/>
        <v>781951.35</v>
      </c>
    </row>
    <row r="23" spans="1:18" hidden="1">
      <c r="A23" s="318" t="s">
        <v>689</v>
      </c>
      <c r="B23" s="313" t="s">
        <v>15</v>
      </c>
      <c r="C23" s="313" t="s">
        <v>466</v>
      </c>
      <c r="D23" s="313" t="s">
        <v>467</v>
      </c>
      <c r="E23" s="322" t="s">
        <v>329</v>
      </c>
      <c r="F23" s="313" t="s">
        <v>1026</v>
      </c>
      <c r="G23" s="339">
        <v>19147.189999999999</v>
      </c>
      <c r="H23" s="340">
        <v>0</v>
      </c>
      <c r="I23" s="339">
        <v>0</v>
      </c>
      <c r="J23" s="340">
        <v>0</v>
      </c>
      <c r="K23" s="341">
        <v>19147.189999999999</v>
      </c>
      <c r="L23" s="342">
        <v>0</v>
      </c>
      <c r="M23" s="336"/>
      <c r="N23" s="343"/>
      <c r="O23" s="344"/>
      <c r="P23" s="343">
        <f t="shared" si="1"/>
        <v>19147.189999999999</v>
      </c>
      <c r="Q23" s="344">
        <f t="shared" si="2"/>
        <v>0</v>
      </c>
      <c r="R23" s="328">
        <f t="shared" si="3"/>
        <v>19147.189999999999</v>
      </c>
    </row>
    <row r="24" spans="1:18" hidden="1">
      <c r="A24" s="318" t="s">
        <v>689</v>
      </c>
      <c r="B24" s="313" t="s">
        <v>14</v>
      </c>
      <c r="C24" s="313" t="s">
        <v>466</v>
      </c>
      <c r="D24" s="313" t="s">
        <v>467</v>
      </c>
      <c r="E24" s="322" t="s">
        <v>329</v>
      </c>
      <c r="F24" s="313" t="s">
        <v>992</v>
      </c>
      <c r="G24" s="339">
        <v>543514.44999999995</v>
      </c>
      <c r="H24" s="340">
        <v>0</v>
      </c>
      <c r="I24" s="339">
        <v>2804076</v>
      </c>
      <c r="J24" s="340">
        <v>4116044.55</v>
      </c>
      <c r="K24" s="341">
        <v>0</v>
      </c>
      <c r="L24" s="342">
        <v>768454.1</v>
      </c>
      <c r="M24" s="336"/>
      <c r="N24" s="343"/>
      <c r="O24" s="344"/>
      <c r="P24" s="343">
        <f t="shared" si="1"/>
        <v>0</v>
      </c>
      <c r="Q24" s="344">
        <f t="shared" si="2"/>
        <v>768454.1</v>
      </c>
      <c r="R24" s="328">
        <f t="shared" si="3"/>
        <v>-768454.1</v>
      </c>
    </row>
    <row r="25" spans="1:18" hidden="1">
      <c r="A25" s="318" t="s">
        <v>690</v>
      </c>
      <c r="B25" s="313" t="s">
        <v>17</v>
      </c>
      <c r="C25" s="313" t="s">
        <v>466</v>
      </c>
      <c r="D25" s="313" t="s">
        <v>467</v>
      </c>
      <c r="E25" s="322" t="s">
        <v>329</v>
      </c>
      <c r="F25" s="313" t="s">
        <v>1014</v>
      </c>
      <c r="G25" s="339">
        <v>0</v>
      </c>
      <c r="H25" s="340">
        <v>1024677.11</v>
      </c>
      <c r="I25" s="339">
        <v>0</v>
      </c>
      <c r="J25" s="340">
        <v>0</v>
      </c>
      <c r="K25" s="341">
        <v>0</v>
      </c>
      <c r="L25" s="342">
        <v>1024677.11</v>
      </c>
      <c r="M25" s="336"/>
      <c r="N25" s="343"/>
      <c r="O25" s="344"/>
      <c r="P25" s="343">
        <f t="shared" si="1"/>
        <v>0</v>
      </c>
      <c r="Q25" s="344">
        <f t="shared" si="2"/>
        <v>1024677.11</v>
      </c>
      <c r="R25" s="328">
        <f t="shared" si="3"/>
        <v>-1024677.11</v>
      </c>
    </row>
    <row r="26" spans="1:18" hidden="1">
      <c r="A26" s="318" t="s">
        <v>690</v>
      </c>
      <c r="B26" s="313" t="s">
        <v>19</v>
      </c>
      <c r="C26" s="313" t="s">
        <v>466</v>
      </c>
      <c r="D26" s="313" t="s">
        <v>467</v>
      </c>
      <c r="E26" s="322" t="s">
        <v>329</v>
      </c>
      <c r="F26" s="313" t="s">
        <v>1020</v>
      </c>
      <c r="G26" s="339">
        <v>40198.14</v>
      </c>
      <c r="H26" s="340">
        <v>0</v>
      </c>
      <c r="I26" s="339">
        <v>0</v>
      </c>
      <c r="J26" s="340">
        <v>0</v>
      </c>
      <c r="K26" s="341">
        <v>40198.14</v>
      </c>
      <c r="L26" s="342">
        <v>0</v>
      </c>
      <c r="M26" s="336"/>
      <c r="N26" s="343"/>
      <c r="O26" s="344"/>
      <c r="P26" s="343">
        <f t="shared" si="1"/>
        <v>40198.14</v>
      </c>
      <c r="Q26" s="344">
        <f t="shared" si="2"/>
        <v>0</v>
      </c>
      <c r="R26" s="328">
        <f t="shared" si="3"/>
        <v>40198.14</v>
      </c>
    </row>
    <row r="27" spans="1:18" hidden="1">
      <c r="A27" s="318" t="s">
        <v>690</v>
      </c>
      <c r="B27" s="313" t="s">
        <v>18</v>
      </c>
      <c r="C27" s="313" t="s">
        <v>466</v>
      </c>
      <c r="D27" s="313" t="s">
        <v>467</v>
      </c>
      <c r="E27" s="322" t="s">
        <v>329</v>
      </c>
      <c r="F27" s="313" t="s">
        <v>1027</v>
      </c>
      <c r="G27" s="339">
        <v>1025090.83</v>
      </c>
      <c r="H27" s="340">
        <v>0</v>
      </c>
      <c r="I27" s="339">
        <v>0</v>
      </c>
      <c r="J27" s="340">
        <v>158.19999999999999</v>
      </c>
      <c r="K27" s="341">
        <v>1024932.63</v>
      </c>
      <c r="L27" s="342">
        <v>0</v>
      </c>
      <c r="M27" s="336"/>
      <c r="N27" s="343"/>
      <c r="O27" s="344"/>
      <c r="P27" s="343">
        <f t="shared" si="1"/>
        <v>1024932.63</v>
      </c>
      <c r="Q27" s="344">
        <f t="shared" si="2"/>
        <v>0</v>
      </c>
      <c r="R27" s="328">
        <f t="shared" si="3"/>
        <v>1024932.63</v>
      </c>
    </row>
    <row r="28" spans="1:18" hidden="1">
      <c r="A28" s="318" t="s">
        <v>691</v>
      </c>
      <c r="B28" s="313" t="s">
        <v>20</v>
      </c>
      <c r="C28" s="313" t="s">
        <v>466</v>
      </c>
      <c r="D28" s="313" t="s">
        <v>467</v>
      </c>
      <c r="E28" s="322" t="s">
        <v>329</v>
      </c>
      <c r="F28" s="313" t="s">
        <v>974</v>
      </c>
      <c r="G28" s="339">
        <v>306969.84999999998</v>
      </c>
      <c r="H28" s="340">
        <v>0</v>
      </c>
      <c r="I28" s="339">
        <v>651620</v>
      </c>
      <c r="J28" s="340">
        <v>665197.75</v>
      </c>
      <c r="K28" s="341">
        <v>293392.09999999998</v>
      </c>
      <c r="L28" s="342">
        <v>0</v>
      </c>
      <c r="M28" s="336"/>
      <c r="N28" s="343"/>
      <c r="O28" s="344"/>
      <c r="P28" s="343">
        <f t="shared" si="1"/>
        <v>293392.09999999998</v>
      </c>
      <c r="Q28" s="344">
        <f t="shared" si="2"/>
        <v>0</v>
      </c>
      <c r="R28" s="328">
        <f t="shared" si="3"/>
        <v>293392.09999999998</v>
      </c>
    </row>
    <row r="29" spans="1:18" hidden="1">
      <c r="A29" s="318" t="s">
        <v>692</v>
      </c>
      <c r="B29" s="313" t="s">
        <v>21</v>
      </c>
      <c r="C29" s="313" t="s">
        <v>466</v>
      </c>
      <c r="D29" s="313" t="s">
        <v>467</v>
      </c>
      <c r="E29" s="322" t="s">
        <v>329</v>
      </c>
      <c r="F29" s="313" t="s">
        <v>974</v>
      </c>
      <c r="G29" s="339">
        <v>6261.86</v>
      </c>
      <c r="H29" s="340">
        <v>0</v>
      </c>
      <c r="I29" s="339">
        <v>0</v>
      </c>
      <c r="J29" s="340">
        <v>0</v>
      </c>
      <c r="K29" s="341">
        <v>6261.86</v>
      </c>
      <c r="L29" s="342">
        <v>0</v>
      </c>
      <c r="M29" s="336"/>
      <c r="N29" s="343"/>
      <c r="O29" s="344"/>
      <c r="P29" s="343">
        <f t="shared" si="1"/>
        <v>6261.86</v>
      </c>
      <c r="Q29" s="344">
        <f t="shared" si="2"/>
        <v>0</v>
      </c>
      <c r="R29" s="400">
        <f t="shared" si="3"/>
        <v>6261.86</v>
      </c>
    </row>
    <row r="30" spans="1:18" hidden="1">
      <c r="A30" s="318" t="s">
        <v>693</v>
      </c>
      <c r="B30" s="313" t="s">
        <v>22</v>
      </c>
      <c r="C30" s="313" t="s">
        <v>466</v>
      </c>
      <c r="D30" s="313" t="s">
        <v>467</v>
      </c>
      <c r="E30" s="322" t="s">
        <v>329</v>
      </c>
      <c r="F30" s="313" t="s">
        <v>1015</v>
      </c>
      <c r="G30" s="339">
        <v>232.14</v>
      </c>
      <c r="H30" s="340">
        <v>0</v>
      </c>
      <c r="I30" s="339">
        <v>0</v>
      </c>
      <c r="J30" s="340">
        <v>0</v>
      </c>
      <c r="K30" s="341">
        <v>232.14</v>
      </c>
      <c r="L30" s="342">
        <v>0</v>
      </c>
      <c r="M30" s="336"/>
      <c r="N30" s="343"/>
      <c r="O30" s="344"/>
      <c r="P30" s="343">
        <f t="shared" si="1"/>
        <v>232.14</v>
      </c>
      <c r="Q30" s="344">
        <f t="shared" si="2"/>
        <v>0</v>
      </c>
      <c r="R30" s="328">
        <f t="shared" si="3"/>
        <v>232.14</v>
      </c>
    </row>
    <row r="31" spans="1:18" hidden="1">
      <c r="A31" s="318" t="s">
        <v>693</v>
      </c>
      <c r="B31" s="313" t="s">
        <v>23</v>
      </c>
      <c r="C31" s="313" t="s">
        <v>466</v>
      </c>
      <c r="D31" s="313" t="s">
        <v>467</v>
      </c>
      <c r="E31" s="322" t="s">
        <v>329</v>
      </c>
      <c r="F31" s="313" t="s">
        <v>1022</v>
      </c>
      <c r="G31" s="339">
        <v>11763167.83</v>
      </c>
      <c r="H31" s="340">
        <v>0</v>
      </c>
      <c r="I31" s="339">
        <v>839751</v>
      </c>
      <c r="J31" s="340">
        <v>12643173.15</v>
      </c>
      <c r="K31" s="341">
        <v>0</v>
      </c>
      <c r="L31" s="342">
        <v>40254.32</v>
      </c>
      <c r="M31" s="336"/>
      <c r="N31" s="343"/>
      <c r="O31" s="344"/>
      <c r="P31" s="343">
        <f t="shared" si="1"/>
        <v>0</v>
      </c>
      <c r="Q31" s="344">
        <f t="shared" si="2"/>
        <v>40254.32</v>
      </c>
      <c r="R31" s="328">
        <f t="shared" si="3"/>
        <v>-40254.32</v>
      </c>
    </row>
    <row r="32" spans="1:18" hidden="1">
      <c r="A32" s="318" t="s">
        <v>694</v>
      </c>
      <c r="B32" s="313" t="s">
        <v>25</v>
      </c>
      <c r="C32" s="313" t="s">
        <v>466</v>
      </c>
      <c r="D32" s="313" t="s">
        <v>467</v>
      </c>
      <c r="E32" s="322" t="s">
        <v>329</v>
      </c>
      <c r="F32" s="313" t="s">
        <v>1016</v>
      </c>
      <c r="G32" s="339">
        <v>160.1</v>
      </c>
      <c r="H32" s="340">
        <v>0</v>
      </c>
      <c r="I32" s="339">
        <v>0</v>
      </c>
      <c r="J32" s="340">
        <v>0</v>
      </c>
      <c r="K32" s="341">
        <v>160.1</v>
      </c>
      <c r="L32" s="342">
        <v>0</v>
      </c>
      <c r="M32" s="336"/>
      <c r="N32" s="343"/>
      <c r="O32" s="344"/>
      <c r="P32" s="343">
        <f t="shared" si="1"/>
        <v>160.1</v>
      </c>
      <c r="Q32" s="344">
        <f t="shared" si="2"/>
        <v>0</v>
      </c>
      <c r="R32" s="328">
        <f t="shared" si="3"/>
        <v>160.1</v>
      </c>
    </row>
    <row r="33" spans="1:18" hidden="1">
      <c r="A33" s="318" t="s">
        <v>694</v>
      </c>
      <c r="B33" s="313" t="s">
        <v>24</v>
      </c>
      <c r="C33" s="313" t="s">
        <v>466</v>
      </c>
      <c r="D33" s="313" t="s">
        <v>467</v>
      </c>
      <c r="E33" s="322" t="s">
        <v>329</v>
      </c>
      <c r="F33" s="313" t="s">
        <v>1024</v>
      </c>
      <c r="G33" s="339">
        <v>10142.9</v>
      </c>
      <c r="H33" s="340">
        <v>0</v>
      </c>
      <c r="I33" s="339">
        <v>754469</v>
      </c>
      <c r="J33" s="340">
        <v>764587.65</v>
      </c>
      <c r="K33" s="341">
        <v>24.25</v>
      </c>
      <c r="L33" s="342">
        <v>0</v>
      </c>
      <c r="M33" s="336"/>
      <c r="N33" s="343"/>
      <c r="O33" s="344"/>
      <c r="P33" s="343">
        <f t="shared" si="1"/>
        <v>24.25</v>
      </c>
      <c r="Q33" s="344">
        <f t="shared" si="2"/>
        <v>0</v>
      </c>
      <c r="R33" s="328">
        <f t="shared" si="3"/>
        <v>24.25</v>
      </c>
    </row>
    <row r="34" spans="1:18" hidden="1">
      <c r="A34" s="318" t="s">
        <v>695</v>
      </c>
      <c r="B34" s="313" t="s">
        <v>649</v>
      </c>
      <c r="C34" s="313" t="s">
        <v>466</v>
      </c>
      <c r="D34" s="313" t="s">
        <v>467</v>
      </c>
      <c r="E34" s="322" t="s">
        <v>329</v>
      </c>
      <c r="F34" s="313" t="s">
        <v>1017</v>
      </c>
      <c r="G34" s="339">
        <v>1214514.95</v>
      </c>
      <c r="H34" s="340">
        <v>0</v>
      </c>
      <c r="I34" s="339">
        <v>2125743.83</v>
      </c>
      <c r="J34" s="340">
        <v>3369197.21</v>
      </c>
      <c r="K34" s="341">
        <v>0</v>
      </c>
      <c r="L34" s="342">
        <v>28938.43</v>
      </c>
      <c r="M34" s="336"/>
      <c r="N34" s="343"/>
      <c r="O34" s="344"/>
      <c r="P34" s="343">
        <f t="shared" si="1"/>
        <v>0</v>
      </c>
      <c r="Q34" s="344">
        <f t="shared" si="2"/>
        <v>28938.43</v>
      </c>
      <c r="R34" s="328">
        <f t="shared" si="3"/>
        <v>-28938.43</v>
      </c>
    </row>
    <row r="35" spans="1:18" hidden="1">
      <c r="A35" s="318" t="s">
        <v>696</v>
      </c>
      <c r="B35" s="313" t="s">
        <v>26</v>
      </c>
      <c r="C35" s="313" t="s">
        <v>330</v>
      </c>
      <c r="D35" s="313" t="s">
        <v>330</v>
      </c>
      <c r="E35" s="322" t="s">
        <v>330</v>
      </c>
      <c r="F35" s="313" t="s">
        <v>974</v>
      </c>
      <c r="G35" s="339">
        <v>0</v>
      </c>
      <c r="H35" s="340">
        <v>14070</v>
      </c>
      <c r="I35" s="339">
        <v>0</v>
      </c>
      <c r="J35" s="340">
        <v>0</v>
      </c>
      <c r="K35" s="341">
        <v>0</v>
      </c>
      <c r="L35" s="342">
        <v>14070</v>
      </c>
      <c r="M35" s="336"/>
      <c r="N35" s="343"/>
      <c r="O35" s="344"/>
      <c r="P35" s="343">
        <f t="shared" si="1"/>
        <v>0</v>
      </c>
      <c r="Q35" s="344">
        <f t="shared" si="2"/>
        <v>14070</v>
      </c>
      <c r="R35" s="328">
        <f t="shared" si="3"/>
        <v>-14070</v>
      </c>
    </row>
    <row r="36" spans="1:18" ht="20" hidden="1">
      <c r="A36" s="318" t="s">
        <v>697</v>
      </c>
      <c r="B36" s="313" t="s">
        <v>27</v>
      </c>
      <c r="C36" s="313" t="s">
        <v>466</v>
      </c>
      <c r="D36" s="313" t="s">
        <v>563</v>
      </c>
      <c r="E36" s="322" t="s">
        <v>331</v>
      </c>
      <c r="F36" s="313" t="s">
        <v>1014</v>
      </c>
      <c r="G36" s="339">
        <v>7638</v>
      </c>
      <c r="H36" s="340">
        <v>0</v>
      </c>
      <c r="I36" s="339">
        <v>0</v>
      </c>
      <c r="J36" s="340">
        <v>0</v>
      </c>
      <c r="K36" s="341">
        <v>7638</v>
      </c>
      <c r="L36" s="342">
        <v>0</v>
      </c>
      <c r="M36" s="336"/>
      <c r="N36" s="343"/>
      <c r="O36" s="344"/>
      <c r="P36" s="343">
        <f t="shared" si="1"/>
        <v>7638</v>
      </c>
      <c r="Q36" s="344">
        <f t="shared" si="2"/>
        <v>0</v>
      </c>
      <c r="R36" s="328">
        <f t="shared" si="3"/>
        <v>7638</v>
      </c>
    </row>
    <row r="37" spans="1:18" ht="20" hidden="1">
      <c r="A37" s="318" t="s">
        <v>697</v>
      </c>
      <c r="B37" s="313" t="s">
        <v>28</v>
      </c>
      <c r="C37" s="313" t="s">
        <v>466</v>
      </c>
      <c r="D37" s="313" t="s">
        <v>563</v>
      </c>
      <c r="E37" s="322" t="s">
        <v>331</v>
      </c>
      <c r="F37" s="313" t="s">
        <v>974</v>
      </c>
      <c r="G37" s="339">
        <v>32238</v>
      </c>
      <c r="H37" s="340">
        <v>0</v>
      </c>
      <c r="I37" s="339">
        <v>0</v>
      </c>
      <c r="J37" s="340">
        <v>0</v>
      </c>
      <c r="K37" s="341">
        <v>32238</v>
      </c>
      <c r="L37" s="342">
        <v>0</v>
      </c>
      <c r="M37" s="336"/>
      <c r="N37" s="343"/>
      <c r="O37" s="344"/>
      <c r="P37" s="343">
        <f t="shared" si="1"/>
        <v>32238</v>
      </c>
      <c r="Q37" s="344">
        <f t="shared" si="2"/>
        <v>0</v>
      </c>
      <c r="R37" s="328">
        <f t="shared" si="3"/>
        <v>32238</v>
      </c>
    </row>
    <row r="38" spans="1:18" hidden="1">
      <c r="A38" s="318" t="s">
        <v>698</v>
      </c>
      <c r="B38" s="313" t="s">
        <v>29</v>
      </c>
      <c r="C38" s="313" t="s">
        <v>330</v>
      </c>
      <c r="D38" s="313" t="s">
        <v>330</v>
      </c>
      <c r="E38" s="322" t="s">
        <v>330</v>
      </c>
      <c r="F38" s="313" t="s">
        <v>974</v>
      </c>
      <c r="G38" s="339">
        <v>398399</v>
      </c>
      <c r="H38" s="340">
        <v>0</v>
      </c>
      <c r="I38" s="339">
        <v>0</v>
      </c>
      <c r="J38" s="340">
        <v>0</v>
      </c>
      <c r="K38" s="341">
        <v>398399</v>
      </c>
      <c r="L38" s="342">
        <v>0</v>
      </c>
      <c r="M38" s="336"/>
      <c r="N38" s="343"/>
      <c r="O38" s="344"/>
      <c r="P38" s="343">
        <f t="shared" si="1"/>
        <v>398399</v>
      </c>
      <c r="Q38" s="344">
        <f t="shared" si="2"/>
        <v>0</v>
      </c>
      <c r="R38" s="328">
        <f t="shared" si="3"/>
        <v>398399</v>
      </c>
    </row>
    <row r="39" spans="1:18" hidden="1">
      <c r="A39" s="318" t="s">
        <v>699</v>
      </c>
      <c r="B39" s="313" t="s">
        <v>31</v>
      </c>
      <c r="C39" s="313" t="s">
        <v>330</v>
      </c>
      <c r="D39" s="313" t="s">
        <v>330</v>
      </c>
      <c r="E39" s="322" t="s">
        <v>330</v>
      </c>
      <c r="F39" s="313" t="s">
        <v>1013</v>
      </c>
      <c r="G39" s="339">
        <v>95515</v>
      </c>
      <c r="H39" s="340">
        <v>0</v>
      </c>
      <c r="I39" s="339">
        <v>0</v>
      </c>
      <c r="J39" s="340">
        <v>0</v>
      </c>
      <c r="K39" s="341">
        <v>95515</v>
      </c>
      <c r="L39" s="342">
        <v>0</v>
      </c>
      <c r="M39" s="336"/>
      <c r="N39" s="343"/>
      <c r="O39" s="344"/>
      <c r="P39" s="343">
        <f t="shared" si="1"/>
        <v>95515</v>
      </c>
      <c r="Q39" s="344">
        <f t="shared" si="2"/>
        <v>0</v>
      </c>
      <c r="R39" s="328">
        <f t="shared" si="3"/>
        <v>95515</v>
      </c>
    </row>
    <row r="40" spans="1:18" hidden="1">
      <c r="A40" s="318" t="s">
        <v>699</v>
      </c>
      <c r="B40" s="313" t="s">
        <v>30</v>
      </c>
      <c r="C40" s="313" t="s">
        <v>330</v>
      </c>
      <c r="D40" s="313" t="s">
        <v>330</v>
      </c>
      <c r="E40" s="322" t="s">
        <v>330</v>
      </c>
      <c r="F40" s="313" t="s">
        <v>974</v>
      </c>
      <c r="G40" s="339">
        <v>196699</v>
      </c>
      <c r="H40" s="340">
        <v>0</v>
      </c>
      <c r="I40" s="339">
        <v>0</v>
      </c>
      <c r="J40" s="340">
        <v>0</v>
      </c>
      <c r="K40" s="341">
        <v>196699</v>
      </c>
      <c r="L40" s="342">
        <v>0</v>
      </c>
      <c r="M40" s="336"/>
      <c r="N40" s="343"/>
      <c r="O40" s="344"/>
      <c r="P40" s="343">
        <f t="shared" si="1"/>
        <v>196699</v>
      </c>
      <c r="Q40" s="344">
        <f t="shared" si="2"/>
        <v>0</v>
      </c>
      <c r="R40" s="328">
        <f t="shared" si="3"/>
        <v>196699</v>
      </c>
    </row>
    <row r="41" spans="1:18" ht="20" hidden="1">
      <c r="A41" s="318" t="s">
        <v>700</v>
      </c>
      <c r="B41" s="313" t="s">
        <v>32</v>
      </c>
      <c r="C41" s="313" t="s">
        <v>466</v>
      </c>
      <c r="D41" s="313" t="s">
        <v>563</v>
      </c>
      <c r="E41" s="322" t="s">
        <v>331</v>
      </c>
      <c r="F41" s="313" t="s">
        <v>974</v>
      </c>
      <c r="G41" s="339">
        <v>8160</v>
      </c>
      <c r="H41" s="340">
        <v>0</v>
      </c>
      <c r="I41" s="339">
        <v>0</v>
      </c>
      <c r="J41" s="340">
        <v>0</v>
      </c>
      <c r="K41" s="341">
        <v>8160</v>
      </c>
      <c r="L41" s="342">
        <v>0</v>
      </c>
      <c r="M41" s="336"/>
      <c r="N41" s="343"/>
      <c r="O41" s="344"/>
      <c r="P41" s="343">
        <f t="shared" si="1"/>
        <v>8160</v>
      </c>
      <c r="Q41" s="344">
        <f t="shared" si="2"/>
        <v>0</v>
      </c>
      <c r="R41" s="328">
        <f t="shared" si="3"/>
        <v>8160</v>
      </c>
    </row>
    <row r="42" spans="1:18" ht="20" hidden="1">
      <c r="A42" s="318" t="s">
        <v>701</v>
      </c>
      <c r="B42" s="313" t="s">
        <v>650</v>
      </c>
      <c r="C42" s="313" t="s">
        <v>466</v>
      </c>
      <c r="D42" s="313" t="s">
        <v>563</v>
      </c>
      <c r="E42" s="322" t="s">
        <v>331</v>
      </c>
      <c r="F42" s="313" t="s">
        <v>1017</v>
      </c>
      <c r="G42" s="339">
        <v>0</v>
      </c>
      <c r="H42" s="340">
        <v>8065</v>
      </c>
      <c r="I42" s="339">
        <v>0</v>
      </c>
      <c r="J42" s="340">
        <v>0</v>
      </c>
      <c r="K42" s="341">
        <v>0</v>
      </c>
      <c r="L42" s="342">
        <v>8065</v>
      </c>
      <c r="M42" s="336"/>
      <c r="N42" s="343"/>
      <c r="O42" s="344"/>
      <c r="P42" s="343">
        <f t="shared" si="1"/>
        <v>0</v>
      </c>
      <c r="Q42" s="344">
        <f t="shared" si="2"/>
        <v>8065</v>
      </c>
      <c r="R42" s="328">
        <f t="shared" si="3"/>
        <v>-8065</v>
      </c>
    </row>
    <row r="43" spans="1:18" hidden="1">
      <c r="A43" s="318" t="s">
        <v>702</v>
      </c>
      <c r="B43" s="313" t="s">
        <v>33</v>
      </c>
      <c r="C43" s="313" t="s">
        <v>330</v>
      </c>
      <c r="D43" s="313" t="s">
        <v>330</v>
      </c>
      <c r="E43" s="322" t="s">
        <v>330</v>
      </c>
      <c r="F43" s="313" t="s">
        <v>974</v>
      </c>
      <c r="G43" s="339">
        <v>11000</v>
      </c>
      <c r="H43" s="340">
        <v>0</v>
      </c>
      <c r="I43" s="339">
        <v>0</v>
      </c>
      <c r="J43" s="340">
        <v>0</v>
      </c>
      <c r="K43" s="341">
        <v>11000</v>
      </c>
      <c r="L43" s="342">
        <v>0</v>
      </c>
      <c r="M43" s="336"/>
      <c r="N43" s="343"/>
      <c r="O43" s="344"/>
      <c r="P43" s="343">
        <f t="shared" si="1"/>
        <v>11000</v>
      </c>
      <c r="Q43" s="344">
        <f t="shared" si="2"/>
        <v>0</v>
      </c>
      <c r="R43" s="328">
        <f t="shared" si="3"/>
        <v>11000</v>
      </c>
    </row>
    <row r="44" spans="1:18" hidden="1">
      <c r="A44" s="318" t="s">
        <v>703</v>
      </c>
      <c r="B44" s="313" t="s">
        <v>394</v>
      </c>
      <c r="C44" s="313" t="s">
        <v>330</v>
      </c>
      <c r="D44" s="313" t="s">
        <v>330</v>
      </c>
      <c r="E44" s="322" t="s">
        <v>330</v>
      </c>
      <c r="F44" s="313" t="s">
        <v>974</v>
      </c>
      <c r="G44" s="339">
        <v>0</v>
      </c>
      <c r="H44" s="340">
        <v>0</v>
      </c>
      <c r="I44" s="339">
        <v>15000</v>
      </c>
      <c r="J44" s="340">
        <v>15000</v>
      </c>
      <c r="K44" s="341">
        <v>0</v>
      </c>
      <c r="L44" s="342">
        <v>0</v>
      </c>
      <c r="M44" s="336"/>
      <c r="N44" s="343"/>
      <c r="O44" s="344"/>
      <c r="P44" s="343">
        <f t="shared" si="1"/>
        <v>0</v>
      </c>
      <c r="Q44" s="344">
        <f t="shared" si="2"/>
        <v>0</v>
      </c>
      <c r="R44" s="328">
        <f t="shared" si="3"/>
        <v>0</v>
      </c>
    </row>
    <row r="45" spans="1:18" hidden="1">
      <c r="A45" s="318" t="s">
        <v>704</v>
      </c>
      <c r="B45" s="313" t="s">
        <v>34</v>
      </c>
      <c r="C45" s="313" t="s">
        <v>473</v>
      </c>
      <c r="D45" s="313" t="s">
        <v>571</v>
      </c>
      <c r="E45" s="322" t="s">
        <v>332</v>
      </c>
      <c r="F45" s="313" t="s">
        <v>1014</v>
      </c>
      <c r="G45" s="339">
        <v>100000</v>
      </c>
      <c r="H45" s="340">
        <v>0</v>
      </c>
      <c r="I45" s="339">
        <v>0</v>
      </c>
      <c r="J45" s="340">
        <v>0</v>
      </c>
      <c r="K45" s="341">
        <v>100000</v>
      </c>
      <c r="L45" s="342">
        <v>0</v>
      </c>
      <c r="M45" s="336"/>
      <c r="N45" s="343"/>
      <c r="O45" s="344"/>
      <c r="P45" s="343">
        <f t="shared" si="1"/>
        <v>100000</v>
      </c>
      <c r="Q45" s="344">
        <f t="shared" si="2"/>
        <v>0</v>
      </c>
      <c r="R45" s="328">
        <f t="shared" si="3"/>
        <v>100000</v>
      </c>
    </row>
    <row r="46" spans="1:18" hidden="1">
      <c r="A46" s="318" t="s">
        <v>704</v>
      </c>
      <c r="B46" s="313" t="s">
        <v>37</v>
      </c>
      <c r="C46" s="313" t="s">
        <v>473</v>
      </c>
      <c r="D46" s="313" t="s">
        <v>571</v>
      </c>
      <c r="E46" s="322" t="s">
        <v>332</v>
      </c>
      <c r="F46" s="313" t="s">
        <v>974</v>
      </c>
      <c r="G46" s="339">
        <v>2423213</v>
      </c>
      <c r="H46" s="340">
        <v>0</v>
      </c>
      <c r="I46" s="339">
        <v>91579</v>
      </c>
      <c r="J46" s="340">
        <v>91579</v>
      </c>
      <c r="K46" s="341">
        <v>2423213</v>
      </c>
      <c r="L46" s="342">
        <v>0</v>
      </c>
      <c r="M46" s="336"/>
      <c r="N46" s="343"/>
      <c r="O46" s="344"/>
      <c r="P46" s="343">
        <f t="shared" si="1"/>
        <v>2423213</v>
      </c>
      <c r="Q46" s="344">
        <f t="shared" si="2"/>
        <v>0</v>
      </c>
      <c r="R46" s="328">
        <f t="shared" si="3"/>
        <v>2423213</v>
      </c>
    </row>
    <row r="47" spans="1:18" hidden="1">
      <c r="A47" s="318" t="s">
        <v>704</v>
      </c>
      <c r="B47" s="313" t="s">
        <v>35</v>
      </c>
      <c r="C47" s="313" t="s">
        <v>473</v>
      </c>
      <c r="D47" s="313" t="s">
        <v>571</v>
      </c>
      <c r="E47" s="322" t="s">
        <v>332</v>
      </c>
      <c r="F47" s="313" t="s">
        <v>1023</v>
      </c>
      <c r="G47" s="339">
        <v>8263</v>
      </c>
      <c r="H47" s="340">
        <v>0</v>
      </c>
      <c r="I47" s="339">
        <v>0</v>
      </c>
      <c r="J47" s="340">
        <v>0</v>
      </c>
      <c r="K47" s="341">
        <v>8263</v>
      </c>
      <c r="L47" s="342">
        <v>0</v>
      </c>
      <c r="M47" s="336"/>
      <c r="N47" s="343"/>
      <c r="O47" s="344"/>
      <c r="P47" s="343">
        <f t="shared" si="1"/>
        <v>8263</v>
      </c>
      <c r="Q47" s="344">
        <f t="shared" si="2"/>
        <v>0</v>
      </c>
      <c r="R47" s="328">
        <f t="shared" si="3"/>
        <v>8263</v>
      </c>
    </row>
    <row r="48" spans="1:18" hidden="1">
      <c r="A48" s="318" t="s">
        <v>704</v>
      </c>
      <c r="B48" s="313" t="s">
        <v>38</v>
      </c>
      <c r="C48" s="313" t="s">
        <v>473</v>
      </c>
      <c r="D48" s="313" t="s">
        <v>571</v>
      </c>
      <c r="E48" s="322" t="s">
        <v>332</v>
      </c>
      <c r="F48" s="313" t="s">
        <v>1011</v>
      </c>
      <c r="G48" s="339">
        <v>39644</v>
      </c>
      <c r="H48" s="340">
        <v>0</v>
      </c>
      <c r="I48" s="339">
        <v>0</v>
      </c>
      <c r="J48" s="340">
        <v>0</v>
      </c>
      <c r="K48" s="341">
        <v>39644</v>
      </c>
      <c r="L48" s="342">
        <v>0</v>
      </c>
      <c r="M48" s="336"/>
      <c r="N48" s="343"/>
      <c r="O48" s="344"/>
      <c r="P48" s="343">
        <f t="shared" si="1"/>
        <v>39644</v>
      </c>
      <c r="Q48" s="344">
        <f t="shared" si="2"/>
        <v>0</v>
      </c>
      <c r="R48" s="328">
        <f t="shared" si="3"/>
        <v>39644</v>
      </c>
    </row>
    <row r="49" spans="1:18" hidden="1">
      <c r="A49" s="318" t="s">
        <v>704</v>
      </c>
      <c r="B49" s="313" t="s">
        <v>651</v>
      </c>
      <c r="C49" s="313" t="s">
        <v>473</v>
      </c>
      <c r="D49" s="313" t="s">
        <v>571</v>
      </c>
      <c r="E49" s="322" t="s">
        <v>332</v>
      </c>
      <c r="F49" s="313" t="s">
        <v>1017</v>
      </c>
      <c r="G49" s="339">
        <v>104420</v>
      </c>
      <c r="H49" s="340">
        <v>0</v>
      </c>
      <c r="I49" s="339">
        <v>0</v>
      </c>
      <c r="J49" s="340">
        <v>0</v>
      </c>
      <c r="K49" s="341">
        <v>104420</v>
      </c>
      <c r="L49" s="342">
        <v>0</v>
      </c>
      <c r="M49" s="336"/>
      <c r="N49" s="343"/>
      <c r="O49" s="344"/>
      <c r="P49" s="343">
        <f t="shared" si="1"/>
        <v>104420</v>
      </c>
      <c r="Q49" s="344">
        <f t="shared" si="2"/>
        <v>0</v>
      </c>
      <c r="R49" s="328">
        <f t="shared" si="3"/>
        <v>104420</v>
      </c>
    </row>
    <row r="50" spans="1:18" hidden="1">
      <c r="A50" s="318" t="s">
        <v>704</v>
      </c>
      <c r="B50" s="313" t="s">
        <v>36</v>
      </c>
      <c r="C50" s="313" t="s">
        <v>473</v>
      </c>
      <c r="D50" s="316" t="s">
        <v>571</v>
      </c>
      <c r="E50" s="322" t="s">
        <v>332</v>
      </c>
      <c r="F50" s="313" t="s">
        <v>1022</v>
      </c>
      <c r="G50" s="339">
        <v>99286</v>
      </c>
      <c r="H50" s="340">
        <v>0</v>
      </c>
      <c r="I50" s="339">
        <f>Adjustments!D24</f>
        <v>4132189</v>
      </c>
      <c r="J50" s="340">
        <f>+Adjustments!E104</f>
        <v>2739124</v>
      </c>
      <c r="K50" s="341">
        <f>+G50+I50-J50</f>
        <v>1492351</v>
      </c>
      <c r="L50" s="342">
        <v>0</v>
      </c>
      <c r="M50" s="336"/>
      <c r="N50" s="343">
        <v>0</v>
      </c>
      <c r="O50" s="344"/>
      <c r="P50" s="343">
        <f t="shared" si="1"/>
        <v>1492351</v>
      </c>
      <c r="Q50" s="344">
        <f t="shared" si="2"/>
        <v>0</v>
      </c>
      <c r="R50" s="328">
        <f t="shared" si="3"/>
        <v>1492351</v>
      </c>
    </row>
    <row r="51" spans="1:18" ht="20" hidden="1">
      <c r="A51" s="318" t="s">
        <v>705</v>
      </c>
      <c r="B51" s="313" t="s">
        <v>40</v>
      </c>
      <c r="C51" s="313" t="s">
        <v>466</v>
      </c>
      <c r="D51" s="313" t="s">
        <v>563</v>
      </c>
      <c r="E51" s="322" t="s">
        <v>331</v>
      </c>
      <c r="F51" s="313" t="s">
        <v>1014</v>
      </c>
      <c r="G51" s="339">
        <v>12147.56</v>
      </c>
      <c r="H51" s="340">
        <v>0</v>
      </c>
      <c r="I51" s="339">
        <v>0</v>
      </c>
      <c r="J51" s="340">
        <v>0</v>
      </c>
      <c r="K51" s="341">
        <v>12147.56</v>
      </c>
      <c r="L51" s="342">
        <v>0</v>
      </c>
      <c r="M51" s="336"/>
      <c r="N51" s="343"/>
      <c r="O51" s="344"/>
      <c r="P51" s="343">
        <f t="shared" si="1"/>
        <v>12147.56</v>
      </c>
      <c r="Q51" s="344">
        <f t="shared" si="2"/>
        <v>0</v>
      </c>
      <c r="R51" s="328">
        <f t="shared" si="3"/>
        <v>12147.56</v>
      </c>
    </row>
    <row r="52" spans="1:18" ht="20" hidden="1">
      <c r="A52" s="318" t="s">
        <v>705</v>
      </c>
      <c r="B52" s="313" t="s">
        <v>45</v>
      </c>
      <c r="C52" s="313" t="s">
        <v>466</v>
      </c>
      <c r="D52" s="313" t="s">
        <v>563</v>
      </c>
      <c r="E52" s="322" t="s">
        <v>331</v>
      </c>
      <c r="F52" s="313" t="s">
        <v>974</v>
      </c>
      <c r="G52" s="339">
        <v>428160.85</v>
      </c>
      <c r="H52" s="340">
        <v>0</v>
      </c>
      <c r="I52" s="339">
        <v>0</v>
      </c>
      <c r="J52" s="340">
        <v>0</v>
      </c>
      <c r="K52" s="341">
        <v>428160.85</v>
      </c>
      <c r="L52" s="342">
        <v>0</v>
      </c>
      <c r="M52" s="336"/>
      <c r="N52" s="343"/>
      <c r="O52" s="344"/>
      <c r="P52" s="343">
        <f t="shared" si="1"/>
        <v>428160.85</v>
      </c>
      <c r="Q52" s="344">
        <f t="shared" si="2"/>
        <v>0</v>
      </c>
      <c r="R52" s="328">
        <f t="shared" si="3"/>
        <v>428160.85</v>
      </c>
    </row>
    <row r="53" spans="1:18" ht="20" hidden="1">
      <c r="A53" s="318" t="s">
        <v>705</v>
      </c>
      <c r="B53" s="313" t="s">
        <v>47</v>
      </c>
      <c r="C53" s="313" t="s">
        <v>466</v>
      </c>
      <c r="D53" s="313" t="s">
        <v>563</v>
      </c>
      <c r="E53" s="322" t="s">
        <v>331</v>
      </c>
      <c r="F53" s="313" t="s">
        <v>1011</v>
      </c>
      <c r="G53" s="339">
        <v>54597</v>
      </c>
      <c r="H53" s="340">
        <v>0</v>
      </c>
      <c r="I53" s="339">
        <v>0</v>
      </c>
      <c r="J53" s="340">
        <v>0</v>
      </c>
      <c r="K53" s="341">
        <v>54597</v>
      </c>
      <c r="L53" s="342">
        <v>0</v>
      </c>
      <c r="M53" s="336"/>
      <c r="N53" s="343"/>
      <c r="O53" s="344"/>
      <c r="P53" s="343">
        <f t="shared" si="1"/>
        <v>54597</v>
      </c>
      <c r="Q53" s="344">
        <f t="shared" si="2"/>
        <v>0</v>
      </c>
      <c r="R53" s="328">
        <f t="shared" si="3"/>
        <v>54597</v>
      </c>
    </row>
    <row r="54" spans="1:18" ht="20" hidden="1">
      <c r="A54" s="318" t="s">
        <v>705</v>
      </c>
      <c r="B54" s="313" t="s">
        <v>652</v>
      </c>
      <c r="C54" s="313" t="s">
        <v>466</v>
      </c>
      <c r="D54" s="313" t="s">
        <v>563</v>
      </c>
      <c r="E54" s="322" t="s">
        <v>331</v>
      </c>
      <c r="F54" s="313" t="s">
        <v>1017</v>
      </c>
      <c r="G54" s="339">
        <v>18066.37</v>
      </c>
      <c r="H54" s="340">
        <v>0</v>
      </c>
      <c r="I54" s="339">
        <v>0</v>
      </c>
      <c r="J54" s="340">
        <v>0</v>
      </c>
      <c r="K54" s="341">
        <v>18066.37</v>
      </c>
      <c r="L54" s="342">
        <v>0</v>
      </c>
      <c r="M54" s="336"/>
      <c r="N54" s="343"/>
      <c r="O54" s="344"/>
      <c r="P54" s="343">
        <f t="shared" si="1"/>
        <v>18066.37</v>
      </c>
      <c r="Q54" s="344">
        <f t="shared" si="2"/>
        <v>0</v>
      </c>
      <c r="R54" s="328">
        <f t="shared" si="3"/>
        <v>18066.37</v>
      </c>
    </row>
    <row r="55" spans="1:18" ht="20" hidden="1">
      <c r="A55" s="318" t="s">
        <v>705</v>
      </c>
      <c r="B55" s="313" t="s">
        <v>48</v>
      </c>
      <c r="C55" s="313" t="s">
        <v>466</v>
      </c>
      <c r="D55" s="313" t="s">
        <v>563</v>
      </c>
      <c r="E55" s="322" t="s">
        <v>331</v>
      </c>
      <c r="F55" s="313" t="s">
        <v>1025</v>
      </c>
      <c r="G55" s="339">
        <v>5422.94</v>
      </c>
      <c r="H55" s="340">
        <v>0</v>
      </c>
      <c r="I55" s="339">
        <v>0</v>
      </c>
      <c r="J55" s="340">
        <v>0</v>
      </c>
      <c r="K55" s="341">
        <v>5422.94</v>
      </c>
      <c r="L55" s="342">
        <v>0</v>
      </c>
      <c r="M55" s="336"/>
      <c r="N55" s="343"/>
      <c r="O55" s="344"/>
      <c r="P55" s="343">
        <f t="shared" si="1"/>
        <v>5422.94</v>
      </c>
      <c r="Q55" s="344">
        <f t="shared" si="2"/>
        <v>0</v>
      </c>
      <c r="R55" s="328">
        <f t="shared" si="3"/>
        <v>5422.94</v>
      </c>
    </row>
    <row r="56" spans="1:18" ht="20" hidden="1">
      <c r="A56" s="318" t="s">
        <v>705</v>
      </c>
      <c r="B56" s="313" t="s">
        <v>46</v>
      </c>
      <c r="C56" s="313" t="s">
        <v>466</v>
      </c>
      <c r="D56" s="313" t="s">
        <v>563</v>
      </c>
      <c r="E56" s="322" t="s">
        <v>331</v>
      </c>
      <c r="F56" s="313" t="s">
        <v>1024</v>
      </c>
      <c r="G56" s="339">
        <v>25.1</v>
      </c>
      <c r="H56" s="340">
        <v>0</v>
      </c>
      <c r="I56" s="339">
        <v>0</v>
      </c>
      <c r="J56" s="340">
        <v>0</v>
      </c>
      <c r="K56" s="341">
        <v>25.1</v>
      </c>
      <c r="L56" s="342">
        <v>0</v>
      </c>
      <c r="M56" s="336"/>
      <c r="N56" s="343"/>
      <c r="O56" s="344"/>
      <c r="P56" s="343">
        <f t="shared" si="1"/>
        <v>25.1</v>
      </c>
      <c r="Q56" s="344">
        <f t="shared" si="2"/>
        <v>0</v>
      </c>
      <c r="R56" s="328">
        <f t="shared" si="3"/>
        <v>25.1</v>
      </c>
    </row>
    <row r="57" spans="1:18" ht="20" hidden="1">
      <c r="A57" s="318" t="s">
        <v>705</v>
      </c>
      <c r="B57" s="313" t="s">
        <v>44</v>
      </c>
      <c r="C57" s="313" t="s">
        <v>466</v>
      </c>
      <c r="D57" s="313" t="s">
        <v>563</v>
      </c>
      <c r="E57" s="322" t="s">
        <v>331</v>
      </c>
      <c r="F57" s="313" t="s">
        <v>1022</v>
      </c>
      <c r="G57" s="339">
        <v>21087.17</v>
      </c>
      <c r="H57" s="340">
        <v>0</v>
      </c>
      <c r="I57" s="339">
        <v>0</v>
      </c>
      <c r="J57" s="340">
        <v>0</v>
      </c>
      <c r="K57" s="341">
        <v>21087.17</v>
      </c>
      <c r="L57" s="342">
        <v>0</v>
      </c>
      <c r="M57" s="336"/>
      <c r="N57" s="343"/>
      <c r="O57" s="344"/>
      <c r="P57" s="343">
        <f t="shared" si="1"/>
        <v>21087.17</v>
      </c>
      <c r="Q57" s="344">
        <f t="shared" si="2"/>
        <v>0</v>
      </c>
      <c r="R57" s="328">
        <f t="shared" si="3"/>
        <v>21087.17</v>
      </c>
    </row>
    <row r="58" spans="1:18" ht="20" hidden="1">
      <c r="A58" s="318" t="s">
        <v>705</v>
      </c>
      <c r="B58" s="313" t="s">
        <v>41</v>
      </c>
      <c r="C58" s="313" t="s">
        <v>466</v>
      </c>
      <c r="D58" s="313" t="s">
        <v>563</v>
      </c>
      <c r="E58" s="322" t="s">
        <v>331</v>
      </c>
      <c r="F58" s="313" t="s">
        <v>1019</v>
      </c>
      <c r="G58" s="339">
        <v>15517.17</v>
      </c>
      <c r="H58" s="340">
        <v>0</v>
      </c>
      <c r="I58" s="339">
        <v>0</v>
      </c>
      <c r="J58" s="340">
        <v>0</v>
      </c>
      <c r="K58" s="341">
        <v>15517.17</v>
      </c>
      <c r="L58" s="342">
        <v>0</v>
      </c>
      <c r="M58" s="336"/>
      <c r="N58" s="343"/>
      <c r="O58" s="344"/>
      <c r="P58" s="343">
        <f t="shared" si="1"/>
        <v>15517.17</v>
      </c>
      <c r="Q58" s="344">
        <f t="shared" si="2"/>
        <v>0</v>
      </c>
      <c r="R58" s="328">
        <f t="shared" si="3"/>
        <v>15517.17</v>
      </c>
    </row>
    <row r="59" spans="1:18" ht="20" hidden="1">
      <c r="A59" s="318" t="s">
        <v>705</v>
      </c>
      <c r="B59" s="313" t="s">
        <v>43</v>
      </c>
      <c r="C59" s="313" t="s">
        <v>466</v>
      </c>
      <c r="D59" s="313" t="s">
        <v>563</v>
      </c>
      <c r="E59" s="322" t="s">
        <v>331</v>
      </c>
      <c r="F59" s="313" t="s">
        <v>1026</v>
      </c>
      <c r="G59" s="339">
        <v>15961.81</v>
      </c>
      <c r="H59" s="340">
        <v>0</v>
      </c>
      <c r="I59" s="339">
        <v>0</v>
      </c>
      <c r="J59" s="340">
        <v>0</v>
      </c>
      <c r="K59" s="341">
        <v>15961.81</v>
      </c>
      <c r="L59" s="342">
        <v>0</v>
      </c>
      <c r="M59" s="336"/>
      <c r="N59" s="343"/>
      <c r="O59" s="344"/>
      <c r="P59" s="343">
        <f t="shared" si="1"/>
        <v>15961.81</v>
      </c>
      <c r="Q59" s="344">
        <f t="shared" si="2"/>
        <v>0</v>
      </c>
      <c r="R59" s="328">
        <f t="shared" si="3"/>
        <v>15961.81</v>
      </c>
    </row>
    <row r="60" spans="1:18" ht="20" hidden="1">
      <c r="A60" s="318" t="s">
        <v>705</v>
      </c>
      <c r="B60" s="313" t="s">
        <v>42</v>
      </c>
      <c r="C60" s="313" t="s">
        <v>466</v>
      </c>
      <c r="D60" s="313" t="s">
        <v>563</v>
      </c>
      <c r="E60" s="322" t="s">
        <v>331</v>
      </c>
      <c r="F60" s="313" t="s">
        <v>1027</v>
      </c>
      <c r="G60" s="339">
        <v>2590.77</v>
      </c>
      <c r="H60" s="340">
        <v>0</v>
      </c>
      <c r="I60" s="339">
        <v>0</v>
      </c>
      <c r="J60" s="340">
        <v>0</v>
      </c>
      <c r="K60" s="341">
        <v>2590.77</v>
      </c>
      <c r="L60" s="342">
        <v>0</v>
      </c>
      <c r="M60" s="336"/>
      <c r="N60" s="343"/>
      <c r="O60" s="344"/>
      <c r="P60" s="343">
        <f t="shared" si="1"/>
        <v>2590.77</v>
      </c>
      <c r="Q60" s="344">
        <f t="shared" si="2"/>
        <v>0</v>
      </c>
      <c r="R60" s="328">
        <f t="shared" si="3"/>
        <v>2590.77</v>
      </c>
    </row>
    <row r="61" spans="1:18" ht="20" hidden="1">
      <c r="A61" s="318" t="s">
        <v>705</v>
      </c>
      <c r="B61" s="313" t="s">
        <v>39</v>
      </c>
      <c r="C61" s="313" t="s">
        <v>466</v>
      </c>
      <c r="D61" s="313" t="s">
        <v>563</v>
      </c>
      <c r="E61" s="322" t="s">
        <v>331</v>
      </c>
      <c r="F61" s="313" t="s">
        <v>992</v>
      </c>
      <c r="G61" s="339">
        <v>4.55</v>
      </c>
      <c r="H61" s="340">
        <v>0</v>
      </c>
      <c r="I61" s="339">
        <v>0</v>
      </c>
      <c r="J61" s="340">
        <v>0</v>
      </c>
      <c r="K61" s="341">
        <v>4.55</v>
      </c>
      <c r="L61" s="342">
        <v>0</v>
      </c>
      <c r="M61" s="336"/>
      <c r="N61" s="343"/>
      <c r="O61" s="344"/>
      <c r="P61" s="343">
        <f t="shared" si="1"/>
        <v>4.55</v>
      </c>
      <c r="Q61" s="344">
        <f t="shared" si="2"/>
        <v>0</v>
      </c>
      <c r="R61" s="328">
        <f t="shared" si="3"/>
        <v>4.55</v>
      </c>
    </row>
    <row r="62" spans="1:18" ht="20" hidden="1">
      <c r="A62" s="318" t="s">
        <v>706</v>
      </c>
      <c r="B62" s="313" t="s">
        <v>49</v>
      </c>
      <c r="C62" s="313" t="s">
        <v>466</v>
      </c>
      <c r="D62" s="313" t="s">
        <v>563</v>
      </c>
      <c r="E62" s="322" t="s">
        <v>333</v>
      </c>
      <c r="F62" s="313" t="s">
        <v>974</v>
      </c>
      <c r="G62" s="339">
        <v>219700</v>
      </c>
      <c r="H62" s="340">
        <v>0</v>
      </c>
      <c r="I62" s="339">
        <v>0</v>
      </c>
      <c r="J62" s="340">
        <v>0</v>
      </c>
      <c r="K62" s="341">
        <v>219700</v>
      </c>
      <c r="L62" s="342">
        <v>0</v>
      </c>
      <c r="M62" s="336"/>
      <c r="N62" s="343"/>
      <c r="O62" s="344"/>
      <c r="P62" s="343">
        <f t="shared" si="1"/>
        <v>219700</v>
      </c>
      <c r="Q62" s="344">
        <f t="shared" si="2"/>
        <v>0</v>
      </c>
      <c r="R62" s="328">
        <f t="shared" si="3"/>
        <v>219700</v>
      </c>
    </row>
    <row r="63" spans="1:18" ht="20" hidden="1">
      <c r="A63" s="318" t="s">
        <v>707</v>
      </c>
      <c r="B63" s="313" t="s">
        <v>51</v>
      </c>
      <c r="C63" s="313" t="s">
        <v>466</v>
      </c>
      <c r="D63" s="313" t="s">
        <v>563</v>
      </c>
      <c r="E63" s="322" t="s">
        <v>331</v>
      </c>
      <c r="F63" s="313" t="s">
        <v>974</v>
      </c>
      <c r="G63" s="339">
        <v>50000</v>
      </c>
      <c r="H63" s="340">
        <v>0</v>
      </c>
      <c r="I63" s="339">
        <v>10000</v>
      </c>
      <c r="J63" s="340">
        <v>0</v>
      </c>
      <c r="K63" s="341">
        <v>60000</v>
      </c>
      <c r="L63" s="342">
        <v>0</v>
      </c>
      <c r="M63" s="336"/>
      <c r="N63" s="343"/>
      <c r="O63" s="344"/>
      <c r="P63" s="343">
        <f t="shared" si="1"/>
        <v>60000</v>
      </c>
      <c r="Q63" s="344">
        <f t="shared" si="2"/>
        <v>0</v>
      </c>
      <c r="R63" s="328">
        <f t="shared" si="3"/>
        <v>60000</v>
      </c>
    </row>
    <row r="64" spans="1:18" ht="20" hidden="1">
      <c r="A64" s="318" t="s">
        <v>707</v>
      </c>
      <c r="B64" s="313" t="s">
        <v>653</v>
      </c>
      <c r="C64" s="313" t="s">
        <v>466</v>
      </c>
      <c r="D64" s="313" t="s">
        <v>563</v>
      </c>
      <c r="E64" s="322" t="s">
        <v>331</v>
      </c>
      <c r="F64" s="313" t="s">
        <v>1017</v>
      </c>
      <c r="G64" s="339">
        <v>3571</v>
      </c>
      <c r="H64" s="340">
        <v>0</v>
      </c>
      <c r="I64" s="339">
        <v>30100</v>
      </c>
      <c r="J64" s="340">
        <v>30100</v>
      </c>
      <c r="K64" s="341">
        <v>3571</v>
      </c>
      <c r="L64" s="342">
        <v>0</v>
      </c>
      <c r="M64" s="336"/>
      <c r="N64" s="343"/>
      <c r="O64" s="344"/>
      <c r="P64" s="343">
        <f t="shared" si="1"/>
        <v>3571</v>
      </c>
      <c r="Q64" s="344">
        <f t="shared" si="2"/>
        <v>0</v>
      </c>
      <c r="R64" s="328">
        <f t="shared" si="3"/>
        <v>3571</v>
      </c>
    </row>
    <row r="65" spans="1:18" ht="20" hidden="1">
      <c r="A65" s="318" t="s">
        <v>707</v>
      </c>
      <c r="B65" s="313" t="s">
        <v>52</v>
      </c>
      <c r="C65" s="313" t="s">
        <v>466</v>
      </c>
      <c r="D65" s="313" t="s">
        <v>563</v>
      </c>
      <c r="E65" s="322" t="s">
        <v>331</v>
      </c>
      <c r="F65" s="313" t="s">
        <v>1021</v>
      </c>
      <c r="G65" s="339">
        <v>100</v>
      </c>
      <c r="H65" s="340">
        <v>0</v>
      </c>
      <c r="I65" s="339">
        <v>0</v>
      </c>
      <c r="J65" s="340">
        <v>0</v>
      </c>
      <c r="K65" s="341">
        <v>100</v>
      </c>
      <c r="L65" s="342">
        <v>0</v>
      </c>
      <c r="M65" s="336"/>
      <c r="N65" s="343"/>
      <c r="O65" s="344"/>
      <c r="P65" s="343">
        <f t="shared" si="1"/>
        <v>100</v>
      </c>
      <c r="Q65" s="344">
        <f t="shared" si="2"/>
        <v>0</v>
      </c>
      <c r="R65" s="328">
        <f t="shared" si="3"/>
        <v>100</v>
      </c>
    </row>
    <row r="66" spans="1:18" ht="20" hidden="1">
      <c r="A66" s="318" t="s">
        <v>707</v>
      </c>
      <c r="B66" s="313" t="s">
        <v>50</v>
      </c>
      <c r="C66" s="313" t="s">
        <v>466</v>
      </c>
      <c r="D66" s="313" t="s">
        <v>563</v>
      </c>
      <c r="E66" s="322" t="s">
        <v>331</v>
      </c>
      <c r="F66" s="313" t="s">
        <v>1022</v>
      </c>
      <c r="G66" s="339">
        <v>37320</v>
      </c>
      <c r="H66" s="340">
        <v>0</v>
      </c>
      <c r="I66" s="339">
        <v>80000</v>
      </c>
      <c r="J66" s="340">
        <v>80000</v>
      </c>
      <c r="K66" s="341">
        <v>37320</v>
      </c>
      <c r="L66" s="342">
        <v>0</v>
      </c>
      <c r="M66" s="336"/>
      <c r="N66" s="343"/>
      <c r="O66" s="344"/>
      <c r="P66" s="343">
        <f t="shared" si="1"/>
        <v>37320</v>
      </c>
      <c r="Q66" s="344">
        <f t="shared" si="2"/>
        <v>0</v>
      </c>
      <c r="R66" s="328">
        <f t="shared" si="3"/>
        <v>37320</v>
      </c>
    </row>
    <row r="67" spans="1:18" hidden="1">
      <c r="A67" s="318" t="s">
        <v>708</v>
      </c>
      <c r="B67" s="313" t="s">
        <v>62</v>
      </c>
      <c r="C67" s="313" t="s">
        <v>330</v>
      </c>
      <c r="D67" s="313" t="s">
        <v>330</v>
      </c>
      <c r="E67" s="322" t="s">
        <v>330</v>
      </c>
      <c r="F67" s="313" t="s">
        <v>1018</v>
      </c>
      <c r="G67" s="339">
        <v>2196476</v>
      </c>
      <c r="H67" s="340">
        <v>0</v>
      </c>
      <c r="I67" s="339">
        <v>0</v>
      </c>
      <c r="J67" s="340">
        <v>0</v>
      </c>
      <c r="K67" s="341">
        <v>2196476</v>
      </c>
      <c r="L67" s="342">
        <v>0</v>
      </c>
      <c r="M67" s="336"/>
      <c r="N67" s="343"/>
      <c r="O67" s="344"/>
      <c r="P67" s="343">
        <f t="shared" si="1"/>
        <v>2196476</v>
      </c>
      <c r="Q67" s="344">
        <f t="shared" si="2"/>
        <v>0</v>
      </c>
      <c r="R67" s="328">
        <f t="shared" si="3"/>
        <v>2196476</v>
      </c>
    </row>
    <row r="68" spans="1:18" hidden="1">
      <c r="A68" s="318" t="s">
        <v>708</v>
      </c>
      <c r="B68" s="313" t="s">
        <v>57</v>
      </c>
      <c r="C68" s="313" t="s">
        <v>330</v>
      </c>
      <c r="D68" s="313" t="s">
        <v>330</v>
      </c>
      <c r="E68" s="322" t="s">
        <v>330</v>
      </c>
      <c r="F68" s="313" t="s">
        <v>1013</v>
      </c>
      <c r="G68" s="339">
        <v>143528.63</v>
      </c>
      <c r="H68" s="340">
        <v>0</v>
      </c>
      <c r="I68" s="339">
        <v>0</v>
      </c>
      <c r="J68" s="340">
        <v>0</v>
      </c>
      <c r="K68" s="341">
        <v>143528.63</v>
      </c>
      <c r="L68" s="342">
        <v>0</v>
      </c>
      <c r="M68" s="336"/>
      <c r="N68" s="343"/>
      <c r="O68" s="344"/>
      <c r="P68" s="343">
        <f t="shared" si="1"/>
        <v>143528.63</v>
      </c>
      <c r="Q68" s="344">
        <f t="shared" si="2"/>
        <v>0</v>
      </c>
      <c r="R68" s="328">
        <f t="shared" si="3"/>
        <v>143528.63</v>
      </c>
    </row>
    <row r="69" spans="1:18" hidden="1">
      <c r="A69" s="318" t="s">
        <v>708</v>
      </c>
      <c r="B69" s="313" t="s">
        <v>53</v>
      </c>
      <c r="C69" s="313" t="s">
        <v>330</v>
      </c>
      <c r="D69" s="313" t="s">
        <v>330</v>
      </c>
      <c r="E69" s="322" t="s">
        <v>330</v>
      </c>
      <c r="F69" s="313" t="s">
        <v>1014</v>
      </c>
      <c r="G69" s="339">
        <v>3768214.11</v>
      </c>
      <c r="H69" s="340">
        <v>0</v>
      </c>
      <c r="I69" s="339">
        <v>0</v>
      </c>
      <c r="J69" s="340">
        <v>0</v>
      </c>
      <c r="K69" s="341">
        <v>3768214.11</v>
      </c>
      <c r="L69" s="342">
        <v>0</v>
      </c>
      <c r="M69" s="336"/>
      <c r="N69" s="343"/>
      <c r="O69" s="344"/>
      <c r="P69" s="343">
        <f t="shared" si="1"/>
        <v>3768214.11</v>
      </c>
      <c r="Q69" s="344">
        <f t="shared" si="2"/>
        <v>0</v>
      </c>
      <c r="R69" s="328">
        <f t="shared" si="3"/>
        <v>3768214.11</v>
      </c>
    </row>
    <row r="70" spans="1:18" hidden="1">
      <c r="A70" s="318" t="s">
        <v>708</v>
      </c>
      <c r="B70" s="313" t="s">
        <v>395</v>
      </c>
      <c r="C70" s="313" t="s">
        <v>330</v>
      </c>
      <c r="D70" s="313" t="s">
        <v>330</v>
      </c>
      <c r="E70" s="322" t="s">
        <v>330</v>
      </c>
      <c r="F70" s="313" t="s">
        <v>974</v>
      </c>
      <c r="G70" s="339">
        <v>0</v>
      </c>
      <c r="H70" s="340">
        <v>0</v>
      </c>
      <c r="I70" s="339">
        <v>300000</v>
      </c>
      <c r="J70" s="340">
        <v>300000</v>
      </c>
      <c r="K70" s="341">
        <v>0</v>
      </c>
      <c r="L70" s="342">
        <v>0</v>
      </c>
      <c r="M70" s="336"/>
      <c r="N70" s="343"/>
      <c r="O70" s="344"/>
      <c r="P70" s="343">
        <f t="shared" si="1"/>
        <v>0</v>
      </c>
      <c r="Q70" s="344">
        <f t="shared" si="2"/>
        <v>0</v>
      </c>
      <c r="R70" s="328">
        <f t="shared" si="3"/>
        <v>0</v>
      </c>
    </row>
    <row r="71" spans="1:18" hidden="1">
      <c r="A71" s="318" t="s">
        <v>708</v>
      </c>
      <c r="B71" s="313" t="s">
        <v>64</v>
      </c>
      <c r="C71" s="313" t="s">
        <v>330</v>
      </c>
      <c r="D71" s="313" t="s">
        <v>330</v>
      </c>
      <c r="E71" s="322" t="s">
        <v>330</v>
      </c>
      <c r="F71" s="313" t="s">
        <v>1023</v>
      </c>
      <c r="G71" s="339">
        <v>299904</v>
      </c>
      <c r="H71" s="340">
        <v>0</v>
      </c>
      <c r="I71" s="339">
        <v>0</v>
      </c>
      <c r="J71" s="340">
        <v>0</v>
      </c>
      <c r="K71" s="341">
        <v>299904</v>
      </c>
      <c r="L71" s="342">
        <v>0</v>
      </c>
      <c r="M71" s="336"/>
      <c r="N71" s="343"/>
      <c r="O71" s="344"/>
      <c r="P71" s="343">
        <f t="shared" ref="P71:P134" si="4">K71+N71</f>
        <v>299904</v>
      </c>
      <c r="Q71" s="344">
        <f t="shared" ref="Q71:Q134" si="5">L71+O71</f>
        <v>0</v>
      </c>
      <c r="R71" s="328">
        <f t="shared" ref="R71:R134" si="6">P71-Q71</f>
        <v>299904</v>
      </c>
    </row>
    <row r="72" spans="1:18" hidden="1">
      <c r="A72" s="318" t="s">
        <v>708</v>
      </c>
      <c r="B72" s="313" t="s">
        <v>61</v>
      </c>
      <c r="C72" s="313" t="s">
        <v>330</v>
      </c>
      <c r="D72" s="313" t="s">
        <v>330</v>
      </c>
      <c r="E72" s="322" t="s">
        <v>330</v>
      </c>
      <c r="F72" s="313" t="s">
        <v>1011</v>
      </c>
      <c r="G72" s="339">
        <v>1600481</v>
      </c>
      <c r="H72" s="340">
        <v>0</v>
      </c>
      <c r="I72" s="339">
        <v>0</v>
      </c>
      <c r="J72" s="340">
        <v>0</v>
      </c>
      <c r="K72" s="341">
        <v>1600481</v>
      </c>
      <c r="L72" s="342">
        <v>0</v>
      </c>
      <c r="M72" s="336"/>
      <c r="N72" s="343"/>
      <c r="O72" s="344"/>
      <c r="P72" s="343">
        <f t="shared" si="4"/>
        <v>1600481</v>
      </c>
      <c r="Q72" s="344">
        <f t="shared" si="5"/>
        <v>0</v>
      </c>
      <c r="R72" s="328">
        <f t="shared" si="6"/>
        <v>1600481</v>
      </c>
    </row>
    <row r="73" spans="1:18" hidden="1">
      <c r="A73" s="318" t="s">
        <v>708</v>
      </c>
      <c r="B73" s="313" t="s">
        <v>59</v>
      </c>
      <c r="C73" s="313" t="s">
        <v>330</v>
      </c>
      <c r="D73" s="313" t="s">
        <v>330</v>
      </c>
      <c r="E73" s="322" t="s">
        <v>330</v>
      </c>
      <c r="F73" s="313" t="s">
        <v>1012</v>
      </c>
      <c r="G73" s="339">
        <v>391647</v>
      </c>
      <c r="H73" s="340">
        <v>0</v>
      </c>
      <c r="I73" s="339">
        <v>0</v>
      </c>
      <c r="J73" s="340">
        <v>0</v>
      </c>
      <c r="K73" s="341">
        <v>391647</v>
      </c>
      <c r="L73" s="342">
        <v>0</v>
      </c>
      <c r="M73" s="336"/>
      <c r="N73" s="343"/>
      <c r="O73" s="344"/>
      <c r="P73" s="343">
        <f t="shared" si="4"/>
        <v>391647</v>
      </c>
      <c r="Q73" s="344">
        <f t="shared" si="5"/>
        <v>0</v>
      </c>
      <c r="R73" s="328">
        <f t="shared" si="6"/>
        <v>391647</v>
      </c>
    </row>
    <row r="74" spans="1:18" hidden="1">
      <c r="A74" s="318" t="s">
        <v>708</v>
      </c>
      <c r="B74" s="313" t="s">
        <v>60</v>
      </c>
      <c r="C74" s="313" t="s">
        <v>330</v>
      </c>
      <c r="D74" s="313" t="s">
        <v>330</v>
      </c>
      <c r="E74" s="322" t="s">
        <v>330</v>
      </c>
      <c r="F74" s="313" t="s">
        <v>1020</v>
      </c>
      <c r="G74" s="339">
        <v>2993633</v>
      </c>
      <c r="H74" s="340">
        <v>0</v>
      </c>
      <c r="I74" s="339">
        <v>0</v>
      </c>
      <c r="J74" s="340">
        <v>0</v>
      </c>
      <c r="K74" s="341">
        <v>2993633</v>
      </c>
      <c r="L74" s="342">
        <v>0</v>
      </c>
      <c r="M74" s="336"/>
      <c r="N74" s="343"/>
      <c r="O74" s="344"/>
      <c r="P74" s="343">
        <f t="shared" si="4"/>
        <v>2993633</v>
      </c>
      <c r="Q74" s="344">
        <f t="shared" si="5"/>
        <v>0</v>
      </c>
      <c r="R74" s="328">
        <f t="shared" si="6"/>
        <v>2993633</v>
      </c>
    </row>
    <row r="75" spans="1:18" hidden="1">
      <c r="A75" s="318" t="s">
        <v>708</v>
      </c>
      <c r="B75" s="313" t="s">
        <v>654</v>
      </c>
      <c r="C75" s="313" t="s">
        <v>330</v>
      </c>
      <c r="D75" s="313" t="s">
        <v>330</v>
      </c>
      <c r="E75" s="322" t="s">
        <v>330</v>
      </c>
      <c r="F75" s="313" t="s">
        <v>1017</v>
      </c>
      <c r="G75" s="339">
        <v>7905242</v>
      </c>
      <c r="H75" s="340">
        <v>0</v>
      </c>
      <c r="I75" s="339">
        <v>809000</v>
      </c>
      <c r="J75" s="340">
        <v>54000</v>
      </c>
      <c r="K75" s="341">
        <v>8660242</v>
      </c>
      <c r="L75" s="342">
        <v>0</v>
      </c>
      <c r="M75" s="336"/>
      <c r="N75" s="343"/>
      <c r="O75" s="344"/>
      <c r="P75" s="343">
        <f t="shared" si="4"/>
        <v>8660242</v>
      </c>
      <c r="Q75" s="344">
        <f t="shared" si="5"/>
        <v>0</v>
      </c>
      <c r="R75" s="328">
        <f t="shared" si="6"/>
        <v>8660242</v>
      </c>
    </row>
    <row r="76" spans="1:18" hidden="1">
      <c r="A76" s="318" t="s">
        <v>708</v>
      </c>
      <c r="B76" s="313" t="s">
        <v>63</v>
      </c>
      <c r="C76" s="313" t="s">
        <v>330</v>
      </c>
      <c r="D76" s="313" t="s">
        <v>330</v>
      </c>
      <c r="E76" s="322" t="s">
        <v>330</v>
      </c>
      <c r="F76" s="313" t="s">
        <v>1021</v>
      </c>
      <c r="G76" s="339">
        <v>738524</v>
      </c>
      <c r="H76" s="340">
        <v>0</v>
      </c>
      <c r="I76" s="339">
        <v>0</v>
      </c>
      <c r="J76" s="340">
        <v>0</v>
      </c>
      <c r="K76" s="341">
        <v>738524</v>
      </c>
      <c r="L76" s="342">
        <v>0</v>
      </c>
      <c r="M76" s="336"/>
      <c r="N76" s="343"/>
      <c r="O76" s="344"/>
      <c r="P76" s="343">
        <f t="shared" si="4"/>
        <v>738524</v>
      </c>
      <c r="Q76" s="344">
        <f t="shared" si="5"/>
        <v>0</v>
      </c>
      <c r="R76" s="328">
        <f t="shared" si="6"/>
        <v>738524</v>
      </c>
    </row>
    <row r="77" spans="1:18" hidden="1">
      <c r="A77" s="318" t="s">
        <v>708</v>
      </c>
      <c r="B77" s="313" t="s">
        <v>58</v>
      </c>
      <c r="C77" s="313" t="s">
        <v>330</v>
      </c>
      <c r="D77" s="313" t="s">
        <v>330</v>
      </c>
      <c r="E77" s="322" t="s">
        <v>330</v>
      </c>
      <c r="F77" s="313" t="s">
        <v>1025</v>
      </c>
      <c r="G77" s="339">
        <v>2384280.7599999998</v>
      </c>
      <c r="H77" s="340">
        <v>0</v>
      </c>
      <c r="I77" s="339">
        <v>0</v>
      </c>
      <c r="J77" s="340">
        <v>0</v>
      </c>
      <c r="K77" s="341">
        <v>2384280.7599999998</v>
      </c>
      <c r="L77" s="342">
        <v>0</v>
      </c>
      <c r="M77" s="336"/>
      <c r="N77" s="343"/>
      <c r="O77" s="344"/>
      <c r="P77" s="343">
        <f t="shared" si="4"/>
        <v>2384280.7599999998</v>
      </c>
      <c r="Q77" s="344">
        <f t="shared" si="5"/>
        <v>0</v>
      </c>
      <c r="R77" s="328">
        <f t="shared" si="6"/>
        <v>2384280.7599999998</v>
      </c>
    </row>
    <row r="78" spans="1:18" hidden="1">
      <c r="A78" s="318" t="s">
        <v>708</v>
      </c>
      <c r="B78" s="313" t="s">
        <v>56</v>
      </c>
      <c r="C78" s="313" t="s">
        <v>330</v>
      </c>
      <c r="D78" s="313" t="s">
        <v>330</v>
      </c>
      <c r="E78" s="322" t="s">
        <v>330</v>
      </c>
      <c r="F78" s="313" t="s">
        <v>1022</v>
      </c>
      <c r="G78" s="339">
        <v>0</v>
      </c>
      <c r="H78" s="340">
        <v>0</v>
      </c>
      <c r="I78" s="339">
        <f>1937683+Adjustments!D103</f>
        <v>4676807</v>
      </c>
      <c r="J78" s="340">
        <v>0</v>
      </c>
      <c r="K78" s="341">
        <f>+I78</f>
        <v>4676807</v>
      </c>
      <c r="L78" s="342">
        <v>0</v>
      </c>
      <c r="M78" s="336"/>
      <c r="N78" s="343"/>
      <c r="O78" s="344"/>
      <c r="P78" s="343">
        <f t="shared" si="4"/>
        <v>4676807</v>
      </c>
      <c r="Q78" s="344">
        <f t="shared" si="5"/>
        <v>0</v>
      </c>
      <c r="R78" s="328">
        <f t="shared" si="6"/>
        <v>4676807</v>
      </c>
    </row>
    <row r="79" spans="1:18" hidden="1">
      <c r="A79" s="318" t="s">
        <v>708</v>
      </c>
      <c r="B79" s="313" t="s">
        <v>54</v>
      </c>
      <c r="C79" s="313" t="s">
        <v>330</v>
      </c>
      <c r="D79" s="313" t="s">
        <v>330</v>
      </c>
      <c r="E79" s="322" t="s">
        <v>330</v>
      </c>
      <c r="F79" s="313" t="s">
        <v>1019</v>
      </c>
      <c r="G79" s="339">
        <v>0</v>
      </c>
      <c r="H79" s="340">
        <v>0</v>
      </c>
      <c r="I79" s="339">
        <v>1400000</v>
      </c>
      <c r="J79" s="340">
        <v>0</v>
      </c>
      <c r="K79" s="341">
        <v>1400000</v>
      </c>
      <c r="L79" s="342">
        <v>0</v>
      </c>
      <c r="M79" s="336"/>
      <c r="N79" s="343"/>
      <c r="O79" s="344"/>
      <c r="P79" s="343">
        <f t="shared" si="4"/>
        <v>1400000</v>
      </c>
      <c r="Q79" s="344">
        <f t="shared" si="5"/>
        <v>0</v>
      </c>
      <c r="R79" s="328">
        <f t="shared" si="6"/>
        <v>1400000</v>
      </c>
    </row>
    <row r="80" spans="1:18" hidden="1">
      <c r="A80" s="318" t="s">
        <v>708</v>
      </c>
      <c r="B80" s="313" t="s">
        <v>55</v>
      </c>
      <c r="C80" s="313" t="s">
        <v>330</v>
      </c>
      <c r="D80" s="313" t="s">
        <v>330</v>
      </c>
      <c r="E80" s="322" t="s">
        <v>330</v>
      </c>
      <c r="F80" s="313" t="s">
        <v>1027</v>
      </c>
      <c r="G80" s="339">
        <v>525372</v>
      </c>
      <c r="H80" s="340">
        <v>0</v>
      </c>
      <c r="I80" s="339">
        <v>0</v>
      </c>
      <c r="J80" s="340">
        <v>0</v>
      </c>
      <c r="K80" s="341">
        <v>525372</v>
      </c>
      <c r="L80" s="342">
        <v>0</v>
      </c>
      <c r="M80" s="336"/>
      <c r="N80" s="343"/>
      <c r="O80" s="344"/>
      <c r="P80" s="343">
        <f t="shared" si="4"/>
        <v>525372</v>
      </c>
      <c r="Q80" s="344">
        <f t="shared" si="5"/>
        <v>0</v>
      </c>
      <c r="R80" s="328">
        <f t="shared" si="6"/>
        <v>525372</v>
      </c>
    </row>
    <row r="81" spans="1:18" hidden="1">
      <c r="A81" s="318" t="s">
        <v>708</v>
      </c>
      <c r="B81" s="313" t="s">
        <v>396</v>
      </c>
      <c r="C81" s="313" t="s">
        <v>330</v>
      </c>
      <c r="D81" s="313" t="s">
        <v>330</v>
      </c>
      <c r="E81" s="322" t="s">
        <v>330</v>
      </c>
      <c r="F81" s="313" t="s">
        <v>992</v>
      </c>
      <c r="G81" s="339">
        <v>0</v>
      </c>
      <c r="H81" s="340">
        <v>0</v>
      </c>
      <c r="I81" s="339">
        <v>650000</v>
      </c>
      <c r="J81" s="340">
        <v>3000</v>
      </c>
      <c r="K81" s="341">
        <v>647000</v>
      </c>
      <c r="L81" s="342">
        <v>0</v>
      </c>
      <c r="M81" s="336"/>
      <c r="N81" s="343"/>
      <c r="O81" s="344"/>
      <c r="P81" s="343">
        <f t="shared" si="4"/>
        <v>647000</v>
      </c>
      <c r="Q81" s="344">
        <f t="shared" si="5"/>
        <v>0</v>
      </c>
      <c r="R81" s="328">
        <f t="shared" si="6"/>
        <v>647000</v>
      </c>
    </row>
    <row r="82" spans="1:18" hidden="1">
      <c r="A82" s="318" t="s">
        <v>709</v>
      </c>
      <c r="B82" s="313" t="s">
        <v>65</v>
      </c>
      <c r="C82" s="313" t="s">
        <v>330</v>
      </c>
      <c r="D82" s="313" t="s">
        <v>330</v>
      </c>
      <c r="E82" s="322" t="s">
        <v>330</v>
      </c>
      <c r="F82" s="313" t="s">
        <v>974</v>
      </c>
      <c r="G82" s="339">
        <v>16440</v>
      </c>
      <c r="H82" s="340">
        <v>0</v>
      </c>
      <c r="I82" s="339">
        <v>0</v>
      </c>
      <c r="J82" s="340">
        <v>0</v>
      </c>
      <c r="K82" s="341">
        <v>16440</v>
      </c>
      <c r="L82" s="342">
        <v>0</v>
      </c>
      <c r="M82" s="336"/>
      <c r="N82" s="343"/>
      <c r="O82" s="344"/>
      <c r="P82" s="343">
        <f t="shared" si="4"/>
        <v>16440</v>
      </c>
      <c r="Q82" s="344">
        <f t="shared" si="5"/>
        <v>0</v>
      </c>
      <c r="R82" s="328">
        <f t="shared" si="6"/>
        <v>16440</v>
      </c>
    </row>
    <row r="83" spans="1:18" hidden="1">
      <c r="A83" s="318" t="s">
        <v>709</v>
      </c>
      <c r="B83" s="313" t="s">
        <v>66</v>
      </c>
      <c r="C83" s="313" t="s">
        <v>330</v>
      </c>
      <c r="D83" s="313" t="s">
        <v>330</v>
      </c>
      <c r="E83" s="322" t="s">
        <v>330</v>
      </c>
      <c r="F83" s="313" t="s">
        <v>1020</v>
      </c>
      <c r="G83" s="339">
        <v>1755199</v>
      </c>
      <c r="H83" s="340">
        <v>0</v>
      </c>
      <c r="I83" s="339">
        <v>0</v>
      </c>
      <c r="J83" s="340">
        <v>0</v>
      </c>
      <c r="K83" s="341">
        <v>1755199</v>
      </c>
      <c r="L83" s="342">
        <v>0</v>
      </c>
      <c r="M83" s="336"/>
      <c r="N83" s="343"/>
      <c r="O83" s="344"/>
      <c r="P83" s="343">
        <f t="shared" si="4"/>
        <v>1755199</v>
      </c>
      <c r="Q83" s="344">
        <f t="shared" si="5"/>
        <v>0</v>
      </c>
      <c r="R83" s="328">
        <f t="shared" si="6"/>
        <v>1755199</v>
      </c>
    </row>
    <row r="84" spans="1:18" hidden="1">
      <c r="A84" s="318" t="s">
        <v>710</v>
      </c>
      <c r="B84" s="313" t="s">
        <v>67</v>
      </c>
      <c r="C84" s="313" t="s">
        <v>330</v>
      </c>
      <c r="D84" s="313" t="s">
        <v>330</v>
      </c>
      <c r="E84" s="322" t="s">
        <v>330</v>
      </c>
      <c r="F84" s="313" t="s">
        <v>974</v>
      </c>
      <c r="G84" s="339">
        <v>3268048</v>
      </c>
      <c r="H84" s="340">
        <v>0</v>
      </c>
      <c r="I84" s="339">
        <v>0</v>
      </c>
      <c r="J84" s="340">
        <v>0</v>
      </c>
      <c r="K84" s="341">
        <v>3268048</v>
      </c>
      <c r="L84" s="342">
        <v>0</v>
      </c>
      <c r="M84" s="336"/>
      <c r="N84" s="343"/>
      <c r="O84" s="344"/>
      <c r="P84" s="343">
        <f t="shared" si="4"/>
        <v>3268048</v>
      </c>
      <c r="Q84" s="344">
        <f t="shared" si="5"/>
        <v>0</v>
      </c>
      <c r="R84" s="328">
        <f t="shared" si="6"/>
        <v>3268048</v>
      </c>
    </row>
    <row r="85" spans="1:18" hidden="1">
      <c r="A85" s="318" t="s">
        <v>710</v>
      </c>
      <c r="B85" s="313" t="s">
        <v>655</v>
      </c>
      <c r="C85" s="313" t="s">
        <v>330</v>
      </c>
      <c r="D85" s="313" t="s">
        <v>330</v>
      </c>
      <c r="E85" s="322" t="s">
        <v>330</v>
      </c>
      <c r="F85" s="313" t="s">
        <v>1017</v>
      </c>
      <c r="G85" s="339">
        <v>3076</v>
      </c>
      <c r="H85" s="340">
        <v>0</v>
      </c>
      <c r="I85" s="339">
        <v>0</v>
      </c>
      <c r="J85" s="340">
        <v>0</v>
      </c>
      <c r="K85" s="341">
        <v>3076</v>
      </c>
      <c r="L85" s="342">
        <v>0</v>
      </c>
      <c r="M85" s="336"/>
      <c r="N85" s="343"/>
      <c r="O85" s="344"/>
      <c r="P85" s="343">
        <f t="shared" si="4"/>
        <v>3076</v>
      </c>
      <c r="Q85" s="344">
        <f t="shared" si="5"/>
        <v>0</v>
      </c>
      <c r="R85" s="328">
        <f t="shared" si="6"/>
        <v>3076</v>
      </c>
    </row>
    <row r="86" spans="1:18" hidden="1">
      <c r="A86" s="318" t="s">
        <v>711</v>
      </c>
      <c r="B86" s="313" t="s">
        <v>68</v>
      </c>
      <c r="C86" s="313" t="s">
        <v>330</v>
      </c>
      <c r="D86" s="313" t="s">
        <v>330</v>
      </c>
      <c r="E86" s="322" t="s">
        <v>330</v>
      </c>
      <c r="F86" s="313" t="s">
        <v>974</v>
      </c>
      <c r="G86" s="339">
        <v>693696</v>
      </c>
      <c r="H86" s="340">
        <v>0</v>
      </c>
      <c r="I86" s="339">
        <v>0</v>
      </c>
      <c r="J86" s="340">
        <v>0</v>
      </c>
      <c r="K86" s="341">
        <v>693696</v>
      </c>
      <c r="L86" s="342">
        <v>0</v>
      </c>
      <c r="M86" s="336"/>
      <c r="N86" s="343"/>
      <c r="O86" s="344"/>
      <c r="P86" s="343">
        <f t="shared" si="4"/>
        <v>693696</v>
      </c>
      <c r="Q86" s="344">
        <f t="shared" si="5"/>
        <v>0</v>
      </c>
      <c r="R86" s="328">
        <f t="shared" si="6"/>
        <v>693696</v>
      </c>
    </row>
    <row r="87" spans="1:18" hidden="1">
      <c r="A87" s="318" t="s">
        <v>711</v>
      </c>
      <c r="B87" s="313" t="s">
        <v>656</v>
      </c>
      <c r="C87" s="313" t="s">
        <v>330</v>
      </c>
      <c r="D87" s="313" t="s">
        <v>330</v>
      </c>
      <c r="E87" s="322" t="s">
        <v>330</v>
      </c>
      <c r="F87" s="313" t="s">
        <v>1017</v>
      </c>
      <c r="G87" s="339">
        <v>210640</v>
      </c>
      <c r="H87" s="340">
        <v>0</v>
      </c>
      <c r="I87" s="339">
        <v>0</v>
      </c>
      <c r="J87" s="340">
        <v>0</v>
      </c>
      <c r="K87" s="341">
        <v>210640</v>
      </c>
      <c r="L87" s="342">
        <v>0</v>
      </c>
      <c r="M87" s="336"/>
      <c r="N87" s="343"/>
      <c r="O87" s="344"/>
      <c r="P87" s="343">
        <f t="shared" si="4"/>
        <v>210640</v>
      </c>
      <c r="Q87" s="344">
        <f t="shared" si="5"/>
        <v>0</v>
      </c>
      <c r="R87" s="328">
        <f t="shared" si="6"/>
        <v>210640</v>
      </c>
    </row>
    <row r="88" spans="1:18" hidden="1">
      <c r="A88" s="318" t="s">
        <v>711</v>
      </c>
      <c r="B88" s="313" t="s">
        <v>69</v>
      </c>
      <c r="C88" s="313" t="s">
        <v>330</v>
      </c>
      <c r="D88" s="313" t="s">
        <v>330</v>
      </c>
      <c r="E88" s="322" t="s">
        <v>330</v>
      </c>
      <c r="F88" s="313" t="s">
        <v>1025</v>
      </c>
      <c r="G88" s="339">
        <v>321121</v>
      </c>
      <c r="H88" s="340">
        <v>0</v>
      </c>
      <c r="I88" s="339">
        <v>0</v>
      </c>
      <c r="J88" s="340">
        <v>0</v>
      </c>
      <c r="K88" s="341">
        <v>321121</v>
      </c>
      <c r="L88" s="342">
        <v>0</v>
      </c>
      <c r="M88" s="336"/>
      <c r="N88" s="343"/>
      <c r="O88" s="344"/>
      <c r="P88" s="343">
        <f t="shared" si="4"/>
        <v>321121</v>
      </c>
      <c r="Q88" s="344">
        <f t="shared" si="5"/>
        <v>0</v>
      </c>
      <c r="R88" s="328">
        <f t="shared" si="6"/>
        <v>321121</v>
      </c>
    </row>
    <row r="89" spans="1:18" ht="20" hidden="1">
      <c r="A89" s="318" t="s">
        <v>712</v>
      </c>
      <c r="B89" s="313" t="s">
        <v>70</v>
      </c>
      <c r="C89" s="313" t="s">
        <v>466</v>
      </c>
      <c r="D89" s="313" t="s">
        <v>563</v>
      </c>
      <c r="E89" s="322" t="s">
        <v>331</v>
      </c>
      <c r="F89" s="313" t="s">
        <v>974</v>
      </c>
      <c r="G89" s="339">
        <v>1400</v>
      </c>
      <c r="H89" s="340">
        <v>0</v>
      </c>
      <c r="I89" s="339">
        <v>0</v>
      </c>
      <c r="J89" s="340">
        <v>0</v>
      </c>
      <c r="K89" s="341">
        <v>1400</v>
      </c>
      <c r="L89" s="342">
        <v>0</v>
      </c>
      <c r="M89" s="336"/>
      <c r="N89" s="343"/>
      <c r="O89" s="344"/>
      <c r="P89" s="343">
        <f t="shared" si="4"/>
        <v>1400</v>
      </c>
      <c r="Q89" s="344">
        <f t="shared" si="5"/>
        <v>0</v>
      </c>
      <c r="R89" s="328">
        <f t="shared" si="6"/>
        <v>1400</v>
      </c>
    </row>
    <row r="90" spans="1:18" hidden="1">
      <c r="A90" s="318" t="s">
        <v>713</v>
      </c>
      <c r="B90" s="313" t="s">
        <v>71</v>
      </c>
      <c r="C90" s="313" t="s">
        <v>330</v>
      </c>
      <c r="D90" s="313" t="s">
        <v>330</v>
      </c>
      <c r="E90" s="322" t="s">
        <v>330</v>
      </c>
      <c r="F90" s="313" t="s">
        <v>974</v>
      </c>
      <c r="G90" s="339">
        <v>367608</v>
      </c>
      <c r="H90" s="340">
        <v>0</v>
      </c>
      <c r="I90" s="339">
        <v>0</v>
      </c>
      <c r="J90" s="340">
        <v>0</v>
      </c>
      <c r="K90" s="341">
        <v>367608</v>
      </c>
      <c r="L90" s="342">
        <v>0</v>
      </c>
      <c r="M90" s="336"/>
      <c r="N90" s="343"/>
      <c r="O90" s="344"/>
      <c r="P90" s="343">
        <f t="shared" si="4"/>
        <v>367608</v>
      </c>
      <c r="Q90" s="344">
        <f t="shared" si="5"/>
        <v>0</v>
      </c>
      <c r="R90" s="328">
        <f t="shared" si="6"/>
        <v>367608</v>
      </c>
    </row>
    <row r="91" spans="1:18" hidden="1">
      <c r="A91" s="318" t="s">
        <v>714</v>
      </c>
      <c r="B91" s="313" t="s">
        <v>72</v>
      </c>
      <c r="C91" s="313" t="s">
        <v>330</v>
      </c>
      <c r="D91" s="313" t="s">
        <v>330</v>
      </c>
      <c r="E91" s="322" t="s">
        <v>330</v>
      </c>
      <c r="F91" s="313" t="s">
        <v>974</v>
      </c>
      <c r="G91" s="339">
        <v>233849</v>
      </c>
      <c r="H91" s="340">
        <v>0</v>
      </c>
      <c r="I91" s="339">
        <v>0</v>
      </c>
      <c r="J91" s="340">
        <v>0</v>
      </c>
      <c r="K91" s="341">
        <v>233849</v>
      </c>
      <c r="L91" s="342">
        <v>0</v>
      </c>
      <c r="M91" s="336"/>
      <c r="N91" s="343"/>
      <c r="O91" s="344"/>
      <c r="P91" s="343">
        <f t="shared" si="4"/>
        <v>233849</v>
      </c>
      <c r="Q91" s="344">
        <f t="shared" si="5"/>
        <v>0</v>
      </c>
      <c r="R91" s="328">
        <f t="shared" si="6"/>
        <v>233849</v>
      </c>
    </row>
    <row r="92" spans="1:18" hidden="1">
      <c r="A92" s="318" t="s">
        <v>714</v>
      </c>
      <c r="B92" s="313" t="s">
        <v>73</v>
      </c>
      <c r="C92" s="313" t="s">
        <v>330</v>
      </c>
      <c r="D92" s="313" t="s">
        <v>330</v>
      </c>
      <c r="E92" s="322" t="s">
        <v>330</v>
      </c>
      <c r="F92" s="313" t="s">
        <v>1011</v>
      </c>
      <c r="G92" s="339">
        <v>195102</v>
      </c>
      <c r="H92" s="340">
        <v>0</v>
      </c>
      <c r="I92" s="339">
        <v>0</v>
      </c>
      <c r="J92" s="340">
        <v>0</v>
      </c>
      <c r="K92" s="341">
        <v>195102</v>
      </c>
      <c r="L92" s="342">
        <v>0</v>
      </c>
      <c r="M92" s="336"/>
      <c r="N92" s="343"/>
      <c r="O92" s="344"/>
      <c r="P92" s="343">
        <f t="shared" si="4"/>
        <v>195102</v>
      </c>
      <c r="Q92" s="344">
        <f t="shared" si="5"/>
        <v>0</v>
      </c>
      <c r="R92" s="328">
        <f t="shared" si="6"/>
        <v>195102</v>
      </c>
    </row>
    <row r="93" spans="1:18" hidden="1">
      <c r="A93" s="318" t="s">
        <v>714</v>
      </c>
      <c r="B93" s="313" t="s">
        <v>657</v>
      </c>
      <c r="C93" s="313" t="s">
        <v>330</v>
      </c>
      <c r="D93" s="313" t="s">
        <v>330</v>
      </c>
      <c r="E93" s="322" t="s">
        <v>330</v>
      </c>
      <c r="F93" s="313" t="s">
        <v>1017</v>
      </c>
      <c r="G93" s="339">
        <v>0</v>
      </c>
      <c r="H93" s="340">
        <v>7635</v>
      </c>
      <c r="I93" s="339">
        <v>0</v>
      </c>
      <c r="J93" s="340">
        <v>0</v>
      </c>
      <c r="K93" s="341">
        <v>0</v>
      </c>
      <c r="L93" s="342">
        <v>7635</v>
      </c>
      <c r="M93" s="336"/>
      <c r="N93" s="343"/>
      <c r="O93" s="344"/>
      <c r="P93" s="343">
        <f t="shared" si="4"/>
        <v>0</v>
      </c>
      <c r="Q93" s="344">
        <f t="shared" si="5"/>
        <v>7635</v>
      </c>
      <c r="R93" s="328">
        <f t="shared" si="6"/>
        <v>-7635</v>
      </c>
    </row>
    <row r="94" spans="1:18" hidden="1">
      <c r="A94" s="318" t="s">
        <v>715</v>
      </c>
      <c r="B94" s="313" t="s">
        <v>74</v>
      </c>
      <c r="C94" s="313" t="s">
        <v>330</v>
      </c>
      <c r="D94" s="313" t="s">
        <v>330</v>
      </c>
      <c r="E94" s="322" t="s">
        <v>330</v>
      </c>
      <c r="F94" s="313" t="s">
        <v>974</v>
      </c>
      <c r="G94" s="339">
        <v>66466</v>
      </c>
      <c r="H94" s="340">
        <v>0</v>
      </c>
      <c r="I94" s="339">
        <v>0</v>
      </c>
      <c r="J94" s="340">
        <v>0</v>
      </c>
      <c r="K94" s="341">
        <v>66466</v>
      </c>
      <c r="L94" s="342">
        <v>0</v>
      </c>
      <c r="M94" s="336"/>
      <c r="N94" s="343"/>
      <c r="O94" s="344"/>
      <c r="P94" s="343">
        <f t="shared" si="4"/>
        <v>66466</v>
      </c>
      <c r="Q94" s="344">
        <f t="shared" si="5"/>
        <v>0</v>
      </c>
      <c r="R94" s="328">
        <f t="shared" si="6"/>
        <v>66466</v>
      </c>
    </row>
    <row r="95" spans="1:18" ht="20" hidden="1">
      <c r="A95" s="318" t="s">
        <v>716</v>
      </c>
      <c r="B95" s="313" t="s">
        <v>75</v>
      </c>
      <c r="C95" s="313" t="s">
        <v>466</v>
      </c>
      <c r="D95" s="313" t="s">
        <v>563</v>
      </c>
      <c r="E95" s="322" t="s">
        <v>331</v>
      </c>
      <c r="F95" s="313" t="s">
        <v>974</v>
      </c>
      <c r="G95" s="339">
        <v>31562</v>
      </c>
      <c r="H95" s="340">
        <v>0</v>
      </c>
      <c r="I95" s="339">
        <v>0</v>
      </c>
      <c r="J95" s="340">
        <v>0</v>
      </c>
      <c r="K95" s="341">
        <v>31562</v>
      </c>
      <c r="L95" s="342">
        <v>0</v>
      </c>
      <c r="M95" s="336"/>
      <c r="N95" s="343"/>
      <c r="O95" s="344"/>
      <c r="P95" s="343">
        <f t="shared" si="4"/>
        <v>31562</v>
      </c>
      <c r="Q95" s="344">
        <f t="shared" si="5"/>
        <v>0</v>
      </c>
      <c r="R95" s="328">
        <f t="shared" si="6"/>
        <v>31562</v>
      </c>
    </row>
    <row r="96" spans="1:18" ht="20" hidden="1">
      <c r="A96" s="318" t="s">
        <v>717</v>
      </c>
      <c r="B96" s="313" t="s">
        <v>397</v>
      </c>
      <c r="C96" s="313" t="s">
        <v>466</v>
      </c>
      <c r="D96" s="313" t="s">
        <v>563</v>
      </c>
      <c r="E96" s="322" t="s">
        <v>331</v>
      </c>
      <c r="F96" s="313" t="s">
        <v>1019</v>
      </c>
      <c r="G96" s="339">
        <v>0</v>
      </c>
      <c r="H96" s="340">
        <v>0</v>
      </c>
      <c r="I96" s="339">
        <v>17670</v>
      </c>
      <c r="J96" s="340">
        <v>0</v>
      </c>
      <c r="K96" s="341">
        <v>17670</v>
      </c>
      <c r="L96" s="342">
        <v>0</v>
      </c>
      <c r="M96" s="336"/>
      <c r="N96" s="343"/>
      <c r="O96" s="344"/>
      <c r="P96" s="343">
        <f t="shared" si="4"/>
        <v>17670</v>
      </c>
      <c r="Q96" s="344">
        <f t="shared" si="5"/>
        <v>0</v>
      </c>
      <c r="R96" s="328">
        <f t="shared" si="6"/>
        <v>17670</v>
      </c>
    </row>
    <row r="97" spans="1:18" ht="20" hidden="1">
      <c r="A97" s="318" t="s">
        <v>718</v>
      </c>
      <c r="B97" s="313" t="s">
        <v>76</v>
      </c>
      <c r="C97" s="313" t="s">
        <v>466</v>
      </c>
      <c r="D97" s="313" t="s">
        <v>563</v>
      </c>
      <c r="E97" s="322" t="s">
        <v>331</v>
      </c>
      <c r="F97" s="313" t="s">
        <v>974</v>
      </c>
      <c r="G97" s="339">
        <v>0</v>
      </c>
      <c r="H97" s="340">
        <v>1047</v>
      </c>
      <c r="I97" s="339">
        <v>3064</v>
      </c>
      <c r="J97" s="340">
        <v>2017</v>
      </c>
      <c r="K97" s="341">
        <v>0</v>
      </c>
      <c r="L97" s="342">
        <v>0</v>
      </c>
      <c r="M97" s="336"/>
      <c r="N97" s="343"/>
      <c r="O97" s="344"/>
      <c r="P97" s="343">
        <f t="shared" si="4"/>
        <v>0</v>
      </c>
      <c r="Q97" s="344">
        <f t="shared" si="5"/>
        <v>0</v>
      </c>
      <c r="R97" s="328">
        <f t="shared" si="6"/>
        <v>0</v>
      </c>
    </row>
    <row r="98" spans="1:18" ht="20" hidden="1">
      <c r="A98" s="318" t="s">
        <v>719</v>
      </c>
      <c r="B98" s="313" t="s">
        <v>77</v>
      </c>
      <c r="C98" s="313" t="s">
        <v>466</v>
      </c>
      <c r="D98" s="313" t="s">
        <v>563</v>
      </c>
      <c r="E98" s="322" t="s">
        <v>331</v>
      </c>
      <c r="F98" s="313" t="s">
        <v>974</v>
      </c>
      <c r="G98" s="339">
        <v>95</v>
      </c>
      <c r="H98" s="340">
        <v>0</v>
      </c>
      <c r="I98" s="339">
        <v>0</v>
      </c>
      <c r="J98" s="340">
        <v>0</v>
      </c>
      <c r="K98" s="341">
        <v>95</v>
      </c>
      <c r="L98" s="342">
        <v>0</v>
      </c>
      <c r="M98" s="336"/>
      <c r="N98" s="343"/>
      <c r="O98" s="344"/>
      <c r="P98" s="343">
        <f t="shared" si="4"/>
        <v>95</v>
      </c>
      <c r="Q98" s="344">
        <f t="shared" si="5"/>
        <v>0</v>
      </c>
      <c r="R98" s="328">
        <f t="shared" si="6"/>
        <v>95</v>
      </c>
    </row>
    <row r="99" spans="1:18" ht="20" hidden="1">
      <c r="A99" s="318" t="s">
        <v>719</v>
      </c>
      <c r="B99" s="313" t="s">
        <v>78</v>
      </c>
      <c r="C99" s="313" t="s">
        <v>466</v>
      </c>
      <c r="D99" s="313" t="s">
        <v>563</v>
      </c>
      <c r="E99" s="322" t="s">
        <v>331</v>
      </c>
      <c r="F99" s="313" t="s">
        <v>1021</v>
      </c>
      <c r="G99" s="339">
        <v>50</v>
      </c>
      <c r="H99" s="340">
        <v>0</v>
      </c>
      <c r="I99" s="339">
        <v>0</v>
      </c>
      <c r="J99" s="340">
        <v>0</v>
      </c>
      <c r="K99" s="341">
        <v>50</v>
      </c>
      <c r="L99" s="342">
        <v>0</v>
      </c>
      <c r="M99" s="336"/>
      <c r="N99" s="343"/>
      <c r="O99" s="344"/>
      <c r="P99" s="343">
        <f t="shared" si="4"/>
        <v>50</v>
      </c>
      <c r="Q99" s="344">
        <f t="shared" si="5"/>
        <v>0</v>
      </c>
      <c r="R99" s="328">
        <f t="shared" si="6"/>
        <v>50</v>
      </c>
    </row>
    <row r="100" spans="1:18" hidden="1">
      <c r="A100" s="318" t="s">
        <v>720</v>
      </c>
      <c r="B100" s="313" t="s">
        <v>79</v>
      </c>
      <c r="C100" s="313" t="s">
        <v>330</v>
      </c>
      <c r="D100" s="313" t="s">
        <v>330</v>
      </c>
      <c r="E100" s="322" t="s">
        <v>330</v>
      </c>
      <c r="F100" s="313" t="s">
        <v>974</v>
      </c>
      <c r="G100" s="339">
        <v>0</v>
      </c>
      <c r="H100" s="340">
        <v>849896</v>
      </c>
      <c r="I100" s="339">
        <v>0</v>
      </c>
      <c r="J100" s="340">
        <v>0</v>
      </c>
      <c r="K100" s="341">
        <v>0</v>
      </c>
      <c r="L100" s="342">
        <v>849896</v>
      </c>
      <c r="M100" s="336"/>
      <c r="N100" s="343"/>
      <c r="O100" s="344"/>
      <c r="P100" s="343">
        <f t="shared" si="4"/>
        <v>0</v>
      </c>
      <c r="Q100" s="344">
        <f t="shared" si="5"/>
        <v>849896</v>
      </c>
      <c r="R100" s="328">
        <f t="shared" si="6"/>
        <v>-849896</v>
      </c>
    </row>
    <row r="101" spans="1:18" hidden="1">
      <c r="A101" s="318" t="s">
        <v>721</v>
      </c>
      <c r="B101" s="313" t="s">
        <v>80</v>
      </c>
      <c r="C101" s="313" t="s">
        <v>330</v>
      </c>
      <c r="D101" s="313" t="s">
        <v>330</v>
      </c>
      <c r="E101" s="322" t="s">
        <v>330</v>
      </c>
      <c r="F101" s="313" t="s">
        <v>974</v>
      </c>
      <c r="G101" s="339">
        <v>16240</v>
      </c>
      <c r="H101" s="340">
        <v>0</v>
      </c>
      <c r="I101" s="339">
        <v>0</v>
      </c>
      <c r="J101" s="340">
        <v>0</v>
      </c>
      <c r="K101" s="341">
        <v>16240</v>
      </c>
      <c r="L101" s="342">
        <v>0</v>
      </c>
      <c r="M101" s="336"/>
      <c r="N101" s="343"/>
      <c r="O101" s="344"/>
      <c r="P101" s="343">
        <f t="shared" si="4"/>
        <v>16240</v>
      </c>
      <c r="Q101" s="344">
        <f t="shared" si="5"/>
        <v>0</v>
      </c>
      <c r="R101" s="328">
        <f t="shared" si="6"/>
        <v>16240</v>
      </c>
    </row>
    <row r="102" spans="1:18" hidden="1">
      <c r="A102" s="318" t="s">
        <v>722</v>
      </c>
      <c r="B102" s="313" t="s">
        <v>81</v>
      </c>
      <c r="C102" s="313" t="s">
        <v>330</v>
      </c>
      <c r="D102" s="313" t="s">
        <v>330</v>
      </c>
      <c r="E102" s="322" t="s">
        <v>330</v>
      </c>
      <c r="F102" s="313" t="s">
        <v>974</v>
      </c>
      <c r="G102" s="339">
        <v>0</v>
      </c>
      <c r="H102" s="340">
        <v>186921</v>
      </c>
      <c r="I102" s="339">
        <v>0</v>
      </c>
      <c r="J102" s="340">
        <v>0</v>
      </c>
      <c r="K102" s="341">
        <v>0</v>
      </c>
      <c r="L102" s="342">
        <v>186921</v>
      </c>
      <c r="M102" s="336"/>
      <c r="N102" s="343"/>
      <c r="O102" s="344"/>
      <c r="P102" s="343">
        <f t="shared" si="4"/>
        <v>0</v>
      </c>
      <c r="Q102" s="344">
        <f t="shared" si="5"/>
        <v>186921</v>
      </c>
      <c r="R102" s="328">
        <f t="shared" si="6"/>
        <v>-186921</v>
      </c>
    </row>
    <row r="103" spans="1:18" ht="20" hidden="1">
      <c r="A103" s="318" t="s">
        <v>723</v>
      </c>
      <c r="B103" s="313" t="s">
        <v>82</v>
      </c>
      <c r="C103" s="313" t="s">
        <v>466</v>
      </c>
      <c r="D103" s="313" t="s">
        <v>563</v>
      </c>
      <c r="E103" s="322" t="s">
        <v>331</v>
      </c>
      <c r="F103" s="313" t="s">
        <v>1013</v>
      </c>
      <c r="G103" s="339">
        <v>50</v>
      </c>
      <c r="H103" s="340">
        <v>0</v>
      </c>
      <c r="I103" s="339">
        <v>0</v>
      </c>
      <c r="J103" s="340">
        <v>0</v>
      </c>
      <c r="K103" s="341">
        <v>50</v>
      </c>
      <c r="L103" s="342">
        <v>0</v>
      </c>
      <c r="M103" s="336"/>
      <c r="N103" s="343"/>
      <c r="O103" s="344"/>
      <c r="P103" s="343">
        <f t="shared" si="4"/>
        <v>50</v>
      </c>
      <c r="Q103" s="344">
        <f t="shared" si="5"/>
        <v>0</v>
      </c>
      <c r="R103" s="328">
        <f t="shared" si="6"/>
        <v>50</v>
      </c>
    </row>
    <row r="104" spans="1:18" ht="20" hidden="1">
      <c r="A104" s="318" t="s">
        <v>724</v>
      </c>
      <c r="B104" s="313" t="s">
        <v>84</v>
      </c>
      <c r="C104" s="313" t="s">
        <v>466</v>
      </c>
      <c r="D104" s="313" t="s">
        <v>563</v>
      </c>
      <c r="E104" s="322" t="s">
        <v>331</v>
      </c>
      <c r="F104" s="313" t="s">
        <v>1013</v>
      </c>
      <c r="G104" s="339">
        <v>50</v>
      </c>
      <c r="H104" s="340">
        <v>0</v>
      </c>
      <c r="I104" s="339">
        <v>0</v>
      </c>
      <c r="J104" s="340">
        <v>0</v>
      </c>
      <c r="K104" s="341">
        <v>50</v>
      </c>
      <c r="L104" s="342">
        <v>0</v>
      </c>
      <c r="M104" s="336"/>
      <c r="N104" s="343"/>
      <c r="O104" s="344"/>
      <c r="P104" s="343">
        <f t="shared" si="4"/>
        <v>50</v>
      </c>
      <c r="Q104" s="344">
        <f t="shared" si="5"/>
        <v>0</v>
      </c>
      <c r="R104" s="328">
        <f t="shared" si="6"/>
        <v>50</v>
      </c>
    </row>
    <row r="105" spans="1:18" ht="20" hidden="1">
      <c r="A105" s="318" t="s">
        <v>724</v>
      </c>
      <c r="B105" s="313" t="s">
        <v>83</v>
      </c>
      <c r="C105" s="313" t="s">
        <v>466</v>
      </c>
      <c r="D105" s="313" t="s">
        <v>563</v>
      </c>
      <c r="E105" s="322" t="s">
        <v>331</v>
      </c>
      <c r="F105" s="313" t="s">
        <v>974</v>
      </c>
      <c r="G105" s="339">
        <v>129540</v>
      </c>
      <c r="H105" s="340">
        <v>0</v>
      </c>
      <c r="I105" s="339">
        <v>0</v>
      </c>
      <c r="J105" s="340">
        <v>0</v>
      </c>
      <c r="K105" s="341">
        <v>129540</v>
      </c>
      <c r="L105" s="342">
        <v>0</v>
      </c>
      <c r="M105" s="336"/>
      <c r="N105" s="343"/>
      <c r="O105" s="344"/>
      <c r="P105" s="343">
        <f t="shared" si="4"/>
        <v>129540</v>
      </c>
      <c r="Q105" s="344">
        <f t="shared" si="5"/>
        <v>0</v>
      </c>
      <c r="R105" s="328">
        <f t="shared" si="6"/>
        <v>129540</v>
      </c>
    </row>
    <row r="106" spans="1:18" ht="20" hidden="1">
      <c r="A106" s="318" t="s">
        <v>724</v>
      </c>
      <c r="B106" s="313" t="s">
        <v>398</v>
      </c>
      <c r="C106" s="313" t="s">
        <v>466</v>
      </c>
      <c r="D106" s="313" t="s">
        <v>563</v>
      </c>
      <c r="E106" s="322" t="s">
        <v>331</v>
      </c>
      <c r="F106" s="313" t="s">
        <v>1022</v>
      </c>
      <c r="G106" s="339">
        <v>0</v>
      </c>
      <c r="H106" s="340">
        <v>0</v>
      </c>
      <c r="I106" s="339">
        <v>36082</v>
      </c>
      <c r="J106" s="340">
        <v>36082</v>
      </c>
      <c r="K106" s="341">
        <v>0</v>
      </c>
      <c r="L106" s="342">
        <v>0</v>
      </c>
      <c r="M106" s="336"/>
      <c r="N106" s="343"/>
      <c r="O106" s="344"/>
      <c r="P106" s="343">
        <f t="shared" si="4"/>
        <v>0</v>
      </c>
      <c r="Q106" s="344">
        <f t="shared" si="5"/>
        <v>0</v>
      </c>
      <c r="R106" s="328">
        <f t="shared" si="6"/>
        <v>0</v>
      </c>
    </row>
    <row r="107" spans="1:18" hidden="1">
      <c r="A107" s="318" t="s">
        <v>725</v>
      </c>
      <c r="B107" s="313" t="s">
        <v>85</v>
      </c>
      <c r="C107" s="313" t="s">
        <v>330</v>
      </c>
      <c r="D107" s="313" t="s">
        <v>330</v>
      </c>
      <c r="E107" s="322" t="s">
        <v>330</v>
      </c>
      <c r="F107" s="313" t="s">
        <v>1020</v>
      </c>
      <c r="G107" s="339">
        <v>918</v>
      </c>
      <c r="H107" s="340">
        <v>0</v>
      </c>
      <c r="I107" s="339">
        <v>0</v>
      </c>
      <c r="J107" s="340">
        <v>0</v>
      </c>
      <c r="K107" s="341">
        <v>918</v>
      </c>
      <c r="L107" s="342">
        <v>0</v>
      </c>
      <c r="M107" s="336"/>
      <c r="N107" s="343"/>
      <c r="O107" s="344"/>
      <c r="P107" s="343">
        <f t="shared" si="4"/>
        <v>918</v>
      </c>
      <c r="Q107" s="344">
        <f t="shared" si="5"/>
        <v>0</v>
      </c>
      <c r="R107" s="328">
        <f t="shared" si="6"/>
        <v>918</v>
      </c>
    </row>
    <row r="108" spans="1:18" ht="20" hidden="1">
      <c r="A108" s="318" t="s">
        <v>726</v>
      </c>
      <c r="B108" s="313" t="s">
        <v>86</v>
      </c>
      <c r="C108" s="313" t="s">
        <v>466</v>
      </c>
      <c r="D108" s="313" t="s">
        <v>563</v>
      </c>
      <c r="E108" s="322" t="s">
        <v>331</v>
      </c>
      <c r="F108" s="313" t="s">
        <v>1014</v>
      </c>
      <c r="G108" s="339">
        <v>11780</v>
      </c>
      <c r="H108" s="340">
        <v>0</v>
      </c>
      <c r="I108" s="339">
        <v>0</v>
      </c>
      <c r="J108" s="340">
        <v>0</v>
      </c>
      <c r="K108" s="341">
        <v>11780</v>
      </c>
      <c r="L108" s="342">
        <v>0</v>
      </c>
      <c r="M108" s="336"/>
      <c r="N108" s="343"/>
      <c r="O108" s="344"/>
      <c r="P108" s="343">
        <f t="shared" si="4"/>
        <v>11780</v>
      </c>
      <c r="Q108" s="344">
        <f t="shared" si="5"/>
        <v>0</v>
      </c>
      <c r="R108" s="328">
        <f t="shared" si="6"/>
        <v>11780</v>
      </c>
    </row>
    <row r="109" spans="1:18" ht="20" hidden="1">
      <c r="A109" s="318" t="s">
        <v>726</v>
      </c>
      <c r="B109" s="313" t="s">
        <v>87</v>
      </c>
      <c r="C109" s="313" t="s">
        <v>466</v>
      </c>
      <c r="D109" s="313" t="s">
        <v>563</v>
      </c>
      <c r="E109" s="322" t="s">
        <v>331</v>
      </c>
      <c r="F109" s="313" t="s">
        <v>974</v>
      </c>
      <c r="G109" s="339">
        <v>38713</v>
      </c>
      <c r="H109" s="340">
        <v>0</v>
      </c>
      <c r="I109" s="339">
        <v>0</v>
      </c>
      <c r="J109" s="340">
        <v>0</v>
      </c>
      <c r="K109" s="341">
        <v>38713</v>
      </c>
      <c r="L109" s="342">
        <v>0</v>
      </c>
      <c r="M109" s="336"/>
      <c r="N109" s="343"/>
      <c r="O109" s="344"/>
      <c r="P109" s="343">
        <f t="shared" si="4"/>
        <v>38713</v>
      </c>
      <c r="Q109" s="344">
        <f t="shared" si="5"/>
        <v>0</v>
      </c>
      <c r="R109" s="328">
        <f t="shared" si="6"/>
        <v>38713</v>
      </c>
    </row>
    <row r="110" spans="1:18" hidden="1">
      <c r="A110" s="318" t="s">
        <v>727</v>
      </c>
      <c r="B110" s="313" t="s">
        <v>88</v>
      </c>
      <c r="C110" s="313" t="s">
        <v>330</v>
      </c>
      <c r="D110" s="313" t="s">
        <v>330</v>
      </c>
      <c r="E110" s="322" t="s">
        <v>330</v>
      </c>
      <c r="F110" s="313" t="s">
        <v>974</v>
      </c>
      <c r="G110" s="339">
        <v>2901</v>
      </c>
      <c r="H110" s="340">
        <v>0</v>
      </c>
      <c r="I110" s="339">
        <v>0</v>
      </c>
      <c r="J110" s="340">
        <v>0</v>
      </c>
      <c r="K110" s="341">
        <v>2901</v>
      </c>
      <c r="L110" s="342">
        <v>0</v>
      </c>
      <c r="M110" s="336"/>
      <c r="N110" s="343"/>
      <c r="O110" s="344"/>
      <c r="P110" s="343">
        <f t="shared" si="4"/>
        <v>2901</v>
      </c>
      <c r="Q110" s="344">
        <f t="shared" si="5"/>
        <v>0</v>
      </c>
      <c r="R110" s="328">
        <f t="shared" si="6"/>
        <v>2901</v>
      </c>
    </row>
    <row r="111" spans="1:18" hidden="1">
      <c r="A111" s="318" t="s">
        <v>727</v>
      </c>
      <c r="B111" s="313" t="s">
        <v>89</v>
      </c>
      <c r="C111" s="313" t="s">
        <v>330</v>
      </c>
      <c r="D111" s="313" t="s">
        <v>330</v>
      </c>
      <c r="E111" s="322" t="s">
        <v>330</v>
      </c>
      <c r="F111" s="313" t="s">
        <v>1020</v>
      </c>
      <c r="G111" s="339">
        <v>6717</v>
      </c>
      <c r="H111" s="340">
        <v>0</v>
      </c>
      <c r="I111" s="339">
        <v>0</v>
      </c>
      <c r="J111" s="340">
        <v>0</v>
      </c>
      <c r="K111" s="341">
        <v>6717</v>
      </c>
      <c r="L111" s="342">
        <v>0</v>
      </c>
      <c r="M111" s="336"/>
      <c r="N111" s="343"/>
      <c r="O111" s="344"/>
      <c r="P111" s="343">
        <f t="shared" si="4"/>
        <v>6717</v>
      </c>
      <c r="Q111" s="344">
        <f t="shared" si="5"/>
        <v>0</v>
      </c>
      <c r="R111" s="328">
        <f t="shared" si="6"/>
        <v>6717</v>
      </c>
    </row>
    <row r="112" spans="1:18" ht="20" hidden="1">
      <c r="A112" s="318" t="s">
        <v>728</v>
      </c>
      <c r="B112" s="313" t="s">
        <v>91</v>
      </c>
      <c r="C112" s="313" t="s">
        <v>466</v>
      </c>
      <c r="D112" s="313" t="s">
        <v>563</v>
      </c>
      <c r="E112" s="322" t="s">
        <v>331</v>
      </c>
      <c r="F112" s="313" t="s">
        <v>1013</v>
      </c>
      <c r="G112" s="339">
        <v>50</v>
      </c>
      <c r="H112" s="340">
        <v>0</v>
      </c>
      <c r="I112" s="339">
        <v>0</v>
      </c>
      <c r="J112" s="340">
        <v>0</v>
      </c>
      <c r="K112" s="341">
        <v>50</v>
      </c>
      <c r="L112" s="342">
        <v>0</v>
      </c>
      <c r="M112" s="336"/>
      <c r="N112" s="343"/>
      <c r="O112" s="344"/>
      <c r="P112" s="343">
        <f t="shared" si="4"/>
        <v>50</v>
      </c>
      <c r="Q112" s="344">
        <f t="shared" si="5"/>
        <v>0</v>
      </c>
      <c r="R112" s="328">
        <f t="shared" si="6"/>
        <v>50</v>
      </c>
    </row>
    <row r="113" spans="1:18" ht="20" hidden="1">
      <c r="A113" s="318" t="s">
        <v>728</v>
      </c>
      <c r="B113" s="313" t="s">
        <v>399</v>
      </c>
      <c r="C113" s="313" t="s">
        <v>466</v>
      </c>
      <c r="D113" s="313" t="s">
        <v>563</v>
      </c>
      <c r="E113" s="322" t="s">
        <v>331</v>
      </c>
      <c r="F113" s="313" t="s">
        <v>1022</v>
      </c>
      <c r="G113" s="339">
        <v>0</v>
      </c>
      <c r="H113" s="340">
        <v>0</v>
      </c>
      <c r="I113" s="339">
        <v>7653</v>
      </c>
      <c r="J113" s="340">
        <v>7653</v>
      </c>
      <c r="K113" s="341">
        <v>0</v>
      </c>
      <c r="L113" s="342">
        <v>0</v>
      </c>
      <c r="M113" s="336"/>
      <c r="N113" s="343"/>
      <c r="O113" s="344"/>
      <c r="P113" s="343">
        <f t="shared" si="4"/>
        <v>0</v>
      </c>
      <c r="Q113" s="344">
        <f t="shared" si="5"/>
        <v>0</v>
      </c>
      <c r="R113" s="328">
        <f t="shared" si="6"/>
        <v>0</v>
      </c>
    </row>
    <row r="114" spans="1:18" ht="20" hidden="1">
      <c r="A114" s="318" t="s">
        <v>728</v>
      </c>
      <c r="B114" s="313" t="s">
        <v>90</v>
      </c>
      <c r="C114" s="313" t="s">
        <v>466</v>
      </c>
      <c r="D114" s="313" t="s">
        <v>563</v>
      </c>
      <c r="E114" s="322" t="s">
        <v>331</v>
      </c>
      <c r="F114" s="313" t="s">
        <v>1019</v>
      </c>
      <c r="G114" s="339">
        <v>90</v>
      </c>
      <c r="H114" s="340">
        <v>0</v>
      </c>
      <c r="I114" s="339">
        <v>0</v>
      </c>
      <c r="J114" s="340">
        <v>0</v>
      </c>
      <c r="K114" s="341">
        <v>90</v>
      </c>
      <c r="L114" s="342">
        <v>0</v>
      </c>
      <c r="M114" s="336"/>
      <c r="N114" s="343"/>
      <c r="O114" s="344"/>
      <c r="P114" s="343">
        <f t="shared" si="4"/>
        <v>90</v>
      </c>
      <c r="Q114" s="344">
        <f t="shared" si="5"/>
        <v>0</v>
      </c>
      <c r="R114" s="328">
        <f t="shared" si="6"/>
        <v>90</v>
      </c>
    </row>
    <row r="115" spans="1:18" ht="20" hidden="1">
      <c r="A115" s="318" t="s">
        <v>729</v>
      </c>
      <c r="B115" s="313" t="s">
        <v>92</v>
      </c>
      <c r="C115" s="313" t="s">
        <v>466</v>
      </c>
      <c r="D115" s="313" t="s">
        <v>563</v>
      </c>
      <c r="E115" s="322" t="s">
        <v>331</v>
      </c>
      <c r="F115" s="313" t="s">
        <v>1014</v>
      </c>
      <c r="G115" s="339">
        <v>80</v>
      </c>
      <c r="H115" s="340">
        <v>0</v>
      </c>
      <c r="I115" s="339">
        <v>0</v>
      </c>
      <c r="J115" s="340">
        <v>0</v>
      </c>
      <c r="K115" s="341">
        <v>80</v>
      </c>
      <c r="L115" s="342">
        <v>0</v>
      </c>
      <c r="M115" s="336"/>
      <c r="N115" s="343"/>
      <c r="O115" s="344"/>
      <c r="P115" s="343">
        <f t="shared" si="4"/>
        <v>80</v>
      </c>
      <c r="Q115" s="344">
        <f t="shared" si="5"/>
        <v>0</v>
      </c>
      <c r="R115" s="328">
        <f t="shared" si="6"/>
        <v>80</v>
      </c>
    </row>
    <row r="116" spans="1:18" ht="20" hidden="1">
      <c r="A116" s="318" t="s">
        <v>729</v>
      </c>
      <c r="B116" s="313" t="s">
        <v>94</v>
      </c>
      <c r="C116" s="313" t="s">
        <v>466</v>
      </c>
      <c r="D116" s="313" t="s">
        <v>563</v>
      </c>
      <c r="E116" s="322" t="s">
        <v>331</v>
      </c>
      <c r="F116" s="313" t="s">
        <v>974</v>
      </c>
      <c r="G116" s="339">
        <v>4801</v>
      </c>
      <c r="H116" s="340">
        <v>0</v>
      </c>
      <c r="I116" s="339">
        <v>790</v>
      </c>
      <c r="J116" s="340">
        <v>0</v>
      </c>
      <c r="K116" s="341">
        <v>5591</v>
      </c>
      <c r="L116" s="342">
        <v>0</v>
      </c>
      <c r="M116" s="336"/>
      <c r="N116" s="343"/>
      <c r="O116" s="344"/>
      <c r="P116" s="343">
        <f t="shared" si="4"/>
        <v>5591</v>
      </c>
      <c r="Q116" s="344">
        <f t="shared" si="5"/>
        <v>0</v>
      </c>
      <c r="R116" s="328">
        <f t="shared" si="6"/>
        <v>5591</v>
      </c>
    </row>
    <row r="117" spans="1:18" ht="20" hidden="1">
      <c r="A117" s="318" t="s">
        <v>729</v>
      </c>
      <c r="B117" s="313" t="s">
        <v>658</v>
      </c>
      <c r="C117" s="313" t="s">
        <v>466</v>
      </c>
      <c r="D117" s="313" t="s">
        <v>563</v>
      </c>
      <c r="E117" s="322" t="s">
        <v>331</v>
      </c>
      <c r="F117" s="313" t="s">
        <v>1017</v>
      </c>
      <c r="G117" s="339">
        <v>22</v>
      </c>
      <c r="H117" s="340">
        <v>0</v>
      </c>
      <c r="I117" s="339">
        <v>0</v>
      </c>
      <c r="J117" s="340">
        <v>0</v>
      </c>
      <c r="K117" s="341">
        <v>22</v>
      </c>
      <c r="L117" s="342">
        <v>0</v>
      </c>
      <c r="M117" s="336"/>
      <c r="N117" s="343"/>
      <c r="O117" s="344"/>
      <c r="P117" s="343">
        <f t="shared" si="4"/>
        <v>22</v>
      </c>
      <c r="Q117" s="344">
        <f t="shared" si="5"/>
        <v>0</v>
      </c>
      <c r="R117" s="328">
        <f t="shared" si="6"/>
        <v>22</v>
      </c>
    </row>
    <row r="118" spans="1:18" ht="20" hidden="1">
      <c r="A118" s="318" t="s">
        <v>729</v>
      </c>
      <c r="B118" s="313" t="s">
        <v>95</v>
      </c>
      <c r="C118" s="313" t="s">
        <v>466</v>
      </c>
      <c r="D118" s="313" t="s">
        <v>563</v>
      </c>
      <c r="E118" s="322" t="s">
        <v>331</v>
      </c>
      <c r="F118" s="313" t="s">
        <v>1021</v>
      </c>
      <c r="G118" s="339">
        <v>0</v>
      </c>
      <c r="H118" s="340">
        <v>240</v>
      </c>
      <c r="I118" s="339">
        <v>0</v>
      </c>
      <c r="J118" s="340">
        <v>0</v>
      </c>
      <c r="K118" s="341">
        <v>0</v>
      </c>
      <c r="L118" s="342">
        <v>240</v>
      </c>
      <c r="M118" s="336"/>
      <c r="N118" s="343"/>
      <c r="O118" s="344"/>
      <c r="P118" s="343">
        <f t="shared" si="4"/>
        <v>0</v>
      </c>
      <c r="Q118" s="344">
        <f t="shared" si="5"/>
        <v>240</v>
      </c>
      <c r="R118" s="328">
        <f t="shared" si="6"/>
        <v>-240</v>
      </c>
    </row>
    <row r="119" spans="1:18" ht="20" hidden="1">
      <c r="A119" s="318" t="s">
        <v>729</v>
      </c>
      <c r="B119" s="313" t="s">
        <v>93</v>
      </c>
      <c r="C119" s="313" t="s">
        <v>466</v>
      </c>
      <c r="D119" s="313" t="s">
        <v>563</v>
      </c>
      <c r="E119" s="322" t="s">
        <v>331</v>
      </c>
      <c r="F119" s="313" t="s">
        <v>1027</v>
      </c>
      <c r="G119" s="339">
        <v>80</v>
      </c>
      <c r="H119" s="340">
        <v>0</v>
      </c>
      <c r="I119" s="339">
        <v>0</v>
      </c>
      <c r="J119" s="340">
        <v>0</v>
      </c>
      <c r="K119" s="341">
        <v>80</v>
      </c>
      <c r="L119" s="342">
        <v>0</v>
      </c>
      <c r="M119" s="336"/>
      <c r="N119" s="343"/>
      <c r="O119" s="344"/>
      <c r="P119" s="343">
        <f t="shared" si="4"/>
        <v>80</v>
      </c>
      <c r="Q119" s="344">
        <f t="shared" si="5"/>
        <v>0</v>
      </c>
      <c r="R119" s="328">
        <f t="shared" si="6"/>
        <v>80</v>
      </c>
    </row>
    <row r="120" spans="1:18" hidden="1">
      <c r="A120" s="318" t="s">
        <v>730</v>
      </c>
      <c r="B120" s="313" t="s">
        <v>96</v>
      </c>
      <c r="C120" s="313" t="s">
        <v>330</v>
      </c>
      <c r="D120" s="313" t="s">
        <v>330</v>
      </c>
      <c r="E120" s="322" t="s">
        <v>330</v>
      </c>
      <c r="F120" s="313" t="s">
        <v>1014</v>
      </c>
      <c r="G120" s="339">
        <v>250000</v>
      </c>
      <c r="H120" s="340">
        <v>0</v>
      </c>
      <c r="I120" s="339">
        <v>0</v>
      </c>
      <c r="J120" s="340">
        <v>0</v>
      </c>
      <c r="K120" s="341">
        <v>250000</v>
      </c>
      <c r="L120" s="342">
        <v>0</v>
      </c>
      <c r="M120" s="336"/>
      <c r="N120" s="343"/>
      <c r="O120" s="344"/>
      <c r="P120" s="343">
        <f t="shared" si="4"/>
        <v>250000</v>
      </c>
      <c r="Q120" s="344">
        <f t="shared" si="5"/>
        <v>0</v>
      </c>
      <c r="R120" s="328">
        <f t="shared" si="6"/>
        <v>250000</v>
      </c>
    </row>
    <row r="121" spans="1:18" hidden="1">
      <c r="A121" s="318" t="s">
        <v>730</v>
      </c>
      <c r="B121" s="313" t="s">
        <v>98</v>
      </c>
      <c r="C121" s="313" t="s">
        <v>330</v>
      </c>
      <c r="D121" s="313" t="s">
        <v>330</v>
      </c>
      <c r="E121" s="322" t="s">
        <v>330</v>
      </c>
      <c r="F121" s="313" t="s">
        <v>974</v>
      </c>
      <c r="G121" s="339">
        <v>0</v>
      </c>
      <c r="H121" s="340">
        <v>444056</v>
      </c>
      <c r="I121" s="339">
        <v>0</v>
      </c>
      <c r="J121" s="340">
        <v>0</v>
      </c>
      <c r="K121" s="341">
        <v>0</v>
      </c>
      <c r="L121" s="342">
        <v>444056</v>
      </c>
      <c r="M121" s="336"/>
      <c r="N121" s="343"/>
      <c r="O121" s="344"/>
      <c r="P121" s="343">
        <f t="shared" si="4"/>
        <v>0</v>
      </c>
      <c r="Q121" s="344">
        <f t="shared" si="5"/>
        <v>444056</v>
      </c>
      <c r="R121" s="328">
        <f t="shared" si="6"/>
        <v>-444056</v>
      </c>
    </row>
    <row r="122" spans="1:18" hidden="1">
      <c r="A122" s="318" t="s">
        <v>730</v>
      </c>
      <c r="B122" s="313" t="s">
        <v>99</v>
      </c>
      <c r="C122" s="313" t="s">
        <v>330</v>
      </c>
      <c r="D122" s="313" t="s">
        <v>330</v>
      </c>
      <c r="E122" s="322" t="s">
        <v>330</v>
      </c>
      <c r="F122" s="313" t="s">
        <v>1021</v>
      </c>
      <c r="G122" s="339">
        <v>0</v>
      </c>
      <c r="H122" s="340">
        <v>3076</v>
      </c>
      <c r="I122" s="339">
        <v>0</v>
      </c>
      <c r="J122" s="340">
        <v>0</v>
      </c>
      <c r="K122" s="341">
        <v>0</v>
      </c>
      <c r="L122" s="342">
        <v>3076</v>
      </c>
      <c r="M122" s="336"/>
      <c r="N122" s="343"/>
      <c r="O122" s="344"/>
      <c r="P122" s="343">
        <f t="shared" si="4"/>
        <v>0</v>
      </c>
      <c r="Q122" s="344">
        <f t="shared" si="5"/>
        <v>3076</v>
      </c>
      <c r="R122" s="328">
        <f t="shared" si="6"/>
        <v>-3076</v>
      </c>
    </row>
    <row r="123" spans="1:18" hidden="1">
      <c r="A123" s="318" t="s">
        <v>730</v>
      </c>
      <c r="B123" s="313" t="s">
        <v>97</v>
      </c>
      <c r="C123" s="313" t="s">
        <v>330</v>
      </c>
      <c r="D123" s="313" t="s">
        <v>330</v>
      </c>
      <c r="E123" s="322" t="s">
        <v>330</v>
      </c>
      <c r="F123" s="313" t="s">
        <v>1027</v>
      </c>
      <c r="G123" s="339">
        <v>80000</v>
      </c>
      <c r="H123" s="340">
        <v>0</v>
      </c>
      <c r="I123" s="339">
        <v>0</v>
      </c>
      <c r="J123" s="340">
        <v>0</v>
      </c>
      <c r="K123" s="341">
        <v>80000</v>
      </c>
      <c r="L123" s="342">
        <v>0</v>
      </c>
      <c r="M123" s="336"/>
      <c r="N123" s="343"/>
      <c r="O123" s="344"/>
      <c r="P123" s="343">
        <f t="shared" si="4"/>
        <v>80000</v>
      </c>
      <c r="Q123" s="344">
        <f t="shared" si="5"/>
        <v>0</v>
      </c>
      <c r="R123" s="328">
        <f t="shared" si="6"/>
        <v>80000</v>
      </c>
    </row>
    <row r="124" spans="1:18" ht="20" hidden="1">
      <c r="A124" s="318" t="s">
        <v>731</v>
      </c>
      <c r="B124" s="313" t="s">
        <v>100</v>
      </c>
      <c r="C124" s="313" t="s">
        <v>466</v>
      </c>
      <c r="D124" s="313" t="s">
        <v>563</v>
      </c>
      <c r="E124" s="322" t="s">
        <v>331</v>
      </c>
      <c r="F124" s="313" t="s">
        <v>1012</v>
      </c>
      <c r="G124" s="339">
        <v>50</v>
      </c>
      <c r="H124" s="340">
        <v>0</v>
      </c>
      <c r="I124" s="339">
        <v>0</v>
      </c>
      <c r="J124" s="340">
        <v>0</v>
      </c>
      <c r="K124" s="341">
        <v>50</v>
      </c>
      <c r="L124" s="342">
        <v>0</v>
      </c>
      <c r="M124" s="336"/>
      <c r="N124" s="343"/>
      <c r="O124" s="344"/>
      <c r="P124" s="343">
        <f t="shared" si="4"/>
        <v>50</v>
      </c>
      <c r="Q124" s="344">
        <f t="shared" si="5"/>
        <v>0</v>
      </c>
      <c r="R124" s="328">
        <f t="shared" si="6"/>
        <v>50</v>
      </c>
    </row>
    <row r="125" spans="1:18" ht="20" hidden="1">
      <c r="A125" s="318" t="s">
        <v>732</v>
      </c>
      <c r="B125" s="313" t="s">
        <v>101</v>
      </c>
      <c r="C125" s="313" t="s">
        <v>466</v>
      </c>
      <c r="D125" s="313" t="s">
        <v>563</v>
      </c>
      <c r="E125" s="322" t="s">
        <v>331</v>
      </c>
      <c r="F125" s="313" t="s">
        <v>1012</v>
      </c>
      <c r="G125" s="339">
        <v>50</v>
      </c>
      <c r="H125" s="340">
        <v>0</v>
      </c>
      <c r="I125" s="339">
        <v>0</v>
      </c>
      <c r="J125" s="340">
        <v>0</v>
      </c>
      <c r="K125" s="341">
        <v>50</v>
      </c>
      <c r="L125" s="342">
        <v>0</v>
      </c>
      <c r="M125" s="336"/>
      <c r="N125" s="343"/>
      <c r="O125" s="344"/>
      <c r="P125" s="343">
        <f t="shared" si="4"/>
        <v>50</v>
      </c>
      <c r="Q125" s="344">
        <f t="shared" si="5"/>
        <v>0</v>
      </c>
      <c r="R125" s="328">
        <f t="shared" si="6"/>
        <v>50</v>
      </c>
    </row>
    <row r="126" spans="1:18" hidden="1">
      <c r="A126" s="318" t="s">
        <v>733</v>
      </c>
      <c r="B126" s="313" t="s">
        <v>102</v>
      </c>
      <c r="C126" s="313" t="s">
        <v>330</v>
      </c>
      <c r="D126" s="313" t="s">
        <v>330</v>
      </c>
      <c r="E126" s="322" t="s">
        <v>330</v>
      </c>
      <c r="F126" s="313" t="s">
        <v>1014</v>
      </c>
      <c r="G126" s="339">
        <v>0</v>
      </c>
      <c r="H126" s="340">
        <v>210640</v>
      </c>
      <c r="I126" s="339">
        <v>0</v>
      </c>
      <c r="J126" s="340">
        <v>0</v>
      </c>
      <c r="K126" s="341">
        <v>0</v>
      </c>
      <c r="L126" s="342">
        <v>210640</v>
      </c>
      <c r="M126" s="336"/>
      <c r="N126" s="343"/>
      <c r="O126" s="344"/>
      <c r="P126" s="343">
        <f t="shared" si="4"/>
        <v>0</v>
      </c>
      <c r="Q126" s="344">
        <f t="shared" si="5"/>
        <v>210640</v>
      </c>
      <c r="R126" s="328">
        <f t="shared" si="6"/>
        <v>-210640</v>
      </c>
    </row>
    <row r="127" spans="1:18" hidden="1">
      <c r="A127" s="318" t="s">
        <v>733</v>
      </c>
      <c r="B127" s="313" t="s">
        <v>103</v>
      </c>
      <c r="C127" s="313" t="s">
        <v>330</v>
      </c>
      <c r="D127" s="313" t="s">
        <v>330</v>
      </c>
      <c r="E127" s="322" t="s">
        <v>330</v>
      </c>
      <c r="F127" s="313" t="s">
        <v>974</v>
      </c>
      <c r="G127" s="339">
        <v>0</v>
      </c>
      <c r="H127" s="340">
        <v>184347</v>
      </c>
      <c r="I127" s="339">
        <v>0</v>
      </c>
      <c r="J127" s="340">
        <v>0</v>
      </c>
      <c r="K127" s="341">
        <v>0</v>
      </c>
      <c r="L127" s="342">
        <v>184347</v>
      </c>
      <c r="M127" s="336"/>
      <c r="N127" s="343"/>
      <c r="O127" s="344"/>
      <c r="P127" s="343">
        <f t="shared" si="4"/>
        <v>0</v>
      </c>
      <c r="Q127" s="344">
        <f t="shared" si="5"/>
        <v>184347</v>
      </c>
      <c r="R127" s="328">
        <f t="shared" si="6"/>
        <v>-184347</v>
      </c>
    </row>
    <row r="128" spans="1:18" ht="20" hidden="1">
      <c r="A128" s="318" t="s">
        <v>734</v>
      </c>
      <c r="B128" s="313" t="s">
        <v>104</v>
      </c>
      <c r="C128" s="313" t="s">
        <v>466</v>
      </c>
      <c r="D128" s="313" t="s">
        <v>563</v>
      </c>
      <c r="E128" s="322" t="s">
        <v>331</v>
      </c>
      <c r="F128" s="313" t="s">
        <v>1013</v>
      </c>
      <c r="G128" s="339">
        <v>50</v>
      </c>
      <c r="H128" s="340">
        <v>0</v>
      </c>
      <c r="I128" s="339">
        <v>0</v>
      </c>
      <c r="J128" s="340">
        <v>0</v>
      </c>
      <c r="K128" s="341">
        <v>50</v>
      </c>
      <c r="L128" s="342">
        <v>0</v>
      </c>
      <c r="M128" s="336"/>
      <c r="N128" s="343"/>
      <c r="O128" s="344"/>
      <c r="P128" s="343">
        <f t="shared" si="4"/>
        <v>50</v>
      </c>
      <c r="Q128" s="344">
        <f t="shared" si="5"/>
        <v>0</v>
      </c>
      <c r="R128" s="328">
        <f t="shared" si="6"/>
        <v>50</v>
      </c>
    </row>
    <row r="129" spans="1:18" ht="20" hidden="1">
      <c r="A129" s="318" t="s">
        <v>735</v>
      </c>
      <c r="B129" s="313" t="s">
        <v>105</v>
      </c>
      <c r="C129" s="313" t="s">
        <v>466</v>
      </c>
      <c r="D129" s="313" t="s">
        <v>563</v>
      </c>
      <c r="E129" s="322" t="s">
        <v>331</v>
      </c>
      <c r="F129" s="313" t="s">
        <v>1013</v>
      </c>
      <c r="G129" s="339">
        <v>50</v>
      </c>
      <c r="H129" s="340">
        <v>0</v>
      </c>
      <c r="I129" s="339">
        <v>0</v>
      </c>
      <c r="J129" s="340">
        <v>0</v>
      </c>
      <c r="K129" s="341">
        <v>50</v>
      </c>
      <c r="L129" s="342">
        <v>0</v>
      </c>
      <c r="M129" s="336"/>
      <c r="N129" s="343"/>
      <c r="O129" s="344"/>
      <c r="P129" s="343">
        <f t="shared" si="4"/>
        <v>50</v>
      </c>
      <c r="Q129" s="344">
        <f t="shared" si="5"/>
        <v>0</v>
      </c>
      <c r="R129" s="328">
        <f t="shared" si="6"/>
        <v>50</v>
      </c>
    </row>
    <row r="130" spans="1:18" ht="20" hidden="1">
      <c r="A130" s="318" t="s">
        <v>736</v>
      </c>
      <c r="B130" s="313" t="s">
        <v>106</v>
      </c>
      <c r="C130" s="313" t="s">
        <v>466</v>
      </c>
      <c r="D130" s="313" t="s">
        <v>563</v>
      </c>
      <c r="E130" s="322" t="s">
        <v>331</v>
      </c>
      <c r="F130" s="313" t="s">
        <v>1013</v>
      </c>
      <c r="G130" s="339">
        <v>50</v>
      </c>
      <c r="H130" s="340">
        <v>0</v>
      </c>
      <c r="I130" s="339">
        <v>0</v>
      </c>
      <c r="J130" s="340">
        <v>0</v>
      </c>
      <c r="K130" s="341">
        <v>50</v>
      </c>
      <c r="L130" s="342">
        <v>0</v>
      </c>
      <c r="M130" s="336"/>
      <c r="N130" s="343"/>
      <c r="O130" s="344"/>
      <c r="P130" s="343">
        <f t="shared" si="4"/>
        <v>50</v>
      </c>
      <c r="Q130" s="344">
        <f t="shared" si="5"/>
        <v>0</v>
      </c>
      <c r="R130" s="328">
        <f t="shared" si="6"/>
        <v>50</v>
      </c>
    </row>
    <row r="131" spans="1:18" ht="20" hidden="1">
      <c r="A131" s="318" t="s">
        <v>737</v>
      </c>
      <c r="B131" s="313" t="s">
        <v>107</v>
      </c>
      <c r="C131" s="313" t="s">
        <v>466</v>
      </c>
      <c r="D131" s="313" t="s">
        <v>563</v>
      </c>
      <c r="E131" s="322" t="s">
        <v>331</v>
      </c>
      <c r="F131" s="313" t="s">
        <v>1014</v>
      </c>
      <c r="G131" s="339">
        <v>0</v>
      </c>
      <c r="H131" s="340">
        <v>240</v>
      </c>
      <c r="I131" s="339">
        <v>0</v>
      </c>
      <c r="J131" s="340">
        <v>0</v>
      </c>
      <c r="K131" s="341">
        <v>0</v>
      </c>
      <c r="L131" s="342">
        <v>240</v>
      </c>
      <c r="M131" s="336"/>
      <c r="N131" s="343"/>
      <c r="O131" s="344"/>
      <c r="P131" s="343">
        <f t="shared" si="4"/>
        <v>0</v>
      </c>
      <c r="Q131" s="344">
        <f t="shared" si="5"/>
        <v>240</v>
      </c>
      <c r="R131" s="328">
        <f t="shared" si="6"/>
        <v>-240</v>
      </c>
    </row>
    <row r="132" spans="1:18" ht="20" hidden="1">
      <c r="A132" s="318" t="s">
        <v>737</v>
      </c>
      <c r="B132" s="313" t="s">
        <v>108</v>
      </c>
      <c r="C132" s="313" t="s">
        <v>466</v>
      </c>
      <c r="D132" s="313" t="s">
        <v>563</v>
      </c>
      <c r="E132" s="322" t="s">
        <v>331</v>
      </c>
      <c r="F132" s="313" t="s">
        <v>974</v>
      </c>
      <c r="G132" s="339">
        <v>84</v>
      </c>
      <c r="H132" s="340">
        <v>0</v>
      </c>
      <c r="I132" s="339">
        <v>0</v>
      </c>
      <c r="J132" s="340">
        <v>0</v>
      </c>
      <c r="K132" s="341">
        <v>84</v>
      </c>
      <c r="L132" s="342">
        <v>0</v>
      </c>
      <c r="M132" s="336"/>
      <c r="N132" s="343"/>
      <c r="O132" s="344"/>
      <c r="P132" s="343">
        <f t="shared" si="4"/>
        <v>84</v>
      </c>
      <c r="Q132" s="344">
        <f t="shared" si="5"/>
        <v>0</v>
      </c>
      <c r="R132" s="328">
        <f t="shared" si="6"/>
        <v>84</v>
      </c>
    </row>
    <row r="133" spans="1:18" ht="20" hidden="1">
      <c r="A133" s="318" t="s">
        <v>737</v>
      </c>
      <c r="B133" s="313" t="s">
        <v>109</v>
      </c>
      <c r="C133" s="313" t="s">
        <v>466</v>
      </c>
      <c r="D133" s="313" t="s">
        <v>563</v>
      </c>
      <c r="E133" s="322" t="s">
        <v>331</v>
      </c>
      <c r="F133" s="313" t="s">
        <v>1021</v>
      </c>
      <c r="G133" s="339">
        <v>50</v>
      </c>
      <c r="H133" s="340">
        <v>0</v>
      </c>
      <c r="I133" s="339">
        <v>0</v>
      </c>
      <c r="J133" s="340">
        <v>0</v>
      </c>
      <c r="K133" s="341">
        <v>50</v>
      </c>
      <c r="L133" s="342">
        <v>0</v>
      </c>
      <c r="M133" s="336"/>
      <c r="N133" s="343"/>
      <c r="O133" s="344"/>
      <c r="P133" s="343">
        <f t="shared" si="4"/>
        <v>50</v>
      </c>
      <c r="Q133" s="344">
        <f t="shared" si="5"/>
        <v>0</v>
      </c>
      <c r="R133" s="328">
        <f t="shared" si="6"/>
        <v>50</v>
      </c>
    </row>
    <row r="134" spans="1:18" ht="20" hidden="1">
      <c r="A134" s="318" t="s">
        <v>738</v>
      </c>
      <c r="B134" s="313" t="s">
        <v>110</v>
      </c>
      <c r="C134" s="313" t="s">
        <v>466</v>
      </c>
      <c r="D134" s="313" t="s">
        <v>563</v>
      </c>
      <c r="E134" s="322" t="s">
        <v>331</v>
      </c>
      <c r="F134" s="313" t="s">
        <v>1021</v>
      </c>
      <c r="G134" s="339">
        <v>50</v>
      </c>
      <c r="H134" s="340">
        <v>0</v>
      </c>
      <c r="I134" s="339">
        <v>0</v>
      </c>
      <c r="J134" s="340">
        <v>0</v>
      </c>
      <c r="K134" s="341">
        <v>50</v>
      </c>
      <c r="L134" s="342">
        <v>0</v>
      </c>
      <c r="M134" s="336"/>
      <c r="N134" s="343"/>
      <c r="O134" s="344"/>
      <c r="P134" s="343">
        <f t="shared" si="4"/>
        <v>50</v>
      </c>
      <c r="Q134" s="344">
        <f t="shared" si="5"/>
        <v>0</v>
      </c>
      <c r="R134" s="328">
        <f t="shared" si="6"/>
        <v>50</v>
      </c>
    </row>
    <row r="135" spans="1:18" ht="20" hidden="1">
      <c r="A135" s="318" t="s">
        <v>739</v>
      </c>
      <c r="B135" s="313" t="s">
        <v>111</v>
      </c>
      <c r="C135" s="313" t="s">
        <v>466</v>
      </c>
      <c r="D135" s="313" t="s">
        <v>563</v>
      </c>
      <c r="E135" s="322" t="s">
        <v>331</v>
      </c>
      <c r="F135" s="313" t="s">
        <v>1021</v>
      </c>
      <c r="G135" s="339">
        <v>50</v>
      </c>
      <c r="H135" s="340">
        <v>0</v>
      </c>
      <c r="I135" s="339">
        <v>0</v>
      </c>
      <c r="J135" s="340">
        <v>0</v>
      </c>
      <c r="K135" s="341">
        <v>50</v>
      </c>
      <c r="L135" s="342">
        <v>0</v>
      </c>
      <c r="M135" s="336"/>
      <c r="N135" s="343"/>
      <c r="O135" s="344"/>
      <c r="P135" s="343">
        <f t="shared" ref="P135:P198" si="7">K135+N135</f>
        <v>50</v>
      </c>
      <c r="Q135" s="344">
        <f t="shared" ref="Q135:Q198" si="8">L135+O135</f>
        <v>0</v>
      </c>
      <c r="R135" s="328">
        <f t="shared" ref="R135:R198" si="9">P135-Q135</f>
        <v>50</v>
      </c>
    </row>
    <row r="136" spans="1:18" ht="20" hidden="1">
      <c r="A136" s="318" t="s">
        <v>740</v>
      </c>
      <c r="B136" s="313" t="s">
        <v>112</v>
      </c>
      <c r="C136" s="313" t="s">
        <v>466</v>
      </c>
      <c r="D136" s="313" t="s">
        <v>563</v>
      </c>
      <c r="E136" s="322" t="s">
        <v>331</v>
      </c>
      <c r="F136" s="313" t="s">
        <v>1021</v>
      </c>
      <c r="G136" s="339">
        <v>50</v>
      </c>
      <c r="H136" s="340">
        <v>0</v>
      </c>
      <c r="I136" s="339">
        <v>0</v>
      </c>
      <c r="J136" s="340">
        <v>0</v>
      </c>
      <c r="K136" s="341">
        <v>50</v>
      </c>
      <c r="L136" s="342">
        <v>0</v>
      </c>
      <c r="M136" s="336"/>
      <c r="N136" s="343"/>
      <c r="O136" s="344"/>
      <c r="P136" s="343">
        <f t="shared" si="7"/>
        <v>50</v>
      </c>
      <c r="Q136" s="344">
        <f t="shared" si="8"/>
        <v>0</v>
      </c>
      <c r="R136" s="328">
        <f t="shared" si="9"/>
        <v>50</v>
      </c>
    </row>
    <row r="137" spans="1:18" hidden="1">
      <c r="A137" s="318" t="s">
        <v>741</v>
      </c>
      <c r="B137" s="313" t="s">
        <v>113</v>
      </c>
      <c r="C137" s="313" t="s">
        <v>330</v>
      </c>
      <c r="D137" s="313" t="s">
        <v>330</v>
      </c>
      <c r="E137" s="322" t="s">
        <v>330</v>
      </c>
      <c r="F137" s="313" t="s">
        <v>974</v>
      </c>
      <c r="G137" s="339">
        <v>65268</v>
      </c>
      <c r="H137" s="340">
        <v>0</v>
      </c>
      <c r="I137" s="339">
        <v>0</v>
      </c>
      <c r="J137" s="340">
        <v>0</v>
      </c>
      <c r="K137" s="341">
        <v>65268</v>
      </c>
      <c r="L137" s="342">
        <v>0</v>
      </c>
      <c r="M137" s="336"/>
      <c r="N137" s="343"/>
      <c r="O137" s="344"/>
      <c r="P137" s="343">
        <f t="shared" si="7"/>
        <v>65268</v>
      </c>
      <c r="Q137" s="344">
        <f t="shared" si="8"/>
        <v>0</v>
      </c>
      <c r="R137" s="328">
        <f t="shared" si="9"/>
        <v>65268</v>
      </c>
    </row>
    <row r="138" spans="1:18" hidden="1">
      <c r="A138" s="318" t="s">
        <v>742</v>
      </c>
      <c r="B138" s="313" t="s">
        <v>114</v>
      </c>
      <c r="C138" s="313" t="s">
        <v>330</v>
      </c>
      <c r="D138" s="313" t="s">
        <v>330</v>
      </c>
      <c r="E138" s="322" t="s">
        <v>330</v>
      </c>
      <c r="F138" s="313" t="s">
        <v>974</v>
      </c>
      <c r="G138" s="339">
        <v>124685</v>
      </c>
      <c r="H138" s="340">
        <v>0</v>
      </c>
      <c r="I138" s="339">
        <v>0</v>
      </c>
      <c r="J138" s="340">
        <v>0</v>
      </c>
      <c r="K138" s="341">
        <v>124685</v>
      </c>
      <c r="L138" s="342">
        <v>0</v>
      </c>
      <c r="M138" s="336"/>
      <c r="N138" s="343"/>
      <c r="O138" s="344"/>
      <c r="P138" s="343">
        <f t="shared" si="7"/>
        <v>124685</v>
      </c>
      <c r="Q138" s="344">
        <f t="shared" si="8"/>
        <v>0</v>
      </c>
      <c r="R138" s="328">
        <f t="shared" si="9"/>
        <v>124685</v>
      </c>
    </row>
    <row r="139" spans="1:18" hidden="1">
      <c r="A139" s="318" t="s">
        <v>743</v>
      </c>
      <c r="B139" s="313" t="s">
        <v>116</v>
      </c>
      <c r="C139" s="313" t="s">
        <v>330</v>
      </c>
      <c r="D139" s="313" t="s">
        <v>330</v>
      </c>
      <c r="E139" s="322" t="s">
        <v>330</v>
      </c>
      <c r="F139" s="313" t="s">
        <v>1013</v>
      </c>
      <c r="G139" s="339">
        <v>2100</v>
      </c>
      <c r="H139" s="340">
        <v>0</v>
      </c>
      <c r="I139" s="339">
        <v>0</v>
      </c>
      <c r="J139" s="340">
        <v>0</v>
      </c>
      <c r="K139" s="341">
        <v>2100</v>
      </c>
      <c r="L139" s="342">
        <v>0</v>
      </c>
      <c r="M139" s="336"/>
      <c r="N139" s="343"/>
      <c r="O139" s="344"/>
      <c r="P139" s="343">
        <f t="shared" si="7"/>
        <v>2100</v>
      </c>
      <c r="Q139" s="344">
        <f t="shared" si="8"/>
        <v>0</v>
      </c>
      <c r="R139" s="328">
        <f t="shared" si="9"/>
        <v>2100</v>
      </c>
    </row>
    <row r="140" spans="1:18" hidden="1">
      <c r="A140" s="318" t="s">
        <v>743</v>
      </c>
      <c r="B140" s="313" t="s">
        <v>115</v>
      </c>
      <c r="C140" s="313" t="s">
        <v>330</v>
      </c>
      <c r="D140" s="313" t="s">
        <v>330</v>
      </c>
      <c r="E140" s="322" t="s">
        <v>330</v>
      </c>
      <c r="F140" s="313" t="s">
        <v>974</v>
      </c>
      <c r="G140" s="339">
        <v>0</v>
      </c>
      <c r="H140" s="340">
        <v>3956485</v>
      </c>
      <c r="I140" s="339">
        <v>0</v>
      </c>
      <c r="J140" s="340">
        <v>0</v>
      </c>
      <c r="K140" s="341">
        <v>0</v>
      </c>
      <c r="L140" s="342">
        <v>3956485</v>
      </c>
      <c r="M140" s="336"/>
      <c r="N140" s="343"/>
      <c r="O140" s="344"/>
      <c r="P140" s="343">
        <f t="shared" si="7"/>
        <v>0</v>
      </c>
      <c r="Q140" s="344">
        <f t="shared" si="8"/>
        <v>3956485</v>
      </c>
      <c r="R140" s="328">
        <f t="shared" si="9"/>
        <v>-3956485</v>
      </c>
    </row>
    <row r="141" spans="1:18" hidden="1">
      <c r="A141" s="318" t="s">
        <v>743</v>
      </c>
      <c r="B141" s="313" t="s">
        <v>117</v>
      </c>
      <c r="C141" s="313" t="s">
        <v>330</v>
      </c>
      <c r="D141" s="313" t="s">
        <v>330</v>
      </c>
      <c r="E141" s="322" t="s">
        <v>330</v>
      </c>
      <c r="F141" s="313" t="s">
        <v>1025</v>
      </c>
      <c r="G141" s="339">
        <v>0</v>
      </c>
      <c r="H141" s="340">
        <v>978666</v>
      </c>
      <c r="I141" s="339">
        <v>0</v>
      </c>
      <c r="J141" s="340">
        <v>0</v>
      </c>
      <c r="K141" s="341">
        <v>0</v>
      </c>
      <c r="L141" s="342">
        <v>978666</v>
      </c>
      <c r="M141" s="336"/>
      <c r="N141" s="343"/>
      <c r="O141" s="344"/>
      <c r="P141" s="343">
        <f t="shared" si="7"/>
        <v>0</v>
      </c>
      <c r="Q141" s="344">
        <f t="shared" si="8"/>
        <v>978666</v>
      </c>
      <c r="R141" s="328">
        <f t="shared" si="9"/>
        <v>-978666</v>
      </c>
    </row>
    <row r="142" spans="1:18" hidden="1">
      <c r="A142" s="318" t="s">
        <v>744</v>
      </c>
      <c r="B142" s="313" t="s">
        <v>121</v>
      </c>
      <c r="C142" s="313" t="s">
        <v>330</v>
      </c>
      <c r="D142" s="313" t="s">
        <v>330</v>
      </c>
      <c r="E142" s="322" t="s">
        <v>330</v>
      </c>
      <c r="F142" s="313" t="s">
        <v>1013</v>
      </c>
      <c r="G142" s="339">
        <v>33907</v>
      </c>
      <c r="H142" s="340">
        <v>0</v>
      </c>
      <c r="I142" s="339">
        <v>0</v>
      </c>
      <c r="J142" s="340">
        <v>0</v>
      </c>
      <c r="K142" s="341">
        <v>33907</v>
      </c>
      <c r="L142" s="342">
        <v>0</v>
      </c>
      <c r="M142" s="336"/>
      <c r="N142" s="343"/>
      <c r="O142" s="344"/>
      <c r="P142" s="343">
        <f t="shared" si="7"/>
        <v>33907</v>
      </c>
      <c r="Q142" s="344">
        <f t="shared" si="8"/>
        <v>0</v>
      </c>
      <c r="R142" s="328">
        <f t="shared" si="9"/>
        <v>33907</v>
      </c>
    </row>
    <row r="143" spans="1:18" hidden="1">
      <c r="A143" s="318" t="s">
        <v>744</v>
      </c>
      <c r="B143" s="313" t="s">
        <v>118</v>
      </c>
      <c r="C143" s="313" t="s">
        <v>330</v>
      </c>
      <c r="D143" s="313" t="s">
        <v>330</v>
      </c>
      <c r="E143" s="322" t="s">
        <v>330</v>
      </c>
      <c r="F143" s="313" t="s">
        <v>1014</v>
      </c>
      <c r="G143" s="339">
        <v>0</v>
      </c>
      <c r="H143" s="340">
        <v>321121</v>
      </c>
      <c r="I143" s="339">
        <v>0</v>
      </c>
      <c r="J143" s="340">
        <v>0</v>
      </c>
      <c r="K143" s="341">
        <v>0</v>
      </c>
      <c r="L143" s="342">
        <v>321121</v>
      </c>
      <c r="M143" s="336"/>
      <c r="N143" s="343"/>
      <c r="O143" s="344"/>
      <c r="P143" s="343">
        <f t="shared" si="7"/>
        <v>0</v>
      </c>
      <c r="Q143" s="344">
        <f t="shared" si="8"/>
        <v>321121</v>
      </c>
      <c r="R143" s="328">
        <f t="shared" si="9"/>
        <v>-321121</v>
      </c>
    </row>
    <row r="144" spans="1:18" hidden="1">
      <c r="A144" s="318" t="s">
        <v>744</v>
      </c>
      <c r="B144" s="313" t="s">
        <v>119</v>
      </c>
      <c r="C144" s="313" t="s">
        <v>330</v>
      </c>
      <c r="D144" s="313" t="s">
        <v>330</v>
      </c>
      <c r="E144" s="322" t="s">
        <v>330</v>
      </c>
      <c r="F144" s="313" t="s">
        <v>974</v>
      </c>
      <c r="G144" s="339">
        <v>0</v>
      </c>
      <c r="H144" s="340">
        <v>893859</v>
      </c>
      <c r="I144" s="339">
        <v>0</v>
      </c>
      <c r="J144" s="340">
        <v>0</v>
      </c>
      <c r="K144" s="341">
        <v>0</v>
      </c>
      <c r="L144" s="342">
        <v>893859</v>
      </c>
      <c r="M144" s="336"/>
      <c r="N144" s="343"/>
      <c r="O144" s="344"/>
      <c r="P144" s="343">
        <f t="shared" si="7"/>
        <v>0</v>
      </c>
      <c r="Q144" s="344">
        <f t="shared" si="8"/>
        <v>893859</v>
      </c>
      <c r="R144" s="328">
        <f t="shared" si="9"/>
        <v>-893859</v>
      </c>
    </row>
    <row r="145" spans="1:18" hidden="1">
      <c r="A145" s="318" t="s">
        <v>744</v>
      </c>
      <c r="B145" s="313" t="s">
        <v>120</v>
      </c>
      <c r="C145" s="313" t="s">
        <v>330</v>
      </c>
      <c r="D145" s="313" t="s">
        <v>330</v>
      </c>
      <c r="E145" s="322" t="s">
        <v>330</v>
      </c>
      <c r="F145" s="313" t="s">
        <v>1012</v>
      </c>
      <c r="G145" s="339">
        <v>20000</v>
      </c>
      <c r="H145" s="340">
        <v>0</v>
      </c>
      <c r="I145" s="339">
        <v>0</v>
      </c>
      <c r="J145" s="340">
        <v>0</v>
      </c>
      <c r="K145" s="341">
        <v>20000</v>
      </c>
      <c r="L145" s="342">
        <v>0</v>
      </c>
      <c r="M145" s="336"/>
      <c r="N145" s="343"/>
      <c r="O145" s="344"/>
      <c r="P145" s="343">
        <f t="shared" si="7"/>
        <v>20000</v>
      </c>
      <c r="Q145" s="344">
        <f t="shared" si="8"/>
        <v>0</v>
      </c>
      <c r="R145" s="328">
        <f t="shared" si="9"/>
        <v>20000</v>
      </c>
    </row>
    <row r="146" spans="1:18" hidden="1">
      <c r="A146" s="318" t="s">
        <v>744</v>
      </c>
      <c r="B146" s="313" t="s">
        <v>659</v>
      </c>
      <c r="C146" s="313" t="s">
        <v>330</v>
      </c>
      <c r="D146" s="313" t="s">
        <v>330</v>
      </c>
      <c r="E146" s="322" t="s">
        <v>330</v>
      </c>
      <c r="F146" s="313" t="s">
        <v>1017</v>
      </c>
      <c r="G146" s="339">
        <v>978666</v>
      </c>
      <c r="H146" s="340">
        <v>0</v>
      </c>
      <c r="I146" s="339">
        <v>0</v>
      </c>
      <c r="J146" s="340">
        <v>0</v>
      </c>
      <c r="K146" s="341">
        <v>978666</v>
      </c>
      <c r="L146" s="342">
        <v>0</v>
      </c>
      <c r="M146" s="336"/>
      <c r="N146" s="343"/>
      <c r="O146" s="344"/>
      <c r="P146" s="343">
        <f t="shared" si="7"/>
        <v>978666</v>
      </c>
      <c r="Q146" s="344">
        <f t="shared" si="8"/>
        <v>0</v>
      </c>
      <c r="R146" s="328">
        <f t="shared" si="9"/>
        <v>978666</v>
      </c>
    </row>
    <row r="147" spans="1:18" hidden="1">
      <c r="A147" s="318" t="s">
        <v>745</v>
      </c>
      <c r="B147" s="313" t="s">
        <v>122</v>
      </c>
      <c r="C147" s="313" t="s">
        <v>330</v>
      </c>
      <c r="D147" s="313" t="s">
        <v>330</v>
      </c>
      <c r="E147" s="322" t="s">
        <v>330</v>
      </c>
      <c r="F147" s="313" t="s">
        <v>974</v>
      </c>
      <c r="G147" s="339">
        <v>22000</v>
      </c>
      <c r="H147" s="340">
        <v>0</v>
      </c>
      <c r="I147" s="339">
        <v>0</v>
      </c>
      <c r="J147" s="340">
        <v>0</v>
      </c>
      <c r="K147" s="341">
        <v>22000</v>
      </c>
      <c r="L147" s="342">
        <v>0</v>
      </c>
      <c r="M147" s="336"/>
      <c r="N147" s="343"/>
      <c r="O147" s="344"/>
      <c r="P147" s="343">
        <f t="shared" si="7"/>
        <v>22000</v>
      </c>
      <c r="Q147" s="344">
        <f t="shared" si="8"/>
        <v>0</v>
      </c>
      <c r="R147" s="328">
        <f t="shared" si="9"/>
        <v>22000</v>
      </c>
    </row>
    <row r="148" spans="1:18" hidden="1">
      <c r="A148" s="318" t="s">
        <v>746</v>
      </c>
      <c r="B148" s="313" t="s">
        <v>123</v>
      </c>
      <c r="C148" s="313" t="s">
        <v>330</v>
      </c>
      <c r="D148" s="313" t="s">
        <v>330</v>
      </c>
      <c r="E148" s="322" t="s">
        <v>330</v>
      </c>
      <c r="F148" s="313" t="s">
        <v>974</v>
      </c>
      <c r="G148" s="339">
        <v>115</v>
      </c>
      <c r="H148" s="340">
        <v>0</v>
      </c>
      <c r="I148" s="339">
        <v>0</v>
      </c>
      <c r="J148" s="340">
        <v>0</v>
      </c>
      <c r="K148" s="341">
        <v>115</v>
      </c>
      <c r="L148" s="342">
        <v>0</v>
      </c>
      <c r="M148" s="336"/>
      <c r="N148" s="343"/>
      <c r="O148" s="344"/>
      <c r="P148" s="343">
        <f t="shared" si="7"/>
        <v>115</v>
      </c>
      <c r="Q148" s="344">
        <f t="shared" si="8"/>
        <v>0</v>
      </c>
      <c r="R148" s="328">
        <f t="shared" si="9"/>
        <v>115</v>
      </c>
    </row>
    <row r="149" spans="1:18" hidden="1">
      <c r="A149" s="318" t="s">
        <v>747</v>
      </c>
      <c r="B149" s="313" t="s">
        <v>124</v>
      </c>
      <c r="C149" s="313" t="s">
        <v>330</v>
      </c>
      <c r="D149" s="313" t="s">
        <v>330</v>
      </c>
      <c r="E149" s="322" t="s">
        <v>330</v>
      </c>
      <c r="F149" s="313" t="s">
        <v>974</v>
      </c>
      <c r="G149" s="339">
        <v>15372</v>
      </c>
      <c r="H149" s="340">
        <v>0</v>
      </c>
      <c r="I149" s="339">
        <v>0</v>
      </c>
      <c r="J149" s="340">
        <v>0</v>
      </c>
      <c r="K149" s="341">
        <v>15372</v>
      </c>
      <c r="L149" s="342">
        <v>0</v>
      </c>
      <c r="M149" s="336"/>
      <c r="N149" s="343"/>
      <c r="O149" s="344"/>
      <c r="P149" s="343">
        <f t="shared" si="7"/>
        <v>15372</v>
      </c>
      <c r="Q149" s="344">
        <f t="shared" si="8"/>
        <v>0</v>
      </c>
      <c r="R149" s="328">
        <f t="shared" si="9"/>
        <v>15372</v>
      </c>
    </row>
    <row r="150" spans="1:18" hidden="1">
      <c r="A150" s="318" t="s">
        <v>748</v>
      </c>
      <c r="B150" s="313" t="s">
        <v>125</v>
      </c>
      <c r="C150" s="313" t="s">
        <v>330</v>
      </c>
      <c r="D150" s="313" t="s">
        <v>330</v>
      </c>
      <c r="E150" s="322" t="s">
        <v>330</v>
      </c>
      <c r="F150" s="313" t="s">
        <v>1014</v>
      </c>
      <c r="G150" s="339">
        <v>61500</v>
      </c>
      <c r="H150" s="340">
        <v>0</v>
      </c>
      <c r="I150" s="339">
        <v>0</v>
      </c>
      <c r="J150" s="340">
        <v>0</v>
      </c>
      <c r="K150" s="341">
        <v>61500</v>
      </c>
      <c r="L150" s="342">
        <v>0</v>
      </c>
      <c r="M150" s="336"/>
      <c r="N150" s="343"/>
      <c r="O150" s="344"/>
      <c r="P150" s="343">
        <f t="shared" si="7"/>
        <v>61500</v>
      </c>
      <c r="Q150" s="344">
        <f t="shared" si="8"/>
        <v>0</v>
      </c>
      <c r="R150" s="328">
        <f t="shared" si="9"/>
        <v>61500</v>
      </c>
    </row>
    <row r="151" spans="1:18" hidden="1">
      <c r="A151" s="318" t="s">
        <v>748</v>
      </c>
      <c r="B151" s="313" t="s">
        <v>128</v>
      </c>
      <c r="C151" s="313" t="s">
        <v>330</v>
      </c>
      <c r="D151" s="313" t="s">
        <v>330</v>
      </c>
      <c r="E151" s="322" t="s">
        <v>330</v>
      </c>
      <c r="F151" s="313" t="s">
        <v>974</v>
      </c>
      <c r="G151" s="339">
        <v>0</v>
      </c>
      <c r="H151" s="340">
        <v>0</v>
      </c>
      <c r="I151" s="339">
        <v>426613</v>
      </c>
      <c r="J151" s="340">
        <v>2148364</v>
      </c>
      <c r="K151" s="341">
        <v>0</v>
      </c>
      <c r="L151" s="342">
        <v>1721751</v>
      </c>
      <c r="M151" s="336"/>
      <c r="N151" s="343"/>
      <c r="O151" s="344"/>
      <c r="P151" s="343">
        <f t="shared" si="7"/>
        <v>0</v>
      </c>
      <c r="Q151" s="344">
        <f t="shared" si="8"/>
        <v>1721751</v>
      </c>
      <c r="R151" s="328">
        <f t="shared" si="9"/>
        <v>-1721751</v>
      </c>
    </row>
    <row r="152" spans="1:18" hidden="1">
      <c r="A152" s="318" t="s">
        <v>748</v>
      </c>
      <c r="B152" s="313" t="s">
        <v>126</v>
      </c>
      <c r="C152" s="313" t="s">
        <v>330</v>
      </c>
      <c r="D152" s="313" t="s">
        <v>330</v>
      </c>
      <c r="E152" s="322" t="s">
        <v>330</v>
      </c>
      <c r="F152" s="313" t="s">
        <v>1019</v>
      </c>
      <c r="G152" s="339">
        <v>0</v>
      </c>
      <c r="H152" s="340">
        <v>0</v>
      </c>
      <c r="I152" s="339">
        <v>0</v>
      </c>
      <c r="J152" s="340">
        <v>129296</v>
      </c>
      <c r="K152" s="341">
        <v>0</v>
      </c>
      <c r="L152" s="342">
        <v>129296</v>
      </c>
      <c r="M152" s="336"/>
      <c r="N152" s="343"/>
      <c r="O152" s="344"/>
      <c r="P152" s="343">
        <f t="shared" si="7"/>
        <v>0</v>
      </c>
      <c r="Q152" s="344">
        <f t="shared" si="8"/>
        <v>129296</v>
      </c>
      <c r="R152" s="328">
        <f t="shared" si="9"/>
        <v>-129296</v>
      </c>
    </row>
    <row r="153" spans="1:18" hidden="1">
      <c r="A153" s="318" t="s">
        <v>748</v>
      </c>
      <c r="B153" s="313" t="s">
        <v>127</v>
      </c>
      <c r="C153" s="313" t="s">
        <v>330</v>
      </c>
      <c r="D153" s="313" t="s">
        <v>330</v>
      </c>
      <c r="E153" s="322" t="s">
        <v>330</v>
      </c>
      <c r="F153" s="313" t="s">
        <v>1027</v>
      </c>
      <c r="G153" s="339">
        <v>0</v>
      </c>
      <c r="H153" s="340">
        <v>111000</v>
      </c>
      <c r="I153" s="339">
        <v>0</v>
      </c>
      <c r="J153" s="340">
        <v>0</v>
      </c>
      <c r="K153" s="341">
        <v>0</v>
      </c>
      <c r="L153" s="342">
        <v>111000</v>
      </c>
      <c r="M153" s="336"/>
      <c r="N153" s="343"/>
      <c r="O153" s="344"/>
      <c r="P153" s="343">
        <f t="shared" si="7"/>
        <v>0</v>
      </c>
      <c r="Q153" s="344">
        <f t="shared" si="8"/>
        <v>111000</v>
      </c>
      <c r="R153" s="328">
        <f t="shared" si="9"/>
        <v>-111000</v>
      </c>
    </row>
    <row r="154" spans="1:18" hidden="1">
      <c r="A154" s="318" t="s">
        <v>749</v>
      </c>
      <c r="B154" s="313" t="s">
        <v>129</v>
      </c>
      <c r="C154" s="313" t="s">
        <v>330</v>
      </c>
      <c r="D154" s="313" t="s">
        <v>330</v>
      </c>
      <c r="E154" s="322" t="s">
        <v>330</v>
      </c>
      <c r="F154" s="313" t="s">
        <v>974</v>
      </c>
      <c r="G154" s="339">
        <v>100</v>
      </c>
      <c r="H154" s="340">
        <v>0</v>
      </c>
      <c r="I154" s="339">
        <v>903835</v>
      </c>
      <c r="J154" s="340">
        <v>2155906</v>
      </c>
      <c r="K154" s="341">
        <v>0</v>
      </c>
      <c r="L154" s="342">
        <v>1251971</v>
      </c>
      <c r="M154" s="336"/>
      <c r="N154" s="343"/>
      <c r="O154" s="344"/>
      <c r="P154" s="343">
        <f t="shared" si="7"/>
        <v>0</v>
      </c>
      <c r="Q154" s="344">
        <f t="shared" si="8"/>
        <v>1251971</v>
      </c>
      <c r="R154" s="328">
        <f t="shared" si="9"/>
        <v>-1251971</v>
      </c>
    </row>
    <row r="155" spans="1:18" hidden="1">
      <c r="A155" s="318" t="s">
        <v>750</v>
      </c>
      <c r="B155" s="313" t="s">
        <v>131</v>
      </c>
      <c r="C155" s="313" t="s">
        <v>330</v>
      </c>
      <c r="D155" s="313" t="s">
        <v>330</v>
      </c>
      <c r="E155" s="322" t="s">
        <v>330</v>
      </c>
      <c r="F155" s="313" t="s">
        <v>974</v>
      </c>
      <c r="G155" s="339">
        <v>427177</v>
      </c>
      <c r="H155" s="340">
        <v>0</v>
      </c>
      <c r="I155" s="339">
        <v>0</v>
      </c>
      <c r="J155" s="340">
        <v>0</v>
      </c>
      <c r="K155" s="341">
        <v>427177</v>
      </c>
      <c r="L155" s="342">
        <v>0</v>
      </c>
      <c r="M155" s="336"/>
      <c r="N155" s="343"/>
      <c r="O155" s="344"/>
      <c r="P155" s="343">
        <f t="shared" si="7"/>
        <v>427177</v>
      </c>
      <c r="Q155" s="344">
        <f t="shared" si="8"/>
        <v>0</v>
      </c>
      <c r="R155" s="328">
        <f t="shared" si="9"/>
        <v>427177</v>
      </c>
    </row>
    <row r="156" spans="1:18" hidden="1">
      <c r="A156" s="318" t="s">
        <v>750</v>
      </c>
      <c r="B156" s="313" t="s">
        <v>130</v>
      </c>
      <c r="C156" s="313" t="s">
        <v>330</v>
      </c>
      <c r="D156" s="313" t="s">
        <v>330</v>
      </c>
      <c r="E156" s="322" t="s">
        <v>330</v>
      </c>
      <c r="F156" s="313" t="s">
        <v>1027</v>
      </c>
      <c r="G156" s="339">
        <v>23519</v>
      </c>
      <c r="H156" s="340">
        <v>0</v>
      </c>
      <c r="I156" s="339">
        <v>0</v>
      </c>
      <c r="J156" s="340">
        <v>0</v>
      </c>
      <c r="K156" s="341">
        <v>23519</v>
      </c>
      <c r="L156" s="342">
        <v>0</v>
      </c>
      <c r="M156" s="336"/>
      <c r="N156" s="343"/>
      <c r="O156" s="344"/>
      <c r="P156" s="343">
        <f t="shared" si="7"/>
        <v>23519</v>
      </c>
      <c r="Q156" s="344">
        <f t="shared" si="8"/>
        <v>0</v>
      </c>
      <c r="R156" s="328">
        <f t="shared" si="9"/>
        <v>23519</v>
      </c>
    </row>
    <row r="157" spans="1:18" hidden="1">
      <c r="A157" s="318" t="s">
        <v>751</v>
      </c>
      <c r="B157" s="313" t="s">
        <v>132</v>
      </c>
      <c r="C157" s="313" t="s">
        <v>330</v>
      </c>
      <c r="D157" s="313" t="s">
        <v>330</v>
      </c>
      <c r="E157" s="322" t="s">
        <v>330</v>
      </c>
      <c r="F157" s="313" t="s">
        <v>974</v>
      </c>
      <c r="G157" s="339">
        <v>35108</v>
      </c>
      <c r="H157" s="340">
        <v>0</v>
      </c>
      <c r="I157" s="339">
        <v>0</v>
      </c>
      <c r="J157" s="340">
        <v>0</v>
      </c>
      <c r="K157" s="341">
        <v>35108</v>
      </c>
      <c r="L157" s="342">
        <v>0</v>
      </c>
      <c r="M157" s="336"/>
      <c r="N157" s="343"/>
      <c r="O157" s="344"/>
      <c r="P157" s="343">
        <f t="shared" si="7"/>
        <v>35108</v>
      </c>
      <c r="Q157" s="344">
        <f t="shared" si="8"/>
        <v>0</v>
      </c>
      <c r="R157" s="328">
        <f t="shared" si="9"/>
        <v>35108</v>
      </c>
    </row>
    <row r="158" spans="1:18" hidden="1">
      <c r="A158" s="318" t="s">
        <v>752</v>
      </c>
      <c r="B158" s="313" t="s">
        <v>133</v>
      </c>
      <c r="C158" s="313" t="s">
        <v>330</v>
      </c>
      <c r="D158" s="313" t="s">
        <v>330</v>
      </c>
      <c r="E158" s="322" t="s">
        <v>330</v>
      </c>
      <c r="F158" s="313" t="s">
        <v>974</v>
      </c>
      <c r="G158" s="339">
        <v>28375</v>
      </c>
      <c r="H158" s="340">
        <v>0</v>
      </c>
      <c r="I158" s="339">
        <v>0</v>
      </c>
      <c r="J158" s="340">
        <v>0</v>
      </c>
      <c r="K158" s="341">
        <v>28375</v>
      </c>
      <c r="L158" s="342">
        <v>0</v>
      </c>
      <c r="M158" s="336"/>
      <c r="N158" s="343"/>
      <c r="O158" s="344"/>
      <c r="P158" s="343">
        <f t="shared" si="7"/>
        <v>28375</v>
      </c>
      <c r="Q158" s="344">
        <f t="shared" si="8"/>
        <v>0</v>
      </c>
      <c r="R158" s="328">
        <f t="shared" si="9"/>
        <v>28375</v>
      </c>
    </row>
    <row r="159" spans="1:18" hidden="1">
      <c r="A159" s="318" t="s">
        <v>753</v>
      </c>
      <c r="B159" s="313" t="s">
        <v>134</v>
      </c>
      <c r="C159" s="313" t="s">
        <v>330</v>
      </c>
      <c r="D159" s="313" t="s">
        <v>330</v>
      </c>
      <c r="E159" s="322" t="s">
        <v>330</v>
      </c>
      <c r="F159" s="313" t="s">
        <v>1014</v>
      </c>
      <c r="G159" s="339">
        <v>50000</v>
      </c>
      <c r="H159" s="340">
        <v>0</v>
      </c>
      <c r="I159" s="339">
        <v>0</v>
      </c>
      <c r="J159" s="340">
        <v>0</v>
      </c>
      <c r="K159" s="341">
        <v>50000</v>
      </c>
      <c r="L159" s="342">
        <v>0</v>
      </c>
      <c r="M159" s="336"/>
      <c r="N159" s="343"/>
      <c r="O159" s="344"/>
      <c r="P159" s="343">
        <f t="shared" si="7"/>
        <v>50000</v>
      </c>
      <c r="Q159" s="344">
        <f t="shared" si="8"/>
        <v>0</v>
      </c>
      <c r="R159" s="328">
        <f t="shared" si="9"/>
        <v>50000</v>
      </c>
    </row>
    <row r="160" spans="1:18" hidden="1">
      <c r="A160" s="318" t="s">
        <v>753</v>
      </c>
      <c r="B160" s="313" t="s">
        <v>136</v>
      </c>
      <c r="C160" s="313" t="s">
        <v>330</v>
      </c>
      <c r="D160" s="313" t="s">
        <v>330</v>
      </c>
      <c r="E160" s="322" t="s">
        <v>330</v>
      </c>
      <c r="F160" s="313" t="s">
        <v>974</v>
      </c>
      <c r="G160" s="339">
        <v>0</v>
      </c>
      <c r="H160" s="340">
        <v>351314</v>
      </c>
      <c r="I160" s="339">
        <v>0</v>
      </c>
      <c r="J160" s="340">
        <v>0</v>
      </c>
      <c r="K160" s="341">
        <v>0</v>
      </c>
      <c r="L160" s="342">
        <v>351314</v>
      </c>
      <c r="M160" s="336"/>
      <c r="N160" s="343"/>
      <c r="O160" s="344"/>
      <c r="P160" s="343">
        <f t="shared" si="7"/>
        <v>0</v>
      </c>
      <c r="Q160" s="344">
        <f t="shared" si="8"/>
        <v>351314</v>
      </c>
      <c r="R160" s="328">
        <f t="shared" si="9"/>
        <v>-351314</v>
      </c>
    </row>
    <row r="161" spans="1:18" hidden="1">
      <c r="A161" s="318" t="s">
        <v>753</v>
      </c>
      <c r="B161" s="313" t="s">
        <v>660</v>
      </c>
      <c r="C161" s="313" t="s">
        <v>330</v>
      </c>
      <c r="D161" s="313" t="s">
        <v>330</v>
      </c>
      <c r="E161" s="322" t="s">
        <v>330</v>
      </c>
      <c r="F161" s="313" t="s">
        <v>1017</v>
      </c>
      <c r="G161" s="339">
        <v>0</v>
      </c>
      <c r="H161" s="340">
        <v>103519</v>
      </c>
      <c r="I161" s="339">
        <v>0</v>
      </c>
      <c r="J161" s="340">
        <v>0</v>
      </c>
      <c r="K161" s="341">
        <v>0</v>
      </c>
      <c r="L161" s="342">
        <v>103519</v>
      </c>
      <c r="M161" s="336"/>
      <c r="N161" s="343"/>
      <c r="O161" s="344"/>
      <c r="P161" s="343">
        <f t="shared" si="7"/>
        <v>0</v>
      </c>
      <c r="Q161" s="344">
        <f t="shared" si="8"/>
        <v>103519</v>
      </c>
      <c r="R161" s="328">
        <f t="shared" si="9"/>
        <v>-103519</v>
      </c>
    </row>
    <row r="162" spans="1:18" hidden="1">
      <c r="A162" s="318" t="s">
        <v>753</v>
      </c>
      <c r="B162" s="313" t="s">
        <v>135</v>
      </c>
      <c r="C162" s="313" t="s">
        <v>330</v>
      </c>
      <c r="D162" s="313" t="s">
        <v>330</v>
      </c>
      <c r="E162" s="322" t="s">
        <v>330</v>
      </c>
      <c r="F162" s="313" t="s">
        <v>1022</v>
      </c>
      <c r="G162" s="339">
        <v>111000</v>
      </c>
      <c r="H162" s="340">
        <v>0</v>
      </c>
      <c r="I162" s="339">
        <v>0</v>
      </c>
      <c r="J162" s="340">
        <v>0</v>
      </c>
      <c r="K162" s="341">
        <v>111000</v>
      </c>
      <c r="L162" s="342">
        <v>0</v>
      </c>
      <c r="M162" s="336"/>
      <c r="N162" s="343"/>
      <c r="O162" s="344"/>
      <c r="P162" s="343">
        <f t="shared" si="7"/>
        <v>111000</v>
      </c>
      <c r="Q162" s="344">
        <f t="shared" si="8"/>
        <v>0</v>
      </c>
      <c r="R162" s="328">
        <f t="shared" si="9"/>
        <v>111000</v>
      </c>
    </row>
    <row r="163" spans="1:18" hidden="1">
      <c r="A163" s="318" t="s">
        <v>754</v>
      </c>
      <c r="B163" s="313" t="s">
        <v>137</v>
      </c>
      <c r="C163" s="313" t="s">
        <v>330</v>
      </c>
      <c r="D163" s="313" t="s">
        <v>330</v>
      </c>
      <c r="E163" s="322" t="s">
        <v>330</v>
      </c>
      <c r="F163" s="313" t="s">
        <v>974</v>
      </c>
      <c r="G163" s="339">
        <v>0</v>
      </c>
      <c r="H163" s="340">
        <v>1330525</v>
      </c>
      <c r="I163" s="339">
        <v>101126</v>
      </c>
      <c r="J163" s="340">
        <v>1447677</v>
      </c>
      <c r="K163" s="341">
        <v>0</v>
      </c>
      <c r="L163" s="342">
        <v>2677076</v>
      </c>
      <c r="M163" s="336"/>
      <c r="N163" s="343">
        <f>Adjustments!D51+Adjustments!D67+Adjustments!D83</f>
        <v>14468</v>
      </c>
      <c r="O163" s="344"/>
      <c r="P163" s="343">
        <f t="shared" si="7"/>
        <v>14468</v>
      </c>
      <c r="Q163" s="344">
        <f t="shared" si="8"/>
        <v>2677076</v>
      </c>
      <c r="R163" s="328">
        <f t="shared" si="9"/>
        <v>-2662608</v>
      </c>
    </row>
    <row r="164" spans="1:18" hidden="1">
      <c r="A164" s="318" t="s">
        <v>755</v>
      </c>
      <c r="B164" s="313" t="s">
        <v>138</v>
      </c>
      <c r="C164" s="313" t="s">
        <v>330</v>
      </c>
      <c r="D164" s="313" t="s">
        <v>330</v>
      </c>
      <c r="E164" s="322" t="s">
        <v>330</v>
      </c>
      <c r="F164" s="313" t="s">
        <v>974</v>
      </c>
      <c r="G164" s="339">
        <v>0</v>
      </c>
      <c r="H164" s="340">
        <v>913998</v>
      </c>
      <c r="I164" s="339">
        <v>0</v>
      </c>
      <c r="J164" s="340">
        <v>0</v>
      </c>
      <c r="K164" s="341">
        <v>0</v>
      </c>
      <c r="L164" s="342">
        <v>913998</v>
      </c>
      <c r="M164" s="336"/>
      <c r="N164" s="343"/>
      <c r="O164" s="344"/>
      <c r="P164" s="343">
        <f t="shared" si="7"/>
        <v>0</v>
      </c>
      <c r="Q164" s="344">
        <f t="shared" si="8"/>
        <v>913998</v>
      </c>
      <c r="R164" s="328">
        <f t="shared" si="9"/>
        <v>-913998</v>
      </c>
    </row>
    <row r="165" spans="1:18" hidden="1">
      <c r="A165" s="318" t="s">
        <v>756</v>
      </c>
      <c r="B165" s="313" t="s">
        <v>139</v>
      </c>
      <c r="C165" s="313" t="s">
        <v>330</v>
      </c>
      <c r="D165" s="313" t="s">
        <v>330</v>
      </c>
      <c r="E165" s="322" t="s">
        <v>330</v>
      </c>
      <c r="F165" s="313" t="s">
        <v>974</v>
      </c>
      <c r="G165" s="339">
        <v>1039718</v>
      </c>
      <c r="H165" s="340">
        <v>0</v>
      </c>
      <c r="I165" s="339">
        <v>112616</v>
      </c>
      <c r="J165" s="340">
        <v>1469243</v>
      </c>
      <c r="K165" s="341">
        <v>0</v>
      </c>
      <c r="L165" s="342">
        <v>316909</v>
      </c>
      <c r="M165" s="336"/>
      <c r="N165" s="343"/>
      <c r="O165" s="344"/>
      <c r="P165" s="343">
        <f t="shared" si="7"/>
        <v>0</v>
      </c>
      <c r="Q165" s="344">
        <f t="shared" si="8"/>
        <v>316909</v>
      </c>
      <c r="R165" s="328">
        <f t="shared" si="9"/>
        <v>-316909</v>
      </c>
    </row>
    <row r="166" spans="1:18" hidden="1">
      <c r="A166" s="318" t="s">
        <v>756</v>
      </c>
      <c r="B166" s="313" t="s">
        <v>400</v>
      </c>
      <c r="C166" s="313" t="s">
        <v>330</v>
      </c>
      <c r="D166" s="313" t="s">
        <v>330</v>
      </c>
      <c r="E166" s="322" t="s">
        <v>330</v>
      </c>
      <c r="F166" s="313" t="s">
        <v>1019</v>
      </c>
      <c r="G166" s="339">
        <v>0</v>
      </c>
      <c r="H166" s="340">
        <v>0</v>
      </c>
      <c r="I166" s="339">
        <v>0</v>
      </c>
      <c r="J166" s="340">
        <v>308260</v>
      </c>
      <c r="K166" s="341">
        <v>0</v>
      </c>
      <c r="L166" s="342">
        <v>308260</v>
      </c>
      <c r="M166" s="336"/>
      <c r="N166" s="343"/>
      <c r="O166" s="344"/>
      <c r="P166" s="343">
        <f t="shared" si="7"/>
        <v>0</v>
      </c>
      <c r="Q166" s="344">
        <f t="shared" si="8"/>
        <v>308260</v>
      </c>
      <c r="R166" s="328">
        <f t="shared" si="9"/>
        <v>-308260</v>
      </c>
    </row>
    <row r="167" spans="1:18" hidden="1">
      <c r="A167" s="318" t="s">
        <v>757</v>
      </c>
      <c r="B167" s="313" t="s">
        <v>401</v>
      </c>
      <c r="C167" s="313" t="s">
        <v>330</v>
      </c>
      <c r="D167" s="313" t="s">
        <v>330</v>
      </c>
      <c r="E167" s="322" t="s">
        <v>330</v>
      </c>
      <c r="F167" s="313" t="s">
        <v>974</v>
      </c>
      <c r="G167" s="339">
        <v>0</v>
      </c>
      <c r="H167" s="340">
        <v>0</v>
      </c>
      <c r="I167" s="339">
        <v>3220152</v>
      </c>
      <c r="J167" s="340">
        <v>1625005</v>
      </c>
      <c r="K167" s="341">
        <v>1595147</v>
      </c>
      <c r="L167" s="342">
        <v>0</v>
      </c>
      <c r="M167" s="336"/>
      <c r="N167" s="343"/>
      <c r="O167" s="344"/>
      <c r="P167" s="343">
        <f t="shared" si="7"/>
        <v>1595147</v>
      </c>
      <c r="Q167" s="344">
        <f t="shared" si="8"/>
        <v>0</v>
      </c>
      <c r="R167" s="328">
        <f t="shared" si="9"/>
        <v>1595147</v>
      </c>
    </row>
    <row r="168" spans="1:18" hidden="1">
      <c r="A168" s="318" t="s">
        <v>757</v>
      </c>
      <c r="B168" s="313" t="s">
        <v>402</v>
      </c>
      <c r="C168" s="313" t="s">
        <v>330</v>
      </c>
      <c r="D168" s="313" t="s">
        <v>330</v>
      </c>
      <c r="E168" s="322" t="s">
        <v>330</v>
      </c>
      <c r="F168" s="313" t="s">
        <v>1017</v>
      </c>
      <c r="G168" s="339">
        <v>0</v>
      </c>
      <c r="H168" s="340">
        <v>0</v>
      </c>
      <c r="I168" s="339">
        <v>308260</v>
      </c>
      <c r="J168" s="340">
        <v>0</v>
      </c>
      <c r="K168" s="341">
        <v>308260</v>
      </c>
      <c r="L168" s="342">
        <v>0</v>
      </c>
      <c r="M168" s="336"/>
      <c r="N168" s="343"/>
      <c r="O168" s="344"/>
      <c r="P168" s="343">
        <f t="shared" si="7"/>
        <v>308260</v>
      </c>
      <c r="Q168" s="344">
        <f t="shared" si="8"/>
        <v>0</v>
      </c>
      <c r="R168" s="328">
        <f t="shared" si="9"/>
        <v>308260</v>
      </c>
    </row>
    <row r="169" spans="1:18" hidden="1">
      <c r="A169" s="318" t="s">
        <v>757</v>
      </c>
      <c r="B169" s="313" t="s">
        <v>403</v>
      </c>
      <c r="C169" s="313" t="s">
        <v>330</v>
      </c>
      <c r="D169" s="313" t="s">
        <v>330</v>
      </c>
      <c r="E169" s="322" t="s">
        <v>330</v>
      </c>
      <c r="F169" s="313" t="s">
        <v>1022</v>
      </c>
      <c r="G169" s="339">
        <v>0</v>
      </c>
      <c r="H169" s="340">
        <v>0</v>
      </c>
      <c r="I169" s="339">
        <v>129296</v>
      </c>
      <c r="J169" s="340">
        <v>2000000</v>
      </c>
      <c r="K169" s="341">
        <v>0</v>
      </c>
      <c r="L169" s="342">
        <v>1870704</v>
      </c>
      <c r="M169" s="336"/>
      <c r="N169" s="343"/>
      <c r="O169" s="344"/>
      <c r="P169" s="343">
        <f t="shared" si="7"/>
        <v>0</v>
      </c>
      <c r="Q169" s="344">
        <f t="shared" si="8"/>
        <v>1870704</v>
      </c>
      <c r="R169" s="328">
        <f t="shared" si="9"/>
        <v>-1870704</v>
      </c>
    </row>
    <row r="170" spans="1:18" hidden="1">
      <c r="A170" s="318" t="s">
        <v>758</v>
      </c>
      <c r="B170" s="313" t="s">
        <v>404</v>
      </c>
      <c r="C170" s="313" t="s">
        <v>330</v>
      </c>
      <c r="D170" s="313" t="s">
        <v>330</v>
      </c>
      <c r="E170" s="322" t="s">
        <v>330</v>
      </c>
      <c r="F170" s="313" t="s">
        <v>974</v>
      </c>
      <c r="G170" s="339">
        <v>0</v>
      </c>
      <c r="H170" s="340">
        <v>0</v>
      </c>
      <c r="I170" s="339">
        <v>0</v>
      </c>
      <c r="J170" s="340">
        <v>750000</v>
      </c>
      <c r="K170" s="341">
        <v>0</v>
      </c>
      <c r="L170" s="342">
        <v>750000</v>
      </c>
      <c r="M170" s="336"/>
      <c r="N170" s="343"/>
      <c r="O170" s="344"/>
      <c r="P170" s="343">
        <f t="shared" si="7"/>
        <v>0</v>
      </c>
      <c r="Q170" s="344">
        <f t="shared" si="8"/>
        <v>750000</v>
      </c>
      <c r="R170" s="328">
        <f t="shared" si="9"/>
        <v>-750000</v>
      </c>
    </row>
    <row r="171" spans="1:18" hidden="1">
      <c r="A171" s="318" t="s">
        <v>759</v>
      </c>
      <c r="B171" s="313" t="s">
        <v>405</v>
      </c>
      <c r="C171" s="313" t="s">
        <v>330</v>
      </c>
      <c r="D171" s="313" t="s">
        <v>330</v>
      </c>
      <c r="E171" s="322" t="s">
        <v>330</v>
      </c>
      <c r="F171" s="313" t="s">
        <v>974</v>
      </c>
      <c r="G171" s="339">
        <v>0</v>
      </c>
      <c r="H171" s="340">
        <v>0</v>
      </c>
      <c r="I171" s="339">
        <v>300000</v>
      </c>
      <c r="J171" s="340">
        <v>300000</v>
      </c>
      <c r="K171" s="341">
        <v>0</v>
      </c>
      <c r="L171" s="342">
        <v>0</v>
      </c>
      <c r="M171" s="336"/>
      <c r="N171" s="343"/>
      <c r="O171" s="344"/>
      <c r="P171" s="343">
        <f t="shared" si="7"/>
        <v>0</v>
      </c>
      <c r="Q171" s="344">
        <f t="shared" si="8"/>
        <v>0</v>
      </c>
      <c r="R171" s="328">
        <f t="shared" si="9"/>
        <v>0</v>
      </c>
    </row>
    <row r="172" spans="1:18" hidden="1">
      <c r="A172" s="318" t="s">
        <v>760</v>
      </c>
      <c r="B172" s="313" t="s">
        <v>406</v>
      </c>
      <c r="C172" s="313" t="s">
        <v>330</v>
      </c>
      <c r="D172" s="313" t="s">
        <v>330</v>
      </c>
      <c r="E172" s="322" t="s">
        <v>330</v>
      </c>
      <c r="F172" s="313" t="s">
        <v>974</v>
      </c>
      <c r="G172" s="339">
        <v>0</v>
      </c>
      <c r="H172" s="340">
        <v>0</v>
      </c>
      <c r="I172" s="339">
        <v>946235</v>
      </c>
      <c r="J172" s="340">
        <f>+Adjustments!E101</f>
        <v>2739124</v>
      </c>
      <c r="K172" s="341"/>
      <c r="L172" s="342">
        <f>+J172-I172</f>
        <v>1792889</v>
      </c>
      <c r="M172" s="336"/>
      <c r="N172" s="343"/>
      <c r="O172" s="344"/>
      <c r="P172" s="343">
        <f t="shared" si="7"/>
        <v>0</v>
      </c>
      <c r="Q172" s="344">
        <f t="shared" si="8"/>
        <v>1792889</v>
      </c>
      <c r="R172" s="328">
        <f t="shared" si="9"/>
        <v>-1792889</v>
      </c>
    </row>
    <row r="173" spans="1:18" hidden="1">
      <c r="A173" s="318" t="s">
        <v>760</v>
      </c>
      <c r="B173" s="313" t="s">
        <v>407</v>
      </c>
      <c r="C173" s="313" t="s">
        <v>330</v>
      </c>
      <c r="D173" s="313" t="s">
        <v>330</v>
      </c>
      <c r="E173" s="322" t="s">
        <v>330</v>
      </c>
      <c r="F173" s="313" t="s">
        <v>1019</v>
      </c>
      <c r="G173" s="339">
        <v>0</v>
      </c>
      <c r="H173" s="340">
        <v>0</v>
      </c>
      <c r="I173" s="339">
        <v>2000000</v>
      </c>
      <c r="J173" s="340">
        <v>0</v>
      </c>
      <c r="K173" s="341">
        <v>2000000</v>
      </c>
      <c r="L173" s="342">
        <v>0</v>
      </c>
      <c r="M173" s="336"/>
      <c r="N173" s="343"/>
      <c r="O173" s="344"/>
      <c r="P173" s="343">
        <f t="shared" si="7"/>
        <v>2000000</v>
      </c>
      <c r="Q173" s="344">
        <f t="shared" si="8"/>
        <v>0</v>
      </c>
      <c r="R173" s="328">
        <f t="shared" si="9"/>
        <v>2000000</v>
      </c>
    </row>
    <row r="174" spans="1:18" ht="20" hidden="1">
      <c r="A174" s="318" t="s">
        <v>761</v>
      </c>
      <c r="B174" s="313" t="s">
        <v>140</v>
      </c>
      <c r="C174" s="313" t="s">
        <v>466</v>
      </c>
      <c r="D174" s="313" t="s">
        <v>563</v>
      </c>
      <c r="E174" s="322" t="s">
        <v>334</v>
      </c>
      <c r="F174" s="313" t="s">
        <v>1022</v>
      </c>
      <c r="G174" s="339">
        <v>25000</v>
      </c>
      <c r="H174" s="340">
        <v>0</v>
      </c>
      <c r="I174" s="339">
        <v>50000</v>
      </c>
      <c r="J174" s="340">
        <v>75000</v>
      </c>
      <c r="K174" s="341">
        <v>0</v>
      </c>
      <c r="L174" s="342">
        <v>0</v>
      </c>
      <c r="M174" s="336"/>
      <c r="N174" s="343"/>
      <c r="O174" s="344"/>
      <c r="P174" s="343">
        <f t="shared" si="7"/>
        <v>0</v>
      </c>
      <c r="Q174" s="344">
        <f t="shared" si="8"/>
        <v>0</v>
      </c>
      <c r="R174" s="328">
        <f t="shared" si="9"/>
        <v>0</v>
      </c>
    </row>
    <row r="175" spans="1:18" ht="20" hidden="1">
      <c r="A175" s="318" t="s">
        <v>762</v>
      </c>
      <c r="B175" s="313" t="s">
        <v>141</v>
      </c>
      <c r="C175" s="313" t="s">
        <v>466</v>
      </c>
      <c r="D175" s="313" t="s">
        <v>563</v>
      </c>
      <c r="E175" s="322" t="s">
        <v>334</v>
      </c>
      <c r="F175" s="313" t="s">
        <v>974</v>
      </c>
      <c r="G175" s="339">
        <v>2450</v>
      </c>
      <c r="H175" s="340">
        <v>0</v>
      </c>
      <c r="I175" s="339">
        <v>0</v>
      </c>
      <c r="J175" s="340">
        <v>0</v>
      </c>
      <c r="K175" s="341">
        <v>2450</v>
      </c>
      <c r="L175" s="342">
        <v>0</v>
      </c>
      <c r="M175" s="336"/>
      <c r="N175" s="343"/>
      <c r="O175" s="344"/>
      <c r="P175" s="343">
        <f t="shared" si="7"/>
        <v>2450</v>
      </c>
      <c r="Q175" s="344">
        <f t="shared" si="8"/>
        <v>0</v>
      </c>
      <c r="R175" s="328">
        <f t="shared" si="9"/>
        <v>2450</v>
      </c>
    </row>
    <row r="176" spans="1:18" ht="20" hidden="1">
      <c r="A176" s="318" t="s">
        <v>762</v>
      </c>
      <c r="B176" s="313" t="s">
        <v>142</v>
      </c>
      <c r="C176" s="313" t="s">
        <v>466</v>
      </c>
      <c r="D176" s="313" t="s">
        <v>563</v>
      </c>
      <c r="E176" s="322" t="s">
        <v>334</v>
      </c>
      <c r="F176" s="313" t="s">
        <v>1020</v>
      </c>
      <c r="G176" s="339">
        <v>0</v>
      </c>
      <c r="H176" s="340">
        <v>2450</v>
      </c>
      <c r="I176" s="339">
        <v>0</v>
      </c>
      <c r="J176" s="340">
        <v>0</v>
      </c>
      <c r="K176" s="341">
        <v>0</v>
      </c>
      <c r="L176" s="342">
        <v>2450</v>
      </c>
      <c r="M176" s="336"/>
      <c r="N176" s="343"/>
      <c r="O176" s="344"/>
      <c r="P176" s="343">
        <f t="shared" si="7"/>
        <v>0</v>
      </c>
      <c r="Q176" s="344">
        <f t="shared" si="8"/>
        <v>2450</v>
      </c>
      <c r="R176" s="328">
        <f t="shared" si="9"/>
        <v>-2450</v>
      </c>
    </row>
    <row r="177" spans="1:18" ht="20" hidden="1">
      <c r="A177" s="318" t="s">
        <v>763</v>
      </c>
      <c r="B177" s="313" t="s">
        <v>145</v>
      </c>
      <c r="C177" s="313" t="s">
        <v>466</v>
      </c>
      <c r="D177" s="313" t="s">
        <v>563</v>
      </c>
      <c r="E177" s="322" t="s">
        <v>334</v>
      </c>
      <c r="F177" s="313" t="s">
        <v>974</v>
      </c>
      <c r="G177" s="339">
        <v>0</v>
      </c>
      <c r="H177" s="340">
        <v>0</v>
      </c>
      <c r="I177" s="339">
        <v>391325</v>
      </c>
      <c r="J177" s="340">
        <v>371322</v>
      </c>
      <c r="K177" s="341">
        <v>20003</v>
      </c>
      <c r="L177" s="342">
        <v>0</v>
      </c>
      <c r="M177" s="336"/>
      <c r="N177" s="343"/>
      <c r="O177" s="344"/>
      <c r="P177" s="343">
        <f t="shared" si="7"/>
        <v>20003</v>
      </c>
      <c r="Q177" s="344">
        <f t="shared" si="8"/>
        <v>0</v>
      </c>
      <c r="R177" s="328">
        <f t="shared" si="9"/>
        <v>20003</v>
      </c>
    </row>
    <row r="178" spans="1:18" ht="20" hidden="1">
      <c r="A178" s="318" t="s">
        <v>763</v>
      </c>
      <c r="B178" s="313" t="s">
        <v>144</v>
      </c>
      <c r="C178" s="313" t="s">
        <v>466</v>
      </c>
      <c r="D178" s="313" t="s">
        <v>563</v>
      </c>
      <c r="E178" s="322" t="s">
        <v>334</v>
      </c>
      <c r="F178" s="313" t="s">
        <v>1023</v>
      </c>
      <c r="G178" s="339">
        <v>50200</v>
      </c>
      <c r="H178" s="340">
        <v>0</v>
      </c>
      <c r="I178" s="339">
        <v>0</v>
      </c>
      <c r="J178" s="340">
        <v>0</v>
      </c>
      <c r="K178" s="341">
        <v>50200</v>
      </c>
      <c r="L178" s="342">
        <v>0</v>
      </c>
      <c r="M178" s="336"/>
      <c r="N178" s="343"/>
      <c r="O178" s="344"/>
      <c r="P178" s="343">
        <f t="shared" si="7"/>
        <v>50200</v>
      </c>
      <c r="Q178" s="344">
        <f t="shared" si="8"/>
        <v>0</v>
      </c>
      <c r="R178" s="328">
        <f t="shared" si="9"/>
        <v>50200</v>
      </c>
    </row>
    <row r="179" spans="1:18" ht="20" hidden="1">
      <c r="A179" s="318" t="s">
        <v>763</v>
      </c>
      <c r="B179" s="313" t="s">
        <v>661</v>
      </c>
      <c r="C179" s="313" t="s">
        <v>466</v>
      </c>
      <c r="D179" s="313" t="s">
        <v>563</v>
      </c>
      <c r="E179" s="322" t="s">
        <v>334</v>
      </c>
      <c r="F179" s="313" t="s">
        <v>1017</v>
      </c>
      <c r="G179" s="339">
        <v>90865</v>
      </c>
      <c r="H179" s="340">
        <v>0</v>
      </c>
      <c r="I179" s="339">
        <v>235500</v>
      </c>
      <c r="J179" s="340">
        <f>+Adjustments!E97</f>
        <v>235500</v>
      </c>
      <c r="K179" s="341">
        <f>+G179+I179-J179</f>
        <v>90865</v>
      </c>
      <c r="L179" s="342">
        <v>0</v>
      </c>
      <c r="M179" s="336"/>
      <c r="N179" s="343"/>
      <c r="O179" s="344"/>
      <c r="P179" s="343">
        <f t="shared" si="7"/>
        <v>90865</v>
      </c>
      <c r="Q179" s="344">
        <f t="shared" si="8"/>
        <v>0</v>
      </c>
      <c r="R179" s="328">
        <f t="shared" si="9"/>
        <v>90865</v>
      </c>
    </row>
    <row r="180" spans="1:18" ht="20" hidden="1">
      <c r="A180" s="318" t="s">
        <v>763</v>
      </c>
      <c r="B180" s="313" t="s">
        <v>143</v>
      </c>
      <c r="C180" s="313" t="s">
        <v>466</v>
      </c>
      <c r="D180" s="313" t="s">
        <v>563</v>
      </c>
      <c r="E180" s="322" t="s">
        <v>334</v>
      </c>
      <c r="F180" s="313" t="s">
        <v>1019</v>
      </c>
      <c r="G180" s="339">
        <v>0</v>
      </c>
      <c r="H180" s="340">
        <v>0</v>
      </c>
      <c r="I180" s="339">
        <v>70000</v>
      </c>
      <c r="J180" s="340">
        <v>70000</v>
      </c>
      <c r="K180" s="341">
        <v>0</v>
      </c>
      <c r="L180" s="342">
        <v>0</v>
      </c>
      <c r="M180" s="336"/>
      <c r="N180" s="343"/>
      <c r="O180" s="344"/>
      <c r="P180" s="343">
        <f t="shared" si="7"/>
        <v>0</v>
      </c>
      <c r="Q180" s="344">
        <f t="shared" si="8"/>
        <v>0</v>
      </c>
      <c r="R180" s="328">
        <f t="shared" si="9"/>
        <v>0</v>
      </c>
    </row>
    <row r="181" spans="1:18" ht="20" hidden="1">
      <c r="A181" s="318" t="s">
        <v>764</v>
      </c>
      <c r="B181" s="313" t="s">
        <v>147</v>
      </c>
      <c r="C181" s="313" t="s">
        <v>466</v>
      </c>
      <c r="D181" s="313" t="s">
        <v>563</v>
      </c>
      <c r="E181" s="322" t="s">
        <v>334</v>
      </c>
      <c r="F181" s="313" t="s">
        <v>974</v>
      </c>
      <c r="G181" s="339">
        <v>0</v>
      </c>
      <c r="H181" s="340">
        <v>0</v>
      </c>
      <c r="I181" s="339">
        <v>78100</v>
      </c>
      <c r="J181" s="340">
        <v>78100</v>
      </c>
      <c r="K181" s="341">
        <v>0</v>
      </c>
      <c r="L181" s="342">
        <v>0</v>
      </c>
      <c r="M181" s="336"/>
      <c r="N181" s="343"/>
      <c r="O181" s="344"/>
      <c r="P181" s="343">
        <f t="shared" si="7"/>
        <v>0</v>
      </c>
      <c r="Q181" s="344">
        <f t="shared" si="8"/>
        <v>0</v>
      </c>
      <c r="R181" s="328">
        <f t="shared" si="9"/>
        <v>0</v>
      </c>
    </row>
    <row r="182" spans="1:18" ht="20" hidden="1">
      <c r="A182" s="318" t="s">
        <v>764</v>
      </c>
      <c r="B182" s="313" t="s">
        <v>146</v>
      </c>
      <c r="C182" s="313" t="s">
        <v>466</v>
      </c>
      <c r="D182" s="313" t="s">
        <v>563</v>
      </c>
      <c r="E182" s="322" t="s">
        <v>334</v>
      </c>
      <c r="F182" s="313" t="s">
        <v>1022</v>
      </c>
      <c r="G182" s="339">
        <v>0</v>
      </c>
      <c r="H182" s="340">
        <v>0</v>
      </c>
      <c r="I182" s="339">
        <v>150000</v>
      </c>
      <c r="J182" s="340">
        <v>150000</v>
      </c>
      <c r="K182" s="341">
        <v>0</v>
      </c>
      <c r="L182" s="342">
        <v>0</v>
      </c>
      <c r="M182" s="336"/>
      <c r="N182" s="343"/>
      <c r="O182" s="344"/>
      <c r="P182" s="343">
        <f t="shared" si="7"/>
        <v>0</v>
      </c>
      <c r="Q182" s="344">
        <f t="shared" si="8"/>
        <v>0</v>
      </c>
      <c r="R182" s="328">
        <f t="shared" si="9"/>
        <v>0</v>
      </c>
    </row>
    <row r="183" spans="1:18" ht="20" hidden="1">
      <c r="A183" s="318" t="s">
        <v>765</v>
      </c>
      <c r="B183" s="313" t="s">
        <v>148</v>
      </c>
      <c r="C183" s="313" t="s">
        <v>466</v>
      </c>
      <c r="D183" s="313" t="s">
        <v>563</v>
      </c>
      <c r="E183" s="322" t="s">
        <v>334</v>
      </c>
      <c r="F183" s="313" t="s">
        <v>974</v>
      </c>
      <c r="G183" s="339">
        <v>188375</v>
      </c>
      <c r="H183" s="340">
        <v>0</v>
      </c>
      <c r="I183" s="339">
        <v>0</v>
      </c>
      <c r="J183" s="340">
        <v>188375</v>
      </c>
      <c r="K183" s="341">
        <v>0</v>
      </c>
      <c r="L183" s="342">
        <v>0</v>
      </c>
      <c r="M183" s="336"/>
      <c r="N183" s="343"/>
      <c r="O183" s="344"/>
      <c r="P183" s="343">
        <f t="shared" si="7"/>
        <v>0</v>
      </c>
      <c r="Q183" s="344">
        <f t="shared" si="8"/>
        <v>0</v>
      </c>
      <c r="R183" s="328">
        <f t="shared" si="9"/>
        <v>0</v>
      </c>
    </row>
    <row r="184" spans="1:18" ht="20" hidden="1">
      <c r="A184" s="318" t="s">
        <v>766</v>
      </c>
      <c r="B184" s="313" t="s">
        <v>149</v>
      </c>
      <c r="C184" s="313" t="s">
        <v>466</v>
      </c>
      <c r="D184" s="313" t="s">
        <v>563</v>
      </c>
      <c r="E184" s="322" t="s">
        <v>334</v>
      </c>
      <c r="F184" s="313" t="s">
        <v>974</v>
      </c>
      <c r="G184" s="339">
        <v>0</v>
      </c>
      <c r="H184" s="340">
        <v>0</v>
      </c>
      <c r="I184" s="339">
        <v>912500</v>
      </c>
      <c r="J184" s="340">
        <v>826000</v>
      </c>
      <c r="K184" s="341">
        <v>86500</v>
      </c>
      <c r="L184" s="342">
        <v>0</v>
      </c>
      <c r="M184" s="336"/>
      <c r="N184" s="343">
        <f>Adjustments!D35</f>
        <v>26000</v>
      </c>
      <c r="O184" s="344">
        <f>Adjustments!E37</f>
        <v>32500</v>
      </c>
      <c r="P184" s="343">
        <f t="shared" si="7"/>
        <v>112500</v>
      </c>
      <c r="Q184" s="344">
        <f t="shared" si="8"/>
        <v>32500</v>
      </c>
      <c r="R184" s="328">
        <f t="shared" si="9"/>
        <v>80000</v>
      </c>
    </row>
    <row r="185" spans="1:18" ht="20" hidden="1">
      <c r="A185" s="318" t="s">
        <v>766</v>
      </c>
      <c r="B185" s="313" t="s">
        <v>662</v>
      </c>
      <c r="C185" s="313" t="s">
        <v>466</v>
      </c>
      <c r="D185" s="313" t="s">
        <v>563</v>
      </c>
      <c r="E185" s="322" t="s">
        <v>334</v>
      </c>
      <c r="F185" s="313" t="s">
        <v>1017</v>
      </c>
      <c r="G185" s="339">
        <v>0</v>
      </c>
      <c r="H185" s="340">
        <v>0</v>
      </c>
      <c r="I185" s="339">
        <v>300000</v>
      </c>
      <c r="J185" s="340">
        <v>300000</v>
      </c>
      <c r="K185" s="341">
        <v>0</v>
      </c>
      <c r="L185" s="342">
        <v>0</v>
      </c>
      <c r="M185" s="336"/>
      <c r="N185" s="343"/>
      <c r="O185" s="344">
        <f>Adjustments!E38</f>
        <v>80000</v>
      </c>
      <c r="P185" s="343">
        <f t="shared" si="7"/>
        <v>0</v>
      </c>
      <c r="Q185" s="344">
        <f t="shared" si="8"/>
        <v>80000</v>
      </c>
      <c r="R185" s="328">
        <f t="shared" si="9"/>
        <v>-80000</v>
      </c>
    </row>
    <row r="186" spans="1:18" ht="20" hidden="1">
      <c r="A186" s="318" t="s">
        <v>766</v>
      </c>
      <c r="B186" s="313" t="s">
        <v>408</v>
      </c>
      <c r="C186" s="313" t="s">
        <v>466</v>
      </c>
      <c r="D186" s="313" t="s">
        <v>563</v>
      </c>
      <c r="E186" s="322" t="s">
        <v>334</v>
      </c>
      <c r="F186" s="313" t="s">
        <v>1024</v>
      </c>
      <c r="G186" s="339">
        <v>0</v>
      </c>
      <c r="H186" s="340">
        <v>0</v>
      </c>
      <c r="I186" s="339">
        <v>15000</v>
      </c>
      <c r="J186" s="340">
        <v>0</v>
      </c>
      <c r="K186" s="341">
        <v>15000</v>
      </c>
      <c r="L186" s="342">
        <v>0</v>
      </c>
      <c r="M186" s="336"/>
      <c r="N186" s="343"/>
      <c r="O186" s="344"/>
      <c r="P186" s="343">
        <f t="shared" si="7"/>
        <v>15000</v>
      </c>
      <c r="Q186" s="344">
        <f t="shared" si="8"/>
        <v>0</v>
      </c>
      <c r="R186" s="328">
        <f t="shared" si="9"/>
        <v>15000</v>
      </c>
    </row>
    <row r="187" spans="1:18" ht="20" hidden="1">
      <c r="A187" s="318" t="s">
        <v>767</v>
      </c>
      <c r="B187" s="313" t="s">
        <v>663</v>
      </c>
      <c r="C187" s="313" t="s">
        <v>466</v>
      </c>
      <c r="D187" s="313" t="s">
        <v>563</v>
      </c>
      <c r="E187" s="322" t="s">
        <v>334</v>
      </c>
      <c r="F187" s="313" t="s">
        <v>1017</v>
      </c>
      <c r="G187" s="339">
        <v>50000</v>
      </c>
      <c r="H187" s="340">
        <v>0</v>
      </c>
      <c r="I187" s="339">
        <v>25000</v>
      </c>
      <c r="J187" s="340">
        <v>75000</v>
      </c>
      <c r="K187" s="341">
        <v>0</v>
      </c>
      <c r="L187" s="342">
        <v>0</v>
      </c>
      <c r="M187" s="336"/>
      <c r="N187" s="343"/>
      <c r="O187" s="344"/>
      <c r="P187" s="343">
        <f t="shared" si="7"/>
        <v>0</v>
      </c>
      <c r="Q187" s="344">
        <f t="shared" si="8"/>
        <v>0</v>
      </c>
      <c r="R187" s="328">
        <f t="shared" si="9"/>
        <v>0</v>
      </c>
    </row>
    <row r="188" spans="1:18" ht="20" hidden="1">
      <c r="A188" s="318" t="s">
        <v>767</v>
      </c>
      <c r="B188" s="313" t="s">
        <v>152</v>
      </c>
      <c r="C188" s="313" t="s">
        <v>466</v>
      </c>
      <c r="D188" s="313" t="s">
        <v>563</v>
      </c>
      <c r="E188" s="322" t="s">
        <v>334</v>
      </c>
      <c r="F188" s="313" t="s">
        <v>1022</v>
      </c>
      <c r="G188" s="339">
        <v>0</v>
      </c>
      <c r="H188" s="340">
        <v>0</v>
      </c>
      <c r="I188" s="339">
        <v>440000</v>
      </c>
      <c r="J188" s="340">
        <v>440000</v>
      </c>
      <c r="K188" s="341">
        <v>0</v>
      </c>
      <c r="L188" s="342">
        <v>0</v>
      </c>
      <c r="M188" s="336"/>
      <c r="N188" s="343"/>
      <c r="O188" s="344"/>
      <c r="P188" s="343">
        <f t="shared" si="7"/>
        <v>0</v>
      </c>
      <c r="Q188" s="344">
        <f t="shared" si="8"/>
        <v>0</v>
      </c>
      <c r="R188" s="328">
        <f t="shared" si="9"/>
        <v>0</v>
      </c>
    </row>
    <row r="189" spans="1:18" ht="20" hidden="1">
      <c r="A189" s="318" t="s">
        <v>767</v>
      </c>
      <c r="B189" s="313" t="s">
        <v>151</v>
      </c>
      <c r="C189" s="313" t="s">
        <v>466</v>
      </c>
      <c r="D189" s="313" t="s">
        <v>563</v>
      </c>
      <c r="E189" s="322" t="s">
        <v>334</v>
      </c>
      <c r="F189" s="313" t="s">
        <v>1019</v>
      </c>
      <c r="G189" s="339">
        <v>0</v>
      </c>
      <c r="H189" s="340">
        <v>0</v>
      </c>
      <c r="I189" s="339">
        <v>200000</v>
      </c>
      <c r="J189" s="340">
        <v>200000</v>
      </c>
      <c r="K189" s="341">
        <v>0</v>
      </c>
      <c r="L189" s="342">
        <v>0</v>
      </c>
      <c r="M189" s="336"/>
      <c r="N189" s="343"/>
      <c r="O189" s="344"/>
      <c r="P189" s="343">
        <f t="shared" si="7"/>
        <v>0</v>
      </c>
      <c r="Q189" s="344">
        <f t="shared" si="8"/>
        <v>0</v>
      </c>
      <c r="R189" s="328">
        <f t="shared" si="9"/>
        <v>0</v>
      </c>
    </row>
    <row r="190" spans="1:18" ht="20" hidden="1">
      <c r="A190" s="318" t="s">
        <v>767</v>
      </c>
      <c r="B190" s="313" t="s">
        <v>150</v>
      </c>
      <c r="C190" s="313" t="s">
        <v>466</v>
      </c>
      <c r="D190" s="313" t="s">
        <v>563</v>
      </c>
      <c r="E190" s="322" t="s">
        <v>334</v>
      </c>
      <c r="F190" s="313" t="s">
        <v>992</v>
      </c>
      <c r="G190" s="339">
        <v>70000</v>
      </c>
      <c r="H190" s="340">
        <v>0</v>
      </c>
      <c r="I190" s="339">
        <v>0</v>
      </c>
      <c r="J190" s="340">
        <v>70000</v>
      </c>
      <c r="K190" s="341">
        <v>0</v>
      </c>
      <c r="L190" s="342">
        <v>0</v>
      </c>
      <c r="M190" s="336"/>
      <c r="N190" s="343"/>
      <c r="O190" s="344"/>
      <c r="P190" s="343">
        <f t="shared" si="7"/>
        <v>0</v>
      </c>
      <c r="Q190" s="344">
        <f t="shared" si="8"/>
        <v>0</v>
      </c>
      <c r="R190" s="328">
        <f t="shared" si="9"/>
        <v>0</v>
      </c>
    </row>
    <row r="191" spans="1:18" ht="20" hidden="1">
      <c r="A191" s="318" t="s">
        <v>768</v>
      </c>
      <c r="B191" s="313" t="s">
        <v>153</v>
      </c>
      <c r="C191" s="313" t="s">
        <v>466</v>
      </c>
      <c r="D191" s="313" t="s">
        <v>563</v>
      </c>
      <c r="E191" s="322" t="s">
        <v>334</v>
      </c>
      <c r="F191" s="313" t="s">
        <v>974</v>
      </c>
      <c r="G191" s="339">
        <v>28900</v>
      </c>
      <c r="H191" s="340">
        <v>0</v>
      </c>
      <c r="I191" s="339">
        <v>29500</v>
      </c>
      <c r="J191" s="340">
        <v>0</v>
      </c>
      <c r="K191" s="341">
        <v>58400</v>
      </c>
      <c r="L191" s="342">
        <v>0</v>
      </c>
      <c r="M191" s="336"/>
      <c r="N191" s="343"/>
      <c r="O191" s="344"/>
      <c r="P191" s="343">
        <f t="shared" si="7"/>
        <v>58400</v>
      </c>
      <c r="Q191" s="344">
        <f t="shared" si="8"/>
        <v>0</v>
      </c>
      <c r="R191" s="328">
        <f t="shared" si="9"/>
        <v>58400</v>
      </c>
    </row>
    <row r="192" spans="1:18" ht="20" hidden="1">
      <c r="A192" s="318" t="s">
        <v>768</v>
      </c>
      <c r="B192" s="313" t="s">
        <v>154</v>
      </c>
      <c r="C192" s="313" t="s">
        <v>466</v>
      </c>
      <c r="D192" s="313" t="s">
        <v>563</v>
      </c>
      <c r="E192" s="322" t="s">
        <v>334</v>
      </c>
      <c r="F192" s="313" t="s">
        <v>1024</v>
      </c>
      <c r="G192" s="339">
        <v>4000</v>
      </c>
      <c r="H192" s="340">
        <v>0</v>
      </c>
      <c r="I192" s="339">
        <v>0</v>
      </c>
      <c r="J192" s="340">
        <v>0</v>
      </c>
      <c r="K192" s="341">
        <v>4000</v>
      </c>
      <c r="L192" s="342">
        <v>0</v>
      </c>
      <c r="M192" s="336"/>
      <c r="N192" s="343"/>
      <c r="O192" s="344"/>
      <c r="P192" s="343">
        <f t="shared" si="7"/>
        <v>4000</v>
      </c>
      <c r="Q192" s="344">
        <f t="shared" si="8"/>
        <v>0</v>
      </c>
      <c r="R192" s="328">
        <f t="shared" si="9"/>
        <v>4000</v>
      </c>
    </row>
    <row r="193" spans="1:21" ht="20" hidden="1">
      <c r="A193" s="318" t="s">
        <v>769</v>
      </c>
      <c r="B193" s="313" t="s">
        <v>155</v>
      </c>
      <c r="C193" s="313" t="s">
        <v>466</v>
      </c>
      <c r="D193" s="313" t="s">
        <v>563</v>
      </c>
      <c r="E193" s="322" t="s">
        <v>334</v>
      </c>
      <c r="F193" s="313" t="s">
        <v>1019</v>
      </c>
      <c r="G193" s="339">
        <v>0</v>
      </c>
      <c r="H193" s="340">
        <v>0</v>
      </c>
      <c r="I193" s="339">
        <v>100000</v>
      </c>
      <c r="J193" s="340">
        <v>100000</v>
      </c>
      <c r="K193" s="341">
        <v>0</v>
      </c>
      <c r="L193" s="342">
        <v>0</v>
      </c>
      <c r="M193" s="336"/>
      <c r="N193" s="343"/>
      <c r="O193" s="344"/>
      <c r="P193" s="343">
        <f t="shared" si="7"/>
        <v>0</v>
      </c>
      <c r="Q193" s="344">
        <f t="shared" si="8"/>
        <v>0</v>
      </c>
      <c r="R193" s="328">
        <f t="shared" si="9"/>
        <v>0</v>
      </c>
    </row>
    <row r="194" spans="1:21" ht="20" hidden="1">
      <c r="A194" s="318" t="s">
        <v>770</v>
      </c>
      <c r="B194" s="313" t="s">
        <v>156</v>
      </c>
      <c r="C194" s="313" t="s">
        <v>466</v>
      </c>
      <c r="D194" s="313" t="s">
        <v>563</v>
      </c>
      <c r="E194" s="322" t="s">
        <v>334</v>
      </c>
      <c r="F194" s="313" t="s">
        <v>1022</v>
      </c>
      <c r="G194" s="339">
        <v>0</v>
      </c>
      <c r="H194" s="340">
        <v>0</v>
      </c>
      <c r="I194" s="339">
        <v>150000</v>
      </c>
      <c r="J194" s="340">
        <v>150000</v>
      </c>
      <c r="K194" s="341">
        <v>0</v>
      </c>
      <c r="L194" s="342">
        <v>0</v>
      </c>
      <c r="M194" s="336"/>
      <c r="N194" s="343"/>
      <c r="O194" s="344"/>
      <c r="P194" s="343">
        <f t="shared" si="7"/>
        <v>0</v>
      </c>
      <c r="Q194" s="344">
        <f t="shared" si="8"/>
        <v>0</v>
      </c>
      <c r="R194" s="328">
        <f t="shared" si="9"/>
        <v>0</v>
      </c>
    </row>
    <row r="195" spans="1:21" ht="20" hidden="1">
      <c r="A195" s="318" t="s">
        <v>771</v>
      </c>
      <c r="B195" s="313" t="s">
        <v>157</v>
      </c>
      <c r="C195" s="313" t="s">
        <v>466</v>
      </c>
      <c r="D195" s="313" t="s">
        <v>563</v>
      </c>
      <c r="E195" s="322" t="s">
        <v>334</v>
      </c>
      <c r="F195" s="313" t="s">
        <v>1011</v>
      </c>
      <c r="G195" s="339">
        <v>0</v>
      </c>
      <c r="H195" s="340">
        <v>5050</v>
      </c>
      <c r="I195" s="339">
        <v>0</v>
      </c>
      <c r="J195" s="340">
        <v>0</v>
      </c>
      <c r="K195" s="341">
        <v>0</v>
      </c>
      <c r="L195" s="342">
        <v>5050</v>
      </c>
      <c r="M195" s="336"/>
      <c r="N195" s="343"/>
      <c r="O195" s="344"/>
      <c r="P195" s="343">
        <f t="shared" si="7"/>
        <v>0</v>
      </c>
      <c r="Q195" s="344">
        <f t="shared" si="8"/>
        <v>5050</v>
      </c>
      <c r="R195" s="328">
        <f t="shared" si="9"/>
        <v>-5050</v>
      </c>
    </row>
    <row r="196" spans="1:21" ht="20" hidden="1">
      <c r="A196" s="318" t="s">
        <v>772</v>
      </c>
      <c r="B196" s="313" t="s">
        <v>158</v>
      </c>
      <c r="C196" s="313" t="s">
        <v>466</v>
      </c>
      <c r="D196" s="313" t="s">
        <v>563</v>
      </c>
      <c r="E196" s="322" t="s">
        <v>334</v>
      </c>
      <c r="F196" s="313" t="s">
        <v>1022</v>
      </c>
      <c r="G196" s="339">
        <v>8000</v>
      </c>
      <c r="H196" s="340">
        <v>0</v>
      </c>
      <c r="I196" s="339">
        <v>0</v>
      </c>
      <c r="J196" s="340">
        <v>0</v>
      </c>
      <c r="K196" s="341">
        <v>8000</v>
      </c>
      <c r="L196" s="342">
        <v>0</v>
      </c>
      <c r="M196" s="336"/>
      <c r="N196" s="343"/>
      <c r="O196" s="344"/>
      <c r="P196" s="343">
        <f t="shared" si="7"/>
        <v>8000</v>
      </c>
      <c r="Q196" s="344">
        <f t="shared" si="8"/>
        <v>0</v>
      </c>
      <c r="R196" s="328">
        <f t="shared" si="9"/>
        <v>8000</v>
      </c>
    </row>
    <row r="197" spans="1:21" ht="20" hidden="1">
      <c r="A197" s="318" t="s">
        <v>773</v>
      </c>
      <c r="B197" s="313" t="s">
        <v>409</v>
      </c>
      <c r="C197" s="313" t="s">
        <v>466</v>
      </c>
      <c r="D197" s="313" t="s">
        <v>563</v>
      </c>
      <c r="E197" s="322" t="s">
        <v>334</v>
      </c>
      <c r="F197" s="313" t="s">
        <v>1019</v>
      </c>
      <c r="G197" s="339">
        <v>0</v>
      </c>
      <c r="H197" s="340">
        <v>0</v>
      </c>
      <c r="I197" s="339">
        <v>40000</v>
      </c>
      <c r="J197" s="340">
        <v>40000</v>
      </c>
      <c r="K197" s="341">
        <v>0</v>
      </c>
      <c r="L197" s="342">
        <v>0</v>
      </c>
      <c r="M197" s="336"/>
      <c r="N197" s="343"/>
      <c r="O197" s="344"/>
      <c r="P197" s="343">
        <f t="shared" si="7"/>
        <v>0</v>
      </c>
      <c r="Q197" s="344">
        <f t="shared" si="8"/>
        <v>0</v>
      </c>
      <c r="R197" s="328">
        <f t="shared" si="9"/>
        <v>0</v>
      </c>
    </row>
    <row r="198" spans="1:21" ht="20" hidden="1">
      <c r="A198" s="318" t="s">
        <v>774</v>
      </c>
      <c r="B198" s="313" t="s">
        <v>160</v>
      </c>
      <c r="C198" s="313" t="s">
        <v>466</v>
      </c>
      <c r="D198" s="313" t="s">
        <v>563</v>
      </c>
      <c r="E198" s="322" t="s">
        <v>335</v>
      </c>
      <c r="F198" s="313" t="s">
        <v>974</v>
      </c>
      <c r="G198" s="339">
        <v>37000</v>
      </c>
      <c r="H198" s="340">
        <v>0</v>
      </c>
      <c r="I198" s="339">
        <v>236583</v>
      </c>
      <c r="J198" s="340">
        <v>235862</v>
      </c>
      <c r="K198" s="341">
        <v>37721</v>
      </c>
      <c r="L198" s="342">
        <v>0</v>
      </c>
      <c r="M198" s="336"/>
      <c r="N198" s="343"/>
      <c r="O198" s="344"/>
      <c r="P198" s="343">
        <f t="shared" si="7"/>
        <v>37721</v>
      </c>
      <c r="Q198" s="344">
        <f t="shared" si="8"/>
        <v>0</v>
      </c>
      <c r="R198" s="328">
        <f t="shared" si="9"/>
        <v>37721</v>
      </c>
    </row>
    <row r="199" spans="1:21" ht="20" hidden="1">
      <c r="A199" s="318" t="s">
        <v>774</v>
      </c>
      <c r="B199" s="313" t="s">
        <v>159</v>
      </c>
      <c r="C199" s="313" t="s">
        <v>466</v>
      </c>
      <c r="D199" s="313" t="s">
        <v>563</v>
      </c>
      <c r="E199" s="322" t="s">
        <v>335</v>
      </c>
      <c r="F199" s="313" t="s">
        <v>992</v>
      </c>
      <c r="G199" s="339">
        <v>25000</v>
      </c>
      <c r="H199" s="340">
        <v>0</v>
      </c>
      <c r="I199" s="339">
        <v>0</v>
      </c>
      <c r="J199" s="340">
        <v>0</v>
      </c>
      <c r="K199" s="341">
        <v>25000</v>
      </c>
      <c r="L199" s="342">
        <v>0</v>
      </c>
      <c r="M199" s="336"/>
      <c r="N199" s="343"/>
      <c r="O199" s="344">
        <f>Adjustments!E58+Adjustments!E74+Adjustments!E91</f>
        <v>15000</v>
      </c>
      <c r="P199" s="343">
        <f t="shared" ref="P199:P262" si="10">K199+N199</f>
        <v>25000</v>
      </c>
      <c r="Q199" s="344">
        <f t="shared" ref="Q199:Q262" si="11">L199+O199</f>
        <v>15000</v>
      </c>
      <c r="R199" s="328">
        <f t="shared" ref="R199:R262" si="12">P199-Q199</f>
        <v>10000</v>
      </c>
    </row>
    <row r="200" spans="1:21" ht="20" hidden="1">
      <c r="A200" s="318" t="s">
        <v>775</v>
      </c>
      <c r="B200" s="313" t="s">
        <v>161</v>
      </c>
      <c r="C200" s="313" t="s">
        <v>466</v>
      </c>
      <c r="D200" s="313" t="s">
        <v>563</v>
      </c>
      <c r="E200" s="322" t="s">
        <v>336</v>
      </c>
      <c r="F200" s="313" t="s">
        <v>974</v>
      </c>
      <c r="G200" s="339">
        <v>118284</v>
      </c>
      <c r="H200" s="340">
        <v>0</v>
      </c>
      <c r="I200" s="339">
        <v>0</v>
      </c>
      <c r="J200" s="340">
        <v>78856</v>
      </c>
      <c r="K200" s="341">
        <v>39428</v>
      </c>
      <c r="L200" s="342">
        <v>0</v>
      </c>
      <c r="M200" s="336"/>
      <c r="N200" s="343"/>
      <c r="O200" s="344"/>
      <c r="P200" s="343">
        <f t="shared" si="10"/>
        <v>39428</v>
      </c>
      <c r="Q200" s="344">
        <f t="shared" si="11"/>
        <v>0</v>
      </c>
      <c r="R200" s="328">
        <f t="shared" si="12"/>
        <v>39428</v>
      </c>
    </row>
    <row r="201" spans="1:21" ht="20" hidden="1">
      <c r="A201" s="318" t="s">
        <v>776</v>
      </c>
      <c r="B201" s="313" t="s">
        <v>162</v>
      </c>
      <c r="C201" s="313" t="s">
        <v>466</v>
      </c>
      <c r="D201" s="313" t="s">
        <v>563</v>
      </c>
      <c r="E201" s="322" t="s">
        <v>337</v>
      </c>
      <c r="F201" s="313" t="s">
        <v>974</v>
      </c>
      <c r="G201" s="339">
        <v>25440</v>
      </c>
      <c r="H201" s="340">
        <v>0</v>
      </c>
      <c r="I201" s="339">
        <v>0</v>
      </c>
      <c r="J201" s="340">
        <v>0</v>
      </c>
      <c r="K201" s="341">
        <v>25440</v>
      </c>
      <c r="L201" s="342">
        <v>0</v>
      </c>
      <c r="M201" s="336"/>
      <c r="N201" s="343"/>
      <c r="O201" s="344"/>
      <c r="P201" s="343">
        <f t="shared" si="10"/>
        <v>25440</v>
      </c>
      <c r="Q201" s="344">
        <f t="shared" si="11"/>
        <v>0</v>
      </c>
      <c r="R201" s="328">
        <f t="shared" si="12"/>
        <v>25440</v>
      </c>
    </row>
    <row r="202" spans="1:21" hidden="1">
      <c r="A202" s="318" t="s">
        <v>777</v>
      </c>
      <c r="B202" s="313" t="s">
        <v>163</v>
      </c>
      <c r="C202" s="313" t="s">
        <v>637</v>
      </c>
      <c r="D202" s="313" t="s">
        <v>638</v>
      </c>
      <c r="E202" s="322" t="s">
        <v>339</v>
      </c>
      <c r="F202" s="313" t="s">
        <v>974</v>
      </c>
      <c r="G202" s="339">
        <v>1721000</v>
      </c>
      <c r="H202" s="340">
        <v>0</v>
      </c>
      <c r="I202" s="339">
        <v>0</v>
      </c>
      <c r="J202" s="340">
        <v>0</v>
      </c>
      <c r="K202" s="341">
        <v>1721000</v>
      </c>
      <c r="L202" s="342">
        <v>0</v>
      </c>
      <c r="M202" s="336"/>
      <c r="N202" s="343"/>
      <c r="O202" s="344"/>
      <c r="P202" s="343">
        <f t="shared" si="10"/>
        <v>1721000</v>
      </c>
      <c r="Q202" s="344">
        <f t="shared" si="11"/>
        <v>0</v>
      </c>
      <c r="R202" s="328">
        <f t="shared" si="12"/>
        <v>1721000</v>
      </c>
    </row>
    <row r="203" spans="1:21" hidden="1">
      <c r="A203" s="318" t="s">
        <v>778</v>
      </c>
      <c r="B203" s="313" t="s">
        <v>164</v>
      </c>
      <c r="C203" s="313" t="s">
        <v>637</v>
      </c>
      <c r="D203" s="313" t="s">
        <v>638</v>
      </c>
      <c r="E203" s="322" t="s">
        <v>340</v>
      </c>
      <c r="F203" s="313" t="s">
        <v>974</v>
      </c>
      <c r="G203" s="339">
        <v>22763815</v>
      </c>
      <c r="H203" s="340">
        <v>0</v>
      </c>
      <c r="I203" s="339">
        <v>0</v>
      </c>
      <c r="J203" s="340">
        <v>0</v>
      </c>
      <c r="K203" s="341">
        <v>22763815</v>
      </c>
      <c r="L203" s="342">
        <v>0</v>
      </c>
      <c r="M203" s="336"/>
      <c r="N203" s="343"/>
      <c r="O203" s="344"/>
      <c r="P203" s="343">
        <f t="shared" si="10"/>
        <v>22763815</v>
      </c>
      <c r="Q203" s="344">
        <f t="shared" si="11"/>
        <v>0</v>
      </c>
      <c r="R203" s="328">
        <f t="shared" si="12"/>
        <v>22763815</v>
      </c>
    </row>
    <row r="204" spans="1:21" hidden="1">
      <c r="A204" s="318" t="s">
        <v>779</v>
      </c>
      <c r="B204" s="313" t="s">
        <v>165</v>
      </c>
      <c r="C204" s="313" t="s">
        <v>637</v>
      </c>
      <c r="D204" s="313" t="s">
        <v>638</v>
      </c>
      <c r="E204" s="322" t="s">
        <v>341</v>
      </c>
      <c r="F204" s="313" t="s">
        <v>974</v>
      </c>
      <c r="G204" s="339">
        <v>0</v>
      </c>
      <c r="H204" s="340">
        <v>7354968</v>
      </c>
      <c r="I204" s="339">
        <v>0</v>
      </c>
      <c r="J204" s="340">
        <v>455276</v>
      </c>
      <c r="K204" s="341">
        <v>0</v>
      </c>
      <c r="L204" s="342">
        <f>+H204+J204</f>
        <v>7810244</v>
      </c>
      <c r="M204" s="336"/>
      <c r="N204" s="343"/>
      <c r="O204" s="344"/>
      <c r="P204" s="343">
        <f t="shared" si="10"/>
        <v>0</v>
      </c>
      <c r="Q204" s="344">
        <f t="shared" si="11"/>
        <v>7810244</v>
      </c>
      <c r="R204" s="328">
        <f t="shared" si="12"/>
        <v>-7810244</v>
      </c>
    </row>
    <row r="205" spans="1:21" hidden="1">
      <c r="A205" s="318" t="s">
        <v>780</v>
      </c>
      <c r="B205" s="313" t="s">
        <v>166</v>
      </c>
      <c r="C205" s="313" t="s">
        <v>637</v>
      </c>
      <c r="D205" s="313" t="s">
        <v>638</v>
      </c>
      <c r="E205" s="322" t="s">
        <v>342</v>
      </c>
      <c r="F205" s="313" t="s">
        <v>974</v>
      </c>
      <c r="G205" s="339">
        <v>1244075</v>
      </c>
      <c r="H205" s="340">
        <v>0</v>
      </c>
      <c r="I205" s="339">
        <v>0</v>
      </c>
      <c r="J205" s="340">
        <v>0</v>
      </c>
      <c r="K205" s="341">
        <v>1244075</v>
      </c>
      <c r="L205" s="342">
        <v>0</v>
      </c>
      <c r="M205" s="336"/>
      <c r="N205" s="343"/>
      <c r="O205" s="344"/>
      <c r="P205" s="343">
        <f t="shared" si="10"/>
        <v>1244075</v>
      </c>
      <c r="Q205" s="344">
        <f t="shared" si="11"/>
        <v>0</v>
      </c>
      <c r="R205" s="328">
        <f t="shared" si="12"/>
        <v>1244075</v>
      </c>
    </row>
    <row r="206" spans="1:21" hidden="1">
      <c r="A206" s="318" t="s">
        <v>781</v>
      </c>
      <c r="B206" s="313" t="s">
        <v>167</v>
      </c>
      <c r="C206" s="313" t="s">
        <v>637</v>
      </c>
      <c r="D206" s="313" t="s">
        <v>638</v>
      </c>
      <c r="E206" s="322" t="s">
        <v>343</v>
      </c>
      <c r="F206" s="313" t="s">
        <v>974</v>
      </c>
      <c r="G206" s="339">
        <v>0</v>
      </c>
      <c r="H206" s="340">
        <v>872383</v>
      </c>
      <c r="I206" s="339">
        <v>0</v>
      </c>
      <c r="J206" s="340">
        <v>62204</v>
      </c>
      <c r="K206" s="341">
        <v>0</v>
      </c>
      <c r="L206" s="342">
        <f>+J206+H206</f>
        <v>934587</v>
      </c>
      <c r="M206" s="336"/>
      <c r="N206" s="343"/>
      <c r="O206" s="344"/>
      <c r="P206" s="343">
        <f t="shared" si="10"/>
        <v>0</v>
      </c>
      <c r="Q206" s="344">
        <f t="shared" si="11"/>
        <v>934587</v>
      </c>
      <c r="R206" s="328">
        <f t="shared" si="12"/>
        <v>-934587</v>
      </c>
    </row>
    <row r="207" spans="1:21" hidden="1">
      <c r="A207" s="318" t="s">
        <v>782</v>
      </c>
      <c r="B207" s="313" t="s">
        <v>168</v>
      </c>
      <c r="C207" s="313" t="s">
        <v>637</v>
      </c>
      <c r="D207" s="313" t="s">
        <v>638</v>
      </c>
      <c r="E207" s="322" t="s">
        <v>344</v>
      </c>
      <c r="F207" s="313" t="s">
        <v>974</v>
      </c>
      <c r="G207" s="339">
        <v>4819035</v>
      </c>
      <c r="H207" s="340">
        <v>0</v>
      </c>
      <c r="I207" s="339">
        <v>126423</v>
      </c>
      <c r="J207" s="340">
        <v>0</v>
      </c>
      <c r="K207" s="341">
        <v>4945458</v>
      </c>
      <c r="L207" s="342">
        <v>0</v>
      </c>
      <c r="M207" s="336"/>
      <c r="N207" s="343">
        <f>Adjustments!D17</f>
        <v>315575</v>
      </c>
      <c r="O207" s="344">
        <f>Adjustments!E21</f>
        <v>315575</v>
      </c>
      <c r="P207" s="343">
        <f t="shared" si="10"/>
        <v>5261033</v>
      </c>
      <c r="Q207" s="344">
        <f t="shared" si="11"/>
        <v>315575</v>
      </c>
      <c r="R207" s="328">
        <f t="shared" si="12"/>
        <v>4945458</v>
      </c>
    </row>
    <row r="208" spans="1:21" hidden="1">
      <c r="A208" s="318" t="s">
        <v>783</v>
      </c>
      <c r="B208" s="313" t="s">
        <v>169</v>
      </c>
      <c r="C208" s="313" t="s">
        <v>637</v>
      </c>
      <c r="D208" s="316" t="s">
        <v>638</v>
      </c>
      <c r="E208" s="322" t="s">
        <v>345</v>
      </c>
      <c r="F208" s="313" t="s">
        <v>974</v>
      </c>
      <c r="G208" s="339">
        <v>0</v>
      </c>
      <c r="H208" s="340">
        <f>1899251+315575</f>
        <v>2214826</v>
      </c>
      <c r="I208" s="339">
        <v>0</v>
      </c>
      <c r="J208" s="340">
        <v>393542</v>
      </c>
      <c r="K208" s="341">
        <v>0</v>
      </c>
      <c r="L208" s="342">
        <f>+J208+H208</f>
        <v>2608368</v>
      </c>
      <c r="M208" s="336"/>
      <c r="N208" s="343">
        <f>Adjustments!D20</f>
        <v>315575</v>
      </c>
      <c r="O208" s="344"/>
      <c r="P208" s="343">
        <f t="shared" si="10"/>
        <v>315575</v>
      </c>
      <c r="Q208" s="344">
        <f t="shared" si="11"/>
        <v>2608368</v>
      </c>
      <c r="R208" s="328">
        <f t="shared" si="12"/>
        <v>-2292793</v>
      </c>
      <c r="T208" s="285"/>
      <c r="U208" s="284"/>
    </row>
    <row r="209" spans="1:18" hidden="1">
      <c r="A209" s="318" t="s">
        <v>784</v>
      </c>
      <c r="B209" s="313" t="s">
        <v>170</v>
      </c>
      <c r="C209" s="313" t="s">
        <v>637</v>
      </c>
      <c r="D209" s="313" t="s">
        <v>638</v>
      </c>
      <c r="E209" s="322" t="s">
        <v>346</v>
      </c>
      <c r="F209" s="313" t="s">
        <v>974</v>
      </c>
      <c r="G209" s="339">
        <v>911914</v>
      </c>
      <c r="H209" s="340">
        <v>0</v>
      </c>
      <c r="I209" s="339">
        <v>0</v>
      </c>
      <c r="J209" s="340">
        <v>0</v>
      </c>
      <c r="K209" s="341">
        <v>911914</v>
      </c>
      <c r="L209" s="342">
        <v>0</v>
      </c>
      <c r="M209" s="336"/>
      <c r="N209" s="343"/>
      <c r="O209" s="344"/>
      <c r="P209" s="343">
        <f t="shared" si="10"/>
        <v>911914</v>
      </c>
      <c r="Q209" s="344">
        <f t="shared" si="11"/>
        <v>0</v>
      </c>
      <c r="R209" s="328">
        <f t="shared" si="12"/>
        <v>911914</v>
      </c>
    </row>
    <row r="210" spans="1:18" hidden="1">
      <c r="A210" s="318" t="s">
        <v>785</v>
      </c>
      <c r="B210" s="313" t="s">
        <v>171</v>
      </c>
      <c r="C210" s="313" t="s">
        <v>637</v>
      </c>
      <c r="D210" s="313" t="s">
        <v>638</v>
      </c>
      <c r="E210" s="322" t="s">
        <v>347</v>
      </c>
      <c r="F210" s="313" t="s">
        <v>974</v>
      </c>
      <c r="G210" s="339">
        <v>0</v>
      </c>
      <c r="H210" s="340">
        <v>782499</v>
      </c>
      <c r="I210" s="339">
        <v>0</v>
      </c>
      <c r="J210" s="340">
        <v>23791</v>
      </c>
      <c r="K210" s="341">
        <v>0</v>
      </c>
      <c r="L210" s="342">
        <f>+J210+H210</f>
        <v>806290</v>
      </c>
      <c r="M210" s="336"/>
      <c r="N210" s="343"/>
      <c r="O210" s="344"/>
      <c r="P210" s="343">
        <f t="shared" si="10"/>
        <v>0</v>
      </c>
      <c r="Q210" s="344">
        <f t="shared" si="11"/>
        <v>806290</v>
      </c>
      <c r="R210" s="328">
        <f t="shared" si="12"/>
        <v>-806290</v>
      </c>
    </row>
    <row r="211" spans="1:18" hidden="1">
      <c r="A211" s="318" t="s">
        <v>786</v>
      </c>
      <c r="B211" s="313" t="s">
        <v>172</v>
      </c>
      <c r="C211" s="313" t="s">
        <v>637</v>
      </c>
      <c r="D211" s="313" t="s">
        <v>638</v>
      </c>
      <c r="E211" s="322" t="s">
        <v>348</v>
      </c>
      <c r="F211" s="313" t="s">
        <v>974</v>
      </c>
      <c r="G211" s="339">
        <v>868377</v>
      </c>
      <c r="H211" s="340">
        <v>0</v>
      </c>
      <c r="I211" s="339">
        <v>0</v>
      </c>
      <c r="J211" s="340">
        <v>0</v>
      </c>
      <c r="K211" s="341">
        <v>868377</v>
      </c>
      <c r="L211" s="342">
        <v>0</v>
      </c>
      <c r="M211" s="336"/>
      <c r="N211" s="343"/>
      <c r="O211" s="344"/>
      <c r="P211" s="343">
        <f t="shared" si="10"/>
        <v>868377</v>
      </c>
      <c r="Q211" s="344">
        <f t="shared" si="11"/>
        <v>0</v>
      </c>
      <c r="R211" s="328">
        <f t="shared" si="12"/>
        <v>868377</v>
      </c>
    </row>
    <row r="212" spans="1:18" hidden="1">
      <c r="A212" s="318" t="s">
        <v>787</v>
      </c>
      <c r="B212" s="313" t="s">
        <v>173</v>
      </c>
      <c r="C212" s="313" t="s">
        <v>637</v>
      </c>
      <c r="D212" s="313" t="s">
        <v>638</v>
      </c>
      <c r="E212" s="322" t="s">
        <v>349</v>
      </c>
      <c r="F212" s="313" t="s">
        <v>974</v>
      </c>
      <c r="G212" s="339">
        <v>0</v>
      </c>
      <c r="H212" s="340">
        <v>765065</v>
      </c>
      <c r="I212" s="339">
        <v>0</v>
      </c>
      <c r="J212" s="340">
        <v>20854</v>
      </c>
      <c r="K212" s="341">
        <v>0</v>
      </c>
      <c r="L212" s="342">
        <f>+J212+H212</f>
        <v>785919</v>
      </c>
      <c r="M212" s="336"/>
      <c r="N212" s="343"/>
      <c r="O212" s="344"/>
      <c r="P212" s="343">
        <f t="shared" si="10"/>
        <v>0</v>
      </c>
      <c r="Q212" s="344">
        <f t="shared" si="11"/>
        <v>785919</v>
      </c>
      <c r="R212" s="328">
        <f t="shared" si="12"/>
        <v>-785919</v>
      </c>
    </row>
    <row r="213" spans="1:18" hidden="1">
      <c r="A213" s="318" t="s">
        <v>788</v>
      </c>
      <c r="B213" s="313" t="s">
        <v>174</v>
      </c>
      <c r="C213" s="313" t="s">
        <v>637</v>
      </c>
      <c r="D213" s="313" t="s">
        <v>638</v>
      </c>
      <c r="E213" s="322" t="s">
        <v>350</v>
      </c>
      <c r="F213" s="313" t="s">
        <v>974</v>
      </c>
      <c r="G213" s="339">
        <v>2767134</v>
      </c>
      <c r="H213" s="340">
        <v>0</v>
      </c>
      <c r="I213" s="339">
        <v>0</v>
      </c>
      <c r="J213" s="340">
        <v>0</v>
      </c>
      <c r="K213" s="341">
        <v>2767134</v>
      </c>
      <c r="L213" s="342">
        <v>0</v>
      </c>
      <c r="M213" s="336"/>
      <c r="N213" s="343"/>
      <c r="O213" s="344"/>
      <c r="P213" s="343">
        <f t="shared" si="10"/>
        <v>2767134</v>
      </c>
      <c r="Q213" s="344">
        <f t="shared" si="11"/>
        <v>0</v>
      </c>
      <c r="R213" s="328">
        <f t="shared" si="12"/>
        <v>2767134</v>
      </c>
    </row>
    <row r="214" spans="1:18" hidden="1">
      <c r="A214" s="318" t="s">
        <v>789</v>
      </c>
      <c r="B214" s="313" t="s">
        <v>175</v>
      </c>
      <c r="C214" s="313" t="s">
        <v>637</v>
      </c>
      <c r="D214" s="316" t="s">
        <v>638</v>
      </c>
      <c r="E214" s="322" t="s">
        <v>351</v>
      </c>
      <c r="F214" s="313" t="s">
        <v>974</v>
      </c>
      <c r="G214" s="339">
        <v>0</v>
      </c>
      <c r="H214" s="340">
        <f>2745725+21409</f>
        <v>2767134</v>
      </c>
      <c r="I214" s="339">
        <v>0</v>
      </c>
      <c r="J214" s="340">
        <v>0</v>
      </c>
      <c r="K214" s="341">
        <v>0</v>
      </c>
      <c r="L214" s="345">
        <f>+H214+J214</f>
        <v>2767134</v>
      </c>
      <c r="M214" s="336"/>
      <c r="N214" s="343"/>
      <c r="O214" s="344"/>
      <c r="P214" s="343">
        <f t="shared" si="10"/>
        <v>0</v>
      </c>
      <c r="Q214" s="344">
        <f t="shared" si="11"/>
        <v>2767134</v>
      </c>
      <c r="R214" s="328">
        <f t="shared" si="12"/>
        <v>-2767134</v>
      </c>
    </row>
    <row r="215" spans="1:18" hidden="1">
      <c r="A215" s="318" t="s">
        <v>790</v>
      </c>
      <c r="B215" s="313" t="s">
        <v>176</v>
      </c>
      <c r="C215" s="313" t="s">
        <v>637</v>
      </c>
      <c r="D215" s="313" t="s">
        <v>639</v>
      </c>
      <c r="E215" s="322" t="s">
        <v>352</v>
      </c>
      <c r="F215" s="313" t="s">
        <v>974</v>
      </c>
      <c r="G215" s="339">
        <v>460096</v>
      </c>
      <c r="H215" s="340">
        <v>0</v>
      </c>
      <c r="I215" s="339">
        <v>0</v>
      </c>
      <c r="J215" s="340">
        <v>0</v>
      </c>
      <c r="K215" s="341">
        <v>460096</v>
      </c>
      <c r="L215" s="342">
        <v>0</v>
      </c>
      <c r="M215" s="336"/>
      <c r="N215" s="343"/>
      <c r="O215" s="344"/>
      <c r="P215" s="343">
        <f t="shared" si="10"/>
        <v>460096</v>
      </c>
      <c r="Q215" s="344">
        <f t="shared" si="11"/>
        <v>0</v>
      </c>
      <c r="R215" s="328">
        <f t="shared" si="12"/>
        <v>460096</v>
      </c>
    </row>
    <row r="216" spans="1:18" hidden="1">
      <c r="A216" s="318" t="s">
        <v>791</v>
      </c>
      <c r="B216" s="313" t="s">
        <v>177</v>
      </c>
      <c r="C216" s="313" t="s">
        <v>637</v>
      </c>
      <c r="D216" s="313" t="s">
        <v>639</v>
      </c>
      <c r="E216" s="322" t="s">
        <v>353</v>
      </c>
      <c r="F216" s="313" t="s">
        <v>974</v>
      </c>
      <c r="G216" s="339">
        <v>0</v>
      </c>
      <c r="H216" s="340">
        <v>392058</v>
      </c>
      <c r="I216" s="339">
        <v>0</v>
      </c>
      <c r="J216" s="340">
        <v>0</v>
      </c>
      <c r="K216" s="341">
        <v>0</v>
      </c>
      <c r="L216" s="342">
        <v>392058</v>
      </c>
      <c r="M216" s="336"/>
      <c r="N216" s="343"/>
      <c r="O216" s="344"/>
      <c r="P216" s="343">
        <f t="shared" si="10"/>
        <v>0</v>
      </c>
      <c r="Q216" s="344">
        <f t="shared" si="11"/>
        <v>392058</v>
      </c>
      <c r="R216" s="328">
        <f t="shared" si="12"/>
        <v>-392058</v>
      </c>
    </row>
    <row r="217" spans="1:18" hidden="1">
      <c r="A217" s="318" t="s">
        <v>792</v>
      </c>
      <c r="B217" s="313" t="s">
        <v>178</v>
      </c>
      <c r="C217" s="313" t="s">
        <v>637</v>
      </c>
      <c r="D217" s="313" t="s">
        <v>638</v>
      </c>
      <c r="E217" s="322" t="s">
        <v>354</v>
      </c>
      <c r="F217" s="313" t="s">
        <v>974</v>
      </c>
      <c r="G217" s="339">
        <v>2534605</v>
      </c>
      <c r="H217" s="340">
        <v>0</v>
      </c>
      <c r="I217" s="339">
        <v>0</v>
      </c>
      <c r="J217" s="340">
        <v>0</v>
      </c>
      <c r="K217" s="341">
        <v>2534605</v>
      </c>
      <c r="L217" s="342">
        <v>0</v>
      </c>
      <c r="M217" s="336"/>
      <c r="N217" s="343"/>
      <c r="O217" s="344"/>
      <c r="P217" s="343">
        <f t="shared" si="10"/>
        <v>2534605</v>
      </c>
      <c r="Q217" s="344">
        <f t="shared" si="11"/>
        <v>0</v>
      </c>
      <c r="R217" s="328">
        <f t="shared" si="12"/>
        <v>2534605</v>
      </c>
    </row>
    <row r="218" spans="1:18" hidden="1">
      <c r="A218" s="318" t="s">
        <v>793</v>
      </c>
      <c r="B218" s="313" t="s">
        <v>179</v>
      </c>
      <c r="C218" s="313" t="s">
        <v>637</v>
      </c>
      <c r="D218" s="313" t="s">
        <v>638</v>
      </c>
      <c r="E218" s="322" t="s">
        <v>355</v>
      </c>
      <c r="F218" s="313" t="s">
        <v>974</v>
      </c>
      <c r="G218" s="339">
        <v>0</v>
      </c>
      <c r="H218" s="340">
        <v>1630560</v>
      </c>
      <c r="I218" s="339">
        <v>0</v>
      </c>
      <c r="J218" s="340">
        <v>285200</v>
      </c>
      <c r="K218" s="341">
        <v>0</v>
      </c>
      <c r="L218" s="342">
        <f>+J218+H218</f>
        <v>1915760</v>
      </c>
      <c r="M218" s="336"/>
      <c r="N218" s="343"/>
      <c r="O218" s="344"/>
      <c r="P218" s="343">
        <f t="shared" si="10"/>
        <v>0</v>
      </c>
      <c r="Q218" s="344">
        <f t="shared" si="11"/>
        <v>1915760</v>
      </c>
      <c r="R218" s="328">
        <f t="shared" si="12"/>
        <v>-1915760</v>
      </c>
    </row>
    <row r="219" spans="1:18" hidden="1">
      <c r="A219" s="318" t="s">
        <v>794</v>
      </c>
      <c r="B219" s="313" t="s">
        <v>180</v>
      </c>
      <c r="C219" s="313" t="s">
        <v>637</v>
      </c>
      <c r="D219" s="313" t="s">
        <v>638</v>
      </c>
      <c r="E219" s="322" t="s">
        <v>356</v>
      </c>
      <c r="F219" s="313" t="s">
        <v>974</v>
      </c>
      <c r="G219" s="339">
        <v>308439</v>
      </c>
      <c r="H219" s="340">
        <v>0</v>
      </c>
      <c r="I219" s="339">
        <v>0</v>
      </c>
      <c r="J219" s="340">
        <v>0</v>
      </c>
      <c r="K219" s="341">
        <v>308439</v>
      </c>
      <c r="L219" s="342">
        <v>0</v>
      </c>
      <c r="M219" s="336"/>
      <c r="N219" s="343"/>
      <c r="O219" s="344"/>
      <c r="P219" s="343">
        <f t="shared" si="10"/>
        <v>308439</v>
      </c>
      <c r="Q219" s="344">
        <f t="shared" si="11"/>
        <v>0</v>
      </c>
      <c r="R219" s="328">
        <f t="shared" si="12"/>
        <v>308439</v>
      </c>
    </row>
    <row r="220" spans="1:18" hidden="1">
      <c r="A220" s="318" t="s">
        <v>795</v>
      </c>
      <c r="B220" s="313" t="s">
        <v>181</v>
      </c>
      <c r="C220" s="313" t="s">
        <v>637</v>
      </c>
      <c r="D220" s="313" t="s">
        <v>638</v>
      </c>
      <c r="E220" s="322" t="s">
        <v>357</v>
      </c>
      <c r="F220" s="313" t="s">
        <v>974</v>
      </c>
      <c r="G220" s="339">
        <v>0</v>
      </c>
      <c r="H220" s="340">
        <v>308439</v>
      </c>
      <c r="I220" s="339">
        <v>0</v>
      </c>
      <c r="J220" s="340">
        <v>0</v>
      </c>
      <c r="K220" s="341">
        <v>0</v>
      </c>
      <c r="L220" s="342">
        <v>308439</v>
      </c>
      <c r="M220" s="336"/>
      <c r="N220" s="343"/>
      <c r="O220" s="344"/>
      <c r="P220" s="343">
        <f t="shared" si="10"/>
        <v>0</v>
      </c>
      <c r="Q220" s="344">
        <f t="shared" si="11"/>
        <v>308439</v>
      </c>
      <c r="R220" s="328">
        <f t="shared" si="12"/>
        <v>-308439</v>
      </c>
    </row>
    <row r="221" spans="1:18">
      <c r="A221" s="318" t="s">
        <v>796</v>
      </c>
      <c r="B221" s="313" t="s">
        <v>182</v>
      </c>
      <c r="C221" s="313" t="s">
        <v>473</v>
      </c>
      <c r="D221" s="313" t="s">
        <v>570</v>
      </c>
      <c r="E221" s="322" t="s">
        <v>358</v>
      </c>
      <c r="F221" s="313" t="s">
        <v>974</v>
      </c>
      <c r="G221" s="339">
        <v>0</v>
      </c>
      <c r="H221" s="340">
        <v>642400</v>
      </c>
      <c r="I221" s="339">
        <v>200000</v>
      </c>
      <c r="J221" s="340">
        <v>0</v>
      </c>
      <c r="K221" s="341">
        <v>0</v>
      </c>
      <c r="L221" s="342">
        <v>442400</v>
      </c>
      <c r="M221" s="336"/>
      <c r="N221" s="343"/>
      <c r="O221" s="344"/>
      <c r="P221" s="343">
        <f t="shared" si="10"/>
        <v>0</v>
      </c>
      <c r="Q221" s="344">
        <f t="shared" si="11"/>
        <v>442400</v>
      </c>
      <c r="R221" s="328">
        <f t="shared" si="12"/>
        <v>-442400</v>
      </c>
    </row>
    <row r="222" spans="1:18" hidden="1">
      <c r="A222" s="318" t="s">
        <v>797</v>
      </c>
      <c r="B222" s="313" t="s">
        <v>183</v>
      </c>
      <c r="C222" s="313" t="s">
        <v>330</v>
      </c>
      <c r="D222" s="313" t="s">
        <v>330</v>
      </c>
      <c r="E222" s="322" t="s">
        <v>330</v>
      </c>
      <c r="F222" s="313" t="s">
        <v>974</v>
      </c>
      <c r="G222" s="339">
        <v>0</v>
      </c>
      <c r="H222" s="340">
        <v>368297</v>
      </c>
      <c r="I222" s="339">
        <v>0</v>
      </c>
      <c r="J222" s="340">
        <v>0</v>
      </c>
      <c r="K222" s="341">
        <v>0</v>
      </c>
      <c r="L222" s="342">
        <v>368297</v>
      </c>
      <c r="M222" s="336"/>
      <c r="N222" s="343"/>
      <c r="O222" s="344"/>
      <c r="P222" s="343">
        <f t="shared" si="10"/>
        <v>0</v>
      </c>
      <c r="Q222" s="344">
        <f t="shared" si="11"/>
        <v>368297</v>
      </c>
      <c r="R222" s="328">
        <f t="shared" si="12"/>
        <v>-368297</v>
      </c>
    </row>
    <row r="223" spans="1:18" hidden="1">
      <c r="A223" s="318" t="s">
        <v>798</v>
      </c>
      <c r="B223" s="313" t="s">
        <v>184</v>
      </c>
      <c r="C223" s="313" t="s">
        <v>473</v>
      </c>
      <c r="D223" s="313" t="s">
        <v>570</v>
      </c>
      <c r="E223" s="322" t="s">
        <v>359</v>
      </c>
      <c r="F223" s="313" t="s">
        <v>974</v>
      </c>
      <c r="G223" s="339">
        <v>0</v>
      </c>
      <c r="H223" s="340">
        <v>177</v>
      </c>
      <c r="I223" s="339">
        <v>0</v>
      </c>
      <c r="J223" s="340">
        <v>0</v>
      </c>
      <c r="K223" s="341">
        <v>0</v>
      </c>
      <c r="L223" s="342">
        <v>177</v>
      </c>
      <c r="M223" s="336"/>
      <c r="N223" s="343"/>
      <c r="O223" s="344"/>
      <c r="P223" s="343">
        <f t="shared" si="10"/>
        <v>0</v>
      </c>
      <c r="Q223" s="344">
        <f t="shared" si="11"/>
        <v>177</v>
      </c>
      <c r="R223" s="328">
        <f t="shared" si="12"/>
        <v>-177</v>
      </c>
    </row>
    <row r="224" spans="1:18" hidden="1">
      <c r="A224" s="318" t="s">
        <v>798</v>
      </c>
      <c r="B224" s="313" t="s">
        <v>664</v>
      </c>
      <c r="C224" s="313" t="s">
        <v>473</v>
      </c>
      <c r="D224" s="313" t="s">
        <v>570</v>
      </c>
      <c r="E224" s="322" t="s">
        <v>359</v>
      </c>
      <c r="F224" s="313" t="s">
        <v>1017</v>
      </c>
      <c r="G224" s="339">
        <v>0</v>
      </c>
      <c r="H224" s="340">
        <v>20000</v>
      </c>
      <c r="I224" s="339">
        <v>20000</v>
      </c>
      <c r="J224" s="340">
        <v>0</v>
      </c>
      <c r="K224" s="341">
        <v>0</v>
      </c>
      <c r="L224" s="342">
        <v>0</v>
      </c>
      <c r="M224" s="336"/>
      <c r="N224" s="343"/>
      <c r="O224" s="344"/>
      <c r="P224" s="343">
        <f t="shared" si="10"/>
        <v>0</v>
      </c>
      <c r="Q224" s="344">
        <f t="shared" si="11"/>
        <v>0</v>
      </c>
      <c r="R224" s="328">
        <f t="shared" si="12"/>
        <v>0</v>
      </c>
    </row>
    <row r="225" spans="1:18" hidden="1">
      <c r="A225" s="318" t="s">
        <v>799</v>
      </c>
      <c r="B225" s="313" t="s">
        <v>185</v>
      </c>
      <c r="C225" s="313" t="s">
        <v>330</v>
      </c>
      <c r="D225" s="313" t="s">
        <v>330</v>
      </c>
      <c r="E225" s="322" t="s">
        <v>330</v>
      </c>
      <c r="F225" s="313" t="s">
        <v>974</v>
      </c>
      <c r="G225" s="339">
        <v>0</v>
      </c>
      <c r="H225" s="340">
        <v>251835</v>
      </c>
      <c r="I225" s="339">
        <v>0</v>
      </c>
      <c r="J225" s="340">
        <v>0</v>
      </c>
      <c r="K225" s="341">
        <v>0</v>
      </c>
      <c r="L225" s="342">
        <v>251835</v>
      </c>
      <c r="M225" s="336"/>
      <c r="N225" s="343"/>
      <c r="O225" s="344"/>
      <c r="P225" s="343">
        <f t="shared" si="10"/>
        <v>0</v>
      </c>
      <c r="Q225" s="344">
        <f t="shared" si="11"/>
        <v>251835</v>
      </c>
      <c r="R225" s="328">
        <f t="shared" si="12"/>
        <v>-251835</v>
      </c>
    </row>
    <row r="226" spans="1:18" hidden="1">
      <c r="A226" s="318" t="s">
        <v>800</v>
      </c>
      <c r="B226" s="313" t="s">
        <v>187</v>
      </c>
      <c r="C226" s="313" t="s">
        <v>473</v>
      </c>
      <c r="D226" s="313" t="s">
        <v>570</v>
      </c>
      <c r="E226" s="322" t="s">
        <v>359</v>
      </c>
      <c r="F226" s="313" t="s">
        <v>1013</v>
      </c>
      <c r="G226" s="339">
        <v>0</v>
      </c>
      <c r="H226" s="340">
        <v>50</v>
      </c>
      <c r="I226" s="339">
        <v>0</v>
      </c>
      <c r="J226" s="340">
        <v>0</v>
      </c>
      <c r="K226" s="341">
        <v>0</v>
      </c>
      <c r="L226" s="342">
        <v>50</v>
      </c>
      <c r="M226" s="336"/>
      <c r="N226" s="343"/>
      <c r="O226" s="344"/>
      <c r="P226" s="343">
        <f t="shared" si="10"/>
        <v>0</v>
      </c>
      <c r="Q226" s="344">
        <f t="shared" si="11"/>
        <v>50</v>
      </c>
      <c r="R226" s="328">
        <f t="shared" si="12"/>
        <v>-50</v>
      </c>
    </row>
    <row r="227" spans="1:18" hidden="1">
      <c r="A227" s="318" t="s">
        <v>800</v>
      </c>
      <c r="B227" s="313" t="s">
        <v>186</v>
      </c>
      <c r="C227" s="313" t="s">
        <v>473</v>
      </c>
      <c r="D227" s="313" t="s">
        <v>570</v>
      </c>
      <c r="E227" s="322" t="s">
        <v>359</v>
      </c>
      <c r="F227" s="313" t="s">
        <v>1022</v>
      </c>
      <c r="G227" s="339">
        <v>0</v>
      </c>
      <c r="H227" s="340">
        <v>3</v>
      </c>
      <c r="I227" s="339">
        <v>0</v>
      </c>
      <c r="J227" s="340">
        <v>0</v>
      </c>
      <c r="K227" s="341">
        <v>0</v>
      </c>
      <c r="L227" s="342">
        <v>3</v>
      </c>
      <c r="M227" s="336"/>
      <c r="N227" s="343"/>
      <c r="O227" s="344"/>
      <c r="P227" s="343">
        <f t="shared" si="10"/>
        <v>0</v>
      </c>
      <c r="Q227" s="344">
        <f t="shared" si="11"/>
        <v>3</v>
      </c>
      <c r="R227" s="328">
        <f t="shared" si="12"/>
        <v>-3</v>
      </c>
    </row>
    <row r="228" spans="1:18" hidden="1">
      <c r="A228" s="318" t="s">
        <v>801</v>
      </c>
      <c r="B228" s="313" t="s">
        <v>188</v>
      </c>
      <c r="C228" s="313" t="s">
        <v>473</v>
      </c>
      <c r="D228" s="313" t="s">
        <v>570</v>
      </c>
      <c r="E228" s="322" t="s">
        <v>359</v>
      </c>
      <c r="F228" s="313" t="s">
        <v>974</v>
      </c>
      <c r="G228" s="339">
        <v>0</v>
      </c>
      <c r="H228" s="340">
        <v>75698</v>
      </c>
      <c r="I228" s="339">
        <v>0</v>
      </c>
      <c r="J228" s="340">
        <v>0</v>
      </c>
      <c r="K228" s="341">
        <v>0</v>
      </c>
      <c r="L228" s="342">
        <v>75698</v>
      </c>
      <c r="M228" s="336"/>
      <c r="N228" s="343"/>
      <c r="O228" s="344"/>
      <c r="P228" s="343">
        <f t="shared" si="10"/>
        <v>0</v>
      </c>
      <c r="Q228" s="344">
        <f t="shared" si="11"/>
        <v>75698</v>
      </c>
      <c r="R228" s="328">
        <f t="shared" si="12"/>
        <v>-75698</v>
      </c>
    </row>
    <row r="229" spans="1:18" hidden="1">
      <c r="A229" s="318" t="s">
        <v>802</v>
      </c>
      <c r="B229" s="313" t="s">
        <v>189</v>
      </c>
      <c r="C229" s="313" t="s">
        <v>473</v>
      </c>
      <c r="D229" s="313" t="s">
        <v>570</v>
      </c>
      <c r="E229" s="322" t="s">
        <v>359</v>
      </c>
      <c r="F229" s="313" t="s">
        <v>1012</v>
      </c>
      <c r="G229" s="339">
        <v>0</v>
      </c>
      <c r="H229" s="340">
        <v>464</v>
      </c>
      <c r="I229" s="339">
        <v>0</v>
      </c>
      <c r="J229" s="340">
        <v>0</v>
      </c>
      <c r="K229" s="341">
        <v>0</v>
      </c>
      <c r="L229" s="342">
        <v>464</v>
      </c>
      <c r="M229" s="336"/>
      <c r="N229" s="343"/>
      <c r="O229" s="344"/>
      <c r="P229" s="343">
        <f t="shared" si="10"/>
        <v>0</v>
      </c>
      <c r="Q229" s="344">
        <f t="shared" si="11"/>
        <v>464</v>
      </c>
      <c r="R229" s="328">
        <f t="shared" si="12"/>
        <v>-464</v>
      </c>
    </row>
    <row r="230" spans="1:18" hidden="1">
      <c r="A230" s="318" t="s">
        <v>803</v>
      </c>
      <c r="B230" s="313" t="s">
        <v>190</v>
      </c>
      <c r="C230" s="313" t="s">
        <v>473</v>
      </c>
      <c r="D230" s="313" t="s">
        <v>570</v>
      </c>
      <c r="E230" s="322" t="s">
        <v>359</v>
      </c>
      <c r="F230" s="313" t="s">
        <v>974</v>
      </c>
      <c r="G230" s="339">
        <v>0</v>
      </c>
      <c r="H230" s="340">
        <v>500</v>
      </c>
      <c r="I230" s="339">
        <v>0</v>
      </c>
      <c r="J230" s="340">
        <v>0</v>
      </c>
      <c r="K230" s="341">
        <v>0</v>
      </c>
      <c r="L230" s="342">
        <v>500</v>
      </c>
      <c r="M230" s="336"/>
      <c r="N230" s="343"/>
      <c r="O230" s="344"/>
      <c r="P230" s="343">
        <f t="shared" si="10"/>
        <v>0</v>
      </c>
      <c r="Q230" s="344">
        <f t="shared" si="11"/>
        <v>500</v>
      </c>
      <c r="R230" s="328">
        <f t="shared" si="12"/>
        <v>-500</v>
      </c>
    </row>
    <row r="231" spans="1:18" hidden="1">
      <c r="A231" s="318" t="s">
        <v>804</v>
      </c>
      <c r="B231" s="313" t="s">
        <v>191</v>
      </c>
      <c r="C231" s="313" t="s">
        <v>473</v>
      </c>
      <c r="D231" s="313" t="s">
        <v>570</v>
      </c>
      <c r="E231" s="322" t="s">
        <v>359</v>
      </c>
      <c r="F231" s="313" t="s">
        <v>1021</v>
      </c>
      <c r="G231" s="339">
        <v>0</v>
      </c>
      <c r="H231" s="340">
        <v>35940</v>
      </c>
      <c r="I231" s="339">
        <v>0</v>
      </c>
      <c r="J231" s="340">
        <v>0</v>
      </c>
      <c r="K231" s="341">
        <v>0</v>
      </c>
      <c r="L231" s="342">
        <v>35940</v>
      </c>
      <c r="M231" s="336"/>
      <c r="N231" s="343"/>
      <c r="O231" s="344"/>
      <c r="P231" s="343">
        <f t="shared" si="10"/>
        <v>0</v>
      </c>
      <c r="Q231" s="344">
        <f t="shared" si="11"/>
        <v>35940</v>
      </c>
      <c r="R231" s="328">
        <f t="shared" si="12"/>
        <v>-35940</v>
      </c>
    </row>
    <row r="232" spans="1:18" hidden="1">
      <c r="A232" s="318" t="s">
        <v>805</v>
      </c>
      <c r="B232" s="313" t="s">
        <v>192</v>
      </c>
      <c r="C232" s="313" t="s">
        <v>473</v>
      </c>
      <c r="D232" s="313" t="s">
        <v>570</v>
      </c>
      <c r="E232" s="322" t="s">
        <v>359</v>
      </c>
      <c r="F232" s="313" t="s">
        <v>974</v>
      </c>
      <c r="G232" s="339">
        <v>0</v>
      </c>
      <c r="H232" s="340">
        <v>68623</v>
      </c>
      <c r="I232" s="339">
        <v>0</v>
      </c>
      <c r="J232" s="340">
        <v>0</v>
      </c>
      <c r="K232" s="341">
        <v>0</v>
      </c>
      <c r="L232" s="342">
        <v>68623</v>
      </c>
      <c r="M232" s="336"/>
      <c r="N232" s="343"/>
      <c r="O232" s="344"/>
      <c r="P232" s="343">
        <f t="shared" si="10"/>
        <v>0</v>
      </c>
      <c r="Q232" s="344">
        <f t="shared" si="11"/>
        <v>68623</v>
      </c>
      <c r="R232" s="328">
        <f t="shared" si="12"/>
        <v>-68623</v>
      </c>
    </row>
    <row r="233" spans="1:18" hidden="1">
      <c r="A233" s="318" t="s">
        <v>806</v>
      </c>
      <c r="B233" s="313" t="s">
        <v>193</v>
      </c>
      <c r="C233" s="313" t="s">
        <v>473</v>
      </c>
      <c r="D233" s="313" t="s">
        <v>570</v>
      </c>
      <c r="E233" s="322" t="s">
        <v>359</v>
      </c>
      <c r="F233" s="313" t="s">
        <v>992</v>
      </c>
      <c r="G233" s="339">
        <v>0</v>
      </c>
      <c r="H233" s="340">
        <v>5787</v>
      </c>
      <c r="I233" s="339">
        <v>5787</v>
      </c>
      <c r="J233" s="340">
        <v>275</v>
      </c>
      <c r="K233" s="341">
        <v>0</v>
      </c>
      <c r="L233" s="342">
        <v>275</v>
      </c>
      <c r="M233" s="336"/>
      <c r="N233" s="343"/>
      <c r="O233" s="344"/>
      <c r="P233" s="343">
        <f t="shared" si="10"/>
        <v>0</v>
      </c>
      <c r="Q233" s="344">
        <f t="shared" si="11"/>
        <v>275</v>
      </c>
      <c r="R233" s="328">
        <f t="shared" si="12"/>
        <v>-275</v>
      </c>
    </row>
    <row r="234" spans="1:18" hidden="1">
      <c r="A234" s="318" t="s">
        <v>807</v>
      </c>
      <c r="B234" s="313" t="s">
        <v>410</v>
      </c>
      <c r="C234" s="313" t="s">
        <v>473</v>
      </c>
      <c r="D234" s="313" t="s">
        <v>570</v>
      </c>
      <c r="E234" s="322" t="s">
        <v>359</v>
      </c>
      <c r="F234" s="313" t="s">
        <v>1022</v>
      </c>
      <c r="G234" s="339">
        <v>0</v>
      </c>
      <c r="H234" s="340">
        <v>0</v>
      </c>
      <c r="I234" s="339">
        <v>0</v>
      </c>
      <c r="J234" s="340">
        <v>370</v>
      </c>
      <c r="K234" s="341">
        <v>0</v>
      </c>
      <c r="L234" s="342">
        <v>370</v>
      </c>
      <c r="M234" s="336"/>
      <c r="N234" s="343"/>
      <c r="O234" s="344"/>
      <c r="P234" s="343">
        <f t="shared" si="10"/>
        <v>0</v>
      </c>
      <c r="Q234" s="344">
        <f t="shared" si="11"/>
        <v>370</v>
      </c>
      <c r="R234" s="328">
        <f t="shared" si="12"/>
        <v>-370</v>
      </c>
    </row>
    <row r="235" spans="1:18" hidden="1">
      <c r="A235" s="318" t="s">
        <v>808</v>
      </c>
      <c r="B235" s="313" t="s">
        <v>194</v>
      </c>
      <c r="C235" s="313" t="s">
        <v>473</v>
      </c>
      <c r="D235" s="313" t="s">
        <v>571</v>
      </c>
      <c r="E235" s="322" t="s">
        <v>332</v>
      </c>
      <c r="F235" s="313" t="s">
        <v>974</v>
      </c>
      <c r="G235" s="339">
        <v>0</v>
      </c>
      <c r="H235" s="340">
        <v>8323684</v>
      </c>
      <c r="I235" s="339">
        <v>0</v>
      </c>
      <c r="J235" s="340">
        <v>0</v>
      </c>
      <c r="K235" s="341">
        <v>0</v>
      </c>
      <c r="L235" s="342">
        <v>8323684</v>
      </c>
      <c r="M235" s="336"/>
      <c r="N235" s="343"/>
      <c r="O235" s="344"/>
      <c r="P235" s="343">
        <f t="shared" si="10"/>
        <v>0</v>
      </c>
      <c r="Q235" s="344">
        <f t="shared" si="11"/>
        <v>8323684</v>
      </c>
      <c r="R235" s="328">
        <f t="shared" si="12"/>
        <v>-8323684</v>
      </c>
    </row>
    <row r="236" spans="1:18" hidden="1">
      <c r="A236" s="318" t="s">
        <v>809</v>
      </c>
      <c r="B236" s="313" t="s">
        <v>195</v>
      </c>
      <c r="C236" s="313" t="s">
        <v>473</v>
      </c>
      <c r="D236" s="313" t="s">
        <v>570</v>
      </c>
      <c r="E236" s="322" t="s">
        <v>359</v>
      </c>
      <c r="F236" s="313" t="s">
        <v>974</v>
      </c>
      <c r="G236" s="339">
        <v>1740</v>
      </c>
      <c r="H236" s="340">
        <v>0</v>
      </c>
      <c r="I236" s="339">
        <v>0</v>
      </c>
      <c r="J236" s="340">
        <v>0</v>
      </c>
      <c r="K236" s="341">
        <v>1740</v>
      </c>
      <c r="L236" s="342">
        <v>0</v>
      </c>
      <c r="M236" s="336"/>
      <c r="N236" s="343"/>
      <c r="O236" s="344"/>
      <c r="P236" s="343">
        <f t="shared" si="10"/>
        <v>1740</v>
      </c>
      <c r="Q236" s="344">
        <f t="shared" si="11"/>
        <v>0</v>
      </c>
      <c r="R236" s="328">
        <f t="shared" si="12"/>
        <v>1740</v>
      </c>
    </row>
    <row r="237" spans="1:18" hidden="1">
      <c r="A237" s="318" t="s">
        <v>810</v>
      </c>
      <c r="B237" s="313" t="s">
        <v>196</v>
      </c>
      <c r="C237" s="313" t="s">
        <v>330</v>
      </c>
      <c r="D237" s="313" t="s">
        <v>330</v>
      </c>
      <c r="E237" s="322" t="s">
        <v>330</v>
      </c>
      <c r="F237" s="313" t="s">
        <v>974</v>
      </c>
      <c r="G237" s="339">
        <v>0</v>
      </c>
      <c r="H237" s="340">
        <v>143529</v>
      </c>
      <c r="I237" s="339">
        <v>0</v>
      </c>
      <c r="J237" s="340">
        <v>0</v>
      </c>
      <c r="K237" s="341">
        <v>0</v>
      </c>
      <c r="L237" s="342">
        <v>143529</v>
      </c>
      <c r="M237" s="336"/>
      <c r="N237" s="343"/>
      <c r="O237" s="344"/>
      <c r="P237" s="343">
        <f t="shared" si="10"/>
        <v>0</v>
      </c>
      <c r="Q237" s="344">
        <f t="shared" si="11"/>
        <v>143529</v>
      </c>
      <c r="R237" s="328">
        <f t="shared" si="12"/>
        <v>-143529</v>
      </c>
    </row>
    <row r="238" spans="1:18" hidden="1">
      <c r="A238" s="318" t="s">
        <v>810</v>
      </c>
      <c r="B238" s="313" t="s">
        <v>197</v>
      </c>
      <c r="C238" s="313" t="s">
        <v>330</v>
      </c>
      <c r="D238" s="313" t="s">
        <v>330</v>
      </c>
      <c r="E238" s="322" t="s">
        <v>330</v>
      </c>
      <c r="F238" s="313" t="s">
        <v>1012</v>
      </c>
      <c r="G238" s="339">
        <v>0</v>
      </c>
      <c r="H238" s="340">
        <v>95515</v>
      </c>
      <c r="I238" s="339">
        <v>0</v>
      </c>
      <c r="J238" s="340">
        <v>0</v>
      </c>
      <c r="K238" s="341">
        <v>0</v>
      </c>
      <c r="L238" s="342">
        <v>95515</v>
      </c>
      <c r="M238" s="336"/>
      <c r="N238" s="343"/>
      <c r="O238" s="344"/>
      <c r="P238" s="343">
        <f t="shared" si="10"/>
        <v>0</v>
      </c>
      <c r="Q238" s="344">
        <f t="shared" si="11"/>
        <v>95515</v>
      </c>
      <c r="R238" s="328">
        <f t="shared" si="12"/>
        <v>-95515</v>
      </c>
    </row>
    <row r="239" spans="1:18" hidden="1">
      <c r="A239" s="318" t="s">
        <v>810</v>
      </c>
      <c r="B239" s="313" t="s">
        <v>665</v>
      </c>
      <c r="C239" s="313" t="s">
        <v>330</v>
      </c>
      <c r="D239" s="313" t="s">
        <v>330</v>
      </c>
      <c r="E239" s="322" t="s">
        <v>330</v>
      </c>
      <c r="F239" s="313" t="s">
        <v>1017</v>
      </c>
      <c r="G239" s="339">
        <v>0</v>
      </c>
      <c r="H239" s="340">
        <v>2100</v>
      </c>
      <c r="I239" s="339">
        <v>0</v>
      </c>
      <c r="J239" s="340">
        <v>0</v>
      </c>
      <c r="K239" s="341">
        <v>0</v>
      </c>
      <c r="L239" s="342">
        <v>2100</v>
      </c>
      <c r="M239" s="336"/>
      <c r="N239" s="343"/>
      <c r="O239" s="344"/>
      <c r="P239" s="343">
        <f t="shared" si="10"/>
        <v>0</v>
      </c>
      <c r="Q239" s="344">
        <f t="shared" si="11"/>
        <v>2100</v>
      </c>
      <c r="R239" s="328">
        <f t="shared" si="12"/>
        <v>-2100</v>
      </c>
    </row>
    <row r="240" spans="1:18" hidden="1">
      <c r="A240" s="318" t="s">
        <v>810</v>
      </c>
      <c r="B240" s="313" t="s">
        <v>198</v>
      </c>
      <c r="C240" s="313" t="s">
        <v>330</v>
      </c>
      <c r="D240" s="313" t="s">
        <v>330</v>
      </c>
      <c r="E240" s="322" t="s">
        <v>330</v>
      </c>
      <c r="F240" s="313" t="s">
        <v>1025</v>
      </c>
      <c r="G240" s="339">
        <v>0</v>
      </c>
      <c r="H240" s="340">
        <v>33907</v>
      </c>
      <c r="I240" s="339">
        <v>0</v>
      </c>
      <c r="J240" s="340">
        <v>0</v>
      </c>
      <c r="K240" s="341">
        <v>0</v>
      </c>
      <c r="L240" s="342">
        <v>33907</v>
      </c>
      <c r="M240" s="336"/>
      <c r="N240" s="343"/>
      <c r="O240" s="344"/>
      <c r="P240" s="343">
        <f t="shared" si="10"/>
        <v>0</v>
      </c>
      <c r="Q240" s="344">
        <f t="shared" si="11"/>
        <v>33907</v>
      </c>
      <c r="R240" s="328">
        <f t="shared" si="12"/>
        <v>-33907</v>
      </c>
    </row>
    <row r="241" spans="1:18" hidden="1">
      <c r="A241" s="318" t="s">
        <v>811</v>
      </c>
      <c r="B241" s="313" t="s">
        <v>211</v>
      </c>
      <c r="C241" s="313" t="s">
        <v>330</v>
      </c>
      <c r="D241" s="313" t="s">
        <v>330</v>
      </c>
      <c r="E241" s="322" t="s">
        <v>330</v>
      </c>
      <c r="F241" s="313" t="s">
        <v>1018</v>
      </c>
      <c r="G241" s="339">
        <v>0</v>
      </c>
      <c r="H241" s="340">
        <v>2248556</v>
      </c>
      <c r="I241" s="339">
        <v>0</v>
      </c>
      <c r="J241" s="340">
        <v>0</v>
      </c>
      <c r="K241" s="341">
        <v>0</v>
      </c>
      <c r="L241" s="342">
        <v>2248556</v>
      </c>
      <c r="M241" s="336"/>
      <c r="N241" s="343"/>
      <c r="O241" s="344"/>
      <c r="P241" s="343">
        <f t="shared" si="10"/>
        <v>0</v>
      </c>
      <c r="Q241" s="344">
        <f t="shared" si="11"/>
        <v>2248556</v>
      </c>
      <c r="R241" s="328">
        <f t="shared" si="12"/>
        <v>-2248556</v>
      </c>
    </row>
    <row r="242" spans="1:18" hidden="1">
      <c r="A242" s="318" t="s">
        <v>811</v>
      </c>
      <c r="B242" s="313" t="s">
        <v>210</v>
      </c>
      <c r="C242" s="313" t="s">
        <v>330</v>
      </c>
      <c r="D242" s="313" t="s">
        <v>330</v>
      </c>
      <c r="E242" s="322" t="s">
        <v>330</v>
      </c>
      <c r="F242" s="313" t="s">
        <v>1013</v>
      </c>
      <c r="G242" s="339">
        <v>14070</v>
      </c>
      <c r="H242" s="340">
        <v>0</v>
      </c>
      <c r="I242" s="339">
        <v>0</v>
      </c>
      <c r="J242" s="340">
        <v>0</v>
      </c>
      <c r="K242" s="341">
        <v>14070</v>
      </c>
      <c r="L242" s="342">
        <v>0</v>
      </c>
      <c r="M242" s="336"/>
      <c r="N242" s="343"/>
      <c r="O242" s="344"/>
      <c r="P242" s="343">
        <f t="shared" si="10"/>
        <v>14070</v>
      </c>
      <c r="Q242" s="344">
        <f t="shared" si="11"/>
        <v>0</v>
      </c>
      <c r="R242" s="328">
        <f t="shared" si="12"/>
        <v>14070</v>
      </c>
    </row>
    <row r="243" spans="1:18" hidden="1">
      <c r="A243" s="318" t="s">
        <v>811</v>
      </c>
      <c r="B243" s="313" t="s">
        <v>200</v>
      </c>
      <c r="C243" s="313" t="s">
        <v>330</v>
      </c>
      <c r="D243" s="313" t="s">
        <v>330</v>
      </c>
      <c r="E243" s="322" t="s">
        <v>330</v>
      </c>
      <c r="F243" s="313" t="s">
        <v>1014</v>
      </c>
      <c r="G243" s="339">
        <v>0</v>
      </c>
      <c r="H243" s="340">
        <v>1061304</v>
      </c>
      <c r="I243" s="339">
        <v>0</v>
      </c>
      <c r="J243" s="340">
        <v>0</v>
      </c>
      <c r="K243" s="341">
        <v>0</v>
      </c>
      <c r="L243" s="342">
        <v>1061304</v>
      </c>
      <c r="M243" s="336"/>
      <c r="N243" s="343"/>
      <c r="O243" s="344"/>
      <c r="P243" s="343">
        <f t="shared" si="10"/>
        <v>0</v>
      </c>
      <c r="Q243" s="344">
        <f t="shared" si="11"/>
        <v>1061304</v>
      </c>
      <c r="R243" s="328">
        <f t="shared" si="12"/>
        <v>-1061304</v>
      </c>
    </row>
    <row r="244" spans="1:18" hidden="1">
      <c r="A244" s="318" t="s">
        <v>811</v>
      </c>
      <c r="B244" s="313" t="s">
        <v>204</v>
      </c>
      <c r="C244" s="313" t="s">
        <v>330</v>
      </c>
      <c r="D244" s="313" t="s">
        <v>330</v>
      </c>
      <c r="E244" s="322" t="s">
        <v>330</v>
      </c>
      <c r="F244" s="313" t="s">
        <v>1023</v>
      </c>
      <c r="G244" s="339">
        <v>0</v>
      </c>
      <c r="H244" s="340">
        <v>398399</v>
      </c>
      <c r="I244" s="339">
        <v>0</v>
      </c>
      <c r="J244" s="340">
        <v>0</v>
      </c>
      <c r="K244" s="341">
        <v>0</v>
      </c>
      <c r="L244" s="342">
        <v>398399</v>
      </c>
      <c r="M244" s="336"/>
      <c r="N244" s="343"/>
      <c r="O244" s="344"/>
      <c r="P244" s="343">
        <f t="shared" si="10"/>
        <v>0</v>
      </c>
      <c r="Q244" s="344">
        <f t="shared" si="11"/>
        <v>398399</v>
      </c>
      <c r="R244" s="328">
        <f t="shared" si="12"/>
        <v>-398399</v>
      </c>
    </row>
    <row r="245" spans="1:18" hidden="1">
      <c r="A245" s="318" t="s">
        <v>811</v>
      </c>
      <c r="B245" s="313" t="s">
        <v>209</v>
      </c>
      <c r="C245" s="313" t="s">
        <v>330</v>
      </c>
      <c r="D245" s="313" t="s">
        <v>330</v>
      </c>
      <c r="E245" s="322" t="s">
        <v>330</v>
      </c>
      <c r="F245" s="313" t="s">
        <v>1011</v>
      </c>
      <c r="G245" s="339">
        <v>0</v>
      </c>
      <c r="H245" s="340">
        <v>16440</v>
      </c>
      <c r="I245" s="339">
        <v>0</v>
      </c>
      <c r="J245" s="340">
        <v>0</v>
      </c>
      <c r="K245" s="341">
        <v>0</v>
      </c>
      <c r="L245" s="342">
        <v>16440</v>
      </c>
      <c r="M245" s="336"/>
      <c r="N245" s="343"/>
      <c r="O245" s="344"/>
      <c r="P245" s="343">
        <f t="shared" si="10"/>
        <v>0</v>
      </c>
      <c r="Q245" s="344">
        <f t="shared" si="11"/>
        <v>16440</v>
      </c>
      <c r="R245" s="328">
        <f t="shared" si="12"/>
        <v>-16440</v>
      </c>
    </row>
    <row r="246" spans="1:18" hidden="1">
      <c r="A246" s="318" t="s">
        <v>811</v>
      </c>
      <c r="B246" s="313" t="s">
        <v>207</v>
      </c>
      <c r="C246" s="313" t="s">
        <v>330</v>
      </c>
      <c r="D246" s="313" t="s">
        <v>330</v>
      </c>
      <c r="E246" s="322" t="s">
        <v>330</v>
      </c>
      <c r="F246" s="313" t="s">
        <v>1012</v>
      </c>
      <c r="G246" s="339">
        <v>0</v>
      </c>
      <c r="H246" s="340">
        <v>196699</v>
      </c>
      <c r="I246" s="339">
        <v>0</v>
      </c>
      <c r="J246" s="340">
        <v>0</v>
      </c>
      <c r="K246" s="341">
        <v>0</v>
      </c>
      <c r="L246" s="342">
        <v>196699</v>
      </c>
      <c r="M246" s="336"/>
      <c r="N246" s="343"/>
      <c r="O246" s="344"/>
      <c r="P246" s="343">
        <f t="shared" si="10"/>
        <v>0</v>
      </c>
      <c r="Q246" s="344">
        <f t="shared" si="11"/>
        <v>196699</v>
      </c>
      <c r="R246" s="328">
        <f t="shared" si="12"/>
        <v>-196699</v>
      </c>
    </row>
    <row r="247" spans="1:18" hidden="1">
      <c r="A247" s="318" t="s">
        <v>811</v>
      </c>
      <c r="B247" s="313" t="s">
        <v>208</v>
      </c>
      <c r="C247" s="313" t="s">
        <v>330</v>
      </c>
      <c r="D247" s="313" t="s">
        <v>330</v>
      </c>
      <c r="E247" s="322" t="s">
        <v>330</v>
      </c>
      <c r="F247" s="313" t="s">
        <v>1020</v>
      </c>
      <c r="G247" s="339">
        <v>0</v>
      </c>
      <c r="H247" s="340">
        <v>3227482</v>
      </c>
      <c r="I247" s="339">
        <v>0</v>
      </c>
      <c r="J247" s="340">
        <v>0</v>
      </c>
      <c r="K247" s="341">
        <v>0</v>
      </c>
      <c r="L247" s="342">
        <v>3227482</v>
      </c>
      <c r="M247" s="336"/>
      <c r="N247" s="343"/>
      <c r="O247" s="344"/>
      <c r="P247" s="343">
        <f t="shared" si="10"/>
        <v>0</v>
      </c>
      <c r="Q247" s="344">
        <f t="shared" si="11"/>
        <v>3227482</v>
      </c>
      <c r="R247" s="328">
        <f t="shared" si="12"/>
        <v>-3227482</v>
      </c>
    </row>
    <row r="248" spans="1:18" hidden="1">
      <c r="A248" s="318" t="s">
        <v>811</v>
      </c>
      <c r="B248" s="313" t="s">
        <v>666</v>
      </c>
      <c r="C248" s="313" t="s">
        <v>330</v>
      </c>
      <c r="D248" s="313" t="s">
        <v>330</v>
      </c>
      <c r="E248" s="322" t="s">
        <v>330</v>
      </c>
      <c r="F248" s="313" t="s">
        <v>1017</v>
      </c>
      <c r="G248" s="339">
        <v>0</v>
      </c>
      <c r="H248" s="340">
        <v>3734441</v>
      </c>
      <c r="I248" s="339">
        <v>675243</v>
      </c>
      <c r="J248" s="340">
        <v>73616</v>
      </c>
      <c r="K248" s="341">
        <v>0</v>
      </c>
      <c r="L248" s="342">
        <v>3132814</v>
      </c>
      <c r="M248" s="336"/>
      <c r="N248" s="343"/>
      <c r="O248" s="344"/>
      <c r="P248" s="343">
        <f t="shared" si="10"/>
        <v>0</v>
      </c>
      <c r="Q248" s="344">
        <f t="shared" si="11"/>
        <v>3132814</v>
      </c>
      <c r="R248" s="328">
        <f t="shared" si="12"/>
        <v>-3132814</v>
      </c>
    </row>
    <row r="249" spans="1:18" hidden="1">
      <c r="A249" s="318" t="s">
        <v>811</v>
      </c>
      <c r="B249" s="313" t="s">
        <v>212</v>
      </c>
      <c r="C249" s="313" t="s">
        <v>330</v>
      </c>
      <c r="D249" s="313" t="s">
        <v>330</v>
      </c>
      <c r="E249" s="322" t="s">
        <v>330</v>
      </c>
      <c r="F249" s="313" t="s">
        <v>1021</v>
      </c>
      <c r="G249" s="339">
        <v>0</v>
      </c>
      <c r="H249" s="340">
        <v>1019492</v>
      </c>
      <c r="I249" s="339">
        <v>0</v>
      </c>
      <c r="J249" s="340">
        <v>0</v>
      </c>
      <c r="K249" s="341">
        <v>0</v>
      </c>
      <c r="L249" s="342">
        <v>1019492</v>
      </c>
      <c r="M249" s="336"/>
      <c r="N249" s="343"/>
      <c r="O249" s="344"/>
      <c r="P249" s="343">
        <f t="shared" si="10"/>
        <v>0</v>
      </c>
      <c r="Q249" s="344">
        <f t="shared" si="11"/>
        <v>1019492</v>
      </c>
      <c r="R249" s="328">
        <f t="shared" si="12"/>
        <v>-1019492</v>
      </c>
    </row>
    <row r="250" spans="1:18" hidden="1">
      <c r="A250" s="318" t="s">
        <v>811</v>
      </c>
      <c r="B250" s="313" t="s">
        <v>213</v>
      </c>
      <c r="C250" s="313" t="s">
        <v>330</v>
      </c>
      <c r="D250" s="313" t="s">
        <v>330</v>
      </c>
      <c r="E250" s="322" t="s">
        <v>330</v>
      </c>
      <c r="F250" s="313" t="s">
        <v>1025</v>
      </c>
      <c r="G250" s="339">
        <v>0</v>
      </c>
      <c r="H250" s="340">
        <v>1490422</v>
      </c>
      <c r="I250" s="339">
        <v>0</v>
      </c>
      <c r="J250" s="340">
        <v>0</v>
      </c>
      <c r="K250" s="341">
        <v>0</v>
      </c>
      <c r="L250" s="342">
        <v>1490422</v>
      </c>
      <c r="M250" s="336"/>
      <c r="N250" s="343"/>
      <c r="O250" s="344"/>
      <c r="P250" s="343">
        <f t="shared" si="10"/>
        <v>0</v>
      </c>
      <c r="Q250" s="344">
        <f t="shared" si="11"/>
        <v>1490422</v>
      </c>
      <c r="R250" s="328">
        <f t="shared" si="12"/>
        <v>-1490422</v>
      </c>
    </row>
    <row r="251" spans="1:18" hidden="1">
      <c r="A251" s="318" t="s">
        <v>811</v>
      </c>
      <c r="B251" s="313" t="s">
        <v>206</v>
      </c>
      <c r="C251" s="313" t="s">
        <v>330</v>
      </c>
      <c r="D251" s="313" t="s">
        <v>330</v>
      </c>
      <c r="E251" s="322" t="s">
        <v>330</v>
      </c>
      <c r="F251" s="313" t="s">
        <v>1024</v>
      </c>
      <c r="G251" s="339">
        <v>0</v>
      </c>
      <c r="H251" s="340">
        <v>115</v>
      </c>
      <c r="I251" s="339">
        <v>0</v>
      </c>
      <c r="J251" s="340">
        <v>0</v>
      </c>
      <c r="K251" s="341">
        <v>0</v>
      </c>
      <c r="L251" s="342">
        <v>115</v>
      </c>
      <c r="M251" s="336"/>
      <c r="N251" s="343"/>
      <c r="O251" s="344"/>
      <c r="P251" s="343">
        <f t="shared" si="10"/>
        <v>0</v>
      </c>
      <c r="Q251" s="344">
        <f t="shared" si="11"/>
        <v>115</v>
      </c>
      <c r="R251" s="328">
        <f t="shared" si="12"/>
        <v>-115</v>
      </c>
    </row>
    <row r="252" spans="1:18" hidden="1">
      <c r="A252" s="318" t="s">
        <v>811</v>
      </c>
      <c r="B252" s="313" t="s">
        <v>205</v>
      </c>
      <c r="C252" s="313" t="s">
        <v>330</v>
      </c>
      <c r="D252" s="313" t="s">
        <v>330</v>
      </c>
      <c r="E252" s="322" t="s">
        <v>330</v>
      </c>
      <c r="F252" s="313" t="s">
        <v>1022</v>
      </c>
      <c r="G252" s="339">
        <v>0</v>
      </c>
      <c r="H252" s="340">
        <v>0</v>
      </c>
      <c r="I252" s="339">
        <v>210681</v>
      </c>
      <c r="J252" s="340">
        <v>1389286</v>
      </c>
      <c r="K252" s="341">
        <v>0</v>
      </c>
      <c r="L252" s="342">
        <v>1178605</v>
      </c>
      <c r="M252" s="336"/>
      <c r="N252" s="343"/>
      <c r="O252" s="344"/>
      <c r="P252" s="343">
        <f t="shared" si="10"/>
        <v>0</v>
      </c>
      <c r="Q252" s="344">
        <f t="shared" si="11"/>
        <v>1178605</v>
      </c>
      <c r="R252" s="328">
        <f t="shared" si="12"/>
        <v>-1178605</v>
      </c>
    </row>
    <row r="253" spans="1:18" hidden="1">
      <c r="A253" s="318" t="s">
        <v>811</v>
      </c>
      <c r="B253" s="313" t="s">
        <v>201</v>
      </c>
      <c r="C253" s="313" t="s">
        <v>330</v>
      </c>
      <c r="D253" s="313" t="s">
        <v>330</v>
      </c>
      <c r="E253" s="322" t="s">
        <v>330</v>
      </c>
      <c r="F253" s="313" t="s">
        <v>1019</v>
      </c>
      <c r="G253" s="339">
        <v>0</v>
      </c>
      <c r="H253" s="340">
        <v>100</v>
      </c>
      <c r="I253" s="339">
        <v>2380911</v>
      </c>
      <c r="J253" s="340">
        <v>4107549</v>
      </c>
      <c r="K253" s="341">
        <v>0</v>
      </c>
      <c r="L253" s="342">
        <v>1726738</v>
      </c>
      <c r="M253" s="336"/>
      <c r="N253" s="343"/>
      <c r="O253" s="344"/>
      <c r="P253" s="343">
        <f t="shared" si="10"/>
        <v>0</v>
      </c>
      <c r="Q253" s="344">
        <f t="shared" si="11"/>
        <v>1726738</v>
      </c>
      <c r="R253" s="328">
        <f t="shared" si="12"/>
        <v>-1726738</v>
      </c>
    </row>
    <row r="254" spans="1:18" hidden="1">
      <c r="A254" s="318" t="s">
        <v>811</v>
      </c>
      <c r="B254" s="313" t="s">
        <v>203</v>
      </c>
      <c r="C254" s="313" t="s">
        <v>330</v>
      </c>
      <c r="D254" s="313" t="s">
        <v>330</v>
      </c>
      <c r="E254" s="322" t="s">
        <v>330</v>
      </c>
      <c r="F254" s="313" t="s">
        <v>1026</v>
      </c>
      <c r="G254" s="339">
        <v>0</v>
      </c>
      <c r="H254" s="340">
        <v>35108</v>
      </c>
      <c r="I254" s="339">
        <v>0</v>
      </c>
      <c r="J254" s="340">
        <v>0</v>
      </c>
      <c r="K254" s="341">
        <v>0</v>
      </c>
      <c r="L254" s="342">
        <v>35108</v>
      </c>
      <c r="M254" s="336"/>
      <c r="N254" s="343"/>
      <c r="O254" s="344"/>
      <c r="P254" s="343">
        <f t="shared" si="10"/>
        <v>0</v>
      </c>
      <c r="Q254" s="344">
        <f t="shared" si="11"/>
        <v>35108</v>
      </c>
      <c r="R254" s="328">
        <f t="shared" si="12"/>
        <v>-35108</v>
      </c>
    </row>
    <row r="255" spans="1:18" hidden="1">
      <c r="A255" s="318" t="s">
        <v>811</v>
      </c>
      <c r="B255" s="313" t="s">
        <v>202</v>
      </c>
      <c r="C255" s="313" t="s">
        <v>330</v>
      </c>
      <c r="D255" s="313" t="s">
        <v>330</v>
      </c>
      <c r="E255" s="322" t="s">
        <v>330</v>
      </c>
      <c r="F255" s="313" t="s">
        <v>1027</v>
      </c>
      <c r="G255" s="339">
        <v>0</v>
      </c>
      <c r="H255" s="340">
        <v>174058</v>
      </c>
      <c r="I255" s="339">
        <v>0</v>
      </c>
      <c r="J255" s="340">
        <v>0</v>
      </c>
      <c r="K255" s="341">
        <v>0</v>
      </c>
      <c r="L255" s="342">
        <v>174058</v>
      </c>
      <c r="M255" s="336"/>
      <c r="N255" s="343"/>
      <c r="O255" s="344"/>
      <c r="P255" s="343">
        <f t="shared" si="10"/>
        <v>0</v>
      </c>
      <c r="Q255" s="344">
        <f t="shared" si="11"/>
        <v>174058</v>
      </c>
      <c r="R255" s="328">
        <f t="shared" si="12"/>
        <v>-174058</v>
      </c>
    </row>
    <row r="256" spans="1:18" hidden="1">
      <c r="A256" s="318" t="s">
        <v>811</v>
      </c>
      <c r="B256" s="313" t="s">
        <v>199</v>
      </c>
      <c r="C256" s="313" t="s">
        <v>330</v>
      </c>
      <c r="D256" s="313" t="s">
        <v>330</v>
      </c>
      <c r="E256" s="322" t="s">
        <v>330</v>
      </c>
      <c r="F256" s="313" t="s">
        <v>992</v>
      </c>
      <c r="G256" s="339">
        <v>2244523</v>
      </c>
      <c r="H256" s="340">
        <v>0</v>
      </c>
      <c r="I256" s="339">
        <v>1547677</v>
      </c>
      <c r="J256" s="340">
        <v>98126</v>
      </c>
      <c r="K256" s="341">
        <v>3694074</v>
      </c>
      <c r="L256" s="342">
        <v>0</v>
      </c>
      <c r="M256" s="336"/>
      <c r="N256" s="343"/>
      <c r="O256" s="344">
        <f>Adjustments!E61+Adjustments!E78+Adjustments!E94</f>
        <v>14468</v>
      </c>
      <c r="P256" s="343">
        <f t="shared" si="10"/>
        <v>3694074</v>
      </c>
      <c r="Q256" s="344">
        <f t="shared" si="11"/>
        <v>14468</v>
      </c>
      <c r="R256" s="328">
        <f t="shared" si="12"/>
        <v>3679606</v>
      </c>
    </row>
    <row r="257" spans="1:18" hidden="1">
      <c r="A257" s="318" t="s">
        <v>812</v>
      </c>
      <c r="B257" s="313" t="s">
        <v>214</v>
      </c>
      <c r="C257" s="313" t="s">
        <v>330</v>
      </c>
      <c r="D257" s="313" t="s">
        <v>330</v>
      </c>
      <c r="E257" s="322" t="s">
        <v>330</v>
      </c>
      <c r="F257" s="313" t="s">
        <v>974</v>
      </c>
      <c r="G257" s="339">
        <v>0</v>
      </c>
      <c r="H257" s="340">
        <v>2935000</v>
      </c>
      <c r="I257" s="339">
        <v>0</v>
      </c>
      <c r="J257" s="340">
        <v>0</v>
      </c>
      <c r="K257" s="341">
        <v>0</v>
      </c>
      <c r="L257" s="342">
        <v>2935000</v>
      </c>
      <c r="M257" s="336"/>
      <c r="N257" s="343"/>
      <c r="O257" s="344"/>
      <c r="P257" s="343">
        <f t="shared" si="10"/>
        <v>0</v>
      </c>
      <c r="Q257" s="344">
        <f t="shared" si="11"/>
        <v>2935000</v>
      </c>
      <c r="R257" s="328">
        <f t="shared" si="12"/>
        <v>-2935000</v>
      </c>
    </row>
    <row r="258" spans="1:18" hidden="1">
      <c r="A258" s="318" t="s">
        <v>813</v>
      </c>
      <c r="B258" s="313" t="s">
        <v>215</v>
      </c>
      <c r="C258" s="313" t="s">
        <v>330</v>
      </c>
      <c r="D258" s="313" t="s">
        <v>330</v>
      </c>
      <c r="E258" s="322" t="s">
        <v>330</v>
      </c>
      <c r="F258" s="313" t="s">
        <v>974</v>
      </c>
      <c r="G258" s="339">
        <v>0</v>
      </c>
      <c r="H258" s="340">
        <v>1600481</v>
      </c>
      <c r="I258" s="339">
        <v>0</v>
      </c>
      <c r="J258" s="340">
        <v>0</v>
      </c>
      <c r="K258" s="341">
        <v>0</v>
      </c>
      <c r="L258" s="342">
        <v>1600481</v>
      </c>
      <c r="M258" s="336"/>
      <c r="N258" s="343"/>
      <c r="O258" s="344"/>
      <c r="P258" s="343">
        <f t="shared" si="10"/>
        <v>0</v>
      </c>
      <c r="Q258" s="344">
        <f t="shared" si="11"/>
        <v>1600481</v>
      </c>
      <c r="R258" s="328">
        <f t="shared" si="12"/>
        <v>-1600481</v>
      </c>
    </row>
    <row r="259" spans="1:18" hidden="1">
      <c r="A259" s="318" t="s">
        <v>813</v>
      </c>
      <c r="B259" s="313" t="s">
        <v>216</v>
      </c>
      <c r="C259" s="313" t="s">
        <v>330</v>
      </c>
      <c r="D259" s="313" t="s">
        <v>330</v>
      </c>
      <c r="E259" s="322" t="s">
        <v>330</v>
      </c>
      <c r="F259" s="313" t="s">
        <v>1020</v>
      </c>
      <c r="G259" s="339">
        <v>0</v>
      </c>
      <c r="H259" s="340">
        <v>1950301</v>
      </c>
      <c r="I259" s="339">
        <v>0</v>
      </c>
      <c r="J259" s="340">
        <v>0</v>
      </c>
      <c r="K259" s="341">
        <v>0</v>
      </c>
      <c r="L259" s="342">
        <v>1950301</v>
      </c>
      <c r="M259" s="336"/>
      <c r="N259" s="343"/>
      <c r="O259" s="344"/>
      <c r="P259" s="343">
        <f t="shared" si="10"/>
        <v>0</v>
      </c>
      <c r="Q259" s="344">
        <f t="shared" si="11"/>
        <v>1950301</v>
      </c>
      <c r="R259" s="328">
        <f t="shared" si="12"/>
        <v>-1950301</v>
      </c>
    </row>
    <row r="260" spans="1:18" hidden="1">
      <c r="A260" s="318" t="s">
        <v>814</v>
      </c>
      <c r="B260" s="313" t="s">
        <v>217</v>
      </c>
      <c r="C260" s="313" t="s">
        <v>330</v>
      </c>
      <c r="D260" s="313" t="s">
        <v>330</v>
      </c>
      <c r="E260" s="322" t="s">
        <v>330</v>
      </c>
      <c r="F260" s="313" t="s">
        <v>974</v>
      </c>
      <c r="G260" s="339">
        <v>0</v>
      </c>
      <c r="H260" s="340">
        <v>299904</v>
      </c>
      <c r="I260" s="339">
        <v>0</v>
      </c>
      <c r="J260" s="340">
        <v>0</v>
      </c>
      <c r="K260" s="341">
        <v>0</v>
      </c>
      <c r="L260" s="342">
        <v>299904</v>
      </c>
      <c r="M260" s="336"/>
      <c r="N260" s="343"/>
      <c r="O260" s="344"/>
      <c r="P260" s="343">
        <f t="shared" si="10"/>
        <v>0</v>
      </c>
      <c r="Q260" s="344">
        <f t="shared" si="11"/>
        <v>299904</v>
      </c>
      <c r="R260" s="328">
        <f t="shared" si="12"/>
        <v>-299904</v>
      </c>
    </row>
    <row r="261" spans="1:18" hidden="1">
      <c r="A261" s="318" t="s">
        <v>815</v>
      </c>
      <c r="B261" s="313" t="s">
        <v>218</v>
      </c>
      <c r="C261" s="313" t="s">
        <v>473</v>
      </c>
      <c r="D261" s="313" t="s">
        <v>570</v>
      </c>
      <c r="E261" s="322" t="s">
        <v>359</v>
      </c>
      <c r="F261" s="313" t="s">
        <v>974</v>
      </c>
      <c r="G261" s="339">
        <v>0</v>
      </c>
      <c r="H261" s="340">
        <v>131072</v>
      </c>
      <c r="I261" s="339">
        <v>49680</v>
      </c>
      <c r="J261" s="340">
        <v>49680</v>
      </c>
      <c r="K261" s="341">
        <v>0</v>
      </c>
      <c r="L261" s="342">
        <v>131072</v>
      </c>
      <c r="M261" s="336"/>
      <c r="N261" s="343"/>
      <c r="O261" s="344"/>
      <c r="P261" s="343">
        <f t="shared" si="10"/>
        <v>0</v>
      </c>
      <c r="Q261" s="344">
        <f t="shared" si="11"/>
        <v>131072</v>
      </c>
      <c r="R261" s="328">
        <f t="shared" si="12"/>
        <v>-131072</v>
      </c>
    </row>
    <row r="262" spans="1:18" hidden="1">
      <c r="A262" s="318" t="s">
        <v>815</v>
      </c>
      <c r="B262" s="313" t="s">
        <v>667</v>
      </c>
      <c r="C262" s="313" t="s">
        <v>473</v>
      </c>
      <c r="D262" s="313" t="s">
        <v>570</v>
      </c>
      <c r="E262" s="322" t="s">
        <v>359</v>
      </c>
      <c r="F262" s="313" t="s">
        <v>1017</v>
      </c>
      <c r="G262" s="339">
        <v>0</v>
      </c>
      <c r="H262" s="340">
        <v>322</v>
      </c>
      <c r="I262" s="339">
        <v>0</v>
      </c>
      <c r="J262" s="340">
        <v>0</v>
      </c>
      <c r="K262" s="341">
        <v>0</v>
      </c>
      <c r="L262" s="342">
        <v>322</v>
      </c>
      <c r="M262" s="336"/>
      <c r="N262" s="343"/>
      <c r="O262" s="344"/>
      <c r="P262" s="343">
        <f t="shared" si="10"/>
        <v>0</v>
      </c>
      <c r="Q262" s="344">
        <f t="shared" si="11"/>
        <v>322</v>
      </c>
      <c r="R262" s="328">
        <f t="shared" si="12"/>
        <v>-322</v>
      </c>
    </row>
    <row r="263" spans="1:18" hidden="1">
      <c r="A263" s="318" t="s">
        <v>816</v>
      </c>
      <c r="B263" s="313" t="s">
        <v>219</v>
      </c>
      <c r="C263" s="313" t="s">
        <v>330</v>
      </c>
      <c r="D263" s="313" t="s">
        <v>330</v>
      </c>
      <c r="E263" s="322" t="s">
        <v>330</v>
      </c>
      <c r="F263" s="313" t="s">
        <v>974</v>
      </c>
      <c r="G263" s="339">
        <v>0</v>
      </c>
      <c r="H263" s="340">
        <v>391647</v>
      </c>
      <c r="I263" s="339">
        <v>0</v>
      </c>
      <c r="J263" s="340">
        <v>0</v>
      </c>
      <c r="K263" s="341">
        <v>0</v>
      </c>
      <c r="L263" s="342">
        <v>391647</v>
      </c>
      <c r="M263" s="336"/>
      <c r="N263" s="343"/>
      <c r="O263" s="344"/>
      <c r="P263" s="343">
        <f t="shared" ref="P263:P326" si="13">K263+N263</f>
        <v>0</v>
      </c>
      <c r="Q263" s="344">
        <f t="shared" ref="Q263:Q326" si="14">L263+O263</f>
        <v>391647</v>
      </c>
      <c r="R263" s="328">
        <f t="shared" ref="R263:R326" si="15">P263-Q263</f>
        <v>-391647</v>
      </c>
    </row>
    <row r="264" spans="1:18" hidden="1">
      <c r="A264" s="318" t="s">
        <v>816</v>
      </c>
      <c r="B264" s="313" t="s">
        <v>220</v>
      </c>
      <c r="C264" s="313" t="s">
        <v>330</v>
      </c>
      <c r="D264" s="313" t="s">
        <v>330</v>
      </c>
      <c r="E264" s="322" t="s">
        <v>330</v>
      </c>
      <c r="F264" s="313" t="s">
        <v>1025</v>
      </c>
      <c r="G264" s="339">
        <v>0</v>
      </c>
      <c r="H264" s="340">
        <v>20000</v>
      </c>
      <c r="I264" s="339">
        <v>0</v>
      </c>
      <c r="J264" s="340">
        <v>0</v>
      </c>
      <c r="K264" s="341">
        <v>0</v>
      </c>
      <c r="L264" s="342">
        <v>20000</v>
      </c>
      <c r="M264" s="336"/>
      <c r="N264" s="343"/>
      <c r="O264" s="344"/>
      <c r="P264" s="343">
        <f t="shared" si="13"/>
        <v>0</v>
      </c>
      <c r="Q264" s="344">
        <f t="shared" si="14"/>
        <v>20000</v>
      </c>
      <c r="R264" s="328">
        <f t="shared" si="15"/>
        <v>-20000</v>
      </c>
    </row>
    <row r="265" spans="1:18" hidden="1">
      <c r="A265" s="318" t="s">
        <v>817</v>
      </c>
      <c r="B265" s="313" t="s">
        <v>224</v>
      </c>
      <c r="C265" s="313" t="s">
        <v>473</v>
      </c>
      <c r="D265" s="313" t="s">
        <v>570</v>
      </c>
      <c r="E265" s="322" t="s">
        <v>359</v>
      </c>
      <c r="F265" s="313" t="s">
        <v>1018</v>
      </c>
      <c r="G265" s="339">
        <v>0</v>
      </c>
      <c r="H265" s="340">
        <v>2020</v>
      </c>
      <c r="I265" s="339">
        <v>0</v>
      </c>
      <c r="J265" s="340">
        <v>0</v>
      </c>
      <c r="K265" s="341">
        <v>0</v>
      </c>
      <c r="L265" s="342">
        <v>2020</v>
      </c>
      <c r="M265" s="336"/>
      <c r="N265" s="343"/>
      <c r="O265" s="344"/>
      <c r="P265" s="343">
        <f t="shared" si="13"/>
        <v>0</v>
      </c>
      <c r="Q265" s="344">
        <f t="shared" si="14"/>
        <v>2020</v>
      </c>
      <c r="R265" s="328">
        <f t="shared" si="15"/>
        <v>-2020</v>
      </c>
    </row>
    <row r="266" spans="1:18" hidden="1">
      <c r="A266" s="318" t="s">
        <v>817</v>
      </c>
      <c r="B266" s="313" t="s">
        <v>222</v>
      </c>
      <c r="C266" s="313" t="s">
        <v>473</v>
      </c>
      <c r="D266" s="313" t="s">
        <v>570</v>
      </c>
      <c r="E266" s="322" t="s">
        <v>359</v>
      </c>
      <c r="F266" s="313" t="s">
        <v>1014</v>
      </c>
      <c r="G266" s="339">
        <v>0</v>
      </c>
      <c r="H266" s="340">
        <v>1810</v>
      </c>
      <c r="I266" s="339">
        <v>0</v>
      </c>
      <c r="J266" s="340">
        <v>0</v>
      </c>
      <c r="K266" s="341">
        <v>0</v>
      </c>
      <c r="L266" s="342">
        <v>1810</v>
      </c>
      <c r="M266" s="336"/>
      <c r="N266" s="343"/>
      <c r="O266" s="344"/>
      <c r="P266" s="343">
        <f t="shared" si="13"/>
        <v>0</v>
      </c>
      <c r="Q266" s="344">
        <f t="shared" si="14"/>
        <v>1810</v>
      </c>
      <c r="R266" s="328">
        <f t="shared" si="15"/>
        <v>-1810</v>
      </c>
    </row>
    <row r="267" spans="1:18" hidden="1">
      <c r="A267" s="318" t="s">
        <v>817</v>
      </c>
      <c r="B267" s="313" t="s">
        <v>223</v>
      </c>
      <c r="C267" s="313" t="s">
        <v>473</v>
      </c>
      <c r="D267" s="313" t="s">
        <v>570</v>
      </c>
      <c r="E267" s="322" t="s">
        <v>359</v>
      </c>
      <c r="F267" s="313" t="s">
        <v>974</v>
      </c>
      <c r="G267" s="339">
        <v>0</v>
      </c>
      <c r="H267" s="340">
        <v>6300</v>
      </c>
      <c r="I267" s="339">
        <v>0</v>
      </c>
      <c r="J267" s="340">
        <v>0</v>
      </c>
      <c r="K267" s="341">
        <v>0</v>
      </c>
      <c r="L267" s="342">
        <v>6300</v>
      </c>
      <c r="M267" s="336"/>
      <c r="N267" s="343"/>
      <c r="O267" s="344"/>
      <c r="P267" s="343">
        <f t="shared" si="13"/>
        <v>0</v>
      </c>
      <c r="Q267" s="344">
        <f t="shared" si="14"/>
        <v>6300</v>
      </c>
      <c r="R267" s="328">
        <f t="shared" si="15"/>
        <v>-6300</v>
      </c>
    </row>
    <row r="268" spans="1:18" hidden="1">
      <c r="A268" s="318" t="s">
        <v>817</v>
      </c>
      <c r="B268" s="313" t="s">
        <v>668</v>
      </c>
      <c r="C268" s="313" t="s">
        <v>473</v>
      </c>
      <c r="D268" s="313" t="s">
        <v>570</v>
      </c>
      <c r="E268" s="322" t="s">
        <v>359</v>
      </c>
      <c r="F268" s="313" t="s">
        <v>1017</v>
      </c>
      <c r="G268" s="339">
        <v>0</v>
      </c>
      <c r="H268" s="340">
        <v>10250</v>
      </c>
      <c r="I268" s="339">
        <v>0</v>
      </c>
      <c r="J268" s="340">
        <v>0</v>
      </c>
      <c r="K268" s="341">
        <v>0</v>
      </c>
      <c r="L268" s="342">
        <v>10250</v>
      </c>
      <c r="M268" s="336"/>
      <c r="N268" s="343"/>
      <c r="O268" s="344"/>
      <c r="P268" s="343">
        <f t="shared" si="13"/>
        <v>0</v>
      </c>
      <c r="Q268" s="344">
        <f t="shared" si="14"/>
        <v>10250</v>
      </c>
      <c r="R268" s="328">
        <f t="shared" si="15"/>
        <v>-10250</v>
      </c>
    </row>
    <row r="269" spans="1:18" hidden="1">
      <c r="A269" s="318" t="s">
        <v>817</v>
      </c>
      <c r="B269" s="313" t="s">
        <v>225</v>
      </c>
      <c r="C269" s="313" t="s">
        <v>473</v>
      </c>
      <c r="D269" s="313" t="s">
        <v>570</v>
      </c>
      <c r="E269" s="322" t="s">
        <v>359</v>
      </c>
      <c r="F269" s="313" t="s">
        <v>1021</v>
      </c>
      <c r="G269" s="339">
        <v>0</v>
      </c>
      <c r="H269" s="340">
        <v>132</v>
      </c>
      <c r="I269" s="339">
        <v>0</v>
      </c>
      <c r="J269" s="340">
        <v>0</v>
      </c>
      <c r="K269" s="341">
        <v>0</v>
      </c>
      <c r="L269" s="342">
        <v>132</v>
      </c>
      <c r="M269" s="336"/>
      <c r="N269" s="343"/>
      <c r="O269" s="344"/>
      <c r="P269" s="343">
        <f t="shared" si="13"/>
        <v>0</v>
      </c>
      <c r="Q269" s="344">
        <f t="shared" si="14"/>
        <v>132</v>
      </c>
      <c r="R269" s="328">
        <f t="shared" si="15"/>
        <v>-132</v>
      </c>
    </row>
    <row r="270" spans="1:18" hidden="1">
      <c r="A270" s="318" t="s">
        <v>817</v>
      </c>
      <c r="B270" s="313" t="s">
        <v>221</v>
      </c>
      <c r="C270" s="313" t="s">
        <v>473</v>
      </c>
      <c r="D270" s="313" t="s">
        <v>570</v>
      </c>
      <c r="E270" s="322" t="s">
        <v>359</v>
      </c>
      <c r="F270" s="313" t="s">
        <v>992</v>
      </c>
      <c r="G270" s="339">
        <v>0</v>
      </c>
      <c r="H270" s="340">
        <v>48900</v>
      </c>
      <c r="I270" s="339">
        <v>15500</v>
      </c>
      <c r="J270" s="340">
        <v>0</v>
      </c>
      <c r="K270" s="341">
        <v>0</v>
      </c>
      <c r="L270" s="342">
        <v>33400</v>
      </c>
      <c r="M270" s="336"/>
      <c r="N270" s="343"/>
      <c r="O270" s="344"/>
      <c r="P270" s="343">
        <f t="shared" si="13"/>
        <v>0</v>
      </c>
      <c r="Q270" s="344">
        <f t="shared" si="14"/>
        <v>33400</v>
      </c>
      <c r="R270" s="328">
        <f t="shared" si="15"/>
        <v>-33400</v>
      </c>
    </row>
    <row r="271" spans="1:18" hidden="1">
      <c r="A271" s="318" t="s">
        <v>818</v>
      </c>
      <c r="B271" s="313" t="s">
        <v>411</v>
      </c>
      <c r="C271" s="313" t="s">
        <v>473</v>
      </c>
      <c r="D271" s="313" t="s">
        <v>570</v>
      </c>
      <c r="E271" s="322" t="s">
        <v>359</v>
      </c>
      <c r="F271" s="313" t="s">
        <v>1019</v>
      </c>
      <c r="G271" s="339">
        <v>0</v>
      </c>
      <c r="H271" s="340">
        <v>0</v>
      </c>
      <c r="I271" s="339">
        <v>0</v>
      </c>
      <c r="J271" s="340">
        <v>164260</v>
      </c>
      <c r="K271" s="341">
        <v>0</v>
      </c>
      <c r="L271" s="342">
        <v>164260</v>
      </c>
      <c r="M271" s="336"/>
      <c r="N271" s="343"/>
      <c r="O271" s="344"/>
      <c r="P271" s="343">
        <f t="shared" si="13"/>
        <v>0</v>
      </c>
      <c r="Q271" s="344">
        <f t="shared" si="14"/>
        <v>164260</v>
      </c>
      <c r="R271" s="328">
        <f t="shared" si="15"/>
        <v>-164260</v>
      </c>
    </row>
    <row r="272" spans="1:18" hidden="1">
      <c r="A272" s="318" t="s">
        <v>819</v>
      </c>
      <c r="B272" s="313" t="s">
        <v>228</v>
      </c>
      <c r="C272" s="313" t="s">
        <v>330</v>
      </c>
      <c r="D272" s="313" t="s">
        <v>330</v>
      </c>
      <c r="E272" s="322" t="s">
        <v>330</v>
      </c>
      <c r="F272" s="313" t="s">
        <v>974</v>
      </c>
      <c r="G272" s="339">
        <v>0</v>
      </c>
      <c r="H272" s="340">
        <v>3516379.55</v>
      </c>
      <c r="I272" s="339">
        <v>0</v>
      </c>
      <c r="J272" s="340">
        <v>0</v>
      </c>
      <c r="K272" s="341">
        <v>0</v>
      </c>
      <c r="L272" s="342">
        <v>3516379.55</v>
      </c>
      <c r="M272" s="336"/>
      <c r="N272" s="343"/>
      <c r="O272" s="344"/>
      <c r="P272" s="343">
        <f t="shared" si="13"/>
        <v>0</v>
      </c>
      <c r="Q272" s="344">
        <f t="shared" si="14"/>
        <v>3516379.55</v>
      </c>
      <c r="R272" s="328">
        <f t="shared" si="15"/>
        <v>-3516379.55</v>
      </c>
    </row>
    <row r="273" spans="1:18" hidden="1">
      <c r="A273" s="318" t="s">
        <v>819</v>
      </c>
      <c r="B273" s="313" t="s">
        <v>669</v>
      </c>
      <c r="C273" s="313" t="s">
        <v>330</v>
      </c>
      <c r="D273" s="313" t="s">
        <v>330</v>
      </c>
      <c r="E273" s="322" t="s">
        <v>330</v>
      </c>
      <c r="F273" s="313" t="s">
        <v>1017</v>
      </c>
      <c r="G273" s="339">
        <v>0</v>
      </c>
      <c r="H273" s="340">
        <v>250000</v>
      </c>
      <c r="I273" s="339">
        <v>0</v>
      </c>
      <c r="J273" s="340">
        <v>0</v>
      </c>
      <c r="K273" s="341">
        <v>0</v>
      </c>
      <c r="L273" s="342">
        <v>250000</v>
      </c>
      <c r="M273" s="336"/>
      <c r="N273" s="343"/>
      <c r="O273" s="344"/>
      <c r="P273" s="343">
        <f t="shared" si="13"/>
        <v>0</v>
      </c>
      <c r="Q273" s="344">
        <f t="shared" si="14"/>
        <v>250000</v>
      </c>
      <c r="R273" s="328">
        <f t="shared" si="15"/>
        <v>-250000</v>
      </c>
    </row>
    <row r="274" spans="1:18" hidden="1">
      <c r="A274" s="318" t="s">
        <v>819</v>
      </c>
      <c r="B274" s="313" t="s">
        <v>227</v>
      </c>
      <c r="C274" s="313" t="s">
        <v>330</v>
      </c>
      <c r="D274" s="313" t="s">
        <v>330</v>
      </c>
      <c r="E274" s="322" t="s">
        <v>330</v>
      </c>
      <c r="F274" s="313" t="s">
        <v>1022</v>
      </c>
      <c r="G274" s="339">
        <v>0</v>
      </c>
      <c r="H274" s="340">
        <v>61500</v>
      </c>
      <c r="I274" s="339">
        <v>0</v>
      </c>
      <c r="J274" s="340">
        <v>0</v>
      </c>
      <c r="K274" s="341">
        <v>0</v>
      </c>
      <c r="L274" s="342">
        <v>61500</v>
      </c>
      <c r="M274" s="336"/>
      <c r="N274" s="343"/>
      <c r="O274" s="344"/>
      <c r="P274" s="343">
        <f t="shared" si="13"/>
        <v>0</v>
      </c>
      <c r="Q274" s="344">
        <f t="shared" si="14"/>
        <v>61500</v>
      </c>
      <c r="R274" s="328">
        <f t="shared" si="15"/>
        <v>-61500</v>
      </c>
    </row>
    <row r="275" spans="1:18" hidden="1">
      <c r="A275" s="318" t="s">
        <v>819</v>
      </c>
      <c r="B275" s="313" t="s">
        <v>226</v>
      </c>
      <c r="C275" s="313" t="s">
        <v>330</v>
      </c>
      <c r="D275" s="313" t="s">
        <v>330</v>
      </c>
      <c r="E275" s="322" t="s">
        <v>330</v>
      </c>
      <c r="F275" s="313" t="s">
        <v>1027</v>
      </c>
      <c r="G275" s="339">
        <v>0</v>
      </c>
      <c r="H275" s="340">
        <v>50000</v>
      </c>
      <c r="I275" s="339">
        <v>0</v>
      </c>
      <c r="J275" s="340">
        <v>0</v>
      </c>
      <c r="K275" s="341">
        <v>0</v>
      </c>
      <c r="L275" s="342">
        <v>50000</v>
      </c>
      <c r="M275" s="336"/>
      <c r="N275" s="343"/>
      <c r="O275" s="344"/>
      <c r="P275" s="343">
        <f t="shared" si="13"/>
        <v>0</v>
      </c>
      <c r="Q275" s="344">
        <f t="shared" si="14"/>
        <v>50000</v>
      </c>
      <c r="R275" s="328">
        <f t="shared" si="15"/>
        <v>-50000</v>
      </c>
    </row>
    <row r="276" spans="1:18" hidden="1">
      <c r="A276" s="318" t="s">
        <v>820</v>
      </c>
      <c r="B276" s="313" t="s">
        <v>229</v>
      </c>
      <c r="C276" s="313" t="s">
        <v>473</v>
      </c>
      <c r="D276" s="316" t="s">
        <v>571</v>
      </c>
      <c r="E276" s="322" t="s">
        <v>332</v>
      </c>
      <c r="F276" s="313" t="s">
        <v>974</v>
      </c>
      <c r="G276" s="339">
        <v>0</v>
      </c>
      <c r="H276" s="340">
        <v>30140656</v>
      </c>
      <c r="I276" s="339">
        <f>95024+Adjustments!D99+Adjustments!D100</f>
        <v>2834148</v>
      </c>
      <c r="J276" s="340">
        <v>3280933</v>
      </c>
      <c r="K276" s="341">
        <v>0</v>
      </c>
      <c r="L276" s="342">
        <f>+H276+J276-I276</f>
        <v>30587441</v>
      </c>
      <c r="M276" s="336"/>
      <c r="N276" s="343"/>
      <c r="O276" s="344"/>
      <c r="P276" s="343">
        <f t="shared" si="13"/>
        <v>0</v>
      </c>
      <c r="Q276" s="344">
        <f t="shared" si="14"/>
        <v>30587441</v>
      </c>
      <c r="R276" s="328">
        <f t="shared" si="15"/>
        <v>-30587441</v>
      </c>
    </row>
    <row r="277" spans="1:18" hidden="1">
      <c r="A277" s="318" t="s">
        <v>821</v>
      </c>
      <c r="B277" s="313" t="s">
        <v>230</v>
      </c>
      <c r="C277" s="313" t="s">
        <v>473</v>
      </c>
      <c r="D277" s="313" t="s">
        <v>570</v>
      </c>
      <c r="E277" s="322" t="s">
        <v>359</v>
      </c>
      <c r="F277" s="313" t="s">
        <v>974</v>
      </c>
      <c r="G277" s="339">
        <v>0</v>
      </c>
      <c r="H277" s="340">
        <v>96906</v>
      </c>
      <c r="I277" s="339">
        <v>0</v>
      </c>
      <c r="J277" s="340">
        <v>0</v>
      </c>
      <c r="K277" s="341">
        <v>0</v>
      </c>
      <c r="L277" s="342">
        <v>96906</v>
      </c>
      <c r="M277" s="336"/>
      <c r="N277" s="343"/>
      <c r="O277" s="344"/>
      <c r="P277" s="343">
        <f t="shared" si="13"/>
        <v>0</v>
      </c>
      <c r="Q277" s="344">
        <f t="shared" si="14"/>
        <v>96906</v>
      </c>
      <c r="R277" s="328">
        <f t="shared" si="15"/>
        <v>-96906</v>
      </c>
    </row>
    <row r="278" spans="1:18" hidden="1">
      <c r="A278" s="318" t="s">
        <v>822</v>
      </c>
      <c r="B278" s="313" t="s">
        <v>231</v>
      </c>
      <c r="C278" s="313" t="s">
        <v>473</v>
      </c>
      <c r="D278" s="313" t="s">
        <v>570</v>
      </c>
      <c r="E278" s="322" t="s">
        <v>359</v>
      </c>
      <c r="F278" s="313" t="s">
        <v>1022</v>
      </c>
      <c r="G278" s="339">
        <v>0</v>
      </c>
      <c r="H278" s="340">
        <v>2</v>
      </c>
      <c r="I278" s="339">
        <v>0</v>
      </c>
      <c r="J278" s="340">
        <v>0</v>
      </c>
      <c r="K278" s="341">
        <v>0</v>
      </c>
      <c r="L278" s="342">
        <v>2</v>
      </c>
      <c r="M278" s="336"/>
      <c r="N278" s="343"/>
      <c r="O278" s="344"/>
      <c r="P278" s="343">
        <f t="shared" si="13"/>
        <v>0</v>
      </c>
      <c r="Q278" s="344">
        <f t="shared" si="14"/>
        <v>2</v>
      </c>
      <c r="R278" s="328">
        <f t="shared" si="15"/>
        <v>-2</v>
      </c>
    </row>
    <row r="279" spans="1:18">
      <c r="A279" s="318" t="s">
        <v>823</v>
      </c>
      <c r="B279" s="313" t="s">
        <v>234</v>
      </c>
      <c r="C279" s="313" t="s">
        <v>473</v>
      </c>
      <c r="D279" s="313" t="s">
        <v>570</v>
      </c>
      <c r="E279" s="322" t="s">
        <v>358</v>
      </c>
      <c r="F279" s="313" t="s">
        <v>974</v>
      </c>
      <c r="G279" s="339">
        <v>55600</v>
      </c>
      <c r="H279" s="340">
        <v>0</v>
      </c>
      <c r="I279" s="339">
        <v>6742462</v>
      </c>
      <c r="J279" s="340">
        <v>6672462</v>
      </c>
      <c r="K279" s="341">
        <v>125600</v>
      </c>
      <c r="L279" s="342">
        <v>0</v>
      </c>
      <c r="M279" s="336"/>
      <c r="N279" s="343"/>
      <c r="O279" s="344"/>
      <c r="P279" s="343">
        <f t="shared" si="13"/>
        <v>125600</v>
      </c>
      <c r="Q279" s="344">
        <f t="shared" si="14"/>
        <v>0</v>
      </c>
      <c r="R279" s="328">
        <f t="shared" si="15"/>
        <v>125600</v>
      </c>
    </row>
    <row r="280" spans="1:18">
      <c r="A280" s="318" t="s">
        <v>823</v>
      </c>
      <c r="B280" s="313" t="s">
        <v>235</v>
      </c>
      <c r="C280" s="313" t="s">
        <v>473</v>
      </c>
      <c r="D280" s="313" t="s">
        <v>570</v>
      </c>
      <c r="E280" s="322" t="s">
        <v>358</v>
      </c>
      <c r="F280" s="313" t="s">
        <v>1025</v>
      </c>
      <c r="G280" s="339">
        <v>0</v>
      </c>
      <c r="H280" s="340">
        <v>3</v>
      </c>
      <c r="I280" s="339">
        <v>0</v>
      </c>
      <c r="J280" s="340">
        <v>0</v>
      </c>
      <c r="K280" s="341">
        <v>0</v>
      </c>
      <c r="L280" s="342">
        <v>3</v>
      </c>
      <c r="M280" s="336"/>
      <c r="N280" s="343"/>
      <c r="O280" s="344"/>
      <c r="P280" s="343">
        <f t="shared" si="13"/>
        <v>0</v>
      </c>
      <c r="Q280" s="344">
        <f t="shared" si="14"/>
        <v>3</v>
      </c>
      <c r="R280" s="328">
        <f t="shared" si="15"/>
        <v>-3</v>
      </c>
    </row>
    <row r="281" spans="1:18" hidden="1">
      <c r="A281" s="318" t="s">
        <v>823</v>
      </c>
      <c r="B281" s="313" t="s">
        <v>233</v>
      </c>
      <c r="C281" s="313" t="s">
        <v>473</v>
      </c>
      <c r="D281" s="313" t="s">
        <v>570</v>
      </c>
      <c r="E281" s="322" t="s">
        <v>359</v>
      </c>
      <c r="F281" s="313" t="s">
        <v>1022</v>
      </c>
      <c r="G281" s="339">
        <v>0</v>
      </c>
      <c r="H281" s="340">
        <v>0</v>
      </c>
      <c r="I281" s="339">
        <v>2275868</v>
      </c>
      <c r="J281" s="340">
        <v>2275868</v>
      </c>
      <c r="K281" s="341">
        <v>0</v>
      </c>
      <c r="L281" s="342">
        <v>0</v>
      </c>
      <c r="M281" s="336"/>
      <c r="N281" s="343"/>
      <c r="O281" s="344"/>
      <c r="P281" s="343">
        <f t="shared" si="13"/>
        <v>0</v>
      </c>
      <c r="Q281" s="344">
        <f t="shared" si="14"/>
        <v>0</v>
      </c>
      <c r="R281" s="328">
        <f t="shared" si="15"/>
        <v>0</v>
      </c>
    </row>
    <row r="282" spans="1:18" hidden="1">
      <c r="A282" s="318" t="s">
        <v>823</v>
      </c>
      <c r="B282" s="313" t="s">
        <v>232</v>
      </c>
      <c r="C282" s="313" t="s">
        <v>473</v>
      </c>
      <c r="D282" s="313" t="s">
        <v>570</v>
      </c>
      <c r="E282" s="322" t="s">
        <v>359</v>
      </c>
      <c r="F282" s="313" t="s">
        <v>992</v>
      </c>
      <c r="G282" s="339">
        <v>5400</v>
      </c>
      <c r="H282" s="340">
        <v>0</v>
      </c>
      <c r="I282" s="339">
        <v>726889</v>
      </c>
      <c r="J282" s="340">
        <v>0</v>
      </c>
      <c r="K282" s="341">
        <v>732289</v>
      </c>
      <c r="L282" s="342">
        <v>0</v>
      </c>
      <c r="M282" s="336"/>
      <c r="N282" s="343"/>
      <c r="O282" s="344">
        <f>Adjustments!E62+Adjustments!E77+Adjustments!E89</f>
        <v>726889</v>
      </c>
      <c r="P282" s="343">
        <f t="shared" si="13"/>
        <v>732289</v>
      </c>
      <c r="Q282" s="344">
        <f t="shared" si="14"/>
        <v>726889</v>
      </c>
      <c r="R282" s="328">
        <f t="shared" si="15"/>
        <v>5400</v>
      </c>
    </row>
    <row r="283" spans="1:18" hidden="1">
      <c r="A283" s="318" t="s">
        <v>824</v>
      </c>
      <c r="B283" s="313" t="s">
        <v>236</v>
      </c>
      <c r="C283" s="313" t="s">
        <v>473</v>
      </c>
      <c r="D283" s="313" t="s">
        <v>570</v>
      </c>
      <c r="E283" s="322" t="s">
        <v>359</v>
      </c>
      <c r="F283" s="313" t="s">
        <v>974</v>
      </c>
      <c r="G283" s="339">
        <v>6000</v>
      </c>
      <c r="H283" s="340">
        <v>0</v>
      </c>
      <c r="I283" s="339">
        <v>38764</v>
      </c>
      <c r="J283" s="340">
        <v>0</v>
      </c>
      <c r="K283" s="341">
        <v>44764</v>
      </c>
      <c r="L283" s="342">
        <v>0</v>
      </c>
      <c r="M283" s="336"/>
      <c r="N283" s="343"/>
      <c r="O283" s="344"/>
      <c r="P283" s="343">
        <f t="shared" si="13"/>
        <v>44764</v>
      </c>
      <c r="Q283" s="344">
        <f t="shared" si="14"/>
        <v>0</v>
      </c>
      <c r="R283" s="328">
        <f t="shared" si="15"/>
        <v>44764</v>
      </c>
    </row>
    <row r="284" spans="1:18" hidden="1">
      <c r="A284" s="318" t="s">
        <v>825</v>
      </c>
      <c r="B284" s="313" t="s">
        <v>237</v>
      </c>
      <c r="C284" s="313" t="s">
        <v>473</v>
      </c>
      <c r="D284" s="313" t="s">
        <v>570</v>
      </c>
      <c r="E284" s="322" t="s">
        <v>359</v>
      </c>
      <c r="F284" s="313" t="s">
        <v>974</v>
      </c>
      <c r="G284" s="339">
        <v>0</v>
      </c>
      <c r="H284" s="340">
        <v>18200</v>
      </c>
      <c r="I284" s="339">
        <v>80400</v>
      </c>
      <c r="J284" s="340">
        <v>58600</v>
      </c>
      <c r="K284" s="341">
        <v>3600</v>
      </c>
      <c r="L284" s="342">
        <v>0</v>
      </c>
      <c r="M284" s="336"/>
      <c r="N284" s="343"/>
      <c r="O284" s="344">
        <f>Adjustments!E60+Adjustments!E76+Adjustments!E93</f>
        <v>7500</v>
      </c>
      <c r="P284" s="343">
        <f t="shared" si="13"/>
        <v>3600</v>
      </c>
      <c r="Q284" s="344">
        <f t="shared" si="14"/>
        <v>7500</v>
      </c>
      <c r="R284" s="328">
        <f t="shared" si="15"/>
        <v>-3900</v>
      </c>
    </row>
    <row r="285" spans="1:18">
      <c r="A285" s="318" t="s">
        <v>826</v>
      </c>
      <c r="B285" s="313" t="s">
        <v>242</v>
      </c>
      <c r="C285" s="313" t="s">
        <v>473</v>
      </c>
      <c r="D285" s="313" t="s">
        <v>570</v>
      </c>
      <c r="E285" s="322" t="s">
        <v>358</v>
      </c>
      <c r="F285" s="313" t="s">
        <v>1013</v>
      </c>
      <c r="G285" s="339">
        <v>0</v>
      </c>
      <c r="H285" s="340">
        <v>420945</v>
      </c>
      <c r="I285" s="339">
        <v>0</v>
      </c>
      <c r="J285" s="340">
        <v>0</v>
      </c>
      <c r="K285" s="341">
        <v>0</v>
      </c>
      <c r="L285" s="342">
        <v>420945</v>
      </c>
      <c r="M285" s="336"/>
      <c r="N285" s="343"/>
      <c r="O285" s="344">
        <v>0</v>
      </c>
      <c r="P285" s="343">
        <f t="shared" si="13"/>
        <v>0</v>
      </c>
      <c r="Q285" s="344">
        <f t="shared" si="14"/>
        <v>420945</v>
      </c>
      <c r="R285" s="328">
        <f t="shared" si="15"/>
        <v>-420945</v>
      </c>
    </row>
    <row r="286" spans="1:18">
      <c r="A286" s="318" t="s">
        <v>826</v>
      </c>
      <c r="B286" s="313" t="s">
        <v>241</v>
      </c>
      <c r="C286" s="313" t="s">
        <v>473</v>
      </c>
      <c r="D286" s="313" t="s">
        <v>570</v>
      </c>
      <c r="E286" s="322" t="s">
        <v>358</v>
      </c>
      <c r="F286" s="313" t="s">
        <v>974</v>
      </c>
      <c r="G286" s="339">
        <v>0</v>
      </c>
      <c r="H286" s="340">
        <v>912019</v>
      </c>
      <c r="I286" s="339">
        <v>167950</v>
      </c>
      <c r="J286" s="340">
        <v>0</v>
      </c>
      <c r="K286" s="341">
        <v>0</v>
      </c>
      <c r="L286" s="342">
        <v>744069</v>
      </c>
      <c r="M286" s="336"/>
      <c r="N286" s="343"/>
      <c r="O286" s="344">
        <f>Adjustments!E30</f>
        <v>40000</v>
      </c>
      <c r="P286" s="343">
        <f t="shared" si="13"/>
        <v>0</v>
      </c>
      <c r="Q286" s="344">
        <f t="shared" si="14"/>
        <v>784069</v>
      </c>
      <c r="R286" s="328">
        <f t="shared" si="15"/>
        <v>-784069</v>
      </c>
    </row>
    <row r="287" spans="1:18">
      <c r="A287" s="318" t="s">
        <v>826</v>
      </c>
      <c r="B287" s="313" t="s">
        <v>670</v>
      </c>
      <c r="C287" s="313" t="s">
        <v>473</v>
      </c>
      <c r="D287" s="313" t="s">
        <v>570</v>
      </c>
      <c r="E287" s="322" t="s">
        <v>358</v>
      </c>
      <c r="F287" s="313" t="s">
        <v>1017</v>
      </c>
      <c r="G287" s="339">
        <v>0</v>
      </c>
      <c r="H287" s="340">
        <v>48843</v>
      </c>
      <c r="I287" s="339">
        <v>110000</v>
      </c>
      <c r="J287" s="340">
        <v>110000</v>
      </c>
      <c r="K287" s="341">
        <v>0</v>
      </c>
      <c r="L287" s="342">
        <v>48843</v>
      </c>
      <c r="M287" s="336"/>
      <c r="N287" s="343"/>
      <c r="O287" s="344"/>
      <c r="P287" s="343">
        <f t="shared" si="13"/>
        <v>0</v>
      </c>
      <c r="Q287" s="344">
        <f t="shared" si="14"/>
        <v>48843</v>
      </c>
      <c r="R287" s="328">
        <f t="shared" si="15"/>
        <v>-48843</v>
      </c>
    </row>
    <row r="288" spans="1:18">
      <c r="A288" s="318" t="s">
        <v>826</v>
      </c>
      <c r="B288" s="313" t="s">
        <v>243</v>
      </c>
      <c r="C288" s="313" t="s">
        <v>473</v>
      </c>
      <c r="D288" s="313" t="s">
        <v>570</v>
      </c>
      <c r="E288" s="322" t="s">
        <v>358</v>
      </c>
      <c r="F288" s="313" t="s">
        <v>1021</v>
      </c>
      <c r="G288" s="339">
        <v>0</v>
      </c>
      <c r="H288" s="340">
        <v>20912</v>
      </c>
      <c r="I288" s="339">
        <v>0</v>
      </c>
      <c r="J288" s="340">
        <v>0</v>
      </c>
      <c r="K288" s="341">
        <v>0</v>
      </c>
      <c r="L288" s="342">
        <v>20912</v>
      </c>
      <c r="M288" s="336"/>
      <c r="N288" s="343"/>
      <c r="O288" s="344"/>
      <c r="P288" s="343">
        <f t="shared" si="13"/>
        <v>0</v>
      </c>
      <c r="Q288" s="344">
        <f t="shared" si="14"/>
        <v>20912</v>
      </c>
      <c r="R288" s="328">
        <f t="shared" si="15"/>
        <v>-20912</v>
      </c>
    </row>
    <row r="289" spans="1:18">
      <c r="A289" s="318" t="s">
        <v>826</v>
      </c>
      <c r="B289" s="313" t="s">
        <v>240</v>
      </c>
      <c r="C289" s="313" t="s">
        <v>473</v>
      </c>
      <c r="D289" s="313" t="s">
        <v>570</v>
      </c>
      <c r="E289" s="322" t="s">
        <v>358</v>
      </c>
      <c r="F289" s="313" t="s">
        <v>1022</v>
      </c>
      <c r="G289" s="339">
        <v>0</v>
      </c>
      <c r="H289" s="340">
        <v>1300000</v>
      </c>
      <c r="I289" s="339">
        <v>100000</v>
      </c>
      <c r="J289" s="340">
        <v>0</v>
      </c>
      <c r="K289" s="341">
        <v>0</v>
      </c>
      <c r="L289" s="342">
        <v>1200000</v>
      </c>
      <c r="M289" s="336"/>
      <c r="N289" s="343"/>
      <c r="O289" s="344"/>
      <c r="P289" s="343">
        <f t="shared" si="13"/>
        <v>0</v>
      </c>
      <c r="Q289" s="344">
        <f t="shared" si="14"/>
        <v>1200000</v>
      </c>
      <c r="R289" s="328">
        <f t="shared" si="15"/>
        <v>-1200000</v>
      </c>
    </row>
    <row r="290" spans="1:18">
      <c r="A290" s="318" t="s">
        <v>826</v>
      </c>
      <c r="B290" s="313" t="s">
        <v>239</v>
      </c>
      <c r="C290" s="313" t="s">
        <v>473</v>
      </c>
      <c r="D290" s="313" t="s">
        <v>570</v>
      </c>
      <c r="E290" s="322" t="s">
        <v>358</v>
      </c>
      <c r="F290" s="313" t="s">
        <v>1019</v>
      </c>
      <c r="G290" s="339">
        <v>0</v>
      </c>
      <c r="H290" s="340">
        <v>359459</v>
      </c>
      <c r="I290" s="339">
        <v>752282</v>
      </c>
      <c r="J290" s="340">
        <v>392823</v>
      </c>
      <c r="K290" s="341">
        <v>0</v>
      </c>
      <c r="L290" s="342">
        <v>0</v>
      </c>
      <c r="M290" s="336"/>
      <c r="N290" s="343"/>
      <c r="O290" s="344"/>
      <c r="P290" s="343">
        <f t="shared" si="13"/>
        <v>0</v>
      </c>
      <c r="Q290" s="344">
        <f t="shared" si="14"/>
        <v>0</v>
      </c>
      <c r="R290" s="328">
        <f t="shared" si="15"/>
        <v>0</v>
      </c>
    </row>
    <row r="291" spans="1:18">
      <c r="A291" s="318" t="s">
        <v>826</v>
      </c>
      <c r="B291" s="313" t="s">
        <v>238</v>
      </c>
      <c r="C291" s="313" t="s">
        <v>473</v>
      </c>
      <c r="D291" s="313" t="s">
        <v>570</v>
      </c>
      <c r="E291" s="322" t="s">
        <v>358</v>
      </c>
      <c r="F291" s="313" t="s">
        <v>992</v>
      </c>
      <c r="G291" s="339">
        <v>0</v>
      </c>
      <c r="H291" s="340">
        <v>1267939</v>
      </c>
      <c r="I291" s="339">
        <v>1267939</v>
      </c>
      <c r="J291" s="340">
        <v>0</v>
      </c>
      <c r="K291" s="341">
        <v>0</v>
      </c>
      <c r="L291" s="342">
        <v>0</v>
      </c>
      <c r="M291" s="336"/>
      <c r="N291" s="343"/>
      <c r="O291" s="344"/>
      <c r="P291" s="343">
        <f t="shared" si="13"/>
        <v>0</v>
      </c>
      <c r="Q291" s="344">
        <f t="shared" si="14"/>
        <v>0</v>
      </c>
      <c r="R291" s="328">
        <f t="shared" si="15"/>
        <v>0</v>
      </c>
    </row>
    <row r="292" spans="1:18" hidden="1">
      <c r="A292" s="318" t="s">
        <v>827</v>
      </c>
      <c r="B292" s="313" t="s">
        <v>244</v>
      </c>
      <c r="C292" s="313" t="s">
        <v>473</v>
      </c>
      <c r="D292" s="313" t="s">
        <v>570</v>
      </c>
      <c r="E292" s="322" t="s">
        <v>359</v>
      </c>
      <c r="F292" s="313" t="s">
        <v>974</v>
      </c>
      <c r="G292" s="339">
        <v>0</v>
      </c>
      <c r="H292" s="340">
        <v>100</v>
      </c>
      <c r="I292" s="339">
        <v>68640</v>
      </c>
      <c r="J292" s="340">
        <v>62880</v>
      </c>
      <c r="K292" s="341">
        <v>5660</v>
      </c>
      <c r="L292" s="342">
        <v>0</v>
      </c>
      <c r="M292" s="336"/>
      <c r="N292" s="343"/>
      <c r="O292" s="344">
        <f>Adjustments!E59+Adjustments!E75+Adjustments!E92</f>
        <v>5760</v>
      </c>
      <c r="P292" s="343">
        <f t="shared" si="13"/>
        <v>5660</v>
      </c>
      <c r="Q292" s="344">
        <f t="shared" si="14"/>
        <v>5760</v>
      </c>
      <c r="R292" s="328">
        <f t="shared" si="15"/>
        <v>-100</v>
      </c>
    </row>
    <row r="293" spans="1:18" hidden="1">
      <c r="A293" s="318" t="s">
        <v>828</v>
      </c>
      <c r="B293" s="313" t="s">
        <v>245</v>
      </c>
      <c r="C293" s="313" t="s">
        <v>473</v>
      </c>
      <c r="D293" s="313" t="s">
        <v>570</v>
      </c>
      <c r="E293" s="322" t="s">
        <v>359</v>
      </c>
      <c r="F293" s="313" t="s">
        <v>974</v>
      </c>
      <c r="G293" s="339">
        <v>0</v>
      </c>
      <c r="H293" s="340">
        <v>14100</v>
      </c>
      <c r="I293" s="339">
        <v>64800</v>
      </c>
      <c r="J293" s="340">
        <v>64800</v>
      </c>
      <c r="K293" s="341">
        <v>0</v>
      </c>
      <c r="L293" s="342">
        <v>14100</v>
      </c>
      <c r="M293" s="336"/>
      <c r="N293" s="343"/>
      <c r="O293" s="344"/>
      <c r="P293" s="343">
        <f t="shared" si="13"/>
        <v>0</v>
      </c>
      <c r="Q293" s="344">
        <f t="shared" si="14"/>
        <v>14100</v>
      </c>
      <c r="R293" s="328">
        <f t="shared" si="15"/>
        <v>-14100</v>
      </c>
    </row>
    <row r="294" spans="1:18" hidden="1">
      <c r="A294" s="318" t="s">
        <v>829</v>
      </c>
      <c r="B294" s="313" t="s">
        <v>246</v>
      </c>
      <c r="C294" s="313" t="s">
        <v>473</v>
      </c>
      <c r="D294" s="313" t="s">
        <v>570</v>
      </c>
      <c r="E294" s="322" t="s">
        <v>359</v>
      </c>
      <c r="F294" s="313" t="s">
        <v>974</v>
      </c>
      <c r="G294" s="339">
        <v>0</v>
      </c>
      <c r="H294" s="340">
        <v>4664</v>
      </c>
      <c r="I294" s="339">
        <v>771003</v>
      </c>
      <c r="J294" s="340">
        <v>766339</v>
      </c>
      <c r="K294" s="341">
        <v>0</v>
      </c>
      <c r="L294" s="342">
        <v>0</v>
      </c>
      <c r="M294" s="336"/>
      <c r="N294" s="343"/>
      <c r="O294" s="344"/>
      <c r="P294" s="343">
        <f t="shared" si="13"/>
        <v>0</v>
      </c>
      <c r="Q294" s="344">
        <f t="shared" si="14"/>
        <v>0</v>
      </c>
      <c r="R294" s="328">
        <f t="shared" si="15"/>
        <v>0</v>
      </c>
    </row>
    <row r="295" spans="1:18" hidden="1">
      <c r="A295" s="318" t="s">
        <v>830</v>
      </c>
      <c r="B295" s="313" t="s">
        <v>247</v>
      </c>
      <c r="C295" s="313" t="s">
        <v>473</v>
      </c>
      <c r="D295" s="313" t="s">
        <v>570</v>
      </c>
      <c r="E295" s="322" t="s">
        <v>359</v>
      </c>
      <c r="F295" s="313" t="s">
        <v>974</v>
      </c>
      <c r="G295" s="339">
        <v>0</v>
      </c>
      <c r="H295" s="340">
        <v>0</v>
      </c>
      <c r="I295" s="339">
        <v>235495</v>
      </c>
      <c r="J295" s="340">
        <v>251370</v>
      </c>
      <c r="K295" s="341">
        <v>0</v>
      </c>
      <c r="L295" s="342">
        <v>15875</v>
      </c>
      <c r="M295" s="336"/>
      <c r="N295" s="343"/>
      <c r="O295" s="344">
        <f>Adjustments!E57+Adjustments!E73+Adjustments!E90</f>
        <v>6008</v>
      </c>
      <c r="P295" s="343">
        <f t="shared" si="13"/>
        <v>0</v>
      </c>
      <c r="Q295" s="344">
        <f t="shared" si="14"/>
        <v>21883</v>
      </c>
      <c r="R295" s="328">
        <f t="shared" si="15"/>
        <v>-21883</v>
      </c>
    </row>
    <row r="296" spans="1:18" hidden="1">
      <c r="A296" s="318" t="s">
        <v>831</v>
      </c>
      <c r="B296" s="313" t="s">
        <v>248</v>
      </c>
      <c r="C296" s="313" t="s">
        <v>473</v>
      </c>
      <c r="D296" s="313" t="s">
        <v>570</v>
      </c>
      <c r="E296" s="322" t="s">
        <v>359</v>
      </c>
      <c r="F296" s="313" t="s">
        <v>974</v>
      </c>
      <c r="G296" s="339">
        <v>0</v>
      </c>
      <c r="H296" s="340">
        <v>3106</v>
      </c>
      <c r="I296" s="339">
        <v>0</v>
      </c>
      <c r="J296" s="340">
        <v>0</v>
      </c>
      <c r="K296" s="341">
        <v>0</v>
      </c>
      <c r="L296" s="342">
        <v>3106</v>
      </c>
      <c r="M296" s="336"/>
      <c r="N296" s="343"/>
      <c r="O296" s="344"/>
      <c r="P296" s="343">
        <f t="shared" si="13"/>
        <v>0</v>
      </c>
      <c r="Q296" s="344">
        <f t="shared" si="14"/>
        <v>3106</v>
      </c>
      <c r="R296" s="328">
        <f t="shared" si="15"/>
        <v>-3106</v>
      </c>
    </row>
    <row r="297" spans="1:18" hidden="1">
      <c r="A297" s="318" t="s">
        <v>832</v>
      </c>
      <c r="B297" s="313" t="s">
        <v>249</v>
      </c>
      <c r="C297" s="313" t="s">
        <v>473</v>
      </c>
      <c r="D297" s="313" t="s">
        <v>570</v>
      </c>
      <c r="E297" s="322" t="s">
        <v>359</v>
      </c>
      <c r="F297" s="313" t="s">
        <v>974</v>
      </c>
      <c r="G297" s="339">
        <v>0</v>
      </c>
      <c r="H297" s="340">
        <v>229888</v>
      </c>
      <c r="I297" s="339">
        <v>307840</v>
      </c>
      <c r="J297" s="340">
        <v>215000</v>
      </c>
      <c r="K297" s="341">
        <v>0</v>
      </c>
      <c r="L297" s="342">
        <v>137048</v>
      </c>
      <c r="M297" s="336"/>
      <c r="N297" s="343"/>
      <c r="O297" s="344">
        <f>Adjustments!E14</f>
        <v>207360</v>
      </c>
      <c r="P297" s="343">
        <f t="shared" si="13"/>
        <v>0</v>
      </c>
      <c r="Q297" s="344">
        <f t="shared" si="14"/>
        <v>344408</v>
      </c>
      <c r="R297" s="328">
        <f t="shared" si="15"/>
        <v>-344408</v>
      </c>
    </row>
    <row r="298" spans="1:18" hidden="1">
      <c r="A298" s="318" t="s">
        <v>832</v>
      </c>
      <c r="B298" s="313" t="s">
        <v>250</v>
      </c>
      <c r="C298" s="313" t="s">
        <v>473</v>
      </c>
      <c r="D298" s="313" t="s">
        <v>570</v>
      </c>
      <c r="E298" s="322" t="s">
        <v>359</v>
      </c>
      <c r="F298" s="313" t="s">
        <v>1012</v>
      </c>
      <c r="G298" s="339">
        <v>0</v>
      </c>
      <c r="H298" s="340">
        <v>9710</v>
      </c>
      <c r="I298" s="339">
        <v>0</v>
      </c>
      <c r="J298" s="340">
        <v>0</v>
      </c>
      <c r="K298" s="341">
        <v>0</v>
      </c>
      <c r="L298" s="342">
        <v>9710</v>
      </c>
      <c r="M298" s="336"/>
      <c r="N298" s="343"/>
      <c r="O298" s="344"/>
      <c r="P298" s="343">
        <f t="shared" si="13"/>
        <v>0</v>
      </c>
      <c r="Q298" s="344">
        <f t="shared" si="14"/>
        <v>9710</v>
      </c>
      <c r="R298" s="328">
        <f t="shared" si="15"/>
        <v>-9710</v>
      </c>
    </row>
    <row r="299" spans="1:18" hidden="1">
      <c r="A299" s="318" t="s">
        <v>833</v>
      </c>
      <c r="B299" s="313" t="s">
        <v>251</v>
      </c>
      <c r="C299" s="313" t="s">
        <v>640</v>
      </c>
      <c r="D299" s="313" t="s">
        <v>471</v>
      </c>
      <c r="E299" s="322" t="s">
        <v>360</v>
      </c>
      <c r="F299" s="313" t="s">
        <v>974</v>
      </c>
      <c r="G299" s="339">
        <v>0</v>
      </c>
      <c r="H299" s="340">
        <v>1940564</v>
      </c>
      <c r="I299" s="339">
        <v>0</v>
      </c>
      <c r="J299" s="340">
        <v>0</v>
      </c>
      <c r="K299" s="341">
        <v>0</v>
      </c>
      <c r="L299" s="342">
        <v>1940564</v>
      </c>
      <c r="M299" s="336"/>
      <c r="N299" s="343"/>
      <c r="O299" s="344"/>
      <c r="P299" s="343">
        <f t="shared" si="13"/>
        <v>0</v>
      </c>
      <c r="Q299" s="344">
        <f t="shared" si="14"/>
        <v>1940564</v>
      </c>
      <c r="R299" s="328">
        <f t="shared" si="15"/>
        <v>-1940564</v>
      </c>
    </row>
    <row r="300" spans="1:18" hidden="1">
      <c r="A300" s="318" t="s">
        <v>834</v>
      </c>
      <c r="B300" s="313" t="s">
        <v>252</v>
      </c>
      <c r="C300" s="313" t="s">
        <v>640</v>
      </c>
      <c r="D300" s="316" t="s">
        <v>472</v>
      </c>
      <c r="E300" s="322" t="s">
        <v>361</v>
      </c>
      <c r="F300" s="313" t="s">
        <v>974</v>
      </c>
      <c r="G300" s="339">
        <v>0</v>
      </c>
      <c r="H300" s="340">
        <f>1785956+138965</f>
        <v>1924921</v>
      </c>
      <c r="I300" s="339">
        <v>500000</v>
      </c>
      <c r="J300" s="340">
        <v>0</v>
      </c>
      <c r="K300" s="341">
        <v>0</v>
      </c>
      <c r="L300" s="342">
        <f>H300-I300</f>
        <v>1424921</v>
      </c>
      <c r="M300" s="336"/>
      <c r="N300" s="343"/>
      <c r="O300" s="344"/>
      <c r="P300" s="343">
        <f t="shared" si="13"/>
        <v>0</v>
      </c>
      <c r="Q300" s="344">
        <f t="shared" si="14"/>
        <v>1424921</v>
      </c>
      <c r="R300" s="328">
        <f t="shared" si="15"/>
        <v>-1424921</v>
      </c>
    </row>
    <row r="301" spans="1:18" hidden="1">
      <c r="A301" s="318" t="s">
        <v>835</v>
      </c>
      <c r="B301" s="313" t="s">
        <v>256</v>
      </c>
      <c r="C301" s="313" t="s">
        <v>362</v>
      </c>
      <c r="D301" s="316" t="s">
        <v>362</v>
      </c>
      <c r="E301" s="322" t="s">
        <v>362</v>
      </c>
      <c r="F301" s="313" t="s">
        <v>974</v>
      </c>
      <c r="G301" s="339">
        <f>28319138.59+138966+21409+315575</f>
        <v>28795088.59</v>
      </c>
      <c r="H301" s="340">
        <v>0</v>
      </c>
      <c r="I301" s="339">
        <v>0</v>
      </c>
      <c r="J301" s="340">
        <v>0</v>
      </c>
      <c r="K301" s="341">
        <f>+G301</f>
        <v>28795088.59</v>
      </c>
      <c r="L301" s="342">
        <v>0</v>
      </c>
      <c r="M301" s="336"/>
      <c r="N301" s="343"/>
      <c r="O301" s="344">
        <v>0</v>
      </c>
      <c r="P301" s="343">
        <f t="shared" si="13"/>
        <v>28795088.59</v>
      </c>
      <c r="Q301" s="344">
        <f t="shared" si="14"/>
        <v>0</v>
      </c>
      <c r="R301" s="328">
        <f t="shared" si="15"/>
        <v>28795088.59</v>
      </c>
    </row>
    <row r="302" spans="1:18" hidden="1">
      <c r="A302" s="318" t="s">
        <v>835</v>
      </c>
      <c r="B302" s="313" t="s">
        <v>267</v>
      </c>
      <c r="C302" s="313" t="s">
        <v>362</v>
      </c>
      <c r="D302" s="313" t="s">
        <v>362</v>
      </c>
      <c r="E302" s="322" t="s">
        <v>362</v>
      </c>
      <c r="F302" s="313" t="s">
        <v>1019</v>
      </c>
      <c r="G302" s="339">
        <v>13322</v>
      </c>
      <c r="H302" s="340">
        <v>0</v>
      </c>
      <c r="I302" s="339">
        <v>0</v>
      </c>
      <c r="J302" s="340">
        <v>0</v>
      </c>
      <c r="K302" s="341">
        <v>13322</v>
      </c>
      <c r="L302" s="342">
        <v>0</v>
      </c>
      <c r="M302" s="336"/>
      <c r="N302" s="343"/>
      <c r="O302" s="344"/>
      <c r="P302" s="343">
        <f t="shared" si="13"/>
        <v>13322</v>
      </c>
      <c r="Q302" s="344">
        <f t="shared" si="14"/>
        <v>0</v>
      </c>
      <c r="R302" s="328">
        <f t="shared" si="15"/>
        <v>13322</v>
      </c>
    </row>
    <row r="303" spans="1:18" hidden="1">
      <c r="A303" s="318" t="s">
        <v>835</v>
      </c>
      <c r="B303" s="313" t="s">
        <v>265</v>
      </c>
      <c r="C303" s="313" t="s">
        <v>362</v>
      </c>
      <c r="D303" s="313" t="s">
        <v>362</v>
      </c>
      <c r="E303" s="322" t="s">
        <v>362</v>
      </c>
      <c r="F303" s="313" t="s">
        <v>1026</v>
      </c>
      <c r="G303" s="339">
        <v>0</v>
      </c>
      <c r="H303" s="340">
        <v>1</v>
      </c>
      <c r="I303" s="339">
        <v>0</v>
      </c>
      <c r="J303" s="340">
        <v>0</v>
      </c>
      <c r="K303" s="341">
        <v>0</v>
      </c>
      <c r="L303" s="342">
        <v>1</v>
      </c>
      <c r="M303" s="336"/>
      <c r="N303" s="343"/>
      <c r="O303" s="344"/>
      <c r="P303" s="343">
        <f t="shared" si="13"/>
        <v>0</v>
      </c>
      <c r="Q303" s="344">
        <f t="shared" si="14"/>
        <v>1</v>
      </c>
      <c r="R303" s="328">
        <f t="shared" si="15"/>
        <v>-1</v>
      </c>
    </row>
    <row r="304" spans="1:18" hidden="1">
      <c r="A304" s="318" t="s">
        <v>835</v>
      </c>
      <c r="B304" s="313" t="s">
        <v>266</v>
      </c>
      <c r="C304" s="313" t="s">
        <v>362</v>
      </c>
      <c r="D304" s="313" t="s">
        <v>362</v>
      </c>
      <c r="E304" s="322" t="s">
        <v>362</v>
      </c>
      <c r="F304" s="313" t="s">
        <v>1027</v>
      </c>
      <c r="G304" s="339">
        <v>0</v>
      </c>
      <c r="H304" s="340">
        <v>1321594.6000000001</v>
      </c>
      <c r="I304" s="339">
        <v>0</v>
      </c>
      <c r="J304" s="340">
        <v>0</v>
      </c>
      <c r="K304" s="341">
        <v>0</v>
      </c>
      <c r="L304" s="342">
        <v>1321594.6000000001</v>
      </c>
      <c r="M304" s="336"/>
      <c r="N304" s="343"/>
      <c r="O304" s="344"/>
      <c r="P304" s="343">
        <f t="shared" si="13"/>
        <v>0</v>
      </c>
      <c r="Q304" s="344">
        <f t="shared" si="14"/>
        <v>1321594.6000000001</v>
      </c>
      <c r="R304" s="328">
        <f t="shared" si="15"/>
        <v>-1321594.6000000001</v>
      </c>
    </row>
    <row r="305" spans="1:18" hidden="1">
      <c r="A305" s="318" t="s">
        <v>835</v>
      </c>
      <c r="B305" s="313" t="s">
        <v>412</v>
      </c>
      <c r="C305" s="313" t="s">
        <v>362</v>
      </c>
      <c r="D305" s="313" t="s">
        <v>362</v>
      </c>
      <c r="E305" s="322" t="s">
        <v>362</v>
      </c>
      <c r="F305" s="313" t="s">
        <v>992</v>
      </c>
      <c r="G305" s="339">
        <v>0</v>
      </c>
      <c r="H305" s="340">
        <v>1565816</v>
      </c>
      <c r="I305" s="339">
        <v>0</v>
      </c>
      <c r="J305" s="340">
        <v>0</v>
      </c>
      <c r="K305" s="341">
        <v>0</v>
      </c>
      <c r="L305" s="342">
        <v>1565816</v>
      </c>
      <c r="M305" s="336"/>
      <c r="N305" s="343"/>
      <c r="O305" s="344"/>
      <c r="P305" s="343">
        <f t="shared" si="13"/>
        <v>0</v>
      </c>
      <c r="Q305" s="344">
        <f t="shared" si="14"/>
        <v>1565816</v>
      </c>
      <c r="R305" s="328">
        <f t="shared" si="15"/>
        <v>-1565816</v>
      </c>
    </row>
    <row r="306" spans="1:18" hidden="1">
      <c r="A306" s="318" t="s">
        <v>836</v>
      </c>
      <c r="B306" s="313" t="s">
        <v>257</v>
      </c>
      <c r="C306" s="313" t="s">
        <v>362</v>
      </c>
      <c r="D306" s="313" t="s">
        <v>362</v>
      </c>
      <c r="E306" s="322" t="s">
        <v>362</v>
      </c>
      <c r="F306" s="313" t="s">
        <v>1018</v>
      </c>
      <c r="G306" s="339">
        <v>340760</v>
      </c>
      <c r="H306" s="340">
        <v>0</v>
      </c>
      <c r="I306" s="339">
        <v>0</v>
      </c>
      <c r="J306" s="340">
        <v>0</v>
      </c>
      <c r="K306" s="341">
        <v>340760</v>
      </c>
      <c r="L306" s="342">
        <v>0</v>
      </c>
      <c r="M306" s="336"/>
      <c r="N306" s="343"/>
      <c r="O306" s="344"/>
      <c r="P306" s="343">
        <f t="shared" si="13"/>
        <v>340760</v>
      </c>
      <c r="Q306" s="344">
        <f t="shared" si="14"/>
        <v>0</v>
      </c>
      <c r="R306" s="328">
        <f t="shared" si="15"/>
        <v>340760</v>
      </c>
    </row>
    <row r="307" spans="1:18" hidden="1">
      <c r="A307" s="318" t="s">
        <v>836</v>
      </c>
      <c r="B307" s="313" t="s">
        <v>258</v>
      </c>
      <c r="C307" s="313" t="s">
        <v>362</v>
      </c>
      <c r="D307" s="313" t="s">
        <v>362</v>
      </c>
      <c r="E307" s="322" t="s">
        <v>362</v>
      </c>
      <c r="F307" s="313" t="s">
        <v>1021</v>
      </c>
      <c r="G307" s="339">
        <v>0</v>
      </c>
      <c r="H307" s="340">
        <v>19686</v>
      </c>
      <c r="I307" s="339">
        <v>0</v>
      </c>
      <c r="J307" s="340">
        <v>0</v>
      </c>
      <c r="K307" s="341">
        <v>0</v>
      </c>
      <c r="L307" s="342">
        <v>19686</v>
      </c>
      <c r="M307" s="336"/>
      <c r="N307" s="343"/>
      <c r="O307" s="344"/>
      <c r="P307" s="343">
        <f t="shared" si="13"/>
        <v>0</v>
      </c>
      <c r="Q307" s="344">
        <f t="shared" si="14"/>
        <v>19686</v>
      </c>
      <c r="R307" s="328">
        <f t="shared" si="15"/>
        <v>-19686</v>
      </c>
    </row>
    <row r="308" spans="1:18" hidden="1">
      <c r="A308" s="318" t="s">
        <v>836</v>
      </c>
      <c r="B308" s="313" t="s">
        <v>253</v>
      </c>
      <c r="C308" s="313" t="s">
        <v>362</v>
      </c>
      <c r="D308" s="313" t="s">
        <v>362</v>
      </c>
      <c r="E308" s="322" t="s">
        <v>362</v>
      </c>
      <c r="F308" s="313" t="s">
        <v>1025</v>
      </c>
      <c r="G308" s="339">
        <v>0</v>
      </c>
      <c r="H308" s="340">
        <v>113902</v>
      </c>
      <c r="I308" s="339">
        <v>0</v>
      </c>
      <c r="J308" s="340">
        <v>0</v>
      </c>
      <c r="K308" s="341">
        <v>0</v>
      </c>
      <c r="L308" s="342">
        <v>113902</v>
      </c>
      <c r="M308" s="336"/>
      <c r="N308" s="343"/>
      <c r="O308" s="344"/>
      <c r="P308" s="343">
        <f t="shared" si="13"/>
        <v>0</v>
      </c>
      <c r="Q308" s="344">
        <f t="shared" si="14"/>
        <v>113902</v>
      </c>
      <c r="R308" s="328">
        <f t="shared" si="15"/>
        <v>-113902</v>
      </c>
    </row>
    <row r="309" spans="1:18" hidden="1">
      <c r="A309" s="318" t="s">
        <v>836</v>
      </c>
      <c r="B309" s="313" t="s">
        <v>413</v>
      </c>
      <c r="C309" s="313" t="s">
        <v>362</v>
      </c>
      <c r="D309" s="313" t="s">
        <v>362</v>
      </c>
      <c r="E309" s="322" t="s">
        <v>362</v>
      </c>
      <c r="F309" s="313" t="s">
        <v>1024</v>
      </c>
      <c r="G309" s="339">
        <v>0</v>
      </c>
      <c r="H309" s="340">
        <v>14053</v>
      </c>
      <c r="I309" s="339">
        <v>0</v>
      </c>
      <c r="J309" s="340">
        <v>0</v>
      </c>
      <c r="K309" s="341">
        <v>0</v>
      </c>
      <c r="L309" s="342">
        <v>14053</v>
      </c>
      <c r="M309" s="336"/>
      <c r="N309" s="343"/>
      <c r="O309" s="344"/>
      <c r="P309" s="343">
        <f t="shared" si="13"/>
        <v>0</v>
      </c>
      <c r="Q309" s="344">
        <f t="shared" si="14"/>
        <v>14053</v>
      </c>
      <c r="R309" s="328">
        <f t="shared" si="15"/>
        <v>-14053</v>
      </c>
    </row>
    <row r="310" spans="1:18" hidden="1">
      <c r="A310" s="318" t="s">
        <v>837</v>
      </c>
      <c r="B310" s="313" t="s">
        <v>262</v>
      </c>
      <c r="C310" s="313" t="s">
        <v>362</v>
      </c>
      <c r="D310" s="313" t="s">
        <v>362</v>
      </c>
      <c r="E310" s="322" t="s">
        <v>362</v>
      </c>
      <c r="F310" s="313" t="s">
        <v>1011</v>
      </c>
      <c r="G310" s="339">
        <v>0</v>
      </c>
      <c r="H310" s="340">
        <v>1059128.96</v>
      </c>
      <c r="I310" s="339">
        <v>0</v>
      </c>
      <c r="J310" s="340">
        <v>0</v>
      </c>
      <c r="K310" s="341">
        <v>0</v>
      </c>
      <c r="L310" s="342">
        <v>1059128.96</v>
      </c>
      <c r="M310" s="336"/>
      <c r="N310" s="343"/>
      <c r="O310" s="344"/>
      <c r="P310" s="343">
        <f t="shared" si="13"/>
        <v>0</v>
      </c>
      <c r="Q310" s="344">
        <f t="shared" si="14"/>
        <v>1059128.96</v>
      </c>
      <c r="R310" s="328">
        <f t="shared" si="15"/>
        <v>-1059128.96</v>
      </c>
    </row>
    <row r="311" spans="1:18" hidden="1">
      <c r="A311" s="318" t="s">
        <v>838</v>
      </c>
      <c r="B311" s="313" t="s">
        <v>259</v>
      </c>
      <c r="C311" s="313" t="s">
        <v>362</v>
      </c>
      <c r="D311" s="313" t="s">
        <v>362</v>
      </c>
      <c r="E311" s="322" t="s">
        <v>362</v>
      </c>
      <c r="F311" s="313" t="s">
        <v>1013</v>
      </c>
      <c r="G311" s="339">
        <v>131573.38</v>
      </c>
      <c r="H311" s="340">
        <v>0</v>
      </c>
      <c r="I311" s="339">
        <v>0</v>
      </c>
      <c r="J311" s="340">
        <v>0</v>
      </c>
      <c r="K311" s="341">
        <v>131573.38</v>
      </c>
      <c r="L311" s="342">
        <v>0</v>
      </c>
      <c r="M311" s="336"/>
      <c r="N311" s="343"/>
      <c r="O311" s="344"/>
      <c r="P311" s="343">
        <f t="shared" si="13"/>
        <v>131573.38</v>
      </c>
      <c r="Q311" s="344">
        <f t="shared" si="14"/>
        <v>0</v>
      </c>
      <c r="R311" s="328">
        <f t="shared" si="15"/>
        <v>131573.38</v>
      </c>
    </row>
    <row r="312" spans="1:18" hidden="1">
      <c r="A312" s="318" t="s">
        <v>839</v>
      </c>
      <c r="B312" s="313" t="s">
        <v>263</v>
      </c>
      <c r="C312" s="313" t="s">
        <v>362</v>
      </c>
      <c r="D312" s="313" t="s">
        <v>362</v>
      </c>
      <c r="E312" s="322" t="s">
        <v>362</v>
      </c>
      <c r="F312" s="313" t="s">
        <v>1016</v>
      </c>
      <c r="G312" s="339">
        <v>0</v>
      </c>
      <c r="H312" s="340">
        <v>160</v>
      </c>
      <c r="I312" s="339">
        <v>0</v>
      </c>
      <c r="J312" s="340">
        <v>0</v>
      </c>
      <c r="K312" s="341">
        <v>0</v>
      </c>
      <c r="L312" s="342">
        <v>160</v>
      </c>
      <c r="M312" s="336"/>
      <c r="N312" s="343"/>
      <c r="O312" s="344"/>
      <c r="P312" s="343">
        <f t="shared" si="13"/>
        <v>0</v>
      </c>
      <c r="Q312" s="344">
        <f t="shared" si="14"/>
        <v>160</v>
      </c>
      <c r="R312" s="328">
        <f t="shared" si="15"/>
        <v>-160</v>
      </c>
    </row>
    <row r="313" spans="1:18" hidden="1">
      <c r="A313" s="318" t="s">
        <v>840</v>
      </c>
      <c r="B313" s="313" t="s">
        <v>264</v>
      </c>
      <c r="C313" s="313" t="s">
        <v>362</v>
      </c>
      <c r="D313" s="313" t="s">
        <v>362</v>
      </c>
      <c r="E313" s="322" t="s">
        <v>362</v>
      </c>
      <c r="F313" s="313" t="s">
        <v>1015</v>
      </c>
      <c r="G313" s="339">
        <v>0</v>
      </c>
      <c r="H313" s="340">
        <v>232</v>
      </c>
      <c r="I313" s="339">
        <v>0</v>
      </c>
      <c r="J313" s="340">
        <v>0</v>
      </c>
      <c r="K313" s="341">
        <v>0</v>
      </c>
      <c r="L313" s="342">
        <v>232</v>
      </c>
      <c r="M313" s="336"/>
      <c r="N313" s="343"/>
      <c r="O313" s="344"/>
      <c r="P313" s="343">
        <f t="shared" si="13"/>
        <v>0</v>
      </c>
      <c r="Q313" s="344">
        <f t="shared" si="14"/>
        <v>232</v>
      </c>
      <c r="R313" s="328">
        <f t="shared" si="15"/>
        <v>-232</v>
      </c>
    </row>
    <row r="314" spans="1:18" hidden="1">
      <c r="A314" s="318" t="s">
        <v>841</v>
      </c>
      <c r="B314" s="313" t="s">
        <v>254</v>
      </c>
      <c r="C314" s="313" t="s">
        <v>362</v>
      </c>
      <c r="D314" s="313" t="s">
        <v>362</v>
      </c>
      <c r="E314" s="322" t="s">
        <v>362</v>
      </c>
      <c r="F314" s="313" t="s">
        <v>1012</v>
      </c>
      <c r="G314" s="339">
        <v>0</v>
      </c>
      <c r="H314" s="340">
        <v>143742</v>
      </c>
      <c r="I314" s="339">
        <v>0</v>
      </c>
      <c r="J314" s="340">
        <v>0</v>
      </c>
      <c r="K314" s="341">
        <v>0</v>
      </c>
      <c r="L314" s="342">
        <v>143742</v>
      </c>
      <c r="M314" s="336"/>
      <c r="N314" s="343"/>
      <c r="O314" s="344"/>
      <c r="P314" s="343">
        <f t="shared" si="13"/>
        <v>0</v>
      </c>
      <c r="Q314" s="344">
        <f t="shared" si="14"/>
        <v>143742</v>
      </c>
      <c r="R314" s="328">
        <f t="shared" si="15"/>
        <v>-143742</v>
      </c>
    </row>
    <row r="315" spans="1:18" hidden="1">
      <c r="A315" s="318" t="s">
        <v>842</v>
      </c>
      <c r="B315" s="313" t="s">
        <v>260</v>
      </c>
      <c r="C315" s="313" t="s">
        <v>362</v>
      </c>
      <c r="D315" s="313" t="s">
        <v>362</v>
      </c>
      <c r="E315" s="322" t="s">
        <v>362</v>
      </c>
      <c r="F315" s="313" t="s">
        <v>1023</v>
      </c>
      <c r="G315" s="339">
        <v>40031.769999999997</v>
      </c>
      <c r="H315" s="340">
        <v>0</v>
      </c>
      <c r="I315" s="339">
        <v>0</v>
      </c>
      <c r="J315" s="340">
        <v>0</v>
      </c>
      <c r="K315" s="341">
        <v>40031.769999999997</v>
      </c>
      <c r="L315" s="342">
        <v>0</v>
      </c>
      <c r="M315" s="336"/>
      <c r="N315" s="343"/>
      <c r="O315" s="344"/>
      <c r="P315" s="343">
        <f t="shared" si="13"/>
        <v>40031.769999999997</v>
      </c>
      <c r="Q315" s="344">
        <f t="shared" si="14"/>
        <v>0</v>
      </c>
      <c r="R315" s="328">
        <f t="shared" si="15"/>
        <v>40031.769999999997</v>
      </c>
    </row>
    <row r="316" spans="1:18" hidden="1">
      <c r="A316" s="318" t="s">
        <v>843</v>
      </c>
      <c r="B316" s="313" t="s">
        <v>255</v>
      </c>
      <c r="C316" s="313" t="s">
        <v>362</v>
      </c>
      <c r="D316" s="313" t="s">
        <v>362</v>
      </c>
      <c r="E316" s="322" t="s">
        <v>362</v>
      </c>
      <c r="F316" s="313" t="s">
        <v>1014</v>
      </c>
      <c r="G316" s="339">
        <v>0</v>
      </c>
      <c r="H316" s="340">
        <v>1641568</v>
      </c>
      <c r="I316" s="339">
        <v>0</v>
      </c>
      <c r="J316" s="340">
        <v>0</v>
      </c>
      <c r="K316" s="341">
        <v>0</v>
      </c>
      <c r="L316" s="342">
        <v>1641568</v>
      </c>
      <c r="M316" s="336"/>
      <c r="N316" s="343"/>
      <c r="O316" s="344"/>
      <c r="P316" s="343">
        <f t="shared" si="13"/>
        <v>0</v>
      </c>
      <c r="Q316" s="344">
        <f t="shared" si="14"/>
        <v>1641568</v>
      </c>
      <c r="R316" s="328">
        <f t="shared" si="15"/>
        <v>-1641568</v>
      </c>
    </row>
    <row r="317" spans="1:18" hidden="1">
      <c r="A317" s="318" t="s">
        <v>844</v>
      </c>
      <c r="B317" s="313" t="s">
        <v>671</v>
      </c>
      <c r="C317" s="313" t="s">
        <v>362</v>
      </c>
      <c r="D317" s="313" t="s">
        <v>362</v>
      </c>
      <c r="E317" s="322" t="s">
        <v>362</v>
      </c>
      <c r="F317" s="313" t="s">
        <v>1017</v>
      </c>
      <c r="G317" s="339">
        <v>0</v>
      </c>
      <c r="H317" s="340">
        <v>6393907.9400000004</v>
      </c>
      <c r="I317" s="339">
        <v>0</v>
      </c>
      <c r="J317" s="340">
        <v>0</v>
      </c>
      <c r="K317" s="341">
        <v>0</v>
      </c>
      <c r="L317" s="342">
        <v>6393907.9400000004</v>
      </c>
      <c r="M317" s="336"/>
      <c r="N317" s="343"/>
      <c r="O317" s="344"/>
      <c r="P317" s="343">
        <f t="shared" si="13"/>
        <v>0</v>
      </c>
      <c r="Q317" s="344">
        <f t="shared" si="14"/>
        <v>6393907.9400000004</v>
      </c>
      <c r="R317" s="328">
        <f t="shared" si="15"/>
        <v>-6393907.9400000004</v>
      </c>
    </row>
    <row r="318" spans="1:18" hidden="1">
      <c r="A318" s="318" t="s">
        <v>845</v>
      </c>
      <c r="B318" s="313" t="s">
        <v>261</v>
      </c>
      <c r="C318" s="313" t="s">
        <v>362</v>
      </c>
      <c r="D318" s="313" t="s">
        <v>362</v>
      </c>
      <c r="E318" s="322" t="s">
        <v>362</v>
      </c>
      <c r="F318" s="313" t="s">
        <v>1020</v>
      </c>
      <c r="G318" s="339">
        <v>0</v>
      </c>
      <c r="H318" s="340">
        <v>197501</v>
      </c>
      <c r="I318" s="339">
        <v>0</v>
      </c>
      <c r="J318" s="340">
        <v>0</v>
      </c>
      <c r="K318" s="341">
        <v>0</v>
      </c>
      <c r="L318" s="342">
        <v>197501</v>
      </c>
      <c r="M318" s="336"/>
      <c r="N318" s="343"/>
      <c r="O318" s="344"/>
      <c r="P318" s="343">
        <f t="shared" si="13"/>
        <v>0</v>
      </c>
      <c r="Q318" s="344">
        <f t="shared" si="14"/>
        <v>197501</v>
      </c>
      <c r="R318" s="328">
        <f t="shared" si="15"/>
        <v>-197501</v>
      </c>
    </row>
    <row r="319" spans="1:18" hidden="1">
      <c r="A319" s="318" t="s">
        <v>846</v>
      </c>
      <c r="B319" s="313" t="s">
        <v>414</v>
      </c>
      <c r="C319" s="313" t="s">
        <v>362</v>
      </c>
      <c r="D319" s="316" t="s">
        <v>362</v>
      </c>
      <c r="E319" s="322" t="s">
        <v>362</v>
      </c>
      <c r="F319" s="313" t="s">
        <v>1022</v>
      </c>
      <c r="G319" s="339">
        <v>0</v>
      </c>
      <c r="H319" s="340">
        <v>10703356.359999999</v>
      </c>
      <c r="I319" s="339">
        <v>4732189</v>
      </c>
      <c r="J319" s="340">
        <f>600000+Adjustments!E25</f>
        <v>4732189</v>
      </c>
      <c r="K319" s="341">
        <v>0</v>
      </c>
      <c r="L319" s="342">
        <f>H319+J319+G319-I319</f>
        <v>10703356.359999999</v>
      </c>
      <c r="M319" s="336"/>
      <c r="N319" s="343"/>
      <c r="O319" s="344"/>
      <c r="P319" s="343">
        <f t="shared" si="13"/>
        <v>0</v>
      </c>
      <c r="Q319" s="344">
        <f t="shared" si="14"/>
        <v>10703356.359999999</v>
      </c>
      <c r="R319" s="328">
        <f t="shared" si="15"/>
        <v>-10703356.359999999</v>
      </c>
    </row>
    <row r="320" spans="1:18" hidden="1">
      <c r="A320" s="318" t="s">
        <v>847</v>
      </c>
      <c r="B320" s="313" t="s">
        <v>268</v>
      </c>
      <c r="C320" s="313" t="s">
        <v>482</v>
      </c>
      <c r="D320" s="313" t="s">
        <v>363</v>
      </c>
      <c r="E320" s="322" t="s">
        <v>363</v>
      </c>
      <c r="F320" s="313" t="s">
        <v>974</v>
      </c>
      <c r="G320" s="339">
        <v>0</v>
      </c>
      <c r="H320" s="340">
        <v>0</v>
      </c>
      <c r="I320" s="339">
        <v>0</v>
      </c>
      <c r="J320" s="340">
        <v>564119</v>
      </c>
      <c r="K320" s="341">
        <v>0</v>
      </c>
      <c r="L320" s="342">
        <v>564119</v>
      </c>
      <c r="M320" s="336"/>
      <c r="N320" s="343"/>
      <c r="O320" s="344"/>
      <c r="P320" s="343">
        <f t="shared" si="13"/>
        <v>0</v>
      </c>
      <c r="Q320" s="344">
        <f t="shared" si="14"/>
        <v>564119</v>
      </c>
      <c r="R320" s="328">
        <f t="shared" si="15"/>
        <v>-564119</v>
      </c>
    </row>
    <row r="321" spans="1:18" hidden="1">
      <c r="A321" s="318" t="s">
        <v>848</v>
      </c>
      <c r="B321" s="313" t="s">
        <v>269</v>
      </c>
      <c r="C321" s="313" t="s">
        <v>482</v>
      </c>
      <c r="D321" s="313" t="s">
        <v>363</v>
      </c>
      <c r="E321" s="322" t="s">
        <v>363</v>
      </c>
      <c r="F321" s="313" t="s">
        <v>974</v>
      </c>
      <c r="G321" s="339">
        <v>0</v>
      </c>
      <c r="H321" s="340">
        <v>0</v>
      </c>
      <c r="I321" s="339">
        <v>0</v>
      </c>
      <c r="J321" s="340">
        <v>80000</v>
      </c>
      <c r="K321" s="341">
        <v>0</v>
      </c>
      <c r="L321" s="342">
        <v>80000</v>
      </c>
      <c r="M321" s="336"/>
      <c r="N321" s="343"/>
      <c r="O321" s="344"/>
      <c r="P321" s="343">
        <f t="shared" si="13"/>
        <v>0</v>
      </c>
      <c r="Q321" s="344">
        <f t="shared" si="14"/>
        <v>80000</v>
      </c>
      <c r="R321" s="328">
        <f t="shared" si="15"/>
        <v>-80000</v>
      </c>
    </row>
    <row r="322" spans="1:18" hidden="1">
      <c r="A322" s="318" t="s">
        <v>849</v>
      </c>
      <c r="B322" s="313" t="s">
        <v>270</v>
      </c>
      <c r="C322" s="316" t="s">
        <v>364</v>
      </c>
      <c r="D322" s="313" t="s">
        <v>364</v>
      </c>
      <c r="E322" s="322" t="s">
        <v>364</v>
      </c>
      <c r="F322" s="313" t="s">
        <v>974</v>
      </c>
      <c r="G322" s="339">
        <v>0</v>
      </c>
      <c r="H322" s="340">
        <v>0</v>
      </c>
      <c r="I322" s="339">
        <v>50000</v>
      </c>
      <c r="J322" s="340">
        <v>350002</v>
      </c>
      <c r="K322" s="341">
        <v>0</v>
      </c>
      <c r="L322" s="342">
        <v>300002</v>
      </c>
      <c r="M322" s="336"/>
      <c r="N322" s="343"/>
      <c r="O322" s="344">
        <f>Adjustments!E18</f>
        <v>315575</v>
      </c>
      <c r="P322" s="343">
        <f t="shared" si="13"/>
        <v>0</v>
      </c>
      <c r="Q322" s="344">
        <f t="shared" si="14"/>
        <v>615577</v>
      </c>
      <c r="R322" s="328">
        <f t="shared" si="15"/>
        <v>-615577</v>
      </c>
    </row>
    <row r="323" spans="1:18" hidden="1">
      <c r="A323" s="318" t="s">
        <v>850</v>
      </c>
      <c r="B323" s="313" t="s">
        <v>415</v>
      </c>
      <c r="C323" s="313" t="s">
        <v>364</v>
      </c>
      <c r="D323" s="313" t="s">
        <v>364</v>
      </c>
      <c r="E323" s="322" t="s">
        <v>364</v>
      </c>
      <c r="F323" s="313" t="s">
        <v>974</v>
      </c>
      <c r="G323" s="339">
        <v>0</v>
      </c>
      <c r="H323" s="340">
        <v>0</v>
      </c>
      <c r="I323" s="339">
        <v>0</v>
      </c>
      <c r="J323" s="340">
        <v>288623</v>
      </c>
      <c r="K323" s="341">
        <v>0</v>
      </c>
      <c r="L323" s="342">
        <v>288623</v>
      </c>
      <c r="M323" s="336"/>
      <c r="N323" s="343"/>
      <c r="O323" s="344"/>
      <c r="P323" s="343">
        <f t="shared" si="13"/>
        <v>0</v>
      </c>
      <c r="Q323" s="344">
        <f t="shared" si="14"/>
        <v>288623</v>
      </c>
      <c r="R323" s="328">
        <f t="shared" si="15"/>
        <v>-288623</v>
      </c>
    </row>
    <row r="324" spans="1:18" hidden="1">
      <c r="A324" s="318" t="s">
        <v>851</v>
      </c>
      <c r="B324" s="313" t="s">
        <v>416</v>
      </c>
      <c r="C324" s="313" t="s">
        <v>364</v>
      </c>
      <c r="D324" s="313" t="s">
        <v>364</v>
      </c>
      <c r="E324" s="322" t="s">
        <v>364</v>
      </c>
      <c r="F324" s="313" t="s">
        <v>1024</v>
      </c>
      <c r="G324" s="339">
        <v>0</v>
      </c>
      <c r="H324" s="340">
        <v>0</v>
      </c>
      <c r="I324" s="339">
        <v>749469</v>
      </c>
      <c r="J324" s="340">
        <v>754469</v>
      </c>
      <c r="K324" s="341">
        <v>0</v>
      </c>
      <c r="L324" s="342">
        <v>5000</v>
      </c>
      <c r="M324" s="336"/>
      <c r="N324" s="343"/>
      <c r="O324" s="344"/>
      <c r="P324" s="343">
        <f t="shared" si="13"/>
        <v>0</v>
      </c>
      <c r="Q324" s="344">
        <f t="shared" si="14"/>
        <v>5000</v>
      </c>
      <c r="R324" s="328">
        <f t="shared" si="15"/>
        <v>-5000</v>
      </c>
    </row>
    <row r="325" spans="1:18" hidden="1">
      <c r="A325" s="318" t="s">
        <v>852</v>
      </c>
      <c r="B325" s="313" t="s">
        <v>417</v>
      </c>
      <c r="C325" s="313" t="s">
        <v>364</v>
      </c>
      <c r="D325" s="313" t="s">
        <v>364</v>
      </c>
      <c r="E325" s="322" t="s">
        <v>364</v>
      </c>
      <c r="F325" s="313" t="s">
        <v>1017</v>
      </c>
      <c r="G325" s="339">
        <v>0</v>
      </c>
      <c r="H325" s="340">
        <v>0</v>
      </c>
      <c r="I325" s="339">
        <v>0</v>
      </c>
      <c r="J325" s="340">
        <v>275000</v>
      </c>
      <c r="K325" s="341">
        <v>0</v>
      </c>
      <c r="L325" s="342">
        <v>275000</v>
      </c>
      <c r="M325" s="336"/>
      <c r="N325" s="343"/>
      <c r="O325" s="344"/>
      <c r="P325" s="343">
        <f t="shared" si="13"/>
        <v>0</v>
      </c>
      <c r="Q325" s="344">
        <f t="shared" si="14"/>
        <v>275000</v>
      </c>
      <c r="R325" s="328">
        <f t="shared" si="15"/>
        <v>-275000</v>
      </c>
    </row>
    <row r="326" spans="1:18" ht="20" hidden="1">
      <c r="A326" s="318" t="s">
        <v>853</v>
      </c>
      <c r="B326" s="313" t="s">
        <v>672</v>
      </c>
      <c r="C326" s="313" t="s">
        <v>364</v>
      </c>
      <c r="D326" s="313" t="s">
        <v>364</v>
      </c>
      <c r="E326" s="322" t="s">
        <v>364</v>
      </c>
      <c r="F326" s="313" t="s">
        <v>1017</v>
      </c>
      <c r="G326" s="339">
        <v>0</v>
      </c>
      <c r="H326" s="340">
        <v>0</v>
      </c>
      <c r="I326" s="339">
        <v>0</v>
      </c>
      <c r="J326" s="340">
        <v>1458270.83</v>
      </c>
      <c r="K326" s="341">
        <v>0</v>
      </c>
      <c r="L326" s="342">
        <v>1458270.83</v>
      </c>
      <c r="M326" s="336"/>
      <c r="N326" s="343"/>
      <c r="O326" s="344"/>
      <c r="P326" s="343">
        <f t="shared" si="13"/>
        <v>0</v>
      </c>
      <c r="Q326" s="344">
        <f t="shared" si="14"/>
        <v>1458270.83</v>
      </c>
      <c r="R326" s="328">
        <f t="shared" si="15"/>
        <v>-1458270.83</v>
      </c>
    </row>
    <row r="327" spans="1:18" hidden="1">
      <c r="A327" s="318" t="s">
        <v>854</v>
      </c>
      <c r="B327" s="313" t="s">
        <v>271</v>
      </c>
      <c r="C327" s="313" t="s">
        <v>364</v>
      </c>
      <c r="D327" s="313" t="s">
        <v>364</v>
      </c>
      <c r="E327" s="322" t="s">
        <v>364</v>
      </c>
      <c r="F327" s="313" t="s">
        <v>992</v>
      </c>
      <c r="G327" s="339">
        <v>0</v>
      </c>
      <c r="H327" s="340">
        <v>0</v>
      </c>
      <c r="I327" s="339">
        <v>0</v>
      </c>
      <c r="J327" s="340">
        <v>2801076</v>
      </c>
      <c r="K327" s="341">
        <v>0</v>
      </c>
      <c r="L327" s="342">
        <v>2801076</v>
      </c>
      <c r="M327" s="336"/>
      <c r="N327" s="343"/>
      <c r="O327" s="344"/>
      <c r="P327" s="343">
        <f t="shared" ref="P327:P390" si="16">K327+N327</f>
        <v>0</v>
      </c>
      <c r="Q327" s="344">
        <f t="shared" ref="Q327:Q390" si="17">L327+O327</f>
        <v>2801076</v>
      </c>
      <c r="R327" s="328">
        <f t="shared" ref="R327:R390" si="18">P327-Q327</f>
        <v>-2801076</v>
      </c>
    </row>
    <row r="328" spans="1:18" hidden="1">
      <c r="A328" s="318" t="s">
        <v>855</v>
      </c>
      <c r="B328" s="313" t="s">
        <v>272</v>
      </c>
      <c r="C328" s="313" t="s">
        <v>364</v>
      </c>
      <c r="D328" s="313" t="s">
        <v>364</v>
      </c>
      <c r="E328" s="322" t="s">
        <v>364</v>
      </c>
      <c r="F328" s="313" t="s">
        <v>1019</v>
      </c>
      <c r="G328" s="339">
        <v>0</v>
      </c>
      <c r="H328" s="340">
        <v>0</v>
      </c>
      <c r="I328" s="339">
        <v>0</v>
      </c>
      <c r="J328" s="340">
        <v>8451708</v>
      </c>
      <c r="K328" s="341">
        <v>0</v>
      </c>
      <c r="L328" s="342">
        <v>8451708</v>
      </c>
      <c r="M328" s="336"/>
      <c r="N328" s="343"/>
      <c r="O328" s="344"/>
      <c r="P328" s="343">
        <f t="shared" si="16"/>
        <v>0</v>
      </c>
      <c r="Q328" s="344">
        <f t="shared" si="17"/>
        <v>8451708</v>
      </c>
      <c r="R328" s="328">
        <f t="shared" si="18"/>
        <v>-8451708</v>
      </c>
    </row>
    <row r="329" spans="1:18" hidden="1">
      <c r="A329" s="318" t="s">
        <v>856</v>
      </c>
      <c r="B329" s="313" t="s">
        <v>418</v>
      </c>
      <c r="C329" s="313" t="s">
        <v>364</v>
      </c>
      <c r="D329" s="313" t="s">
        <v>364</v>
      </c>
      <c r="E329" s="322" t="s">
        <v>364</v>
      </c>
      <c r="F329" s="313" t="s">
        <v>974</v>
      </c>
      <c r="G329" s="339">
        <v>0</v>
      </c>
      <c r="H329" s="340">
        <v>0</v>
      </c>
      <c r="I329" s="339">
        <v>6555</v>
      </c>
      <c r="J329" s="340">
        <v>776600</v>
      </c>
      <c r="K329" s="341">
        <v>0</v>
      </c>
      <c r="L329" s="342">
        <v>770045</v>
      </c>
      <c r="M329" s="336"/>
      <c r="N329" s="343"/>
      <c r="O329" s="344"/>
      <c r="P329" s="343">
        <f t="shared" si="16"/>
        <v>0</v>
      </c>
      <c r="Q329" s="344">
        <f t="shared" si="17"/>
        <v>770045</v>
      </c>
      <c r="R329" s="328">
        <f t="shared" si="18"/>
        <v>-770045</v>
      </c>
    </row>
    <row r="330" spans="1:18" hidden="1">
      <c r="A330" s="318" t="s">
        <v>857</v>
      </c>
      <c r="B330" s="313" t="s">
        <v>419</v>
      </c>
      <c r="C330" s="313" t="s">
        <v>364</v>
      </c>
      <c r="D330" s="313" t="s">
        <v>364</v>
      </c>
      <c r="E330" s="322" t="s">
        <v>364</v>
      </c>
      <c r="F330" s="313" t="s">
        <v>974</v>
      </c>
      <c r="G330" s="339">
        <v>0</v>
      </c>
      <c r="H330" s="340">
        <v>0</v>
      </c>
      <c r="I330" s="339">
        <v>0</v>
      </c>
      <c r="J330" s="340">
        <v>782070</v>
      </c>
      <c r="K330" s="341">
        <v>0</v>
      </c>
      <c r="L330" s="342">
        <v>782070</v>
      </c>
      <c r="M330" s="336"/>
      <c r="N330" s="343"/>
      <c r="O330" s="344"/>
      <c r="P330" s="343">
        <f t="shared" si="16"/>
        <v>0</v>
      </c>
      <c r="Q330" s="344">
        <f t="shared" si="17"/>
        <v>782070</v>
      </c>
      <c r="R330" s="328">
        <f t="shared" si="18"/>
        <v>-782070</v>
      </c>
    </row>
    <row r="331" spans="1:18" hidden="1">
      <c r="A331" s="318" t="s">
        <v>858</v>
      </c>
      <c r="B331" s="313" t="s">
        <v>273</v>
      </c>
      <c r="C331" s="313" t="s">
        <v>482</v>
      </c>
      <c r="D331" s="313" t="s">
        <v>593</v>
      </c>
      <c r="E331" s="322" t="s">
        <v>338</v>
      </c>
      <c r="F331" s="313" t="s">
        <v>974</v>
      </c>
      <c r="G331" s="339">
        <v>0</v>
      </c>
      <c r="H331" s="340">
        <v>0</v>
      </c>
      <c r="I331" s="339">
        <v>0</v>
      </c>
      <c r="J331" s="340">
        <v>60000</v>
      </c>
      <c r="K331" s="341">
        <v>0</v>
      </c>
      <c r="L331" s="342">
        <v>60000</v>
      </c>
      <c r="M331" s="336"/>
      <c r="N331" s="343"/>
      <c r="O331" s="344"/>
      <c r="P331" s="343">
        <f t="shared" si="16"/>
        <v>0</v>
      </c>
      <c r="Q331" s="344">
        <f t="shared" si="17"/>
        <v>60000</v>
      </c>
      <c r="R331" s="328">
        <f t="shared" si="18"/>
        <v>-60000</v>
      </c>
    </row>
    <row r="332" spans="1:18" hidden="1">
      <c r="A332" s="318" t="s">
        <v>859</v>
      </c>
      <c r="B332" s="313" t="s">
        <v>274</v>
      </c>
      <c r="C332" s="313" t="s">
        <v>584</v>
      </c>
      <c r="D332" s="313" t="s">
        <v>365</v>
      </c>
      <c r="E332" s="322" t="s">
        <v>365</v>
      </c>
      <c r="F332" s="313" t="s">
        <v>974</v>
      </c>
      <c r="G332" s="339">
        <v>0</v>
      </c>
      <c r="H332" s="340">
        <v>0</v>
      </c>
      <c r="I332" s="339">
        <v>5183502</v>
      </c>
      <c r="J332" s="340">
        <v>1245070</v>
      </c>
      <c r="K332" s="341">
        <v>3938432</v>
      </c>
      <c r="L332" s="342">
        <v>0</v>
      </c>
      <c r="M332" s="336"/>
      <c r="N332" s="343"/>
      <c r="O332" s="344"/>
      <c r="P332" s="343">
        <f t="shared" si="16"/>
        <v>3938432</v>
      </c>
      <c r="Q332" s="344">
        <f t="shared" si="17"/>
        <v>0</v>
      </c>
      <c r="R332" s="328">
        <f t="shared" si="18"/>
        <v>3938432</v>
      </c>
    </row>
    <row r="333" spans="1:18" hidden="1">
      <c r="A333" s="318" t="s">
        <v>860</v>
      </c>
      <c r="B333" s="313" t="s">
        <v>275</v>
      </c>
      <c r="C333" s="313" t="s">
        <v>584</v>
      </c>
      <c r="D333" s="313" t="s">
        <v>365</v>
      </c>
      <c r="E333" s="322" t="s">
        <v>365</v>
      </c>
      <c r="F333" s="313" t="s">
        <v>974</v>
      </c>
      <c r="G333" s="339">
        <v>0</v>
      </c>
      <c r="H333" s="340">
        <v>0</v>
      </c>
      <c r="I333" s="339">
        <v>52772</v>
      </c>
      <c r="J333" s="340">
        <v>0</v>
      </c>
      <c r="K333" s="341">
        <v>52772</v>
      </c>
      <c r="L333" s="342">
        <v>0</v>
      </c>
      <c r="M333" s="336"/>
      <c r="N333" s="343"/>
      <c r="O333" s="344"/>
      <c r="P333" s="343">
        <f t="shared" si="16"/>
        <v>52772</v>
      </c>
      <c r="Q333" s="344">
        <f t="shared" si="17"/>
        <v>0</v>
      </c>
      <c r="R333" s="328">
        <f t="shared" si="18"/>
        <v>52772</v>
      </c>
    </row>
    <row r="334" spans="1:18" hidden="1">
      <c r="A334" s="318" t="s">
        <v>861</v>
      </c>
      <c r="B334" s="313" t="s">
        <v>276</v>
      </c>
      <c r="C334" s="313" t="s">
        <v>584</v>
      </c>
      <c r="D334" s="313" t="s">
        <v>366</v>
      </c>
      <c r="E334" s="322" t="s">
        <v>366</v>
      </c>
      <c r="F334" s="313" t="s">
        <v>974</v>
      </c>
      <c r="G334" s="339">
        <v>0</v>
      </c>
      <c r="H334" s="340">
        <v>0</v>
      </c>
      <c r="I334" s="339">
        <v>358228</v>
      </c>
      <c r="J334" s="340">
        <v>63470</v>
      </c>
      <c r="K334" s="341">
        <v>294758</v>
      </c>
      <c r="L334" s="342">
        <v>0</v>
      </c>
      <c r="M334" s="336"/>
      <c r="N334" s="343"/>
      <c r="O334" s="344"/>
      <c r="P334" s="343">
        <f t="shared" si="16"/>
        <v>294758</v>
      </c>
      <c r="Q334" s="344">
        <f t="shared" si="17"/>
        <v>0</v>
      </c>
      <c r="R334" s="328">
        <f t="shared" si="18"/>
        <v>294758</v>
      </c>
    </row>
    <row r="335" spans="1:18" hidden="1">
      <c r="A335" s="318" t="s">
        <v>862</v>
      </c>
      <c r="B335" s="313" t="s">
        <v>277</v>
      </c>
      <c r="C335" s="313" t="s">
        <v>584</v>
      </c>
      <c r="D335" s="313" t="s">
        <v>366</v>
      </c>
      <c r="E335" s="322" t="s">
        <v>366</v>
      </c>
      <c r="F335" s="313" t="s">
        <v>974</v>
      </c>
      <c r="G335" s="339">
        <v>0</v>
      </c>
      <c r="H335" s="340">
        <v>0</v>
      </c>
      <c r="I335" s="339">
        <v>291490</v>
      </c>
      <c r="J335" s="340">
        <v>53780</v>
      </c>
      <c r="K335" s="341">
        <v>237710</v>
      </c>
      <c r="L335" s="342">
        <v>0</v>
      </c>
      <c r="M335" s="336"/>
      <c r="N335" s="343"/>
      <c r="O335" s="344"/>
      <c r="P335" s="343">
        <f t="shared" si="16"/>
        <v>237710</v>
      </c>
      <c r="Q335" s="344">
        <f t="shared" si="17"/>
        <v>0</v>
      </c>
      <c r="R335" s="328">
        <f t="shared" si="18"/>
        <v>237710</v>
      </c>
    </row>
    <row r="336" spans="1:18" hidden="1">
      <c r="A336" s="318" t="s">
        <v>863</v>
      </c>
      <c r="B336" s="313" t="s">
        <v>278</v>
      </c>
      <c r="C336" s="313" t="s">
        <v>584</v>
      </c>
      <c r="D336" s="313" t="s">
        <v>367</v>
      </c>
      <c r="E336" s="322" t="s">
        <v>367</v>
      </c>
      <c r="F336" s="313" t="s">
        <v>974</v>
      </c>
      <c r="G336" s="339">
        <v>0</v>
      </c>
      <c r="H336" s="340">
        <v>0</v>
      </c>
      <c r="I336" s="339">
        <v>309780</v>
      </c>
      <c r="J336" s="340">
        <v>29250</v>
      </c>
      <c r="K336" s="341">
        <v>280530</v>
      </c>
      <c r="L336" s="342">
        <v>0</v>
      </c>
      <c r="M336" s="336"/>
      <c r="N336" s="343"/>
      <c r="O336" s="344"/>
      <c r="P336" s="343">
        <f t="shared" si="16"/>
        <v>280530</v>
      </c>
      <c r="Q336" s="344">
        <f t="shared" si="17"/>
        <v>0</v>
      </c>
      <c r="R336" s="328">
        <f t="shared" si="18"/>
        <v>280530</v>
      </c>
    </row>
    <row r="337" spans="1:18" hidden="1">
      <c r="A337" s="318" t="s">
        <v>864</v>
      </c>
      <c r="B337" s="313" t="s">
        <v>279</v>
      </c>
      <c r="C337" s="313" t="s">
        <v>584</v>
      </c>
      <c r="D337" s="313" t="s">
        <v>366</v>
      </c>
      <c r="E337" s="322" t="s">
        <v>366</v>
      </c>
      <c r="F337" s="313" t="s">
        <v>974</v>
      </c>
      <c r="G337" s="339">
        <v>0</v>
      </c>
      <c r="H337" s="340">
        <v>0</v>
      </c>
      <c r="I337" s="339">
        <v>569792</v>
      </c>
      <c r="J337" s="340">
        <v>65000</v>
      </c>
      <c r="K337" s="341">
        <v>504792</v>
      </c>
      <c r="L337" s="342">
        <v>0</v>
      </c>
      <c r="M337" s="336"/>
      <c r="N337" s="343"/>
      <c r="O337" s="344"/>
      <c r="P337" s="343">
        <f t="shared" si="16"/>
        <v>504792</v>
      </c>
      <c r="Q337" s="344">
        <f t="shared" si="17"/>
        <v>0</v>
      </c>
      <c r="R337" s="328">
        <f t="shared" si="18"/>
        <v>504792</v>
      </c>
    </row>
    <row r="338" spans="1:18" hidden="1">
      <c r="A338" s="318" t="s">
        <v>865</v>
      </c>
      <c r="B338" s="313" t="s">
        <v>280</v>
      </c>
      <c r="C338" s="313" t="s">
        <v>584</v>
      </c>
      <c r="D338" s="313" t="s">
        <v>368</v>
      </c>
      <c r="E338" s="322" t="s">
        <v>368</v>
      </c>
      <c r="F338" s="313" t="s">
        <v>974</v>
      </c>
      <c r="G338" s="339">
        <v>0</v>
      </c>
      <c r="H338" s="340">
        <v>0</v>
      </c>
      <c r="I338" s="339">
        <v>678124</v>
      </c>
      <c r="J338" s="340">
        <v>0</v>
      </c>
      <c r="K338" s="341">
        <v>678124</v>
      </c>
      <c r="L338" s="342">
        <v>0</v>
      </c>
      <c r="M338" s="336"/>
      <c r="N338" s="343"/>
      <c r="O338" s="344">
        <f>Adjustments!E43</f>
        <v>200</v>
      </c>
      <c r="P338" s="343">
        <f t="shared" si="16"/>
        <v>678124</v>
      </c>
      <c r="Q338" s="344">
        <f t="shared" si="17"/>
        <v>200</v>
      </c>
      <c r="R338" s="328">
        <f t="shared" si="18"/>
        <v>677924</v>
      </c>
    </row>
    <row r="339" spans="1:18" hidden="1">
      <c r="A339" s="318" t="s">
        <v>866</v>
      </c>
      <c r="B339" s="313" t="s">
        <v>281</v>
      </c>
      <c r="C339" s="313" t="s">
        <v>584</v>
      </c>
      <c r="D339" s="313" t="s">
        <v>368</v>
      </c>
      <c r="E339" s="322" t="s">
        <v>368</v>
      </c>
      <c r="F339" s="313" t="s">
        <v>974</v>
      </c>
      <c r="G339" s="339">
        <v>0</v>
      </c>
      <c r="H339" s="340">
        <v>0</v>
      </c>
      <c r="I339" s="339">
        <v>5155</v>
      </c>
      <c r="J339" s="340">
        <v>0</v>
      </c>
      <c r="K339" s="341">
        <v>5155</v>
      </c>
      <c r="L339" s="342">
        <v>0</v>
      </c>
      <c r="M339" s="336"/>
      <c r="N339" s="343"/>
      <c r="O339" s="344"/>
      <c r="P339" s="343">
        <f t="shared" si="16"/>
        <v>5155</v>
      </c>
      <c r="Q339" s="344">
        <f t="shared" si="17"/>
        <v>0</v>
      </c>
      <c r="R339" s="328">
        <f t="shared" si="18"/>
        <v>5155</v>
      </c>
    </row>
    <row r="340" spans="1:18" hidden="1">
      <c r="A340" s="318" t="s">
        <v>867</v>
      </c>
      <c r="B340" s="313" t="s">
        <v>282</v>
      </c>
      <c r="C340" s="313" t="s">
        <v>584</v>
      </c>
      <c r="D340" s="313" t="s">
        <v>369</v>
      </c>
      <c r="E340" s="322" t="s">
        <v>369</v>
      </c>
      <c r="F340" s="313" t="s">
        <v>974</v>
      </c>
      <c r="G340" s="339">
        <v>0</v>
      </c>
      <c r="H340" s="340">
        <v>0</v>
      </c>
      <c r="I340" s="339">
        <v>148074</v>
      </c>
      <c r="J340" s="340">
        <v>0</v>
      </c>
      <c r="K340" s="341">
        <v>148074</v>
      </c>
      <c r="L340" s="342">
        <v>0</v>
      </c>
      <c r="M340" s="336"/>
      <c r="N340" s="343"/>
      <c r="O340" s="344">
        <f>Adjustments!E44</f>
        <v>1440</v>
      </c>
      <c r="P340" s="343">
        <f t="shared" si="16"/>
        <v>148074</v>
      </c>
      <c r="Q340" s="344">
        <f t="shared" si="17"/>
        <v>1440</v>
      </c>
      <c r="R340" s="328">
        <f t="shared" si="18"/>
        <v>146634</v>
      </c>
    </row>
    <row r="341" spans="1:18" hidden="1">
      <c r="A341" s="318" t="s">
        <v>868</v>
      </c>
      <c r="B341" s="313" t="s">
        <v>283</v>
      </c>
      <c r="C341" s="313" t="s">
        <v>584</v>
      </c>
      <c r="D341" s="313" t="s">
        <v>370</v>
      </c>
      <c r="E341" s="322" t="s">
        <v>370</v>
      </c>
      <c r="F341" s="313" t="s">
        <v>974</v>
      </c>
      <c r="G341" s="339">
        <v>0</v>
      </c>
      <c r="H341" s="340">
        <v>0</v>
      </c>
      <c r="I341" s="339">
        <v>182724</v>
      </c>
      <c r="J341" s="340">
        <v>0</v>
      </c>
      <c r="K341" s="341">
        <v>182724</v>
      </c>
      <c r="L341" s="342">
        <v>0</v>
      </c>
      <c r="M341" s="336"/>
      <c r="N341" s="343"/>
      <c r="O341" s="344"/>
      <c r="P341" s="343">
        <f t="shared" si="16"/>
        <v>182724</v>
      </c>
      <c r="Q341" s="344">
        <f t="shared" si="17"/>
        <v>0</v>
      </c>
      <c r="R341" s="328">
        <f t="shared" si="18"/>
        <v>182724</v>
      </c>
    </row>
    <row r="342" spans="1:18" hidden="1">
      <c r="A342" s="318" t="s">
        <v>869</v>
      </c>
      <c r="B342" s="313" t="s">
        <v>284</v>
      </c>
      <c r="C342" s="313" t="s">
        <v>584</v>
      </c>
      <c r="D342" s="313" t="s">
        <v>370</v>
      </c>
      <c r="E342" s="322" t="s">
        <v>370</v>
      </c>
      <c r="F342" s="313" t="s">
        <v>974</v>
      </c>
      <c r="G342" s="339">
        <v>0</v>
      </c>
      <c r="H342" s="340">
        <v>0</v>
      </c>
      <c r="I342" s="339">
        <v>23740</v>
      </c>
      <c r="J342" s="340">
        <v>0</v>
      </c>
      <c r="K342" s="341">
        <v>23740</v>
      </c>
      <c r="L342" s="342">
        <v>0</v>
      </c>
      <c r="M342" s="336"/>
      <c r="N342" s="343"/>
      <c r="O342" s="344"/>
      <c r="P342" s="343">
        <f t="shared" si="16"/>
        <v>23740</v>
      </c>
      <c r="Q342" s="344">
        <f t="shared" si="17"/>
        <v>0</v>
      </c>
      <c r="R342" s="328">
        <f t="shared" si="18"/>
        <v>23740</v>
      </c>
    </row>
    <row r="343" spans="1:18" hidden="1">
      <c r="A343" s="318" t="s">
        <v>870</v>
      </c>
      <c r="B343" s="313" t="s">
        <v>285</v>
      </c>
      <c r="C343" s="313" t="s">
        <v>584</v>
      </c>
      <c r="D343" s="313" t="s">
        <v>371</v>
      </c>
      <c r="E343" s="322" t="s">
        <v>371</v>
      </c>
      <c r="F343" s="313" t="s">
        <v>974</v>
      </c>
      <c r="G343" s="339">
        <v>0</v>
      </c>
      <c r="H343" s="340">
        <v>0</v>
      </c>
      <c r="I343" s="339">
        <v>39600</v>
      </c>
      <c r="J343" s="340">
        <v>0</v>
      </c>
      <c r="K343" s="341">
        <v>39600</v>
      </c>
      <c r="L343" s="342">
        <v>0</v>
      </c>
      <c r="M343" s="336"/>
      <c r="N343" s="343"/>
      <c r="O343" s="344"/>
      <c r="P343" s="343">
        <f t="shared" si="16"/>
        <v>39600</v>
      </c>
      <c r="Q343" s="344">
        <f t="shared" si="17"/>
        <v>0</v>
      </c>
      <c r="R343" s="328">
        <f t="shared" si="18"/>
        <v>39600</v>
      </c>
    </row>
    <row r="344" spans="1:18" hidden="1">
      <c r="A344" s="318" t="s">
        <v>871</v>
      </c>
      <c r="B344" s="313" t="s">
        <v>286</v>
      </c>
      <c r="C344" s="313" t="s">
        <v>584</v>
      </c>
      <c r="D344" s="313" t="s">
        <v>371</v>
      </c>
      <c r="E344" s="322" t="s">
        <v>371</v>
      </c>
      <c r="F344" s="313" t="s">
        <v>974</v>
      </c>
      <c r="G344" s="339">
        <v>0</v>
      </c>
      <c r="H344" s="340">
        <v>0</v>
      </c>
      <c r="I344" s="339">
        <v>25720</v>
      </c>
      <c r="J344" s="340">
        <v>0</v>
      </c>
      <c r="K344" s="341">
        <v>25720</v>
      </c>
      <c r="L344" s="342">
        <v>0</v>
      </c>
      <c r="M344" s="336"/>
      <c r="N344" s="343"/>
      <c r="O344" s="344">
        <f>Adjustments!E39</f>
        <v>13750</v>
      </c>
      <c r="P344" s="343">
        <f t="shared" si="16"/>
        <v>25720</v>
      </c>
      <c r="Q344" s="344">
        <f t="shared" si="17"/>
        <v>13750</v>
      </c>
      <c r="R344" s="328">
        <f t="shared" si="18"/>
        <v>11970</v>
      </c>
    </row>
    <row r="345" spans="1:18" hidden="1">
      <c r="A345" s="318" t="s">
        <v>872</v>
      </c>
      <c r="B345" s="313" t="s">
        <v>287</v>
      </c>
      <c r="C345" s="313" t="s">
        <v>584</v>
      </c>
      <c r="D345" s="313" t="s">
        <v>374</v>
      </c>
      <c r="E345" s="322" t="s">
        <v>374</v>
      </c>
      <c r="F345" s="313" t="s">
        <v>974</v>
      </c>
      <c r="G345" s="339">
        <v>0</v>
      </c>
      <c r="H345" s="340">
        <v>0</v>
      </c>
      <c r="I345" s="339">
        <v>38201</v>
      </c>
      <c r="J345" s="340">
        <v>0</v>
      </c>
      <c r="K345" s="341">
        <v>38201</v>
      </c>
      <c r="L345" s="342">
        <v>0</v>
      </c>
      <c r="M345" s="336"/>
      <c r="N345" s="343"/>
      <c r="O345" s="344"/>
      <c r="P345" s="343">
        <f t="shared" si="16"/>
        <v>38201</v>
      </c>
      <c r="Q345" s="344">
        <f t="shared" si="17"/>
        <v>0</v>
      </c>
      <c r="R345" s="328">
        <f t="shared" si="18"/>
        <v>38201</v>
      </c>
    </row>
    <row r="346" spans="1:18" hidden="1">
      <c r="A346" s="318" t="s">
        <v>873</v>
      </c>
      <c r="B346" s="313" t="s">
        <v>288</v>
      </c>
      <c r="C346" s="313" t="s">
        <v>584</v>
      </c>
      <c r="D346" s="313" t="s">
        <v>375</v>
      </c>
      <c r="E346" s="322" t="s">
        <v>375</v>
      </c>
      <c r="F346" s="313" t="s">
        <v>974</v>
      </c>
      <c r="G346" s="339">
        <v>0</v>
      </c>
      <c r="H346" s="340">
        <v>0</v>
      </c>
      <c r="I346" s="339">
        <v>80147</v>
      </c>
      <c r="J346" s="340">
        <v>0</v>
      </c>
      <c r="K346" s="341">
        <v>80147</v>
      </c>
      <c r="L346" s="342">
        <v>0</v>
      </c>
      <c r="M346" s="336"/>
      <c r="N346" s="343"/>
      <c r="O346" s="344"/>
      <c r="P346" s="343">
        <f t="shared" si="16"/>
        <v>80147</v>
      </c>
      <c r="Q346" s="344">
        <f t="shared" si="17"/>
        <v>0</v>
      </c>
      <c r="R346" s="328">
        <f t="shared" si="18"/>
        <v>80147</v>
      </c>
    </row>
    <row r="347" spans="1:18" hidden="1">
      <c r="A347" s="318" t="s">
        <v>874</v>
      </c>
      <c r="B347" s="313" t="s">
        <v>289</v>
      </c>
      <c r="C347" s="313" t="s">
        <v>584</v>
      </c>
      <c r="D347" s="313" t="s">
        <v>375</v>
      </c>
      <c r="E347" s="322" t="s">
        <v>375</v>
      </c>
      <c r="F347" s="313" t="s">
        <v>974</v>
      </c>
      <c r="G347" s="339">
        <v>0</v>
      </c>
      <c r="H347" s="340">
        <v>0</v>
      </c>
      <c r="I347" s="339">
        <v>34617</v>
      </c>
      <c r="J347" s="340">
        <v>0</v>
      </c>
      <c r="K347" s="341">
        <v>34617</v>
      </c>
      <c r="L347" s="342">
        <v>0</v>
      </c>
      <c r="M347" s="336"/>
      <c r="N347" s="343"/>
      <c r="O347" s="344"/>
      <c r="P347" s="343">
        <f t="shared" si="16"/>
        <v>34617</v>
      </c>
      <c r="Q347" s="344">
        <f t="shared" si="17"/>
        <v>0</v>
      </c>
      <c r="R347" s="328">
        <f t="shared" si="18"/>
        <v>34617</v>
      </c>
    </row>
    <row r="348" spans="1:18" hidden="1">
      <c r="A348" s="318" t="s">
        <v>875</v>
      </c>
      <c r="B348" s="313" t="s">
        <v>290</v>
      </c>
      <c r="C348" s="313" t="s">
        <v>584</v>
      </c>
      <c r="D348" s="313" t="s">
        <v>376</v>
      </c>
      <c r="E348" s="322" t="s">
        <v>376</v>
      </c>
      <c r="F348" s="313" t="s">
        <v>974</v>
      </c>
      <c r="G348" s="339">
        <v>0</v>
      </c>
      <c r="H348" s="340">
        <v>0</v>
      </c>
      <c r="I348" s="339">
        <v>222454</v>
      </c>
      <c r="J348" s="340">
        <v>375</v>
      </c>
      <c r="K348" s="341">
        <v>222079</v>
      </c>
      <c r="L348" s="342">
        <v>0</v>
      </c>
      <c r="M348" s="336"/>
      <c r="N348" s="343"/>
      <c r="O348" s="344">
        <f>Adjustments!E41</f>
        <v>600</v>
      </c>
      <c r="P348" s="343">
        <f t="shared" si="16"/>
        <v>222079</v>
      </c>
      <c r="Q348" s="344">
        <f t="shared" si="17"/>
        <v>600</v>
      </c>
      <c r="R348" s="328">
        <f t="shared" si="18"/>
        <v>221479</v>
      </c>
    </row>
    <row r="349" spans="1:18" hidden="1">
      <c r="A349" s="318" t="s">
        <v>876</v>
      </c>
      <c r="B349" s="313" t="s">
        <v>291</v>
      </c>
      <c r="C349" s="313" t="s">
        <v>584</v>
      </c>
      <c r="D349" s="313" t="s">
        <v>368</v>
      </c>
      <c r="E349" s="322" t="s">
        <v>368</v>
      </c>
      <c r="F349" s="313" t="s">
        <v>974</v>
      </c>
      <c r="G349" s="339">
        <v>0</v>
      </c>
      <c r="H349" s="340">
        <v>0</v>
      </c>
      <c r="I349" s="339">
        <v>46320</v>
      </c>
      <c r="J349" s="340">
        <v>0</v>
      </c>
      <c r="K349" s="341">
        <v>46320</v>
      </c>
      <c r="L349" s="342">
        <v>0</v>
      </c>
      <c r="M349" s="336"/>
      <c r="N349" s="343"/>
      <c r="O349" s="344">
        <f>Adjustments!E45</f>
        <v>840</v>
      </c>
      <c r="P349" s="343">
        <f t="shared" si="16"/>
        <v>46320</v>
      </c>
      <c r="Q349" s="344">
        <f t="shared" si="17"/>
        <v>840</v>
      </c>
      <c r="R349" s="328">
        <f t="shared" si="18"/>
        <v>45480</v>
      </c>
    </row>
    <row r="350" spans="1:18" hidden="1">
      <c r="A350" s="318" t="s">
        <v>877</v>
      </c>
      <c r="B350" s="313" t="s">
        <v>292</v>
      </c>
      <c r="C350" s="313" t="s">
        <v>584</v>
      </c>
      <c r="D350" s="313" t="s">
        <v>368</v>
      </c>
      <c r="E350" s="322" t="s">
        <v>368</v>
      </c>
      <c r="F350" s="313" t="s">
        <v>974</v>
      </c>
      <c r="G350" s="339">
        <v>0</v>
      </c>
      <c r="H350" s="340">
        <v>0</v>
      </c>
      <c r="I350" s="339">
        <v>172517</v>
      </c>
      <c r="J350" s="340">
        <v>68000</v>
      </c>
      <c r="K350" s="341">
        <v>104517</v>
      </c>
      <c r="L350" s="342">
        <v>0</v>
      </c>
      <c r="M350" s="336"/>
      <c r="N350" s="343"/>
      <c r="O350" s="344">
        <f>Adjustments!E40</f>
        <v>2000</v>
      </c>
      <c r="P350" s="343">
        <f t="shared" si="16"/>
        <v>104517</v>
      </c>
      <c r="Q350" s="344">
        <f t="shared" si="17"/>
        <v>2000</v>
      </c>
      <c r="R350" s="328">
        <f t="shared" si="18"/>
        <v>102517</v>
      </c>
    </row>
    <row r="351" spans="1:18" hidden="1">
      <c r="A351" s="318" t="s">
        <v>878</v>
      </c>
      <c r="B351" s="313" t="s">
        <v>293</v>
      </c>
      <c r="C351" s="313" t="s">
        <v>584</v>
      </c>
      <c r="D351" s="313" t="s">
        <v>368</v>
      </c>
      <c r="E351" s="322" t="s">
        <v>368</v>
      </c>
      <c r="F351" s="313" t="s">
        <v>974</v>
      </c>
      <c r="G351" s="339">
        <v>0</v>
      </c>
      <c r="H351" s="340">
        <v>0</v>
      </c>
      <c r="I351" s="339">
        <v>589018</v>
      </c>
      <c r="J351" s="340">
        <v>0</v>
      </c>
      <c r="K351" s="341">
        <v>589018</v>
      </c>
      <c r="L351" s="342">
        <v>0</v>
      </c>
      <c r="M351" s="336"/>
      <c r="N351" s="343"/>
      <c r="O351" s="344"/>
      <c r="P351" s="343">
        <f t="shared" si="16"/>
        <v>589018</v>
      </c>
      <c r="Q351" s="344">
        <f t="shared" si="17"/>
        <v>0</v>
      </c>
      <c r="R351" s="328">
        <f t="shared" si="18"/>
        <v>589018</v>
      </c>
    </row>
    <row r="352" spans="1:18" ht="20" hidden="1">
      <c r="A352" s="318" t="s">
        <v>879</v>
      </c>
      <c r="B352" s="313" t="s">
        <v>420</v>
      </c>
      <c r="C352" s="313" t="s">
        <v>573</v>
      </c>
      <c r="D352" s="313" t="s">
        <v>384</v>
      </c>
      <c r="E352" s="322" t="s">
        <v>384</v>
      </c>
      <c r="F352" s="313" t="s">
        <v>974</v>
      </c>
      <c r="G352" s="339">
        <v>0</v>
      </c>
      <c r="H352" s="340">
        <v>0</v>
      </c>
      <c r="I352" s="339">
        <v>7650</v>
      </c>
      <c r="J352" s="340">
        <v>0</v>
      </c>
      <c r="K352" s="341">
        <v>7650</v>
      </c>
      <c r="L352" s="342">
        <v>0</v>
      </c>
      <c r="M352" s="336"/>
      <c r="N352" s="343"/>
      <c r="O352" s="344"/>
      <c r="P352" s="343">
        <f t="shared" si="16"/>
        <v>7650</v>
      </c>
      <c r="Q352" s="344">
        <f t="shared" si="17"/>
        <v>0</v>
      </c>
      <c r="R352" s="328">
        <f t="shared" si="18"/>
        <v>7650</v>
      </c>
    </row>
    <row r="353" spans="1:18" hidden="1">
      <c r="A353" s="318" t="s">
        <v>880</v>
      </c>
      <c r="B353" s="313" t="s">
        <v>294</v>
      </c>
      <c r="C353" s="313" t="s">
        <v>584</v>
      </c>
      <c r="D353" s="313" t="s">
        <v>375</v>
      </c>
      <c r="E353" s="322" t="s">
        <v>375</v>
      </c>
      <c r="F353" s="313" t="s">
        <v>974</v>
      </c>
      <c r="G353" s="339">
        <v>0</v>
      </c>
      <c r="H353" s="340">
        <v>0</v>
      </c>
      <c r="I353" s="339">
        <v>85024</v>
      </c>
      <c r="J353" s="340">
        <v>0</v>
      </c>
      <c r="K353" s="341">
        <v>85024</v>
      </c>
      <c r="L353" s="342">
        <v>0</v>
      </c>
      <c r="M353" s="336"/>
      <c r="N353" s="343"/>
      <c r="O353" s="344"/>
      <c r="P353" s="343">
        <f t="shared" si="16"/>
        <v>85024</v>
      </c>
      <c r="Q353" s="344">
        <f t="shared" si="17"/>
        <v>0</v>
      </c>
      <c r="R353" s="328">
        <f t="shared" si="18"/>
        <v>85024</v>
      </c>
    </row>
    <row r="354" spans="1:18" hidden="1">
      <c r="A354" s="318" t="s">
        <v>881</v>
      </c>
      <c r="B354" s="313" t="s">
        <v>295</v>
      </c>
      <c r="C354" s="313" t="s">
        <v>584</v>
      </c>
      <c r="D354" s="316" t="s">
        <v>377</v>
      </c>
      <c r="E354" s="322" t="s">
        <v>377</v>
      </c>
      <c r="F354" s="313" t="s">
        <v>974</v>
      </c>
      <c r="G354" s="339">
        <v>0</v>
      </c>
      <c r="H354" s="340">
        <v>0</v>
      </c>
      <c r="I354" s="339">
        <v>46284</v>
      </c>
      <c r="J354" s="340">
        <v>0</v>
      </c>
      <c r="K354" s="341">
        <v>46284</v>
      </c>
      <c r="L354" s="342">
        <v>0</v>
      </c>
      <c r="M354" s="336"/>
      <c r="N354" s="343">
        <f>Adjustments!D13+Adjustments!D29</f>
        <v>247360</v>
      </c>
      <c r="O354" s="344"/>
      <c r="P354" s="343">
        <f t="shared" si="16"/>
        <v>293644</v>
      </c>
      <c r="Q354" s="344">
        <f t="shared" si="17"/>
        <v>0</v>
      </c>
      <c r="R354" s="328">
        <f t="shared" si="18"/>
        <v>293644</v>
      </c>
    </row>
    <row r="355" spans="1:18" hidden="1">
      <c r="A355" s="318" t="s">
        <v>882</v>
      </c>
      <c r="B355" s="313" t="s">
        <v>296</v>
      </c>
      <c r="C355" s="313" t="s">
        <v>584</v>
      </c>
      <c r="D355" s="313" t="s">
        <v>379</v>
      </c>
      <c r="E355" s="322" t="s">
        <v>379</v>
      </c>
      <c r="F355" s="313" t="s">
        <v>974</v>
      </c>
      <c r="G355" s="339">
        <v>0</v>
      </c>
      <c r="H355" s="340">
        <v>0</v>
      </c>
      <c r="I355" s="339">
        <v>50000</v>
      </c>
      <c r="J355" s="340">
        <v>0</v>
      </c>
      <c r="K355" s="341">
        <v>50000</v>
      </c>
      <c r="L355" s="342">
        <v>0</v>
      </c>
      <c r="M355" s="336"/>
      <c r="N355" s="343"/>
      <c r="O355" s="344"/>
      <c r="P355" s="343">
        <f t="shared" si="16"/>
        <v>50000</v>
      </c>
      <c r="Q355" s="344">
        <f t="shared" si="17"/>
        <v>0</v>
      </c>
      <c r="R355" s="328">
        <f t="shared" si="18"/>
        <v>50000</v>
      </c>
    </row>
    <row r="356" spans="1:18" hidden="1">
      <c r="A356" s="318" t="s">
        <v>883</v>
      </c>
      <c r="B356" s="313" t="s">
        <v>297</v>
      </c>
      <c r="C356" s="313" t="s">
        <v>584</v>
      </c>
      <c r="D356" s="313" t="s">
        <v>373</v>
      </c>
      <c r="E356" s="322" t="s">
        <v>373</v>
      </c>
      <c r="F356" s="313" t="s">
        <v>974</v>
      </c>
      <c r="G356" s="339">
        <v>0</v>
      </c>
      <c r="H356" s="340">
        <v>0</v>
      </c>
      <c r="I356" s="339">
        <v>8350</v>
      </c>
      <c r="J356" s="340">
        <v>0</v>
      </c>
      <c r="K356" s="341">
        <v>8350</v>
      </c>
      <c r="L356" s="342">
        <v>0</v>
      </c>
      <c r="M356" s="336"/>
      <c r="N356" s="343"/>
      <c r="O356" s="344"/>
      <c r="P356" s="343">
        <f t="shared" si="16"/>
        <v>8350</v>
      </c>
      <c r="Q356" s="344">
        <f t="shared" si="17"/>
        <v>0</v>
      </c>
      <c r="R356" s="328">
        <f t="shared" si="18"/>
        <v>8350</v>
      </c>
    </row>
    <row r="357" spans="1:18" hidden="1">
      <c r="A357" s="318" t="s">
        <v>884</v>
      </c>
      <c r="B357" s="313" t="s">
        <v>298</v>
      </c>
      <c r="C357" s="313" t="s">
        <v>573</v>
      </c>
      <c r="D357" s="313" t="s">
        <v>381</v>
      </c>
      <c r="E357" s="322" t="s">
        <v>381</v>
      </c>
      <c r="F357" s="313" t="s">
        <v>974</v>
      </c>
      <c r="G357" s="339">
        <v>0</v>
      </c>
      <c r="H357" s="340">
        <v>0</v>
      </c>
      <c r="I357" s="339">
        <v>52400</v>
      </c>
      <c r="J357" s="340">
        <v>0</v>
      </c>
      <c r="K357" s="341">
        <v>52400</v>
      </c>
      <c r="L357" s="342">
        <v>0</v>
      </c>
      <c r="M357" s="336"/>
      <c r="N357" s="343">
        <f>Adjustments!D52+Adjustments!D66+Adjustments!D82</f>
        <v>4800</v>
      </c>
      <c r="O357" s="344"/>
      <c r="P357" s="343">
        <f t="shared" si="16"/>
        <v>57200</v>
      </c>
      <c r="Q357" s="344">
        <f t="shared" si="17"/>
        <v>0</v>
      </c>
      <c r="R357" s="328">
        <f t="shared" si="18"/>
        <v>57200</v>
      </c>
    </row>
    <row r="358" spans="1:18" hidden="1">
      <c r="A358" s="318" t="s">
        <v>885</v>
      </c>
      <c r="B358" s="313" t="s">
        <v>299</v>
      </c>
      <c r="C358" s="313" t="s">
        <v>573</v>
      </c>
      <c r="D358" s="313" t="s">
        <v>381</v>
      </c>
      <c r="E358" s="322" t="s">
        <v>381</v>
      </c>
      <c r="F358" s="313" t="s">
        <v>974</v>
      </c>
      <c r="G358" s="339">
        <v>0</v>
      </c>
      <c r="H358" s="340">
        <v>0</v>
      </c>
      <c r="I358" s="339">
        <v>63360</v>
      </c>
      <c r="J358" s="340">
        <v>0</v>
      </c>
      <c r="K358" s="341">
        <v>63360</v>
      </c>
      <c r="L358" s="342">
        <v>0</v>
      </c>
      <c r="M358" s="336"/>
      <c r="N358" s="343"/>
      <c r="O358" s="344"/>
      <c r="P358" s="343">
        <f t="shared" si="16"/>
        <v>63360</v>
      </c>
      <c r="Q358" s="344">
        <f t="shared" si="17"/>
        <v>0</v>
      </c>
      <c r="R358" s="328">
        <f t="shared" si="18"/>
        <v>63360</v>
      </c>
    </row>
    <row r="359" spans="1:18" hidden="1">
      <c r="A359" s="318" t="s">
        <v>886</v>
      </c>
      <c r="B359" s="313" t="s">
        <v>300</v>
      </c>
      <c r="C359" s="313" t="s">
        <v>573</v>
      </c>
      <c r="D359" s="313" t="s">
        <v>381</v>
      </c>
      <c r="E359" s="322" t="s">
        <v>381</v>
      </c>
      <c r="F359" s="313" t="s">
        <v>974</v>
      </c>
      <c r="G359" s="339">
        <v>0</v>
      </c>
      <c r="H359" s="340">
        <v>0</v>
      </c>
      <c r="I359" s="339">
        <v>34000</v>
      </c>
      <c r="J359" s="340">
        <v>0</v>
      </c>
      <c r="K359" s="341">
        <v>34000</v>
      </c>
      <c r="L359" s="342">
        <v>0</v>
      </c>
      <c r="M359" s="336"/>
      <c r="N359" s="343"/>
      <c r="O359" s="344"/>
      <c r="P359" s="343">
        <f t="shared" si="16"/>
        <v>34000</v>
      </c>
      <c r="Q359" s="344">
        <f t="shared" si="17"/>
        <v>0</v>
      </c>
      <c r="R359" s="328">
        <f t="shared" si="18"/>
        <v>34000</v>
      </c>
    </row>
    <row r="360" spans="1:18" hidden="1">
      <c r="A360" s="318" t="s">
        <v>887</v>
      </c>
      <c r="B360" s="313" t="s">
        <v>304</v>
      </c>
      <c r="C360" s="313" t="s">
        <v>641</v>
      </c>
      <c r="D360" s="313" t="s">
        <v>382</v>
      </c>
      <c r="E360" s="322" t="s">
        <v>382</v>
      </c>
      <c r="F360" s="313" t="s">
        <v>974</v>
      </c>
      <c r="G360" s="339">
        <v>0</v>
      </c>
      <c r="H360" s="340">
        <v>0</v>
      </c>
      <c r="I360" s="339">
        <v>8304.5</v>
      </c>
      <c r="J360" s="340">
        <v>0</v>
      </c>
      <c r="K360" s="341">
        <v>8304.5</v>
      </c>
      <c r="L360" s="342">
        <v>0</v>
      </c>
      <c r="M360" s="336"/>
      <c r="N360" s="343"/>
      <c r="O360" s="344"/>
      <c r="P360" s="343">
        <f t="shared" si="16"/>
        <v>8304.5</v>
      </c>
      <c r="Q360" s="344">
        <f t="shared" si="17"/>
        <v>0</v>
      </c>
      <c r="R360" s="328">
        <f t="shared" si="18"/>
        <v>8304.5</v>
      </c>
    </row>
    <row r="361" spans="1:18" hidden="1">
      <c r="A361" s="318" t="s">
        <v>887</v>
      </c>
      <c r="B361" s="313" t="s">
        <v>673</v>
      </c>
      <c r="C361" s="313" t="s">
        <v>641</v>
      </c>
      <c r="D361" s="313" t="s">
        <v>382</v>
      </c>
      <c r="E361" s="322" t="s">
        <v>382</v>
      </c>
      <c r="F361" s="313" t="s">
        <v>1017</v>
      </c>
      <c r="G361" s="339">
        <v>0</v>
      </c>
      <c r="H361" s="340">
        <v>0</v>
      </c>
      <c r="I361" s="339">
        <v>237.21</v>
      </c>
      <c r="J361" s="340">
        <v>0</v>
      </c>
      <c r="K361" s="341">
        <v>237.21</v>
      </c>
      <c r="L361" s="342">
        <v>0</v>
      </c>
      <c r="M361" s="336"/>
      <c r="N361" s="343"/>
      <c r="O361" s="344"/>
      <c r="P361" s="343">
        <f t="shared" si="16"/>
        <v>237.21</v>
      </c>
      <c r="Q361" s="344">
        <f t="shared" si="17"/>
        <v>0</v>
      </c>
      <c r="R361" s="328">
        <f t="shared" si="18"/>
        <v>237.21</v>
      </c>
    </row>
    <row r="362" spans="1:18" hidden="1">
      <c r="A362" s="318" t="s">
        <v>887</v>
      </c>
      <c r="B362" s="313" t="s">
        <v>305</v>
      </c>
      <c r="C362" s="313" t="s">
        <v>641</v>
      </c>
      <c r="D362" s="313" t="s">
        <v>382</v>
      </c>
      <c r="E362" s="322" t="s">
        <v>382</v>
      </c>
      <c r="F362" s="313" t="s">
        <v>1024</v>
      </c>
      <c r="G362" s="339">
        <v>0</v>
      </c>
      <c r="H362" s="340">
        <v>0</v>
      </c>
      <c r="I362" s="339">
        <v>118.65</v>
      </c>
      <c r="J362" s="340">
        <v>0</v>
      </c>
      <c r="K362" s="341">
        <v>118.65</v>
      </c>
      <c r="L362" s="342">
        <v>0</v>
      </c>
      <c r="M362" s="336"/>
      <c r="N362" s="343"/>
      <c r="O362" s="344"/>
      <c r="P362" s="343">
        <f t="shared" si="16"/>
        <v>118.65</v>
      </c>
      <c r="Q362" s="344">
        <f t="shared" si="17"/>
        <v>0</v>
      </c>
      <c r="R362" s="328">
        <f t="shared" si="18"/>
        <v>118.65</v>
      </c>
    </row>
    <row r="363" spans="1:18" hidden="1">
      <c r="A363" s="318" t="s">
        <v>887</v>
      </c>
      <c r="B363" s="313" t="s">
        <v>303</v>
      </c>
      <c r="C363" s="313" t="s">
        <v>641</v>
      </c>
      <c r="D363" s="313" t="s">
        <v>382</v>
      </c>
      <c r="E363" s="322" t="s">
        <v>382</v>
      </c>
      <c r="F363" s="313" t="s">
        <v>1022</v>
      </c>
      <c r="G363" s="339">
        <v>0</v>
      </c>
      <c r="H363" s="340">
        <v>0</v>
      </c>
      <c r="I363" s="339">
        <v>2079.15</v>
      </c>
      <c r="J363" s="340">
        <v>0</v>
      </c>
      <c r="K363" s="341">
        <v>2079.15</v>
      </c>
      <c r="L363" s="342">
        <v>0</v>
      </c>
      <c r="M363" s="336"/>
      <c r="N363" s="343"/>
      <c r="O363" s="344"/>
      <c r="P363" s="343">
        <f t="shared" si="16"/>
        <v>2079.15</v>
      </c>
      <c r="Q363" s="344">
        <f t="shared" si="17"/>
        <v>0</v>
      </c>
      <c r="R363" s="328">
        <f t="shared" si="18"/>
        <v>2079.15</v>
      </c>
    </row>
    <row r="364" spans="1:18" hidden="1">
      <c r="A364" s="318" t="s">
        <v>887</v>
      </c>
      <c r="B364" s="313" t="s">
        <v>302</v>
      </c>
      <c r="C364" s="313" t="s">
        <v>641</v>
      </c>
      <c r="D364" s="313" t="s">
        <v>382</v>
      </c>
      <c r="E364" s="322" t="s">
        <v>382</v>
      </c>
      <c r="F364" s="313" t="s">
        <v>1019</v>
      </c>
      <c r="G364" s="339">
        <v>0</v>
      </c>
      <c r="H364" s="340">
        <v>0</v>
      </c>
      <c r="I364" s="339">
        <v>1711.95</v>
      </c>
      <c r="J364" s="340">
        <v>0</v>
      </c>
      <c r="K364" s="341">
        <v>1711.95</v>
      </c>
      <c r="L364" s="342">
        <v>0</v>
      </c>
      <c r="M364" s="336"/>
      <c r="N364" s="343"/>
      <c r="O364" s="344"/>
      <c r="P364" s="343">
        <f t="shared" si="16"/>
        <v>1711.95</v>
      </c>
      <c r="Q364" s="344">
        <f t="shared" si="17"/>
        <v>0</v>
      </c>
      <c r="R364" s="328">
        <f t="shared" si="18"/>
        <v>1711.95</v>
      </c>
    </row>
    <row r="365" spans="1:18" hidden="1">
      <c r="A365" s="318" t="s">
        <v>887</v>
      </c>
      <c r="B365" s="313" t="s">
        <v>421</v>
      </c>
      <c r="C365" s="313" t="s">
        <v>641</v>
      </c>
      <c r="D365" s="313" t="s">
        <v>382</v>
      </c>
      <c r="E365" s="322" t="s">
        <v>382</v>
      </c>
      <c r="F365" s="313" t="s">
        <v>1027</v>
      </c>
      <c r="G365" s="339">
        <v>0</v>
      </c>
      <c r="H365" s="340">
        <v>0</v>
      </c>
      <c r="I365" s="339">
        <v>158.19999999999999</v>
      </c>
      <c r="J365" s="340">
        <v>0</v>
      </c>
      <c r="K365" s="341">
        <v>158.19999999999999</v>
      </c>
      <c r="L365" s="342">
        <v>0</v>
      </c>
      <c r="M365" s="336"/>
      <c r="N365" s="343"/>
      <c r="O365" s="344"/>
      <c r="P365" s="343">
        <f t="shared" si="16"/>
        <v>158.19999999999999</v>
      </c>
      <c r="Q365" s="344">
        <f t="shared" si="17"/>
        <v>0</v>
      </c>
      <c r="R365" s="328">
        <f t="shared" si="18"/>
        <v>158.19999999999999</v>
      </c>
    </row>
    <row r="366" spans="1:18" hidden="1">
      <c r="A366" s="318" t="s">
        <v>887</v>
      </c>
      <c r="B366" s="313" t="s">
        <v>301</v>
      </c>
      <c r="C366" s="313" t="s">
        <v>641</v>
      </c>
      <c r="D366" s="313" t="s">
        <v>382</v>
      </c>
      <c r="E366" s="322" t="s">
        <v>382</v>
      </c>
      <c r="F366" s="313" t="s">
        <v>992</v>
      </c>
      <c r="G366" s="339">
        <v>0</v>
      </c>
      <c r="H366" s="340">
        <v>0</v>
      </c>
      <c r="I366" s="339">
        <v>378.55</v>
      </c>
      <c r="J366" s="340">
        <v>0</v>
      </c>
      <c r="K366" s="341">
        <v>378.55</v>
      </c>
      <c r="L366" s="342">
        <v>0</v>
      </c>
      <c r="M366" s="336"/>
      <c r="N366" s="343"/>
      <c r="O366" s="344"/>
      <c r="P366" s="343">
        <f t="shared" si="16"/>
        <v>378.55</v>
      </c>
      <c r="Q366" s="344">
        <f t="shared" si="17"/>
        <v>0</v>
      </c>
      <c r="R366" s="328">
        <f t="shared" si="18"/>
        <v>378.55</v>
      </c>
    </row>
    <row r="367" spans="1:18" hidden="1">
      <c r="A367" s="318" t="s">
        <v>888</v>
      </c>
      <c r="B367" s="313" t="s">
        <v>306</v>
      </c>
      <c r="C367" s="313" t="s">
        <v>584</v>
      </c>
      <c r="D367" s="313" t="s">
        <v>383</v>
      </c>
      <c r="E367" s="322" t="s">
        <v>383</v>
      </c>
      <c r="F367" s="313" t="s">
        <v>974</v>
      </c>
      <c r="G367" s="339"/>
      <c r="H367" s="340"/>
      <c r="I367" s="339">
        <v>455276</v>
      </c>
      <c r="J367" s="340"/>
      <c r="K367" s="341">
        <f t="shared" ref="K367:K372" si="19">+I367</f>
        <v>455276</v>
      </c>
      <c r="L367" s="342"/>
      <c r="M367" s="336"/>
      <c r="N367" s="343"/>
      <c r="O367" s="344"/>
      <c r="P367" s="343">
        <f t="shared" si="16"/>
        <v>455276</v>
      </c>
      <c r="Q367" s="344">
        <f t="shared" si="17"/>
        <v>0</v>
      </c>
      <c r="R367" s="328">
        <f t="shared" si="18"/>
        <v>455276</v>
      </c>
    </row>
    <row r="368" spans="1:18" hidden="1">
      <c r="A368" s="318" t="s">
        <v>889</v>
      </c>
      <c r="B368" s="313" t="s">
        <v>307</v>
      </c>
      <c r="C368" s="313" t="s">
        <v>584</v>
      </c>
      <c r="D368" s="313" t="s">
        <v>383</v>
      </c>
      <c r="E368" s="322" t="s">
        <v>383</v>
      </c>
      <c r="F368" s="313" t="s">
        <v>974</v>
      </c>
      <c r="G368" s="339"/>
      <c r="H368" s="340"/>
      <c r="I368" s="339">
        <v>62204</v>
      </c>
      <c r="J368" s="340"/>
      <c r="K368" s="341">
        <f t="shared" si="19"/>
        <v>62204</v>
      </c>
      <c r="L368" s="342"/>
      <c r="M368" s="336"/>
      <c r="N368" s="343"/>
      <c r="O368" s="344"/>
      <c r="P368" s="343">
        <f t="shared" si="16"/>
        <v>62204</v>
      </c>
      <c r="Q368" s="344">
        <f t="shared" si="17"/>
        <v>0</v>
      </c>
      <c r="R368" s="328">
        <f t="shared" si="18"/>
        <v>62204</v>
      </c>
    </row>
    <row r="369" spans="1:18" hidden="1">
      <c r="A369" s="318" t="s">
        <v>890</v>
      </c>
      <c r="B369" s="313" t="s">
        <v>308</v>
      </c>
      <c r="C369" s="313" t="s">
        <v>584</v>
      </c>
      <c r="D369" s="313" t="s">
        <v>383</v>
      </c>
      <c r="E369" s="322" t="s">
        <v>383</v>
      </c>
      <c r="F369" s="313" t="s">
        <v>974</v>
      </c>
      <c r="G369" s="339"/>
      <c r="H369" s="340"/>
      <c r="I369" s="339">
        <v>393542</v>
      </c>
      <c r="J369" s="340"/>
      <c r="K369" s="341">
        <f t="shared" si="19"/>
        <v>393542</v>
      </c>
      <c r="L369" s="342"/>
      <c r="M369" s="336"/>
      <c r="N369" s="343"/>
      <c r="O369" s="344"/>
      <c r="P369" s="343">
        <f t="shared" si="16"/>
        <v>393542</v>
      </c>
      <c r="Q369" s="344">
        <f t="shared" si="17"/>
        <v>0</v>
      </c>
      <c r="R369" s="328">
        <f t="shared" si="18"/>
        <v>393542</v>
      </c>
    </row>
    <row r="370" spans="1:18" hidden="1">
      <c r="A370" s="318" t="s">
        <v>891</v>
      </c>
      <c r="B370" s="313" t="s">
        <v>309</v>
      </c>
      <c r="C370" s="313" t="s">
        <v>584</v>
      </c>
      <c r="D370" s="313" t="s">
        <v>383</v>
      </c>
      <c r="E370" s="322" t="s">
        <v>383</v>
      </c>
      <c r="F370" s="313" t="s">
        <v>974</v>
      </c>
      <c r="G370" s="339"/>
      <c r="H370" s="340"/>
      <c r="I370" s="339">
        <v>23791</v>
      </c>
      <c r="J370" s="340"/>
      <c r="K370" s="341">
        <f t="shared" si="19"/>
        <v>23791</v>
      </c>
      <c r="L370" s="342"/>
      <c r="M370" s="336"/>
      <c r="N370" s="343"/>
      <c r="O370" s="344"/>
      <c r="P370" s="343">
        <f t="shared" si="16"/>
        <v>23791</v>
      </c>
      <c r="Q370" s="344">
        <f t="shared" si="17"/>
        <v>0</v>
      </c>
      <c r="R370" s="328">
        <f t="shared" si="18"/>
        <v>23791</v>
      </c>
    </row>
    <row r="371" spans="1:18" hidden="1">
      <c r="A371" s="318" t="s">
        <v>892</v>
      </c>
      <c r="B371" s="313" t="s">
        <v>310</v>
      </c>
      <c r="C371" s="313" t="s">
        <v>584</v>
      </c>
      <c r="D371" s="313" t="s">
        <v>383</v>
      </c>
      <c r="E371" s="322" t="s">
        <v>383</v>
      </c>
      <c r="F371" s="313" t="s">
        <v>974</v>
      </c>
      <c r="G371" s="339"/>
      <c r="H371" s="340"/>
      <c r="I371" s="339">
        <v>20854</v>
      </c>
      <c r="J371" s="340"/>
      <c r="K371" s="341">
        <f t="shared" si="19"/>
        <v>20854</v>
      </c>
      <c r="L371" s="342"/>
      <c r="M371" s="336"/>
      <c r="N371" s="343"/>
      <c r="O371" s="344"/>
      <c r="P371" s="343">
        <f t="shared" si="16"/>
        <v>20854</v>
      </c>
      <c r="Q371" s="344">
        <f t="shared" si="17"/>
        <v>0</v>
      </c>
      <c r="R371" s="328">
        <f t="shared" si="18"/>
        <v>20854</v>
      </c>
    </row>
    <row r="372" spans="1:18" hidden="1">
      <c r="A372" s="318" t="s">
        <v>893</v>
      </c>
      <c r="B372" s="313" t="s">
        <v>311</v>
      </c>
      <c r="C372" s="313" t="s">
        <v>584</v>
      </c>
      <c r="D372" s="313" t="s">
        <v>383</v>
      </c>
      <c r="E372" s="322" t="s">
        <v>383</v>
      </c>
      <c r="F372" s="313" t="s">
        <v>974</v>
      </c>
      <c r="G372" s="339"/>
      <c r="H372" s="340"/>
      <c r="I372" s="339">
        <v>285200</v>
      </c>
      <c r="J372" s="340"/>
      <c r="K372" s="341">
        <f t="shared" si="19"/>
        <v>285200</v>
      </c>
      <c r="L372" s="342"/>
      <c r="M372" s="336"/>
      <c r="N372" s="343"/>
      <c r="O372" s="344"/>
      <c r="P372" s="343">
        <f t="shared" si="16"/>
        <v>285200</v>
      </c>
      <c r="Q372" s="344">
        <f t="shared" si="17"/>
        <v>0</v>
      </c>
      <c r="R372" s="328">
        <f t="shared" si="18"/>
        <v>285200</v>
      </c>
    </row>
    <row r="373" spans="1:18" hidden="1">
      <c r="A373" s="318" t="s">
        <v>894</v>
      </c>
      <c r="B373" s="313" t="s">
        <v>312</v>
      </c>
      <c r="C373" s="313" t="s">
        <v>584</v>
      </c>
      <c r="D373" s="313" t="s">
        <v>376</v>
      </c>
      <c r="E373" s="322" t="s">
        <v>376</v>
      </c>
      <c r="F373" s="313" t="s">
        <v>974</v>
      </c>
      <c r="G373" s="339">
        <v>0</v>
      </c>
      <c r="H373" s="340">
        <v>0</v>
      </c>
      <c r="I373" s="339">
        <v>89243</v>
      </c>
      <c r="J373" s="340">
        <v>0</v>
      </c>
      <c r="K373" s="341">
        <v>89243</v>
      </c>
      <c r="L373" s="342">
        <v>0</v>
      </c>
      <c r="M373" s="336"/>
      <c r="N373" s="343"/>
      <c r="O373" s="344">
        <f>Adjustments!E42</f>
        <v>540</v>
      </c>
      <c r="P373" s="343">
        <f t="shared" si="16"/>
        <v>89243</v>
      </c>
      <c r="Q373" s="344">
        <f t="shared" si="17"/>
        <v>540</v>
      </c>
      <c r="R373" s="328">
        <f t="shared" si="18"/>
        <v>88703</v>
      </c>
    </row>
    <row r="374" spans="1:18" ht="20" hidden="1">
      <c r="A374" s="318" t="s">
        <v>895</v>
      </c>
      <c r="B374" s="313" t="s">
        <v>313</v>
      </c>
      <c r="C374" s="313" t="s">
        <v>573</v>
      </c>
      <c r="D374" s="313" t="s">
        <v>384</v>
      </c>
      <c r="E374" s="322" t="s">
        <v>384</v>
      </c>
      <c r="F374" s="313" t="s">
        <v>974</v>
      </c>
      <c r="G374" s="339">
        <v>0</v>
      </c>
      <c r="H374" s="340">
        <v>0</v>
      </c>
      <c r="I374" s="339">
        <v>46165</v>
      </c>
      <c r="J374" s="340">
        <v>0</v>
      </c>
      <c r="K374" s="341">
        <v>46165</v>
      </c>
      <c r="L374" s="342">
        <v>0</v>
      </c>
      <c r="M374" s="336"/>
      <c r="N374" s="343"/>
      <c r="O374" s="344"/>
      <c r="P374" s="343">
        <f t="shared" si="16"/>
        <v>46165</v>
      </c>
      <c r="Q374" s="344">
        <f t="shared" si="17"/>
        <v>0</v>
      </c>
      <c r="R374" s="328">
        <f t="shared" si="18"/>
        <v>46165</v>
      </c>
    </row>
    <row r="375" spans="1:18" ht="20" hidden="1">
      <c r="A375" s="318" t="s">
        <v>896</v>
      </c>
      <c r="B375" s="313" t="s">
        <v>314</v>
      </c>
      <c r="C375" s="313" t="s">
        <v>573</v>
      </c>
      <c r="D375" s="313" t="s">
        <v>384</v>
      </c>
      <c r="E375" s="322" t="s">
        <v>384</v>
      </c>
      <c r="F375" s="313" t="s">
        <v>974</v>
      </c>
      <c r="G375" s="339">
        <v>0</v>
      </c>
      <c r="H375" s="340">
        <v>0</v>
      </c>
      <c r="I375" s="339">
        <v>97000</v>
      </c>
      <c r="J375" s="340">
        <v>0</v>
      </c>
      <c r="K375" s="341">
        <v>97000</v>
      </c>
      <c r="L375" s="342">
        <v>0</v>
      </c>
      <c r="M375" s="336"/>
      <c r="N375" s="343"/>
      <c r="O375" s="344"/>
      <c r="P375" s="343">
        <f t="shared" si="16"/>
        <v>97000</v>
      </c>
      <c r="Q375" s="344">
        <f t="shared" si="17"/>
        <v>0</v>
      </c>
      <c r="R375" s="328">
        <f t="shared" si="18"/>
        <v>97000</v>
      </c>
    </row>
    <row r="376" spans="1:18" ht="20" hidden="1">
      <c r="A376" s="318" t="s">
        <v>897</v>
      </c>
      <c r="B376" s="313" t="s">
        <v>315</v>
      </c>
      <c r="C376" s="313" t="s">
        <v>573</v>
      </c>
      <c r="D376" s="313" t="s">
        <v>384</v>
      </c>
      <c r="E376" s="322" t="s">
        <v>384</v>
      </c>
      <c r="F376" s="313" t="s">
        <v>974</v>
      </c>
      <c r="G376" s="339">
        <v>0</v>
      </c>
      <c r="H376" s="340">
        <v>0</v>
      </c>
      <c r="I376" s="339">
        <v>61432</v>
      </c>
      <c r="J376" s="340">
        <v>0</v>
      </c>
      <c r="K376" s="341">
        <v>61432</v>
      </c>
      <c r="L376" s="342">
        <v>0</v>
      </c>
      <c r="M376" s="336"/>
      <c r="N376" s="343">
        <f>Adjustments!D34</f>
        <v>32500</v>
      </c>
      <c r="O376" s="344"/>
      <c r="P376" s="343">
        <f t="shared" si="16"/>
        <v>93932</v>
      </c>
      <c r="Q376" s="344">
        <f t="shared" si="17"/>
        <v>0</v>
      </c>
      <c r="R376" s="328">
        <f t="shared" si="18"/>
        <v>93932</v>
      </c>
    </row>
    <row r="377" spans="1:18" hidden="1">
      <c r="A377" s="318" t="s">
        <v>898</v>
      </c>
      <c r="B377" s="313" t="s">
        <v>316</v>
      </c>
      <c r="C377" s="313" t="s">
        <v>584</v>
      </c>
      <c r="D377" s="313" t="s">
        <v>380</v>
      </c>
      <c r="E377" s="322" t="s">
        <v>380</v>
      </c>
      <c r="F377" s="313" t="s">
        <v>974</v>
      </c>
      <c r="G377" s="339">
        <v>0</v>
      </c>
      <c r="H377" s="340">
        <v>0</v>
      </c>
      <c r="I377" s="339">
        <v>67400</v>
      </c>
      <c r="J377" s="340">
        <v>0</v>
      </c>
      <c r="K377" s="341">
        <v>67400</v>
      </c>
      <c r="L377" s="342">
        <v>0</v>
      </c>
      <c r="M377" s="336"/>
      <c r="N377" s="343"/>
      <c r="O377" s="344"/>
      <c r="P377" s="343">
        <f t="shared" si="16"/>
        <v>67400</v>
      </c>
      <c r="Q377" s="344">
        <f t="shared" si="17"/>
        <v>0</v>
      </c>
      <c r="R377" s="328">
        <f t="shared" si="18"/>
        <v>67400</v>
      </c>
    </row>
    <row r="378" spans="1:18" hidden="1">
      <c r="A378" s="318" t="s">
        <v>899</v>
      </c>
      <c r="B378" s="313" t="s">
        <v>317</v>
      </c>
      <c r="C378" s="313" t="s">
        <v>584</v>
      </c>
      <c r="D378" s="313" t="s">
        <v>589</v>
      </c>
      <c r="E378" s="322" t="s">
        <v>385</v>
      </c>
      <c r="F378" s="313" t="s">
        <v>974</v>
      </c>
      <c r="G378" s="339">
        <v>0</v>
      </c>
      <c r="H378" s="340">
        <v>0</v>
      </c>
      <c r="I378" s="339">
        <v>54000</v>
      </c>
      <c r="J378" s="340">
        <v>0</v>
      </c>
      <c r="K378" s="341">
        <v>54000</v>
      </c>
      <c r="L378" s="342">
        <v>0</v>
      </c>
      <c r="M378" s="336"/>
      <c r="N378" s="343"/>
      <c r="O378" s="344"/>
      <c r="P378" s="343">
        <f t="shared" si="16"/>
        <v>54000</v>
      </c>
      <c r="Q378" s="344">
        <f t="shared" si="17"/>
        <v>0</v>
      </c>
      <c r="R378" s="328">
        <f t="shared" si="18"/>
        <v>54000</v>
      </c>
    </row>
    <row r="379" spans="1:18" ht="20" hidden="1">
      <c r="A379" s="318" t="s">
        <v>900</v>
      </c>
      <c r="B379" s="313" t="s">
        <v>422</v>
      </c>
      <c r="C379" s="313" t="s">
        <v>573</v>
      </c>
      <c r="D379" s="313" t="s">
        <v>384</v>
      </c>
      <c r="E379" s="322" t="s">
        <v>384</v>
      </c>
      <c r="F379" s="313" t="s">
        <v>974</v>
      </c>
      <c r="G379" s="339">
        <v>0</v>
      </c>
      <c r="H379" s="340">
        <v>0</v>
      </c>
      <c r="I379" s="339">
        <v>25322</v>
      </c>
      <c r="J379" s="340">
        <v>0</v>
      </c>
      <c r="K379" s="341">
        <v>25322</v>
      </c>
      <c r="L379" s="342">
        <v>0</v>
      </c>
      <c r="M379" s="336"/>
      <c r="N379" s="343"/>
      <c r="O379" s="344"/>
      <c r="P379" s="343">
        <f t="shared" si="16"/>
        <v>25322</v>
      </c>
      <c r="Q379" s="344">
        <f t="shared" si="17"/>
        <v>0</v>
      </c>
      <c r="R379" s="328">
        <f t="shared" si="18"/>
        <v>25322</v>
      </c>
    </row>
    <row r="380" spans="1:18" hidden="1">
      <c r="A380" s="318" t="s">
        <v>901</v>
      </c>
      <c r="B380" s="313" t="s">
        <v>318</v>
      </c>
      <c r="C380" s="313" t="s">
        <v>573</v>
      </c>
      <c r="D380" s="313" t="s">
        <v>386</v>
      </c>
      <c r="E380" s="322" t="s">
        <v>386</v>
      </c>
      <c r="F380" s="313" t="s">
        <v>974</v>
      </c>
      <c r="G380" s="339">
        <v>0</v>
      </c>
      <c r="H380" s="340">
        <v>0</v>
      </c>
      <c r="I380" s="339">
        <v>332300</v>
      </c>
      <c r="J380" s="340">
        <v>0</v>
      </c>
      <c r="K380" s="341">
        <v>332300</v>
      </c>
      <c r="L380" s="342">
        <v>0</v>
      </c>
      <c r="M380" s="336"/>
      <c r="N380" s="343">
        <f>Adjustments!D36</f>
        <v>80000</v>
      </c>
      <c r="O380" s="344">
        <f>Adjustments!E46</f>
        <v>6630</v>
      </c>
      <c r="P380" s="343">
        <f t="shared" si="16"/>
        <v>412300</v>
      </c>
      <c r="Q380" s="344">
        <f t="shared" si="17"/>
        <v>6630</v>
      </c>
      <c r="R380" s="328">
        <f t="shared" si="18"/>
        <v>405670</v>
      </c>
    </row>
    <row r="381" spans="1:18" ht="20" hidden="1">
      <c r="A381" s="318" t="s">
        <v>902</v>
      </c>
      <c r="B381" s="313" t="s">
        <v>423</v>
      </c>
      <c r="C381" s="313" t="s">
        <v>573</v>
      </c>
      <c r="D381" s="313" t="s">
        <v>384</v>
      </c>
      <c r="E381" s="322" t="s">
        <v>384</v>
      </c>
      <c r="F381" s="313" t="s">
        <v>974</v>
      </c>
      <c r="G381" s="339">
        <v>0</v>
      </c>
      <c r="H381" s="340">
        <v>0</v>
      </c>
      <c r="I381" s="339">
        <v>9890</v>
      </c>
      <c r="J381" s="340">
        <v>0</v>
      </c>
      <c r="K381" s="341">
        <v>9890</v>
      </c>
      <c r="L381" s="342">
        <v>0</v>
      </c>
      <c r="M381" s="336"/>
      <c r="N381" s="343"/>
      <c r="O381" s="344"/>
      <c r="P381" s="343">
        <f t="shared" si="16"/>
        <v>9890</v>
      </c>
      <c r="Q381" s="344">
        <f t="shared" si="17"/>
        <v>0</v>
      </c>
      <c r="R381" s="328">
        <f t="shared" si="18"/>
        <v>9890</v>
      </c>
    </row>
    <row r="382" spans="1:18" hidden="1">
      <c r="A382" s="318" t="s">
        <v>903</v>
      </c>
      <c r="B382" s="313" t="s">
        <v>319</v>
      </c>
      <c r="C382" s="313" t="s">
        <v>573</v>
      </c>
      <c r="D382" s="313" t="s">
        <v>386</v>
      </c>
      <c r="E382" s="322" t="s">
        <v>386</v>
      </c>
      <c r="F382" s="313" t="s">
        <v>974</v>
      </c>
      <c r="G382" s="339">
        <v>0</v>
      </c>
      <c r="H382" s="340">
        <v>0</v>
      </c>
      <c r="I382" s="339">
        <v>313380</v>
      </c>
      <c r="J382" s="340">
        <v>0</v>
      </c>
      <c r="K382" s="341">
        <v>313380</v>
      </c>
      <c r="L382" s="342">
        <v>0</v>
      </c>
      <c r="M382" s="336"/>
      <c r="N382" s="343"/>
      <c r="O382" s="344"/>
      <c r="P382" s="343">
        <f t="shared" si="16"/>
        <v>313380</v>
      </c>
      <c r="Q382" s="344">
        <f t="shared" si="17"/>
        <v>0</v>
      </c>
      <c r="R382" s="328">
        <f t="shared" si="18"/>
        <v>313380</v>
      </c>
    </row>
    <row r="383" spans="1:18" hidden="1">
      <c r="A383" s="318" t="s">
        <v>904</v>
      </c>
      <c r="B383" s="313" t="s">
        <v>424</v>
      </c>
      <c r="C383" s="313" t="s">
        <v>573</v>
      </c>
      <c r="D383" s="313" t="s">
        <v>642</v>
      </c>
      <c r="E383" s="322" t="s">
        <v>451</v>
      </c>
      <c r="F383" s="313" t="s">
        <v>1017</v>
      </c>
      <c r="G383" s="339">
        <v>0</v>
      </c>
      <c r="H383" s="340">
        <v>0</v>
      </c>
      <c r="I383" s="339">
        <v>260000</v>
      </c>
      <c r="J383" s="340">
        <v>0</v>
      </c>
      <c r="K383" s="341">
        <v>260000</v>
      </c>
      <c r="L383" s="342">
        <v>0</v>
      </c>
      <c r="M383" s="336"/>
      <c r="N383" s="343"/>
      <c r="O383" s="344"/>
      <c r="P383" s="343">
        <f t="shared" si="16"/>
        <v>260000</v>
      </c>
      <c r="Q383" s="344">
        <f t="shared" si="17"/>
        <v>0</v>
      </c>
      <c r="R383" s="328">
        <f t="shared" si="18"/>
        <v>260000</v>
      </c>
    </row>
    <row r="384" spans="1:18" hidden="1">
      <c r="A384" s="318" t="s">
        <v>905</v>
      </c>
      <c r="B384" s="313" t="s">
        <v>425</v>
      </c>
      <c r="C384" s="313" t="s">
        <v>573</v>
      </c>
      <c r="D384" s="313" t="s">
        <v>578</v>
      </c>
      <c r="E384" s="322" t="s">
        <v>365</v>
      </c>
      <c r="F384" s="313" t="s">
        <v>1022</v>
      </c>
      <c r="G384" s="339">
        <v>0</v>
      </c>
      <c r="H384" s="340">
        <v>0</v>
      </c>
      <c r="I384" s="339">
        <v>840000</v>
      </c>
      <c r="J384" s="340">
        <v>0</v>
      </c>
      <c r="K384" s="341">
        <v>840000</v>
      </c>
      <c r="L384" s="342">
        <v>0</v>
      </c>
      <c r="M384" s="336"/>
      <c r="N384" s="343"/>
      <c r="O384" s="344"/>
      <c r="P384" s="343">
        <f t="shared" si="16"/>
        <v>840000</v>
      </c>
      <c r="Q384" s="344">
        <f t="shared" si="17"/>
        <v>0</v>
      </c>
      <c r="R384" s="328">
        <f t="shared" si="18"/>
        <v>840000</v>
      </c>
    </row>
    <row r="385" spans="1:18" hidden="1">
      <c r="A385" s="318" t="s">
        <v>906</v>
      </c>
      <c r="B385" s="313" t="s">
        <v>426</v>
      </c>
      <c r="C385" s="313" t="s">
        <v>573</v>
      </c>
      <c r="D385" s="313" t="s">
        <v>578</v>
      </c>
      <c r="E385" s="322" t="s">
        <v>365</v>
      </c>
      <c r="F385" s="313" t="s">
        <v>1022</v>
      </c>
      <c r="G385" s="339">
        <v>0</v>
      </c>
      <c r="H385" s="340">
        <v>0</v>
      </c>
      <c r="I385" s="339">
        <v>720000</v>
      </c>
      <c r="J385" s="340">
        <v>0</v>
      </c>
      <c r="K385" s="341">
        <v>720000</v>
      </c>
      <c r="L385" s="342">
        <v>0</v>
      </c>
      <c r="M385" s="336"/>
      <c r="N385" s="343"/>
      <c r="O385" s="344"/>
      <c r="P385" s="343">
        <f t="shared" si="16"/>
        <v>720000</v>
      </c>
      <c r="Q385" s="344">
        <f t="shared" si="17"/>
        <v>0</v>
      </c>
      <c r="R385" s="328">
        <f t="shared" si="18"/>
        <v>720000</v>
      </c>
    </row>
    <row r="386" spans="1:18" hidden="1">
      <c r="A386" s="318" t="s">
        <v>907</v>
      </c>
      <c r="B386" s="313" t="s">
        <v>320</v>
      </c>
      <c r="C386" s="313" t="s">
        <v>584</v>
      </c>
      <c r="D386" s="313" t="s">
        <v>365</v>
      </c>
      <c r="E386" s="322" t="s">
        <v>365</v>
      </c>
      <c r="F386" s="313" t="s">
        <v>1022</v>
      </c>
      <c r="G386" s="339">
        <v>0</v>
      </c>
      <c r="H386" s="340">
        <v>0</v>
      </c>
      <c r="I386" s="339">
        <v>423000</v>
      </c>
      <c r="J386" s="340">
        <v>0</v>
      </c>
      <c r="K386" s="341">
        <v>423000</v>
      </c>
      <c r="L386" s="342">
        <v>0</v>
      </c>
      <c r="M386" s="336"/>
      <c r="N386" s="343"/>
      <c r="O386" s="344"/>
      <c r="P386" s="343">
        <f t="shared" si="16"/>
        <v>423000</v>
      </c>
      <c r="Q386" s="344">
        <f t="shared" si="17"/>
        <v>0</v>
      </c>
      <c r="R386" s="328">
        <f t="shared" si="18"/>
        <v>423000</v>
      </c>
    </row>
    <row r="387" spans="1:18" hidden="1">
      <c r="A387" s="318" t="s">
        <v>908</v>
      </c>
      <c r="B387" s="313" t="s">
        <v>321</v>
      </c>
      <c r="C387" s="313" t="s">
        <v>584</v>
      </c>
      <c r="D387" s="313" t="s">
        <v>365</v>
      </c>
      <c r="E387" s="322" t="s">
        <v>365</v>
      </c>
      <c r="F387" s="313" t="s">
        <v>1022</v>
      </c>
      <c r="G387" s="339">
        <v>0</v>
      </c>
      <c r="H387" s="340">
        <v>0</v>
      </c>
      <c r="I387" s="339">
        <v>150000</v>
      </c>
      <c r="J387" s="340">
        <v>0</v>
      </c>
      <c r="K387" s="341">
        <v>150000</v>
      </c>
      <c r="L387" s="342">
        <v>0</v>
      </c>
      <c r="M387" s="336"/>
      <c r="N387" s="343"/>
      <c r="O387" s="344"/>
      <c r="P387" s="343">
        <f t="shared" si="16"/>
        <v>150000</v>
      </c>
      <c r="Q387" s="344">
        <f t="shared" si="17"/>
        <v>0</v>
      </c>
      <c r="R387" s="328">
        <f t="shared" si="18"/>
        <v>150000</v>
      </c>
    </row>
    <row r="388" spans="1:18" ht="20" hidden="1">
      <c r="A388" s="318" t="s">
        <v>909</v>
      </c>
      <c r="B388" s="313" t="s">
        <v>427</v>
      </c>
      <c r="C388" s="313" t="s">
        <v>573</v>
      </c>
      <c r="D388" s="313" t="s">
        <v>575</v>
      </c>
      <c r="E388" s="322" t="s">
        <v>575</v>
      </c>
      <c r="F388" s="313" t="s">
        <v>1022</v>
      </c>
      <c r="G388" s="339">
        <v>0</v>
      </c>
      <c r="H388" s="340">
        <v>0</v>
      </c>
      <c r="I388" s="339">
        <v>858977</v>
      </c>
      <c r="J388" s="340">
        <v>0</v>
      </c>
      <c r="K388" s="341">
        <v>858977</v>
      </c>
      <c r="L388" s="342">
        <v>0</v>
      </c>
      <c r="M388" s="336"/>
      <c r="N388" s="343"/>
      <c r="O388" s="344"/>
      <c r="P388" s="343">
        <f t="shared" si="16"/>
        <v>858977</v>
      </c>
      <c r="Q388" s="344">
        <f t="shared" si="17"/>
        <v>0</v>
      </c>
      <c r="R388" s="328">
        <f t="shared" si="18"/>
        <v>858977</v>
      </c>
    </row>
    <row r="389" spans="1:18" ht="20" hidden="1">
      <c r="A389" s="318" t="s">
        <v>910</v>
      </c>
      <c r="B389" s="313" t="s">
        <v>322</v>
      </c>
      <c r="C389" s="313" t="s">
        <v>573</v>
      </c>
      <c r="D389" s="313" t="s">
        <v>575</v>
      </c>
      <c r="E389" s="322" t="s">
        <v>389</v>
      </c>
      <c r="F389" s="313" t="s">
        <v>1022</v>
      </c>
      <c r="G389" s="339">
        <v>0</v>
      </c>
      <c r="H389" s="340">
        <v>0</v>
      </c>
      <c r="I389" s="339">
        <v>1003979</v>
      </c>
      <c r="J389" s="340">
        <v>0</v>
      </c>
      <c r="K389" s="341">
        <v>1003979</v>
      </c>
      <c r="L389" s="342">
        <v>0</v>
      </c>
      <c r="M389" s="336"/>
      <c r="N389" s="343"/>
      <c r="O389" s="344"/>
      <c r="P389" s="343">
        <f t="shared" si="16"/>
        <v>1003979</v>
      </c>
      <c r="Q389" s="344">
        <f t="shared" si="17"/>
        <v>0</v>
      </c>
      <c r="R389" s="328">
        <f t="shared" si="18"/>
        <v>1003979</v>
      </c>
    </row>
    <row r="390" spans="1:18" ht="20" hidden="1">
      <c r="A390" s="318" t="s">
        <v>911</v>
      </c>
      <c r="B390" s="313" t="s">
        <v>428</v>
      </c>
      <c r="C390" s="313" t="s">
        <v>573</v>
      </c>
      <c r="D390" s="313" t="s">
        <v>575</v>
      </c>
      <c r="E390" s="322" t="s">
        <v>575</v>
      </c>
      <c r="F390" s="313" t="s">
        <v>1022</v>
      </c>
      <c r="G390" s="339">
        <v>0</v>
      </c>
      <c r="H390" s="340">
        <v>0</v>
      </c>
      <c r="I390" s="339">
        <v>250000</v>
      </c>
      <c r="J390" s="340">
        <v>0</v>
      </c>
      <c r="K390" s="341">
        <v>250000</v>
      </c>
      <c r="L390" s="342">
        <v>0</v>
      </c>
      <c r="M390" s="336"/>
      <c r="N390" s="343"/>
      <c r="O390" s="344"/>
      <c r="P390" s="343">
        <f t="shared" si="16"/>
        <v>250000</v>
      </c>
      <c r="Q390" s="344">
        <f t="shared" si="17"/>
        <v>0</v>
      </c>
      <c r="R390" s="328">
        <f t="shared" si="18"/>
        <v>250000</v>
      </c>
    </row>
    <row r="391" spans="1:18" ht="20" hidden="1">
      <c r="A391" s="318" t="s">
        <v>912</v>
      </c>
      <c r="B391" s="313" t="s">
        <v>323</v>
      </c>
      <c r="C391" s="313" t="s">
        <v>573</v>
      </c>
      <c r="D391" s="313" t="s">
        <v>575</v>
      </c>
      <c r="E391" s="322" t="s">
        <v>389</v>
      </c>
      <c r="F391" s="313" t="s">
        <v>1022</v>
      </c>
      <c r="G391" s="339">
        <v>0</v>
      </c>
      <c r="H391" s="340">
        <v>0</v>
      </c>
      <c r="I391" s="339">
        <v>50000</v>
      </c>
      <c r="J391" s="340">
        <v>0</v>
      </c>
      <c r="K391" s="341">
        <v>50000</v>
      </c>
      <c r="L391" s="342">
        <v>0</v>
      </c>
      <c r="M391" s="336"/>
      <c r="N391" s="343"/>
      <c r="O391" s="344"/>
      <c r="P391" s="343">
        <f t="shared" ref="P391:P425" si="20">K391+N391</f>
        <v>50000</v>
      </c>
      <c r="Q391" s="344">
        <f t="shared" ref="Q391:Q425" si="21">L391+O391</f>
        <v>0</v>
      </c>
      <c r="R391" s="328">
        <f t="shared" ref="R391:R425" si="22">P391-Q391</f>
        <v>50000</v>
      </c>
    </row>
    <row r="392" spans="1:18" ht="20" hidden="1">
      <c r="A392" s="318" t="s">
        <v>913</v>
      </c>
      <c r="B392" s="313" t="s">
        <v>429</v>
      </c>
      <c r="C392" s="313" t="s">
        <v>573</v>
      </c>
      <c r="D392" s="313" t="s">
        <v>575</v>
      </c>
      <c r="E392" s="322" t="s">
        <v>389</v>
      </c>
      <c r="F392" s="313" t="s">
        <v>1022</v>
      </c>
      <c r="G392" s="339">
        <v>0</v>
      </c>
      <c r="H392" s="340">
        <v>0</v>
      </c>
      <c r="I392" s="339">
        <v>459652</v>
      </c>
      <c r="J392" s="340">
        <v>0</v>
      </c>
      <c r="K392" s="341">
        <v>459652</v>
      </c>
      <c r="L392" s="342">
        <v>0</v>
      </c>
      <c r="M392" s="336"/>
      <c r="N392" s="343"/>
      <c r="O392" s="344"/>
      <c r="P392" s="343">
        <f t="shared" si="20"/>
        <v>459652</v>
      </c>
      <c r="Q392" s="344">
        <f t="shared" si="21"/>
        <v>0</v>
      </c>
      <c r="R392" s="328">
        <f t="shared" si="22"/>
        <v>459652</v>
      </c>
    </row>
    <row r="393" spans="1:18" ht="20" hidden="1">
      <c r="A393" s="318" t="s">
        <v>914</v>
      </c>
      <c r="B393" s="313" t="s">
        <v>430</v>
      </c>
      <c r="C393" s="313" t="s">
        <v>573</v>
      </c>
      <c r="D393" s="313" t="s">
        <v>575</v>
      </c>
      <c r="E393" s="322" t="s">
        <v>389</v>
      </c>
      <c r="F393" s="313" t="s">
        <v>1022</v>
      </c>
      <c r="G393" s="339">
        <v>0</v>
      </c>
      <c r="H393" s="340">
        <v>0</v>
      </c>
      <c r="I393" s="339">
        <v>50000</v>
      </c>
      <c r="J393" s="340">
        <v>0</v>
      </c>
      <c r="K393" s="341">
        <v>50000</v>
      </c>
      <c r="L393" s="342">
        <v>0</v>
      </c>
      <c r="M393" s="336"/>
      <c r="N393" s="343"/>
      <c r="O393" s="344"/>
      <c r="P393" s="343">
        <f t="shared" si="20"/>
        <v>50000</v>
      </c>
      <c r="Q393" s="344">
        <f t="shared" si="21"/>
        <v>0</v>
      </c>
      <c r="R393" s="328">
        <f t="shared" si="22"/>
        <v>50000</v>
      </c>
    </row>
    <row r="394" spans="1:18" ht="20" hidden="1">
      <c r="A394" s="318" t="s">
        <v>915</v>
      </c>
      <c r="B394" s="313" t="s">
        <v>324</v>
      </c>
      <c r="C394" s="313" t="s">
        <v>573</v>
      </c>
      <c r="D394" s="313" t="s">
        <v>575</v>
      </c>
      <c r="E394" s="322" t="s">
        <v>389</v>
      </c>
      <c r="F394" s="313" t="s">
        <v>1022</v>
      </c>
      <c r="G394" s="339">
        <v>0</v>
      </c>
      <c r="H394" s="340">
        <v>0</v>
      </c>
      <c r="I394" s="339">
        <v>223497</v>
      </c>
      <c r="J394" s="340">
        <v>0</v>
      </c>
      <c r="K394" s="341">
        <v>223497</v>
      </c>
      <c r="L394" s="342">
        <v>0</v>
      </c>
      <c r="M394" s="336"/>
      <c r="N394" s="343"/>
      <c r="O394" s="344"/>
      <c r="P394" s="343">
        <f t="shared" si="20"/>
        <v>223497</v>
      </c>
      <c r="Q394" s="344">
        <f t="shared" si="21"/>
        <v>0</v>
      </c>
      <c r="R394" s="328">
        <f t="shared" si="22"/>
        <v>223497</v>
      </c>
    </row>
    <row r="395" spans="1:18" hidden="1">
      <c r="A395" s="318" t="s">
        <v>999</v>
      </c>
      <c r="B395" s="313" t="s">
        <v>1000</v>
      </c>
      <c r="C395" s="313" t="s">
        <v>573</v>
      </c>
      <c r="D395" s="316" t="s">
        <v>578</v>
      </c>
      <c r="E395" s="322" t="s">
        <v>365</v>
      </c>
      <c r="F395" s="313" t="s">
        <v>992</v>
      </c>
      <c r="G395" s="339">
        <v>0</v>
      </c>
      <c r="H395" s="342">
        <v>0</v>
      </c>
      <c r="I395" s="339">
        <v>0</v>
      </c>
      <c r="J395" s="342">
        <v>0</v>
      </c>
      <c r="K395" s="339">
        <v>0</v>
      </c>
      <c r="L395" s="342">
        <v>0</v>
      </c>
      <c r="M395" s="346">
        <v>0</v>
      </c>
      <c r="N395" s="339">
        <f>Adjustments!D55+Adjustments!D70+Adjustments!D84</f>
        <v>180000</v>
      </c>
      <c r="O395" s="342">
        <v>0</v>
      </c>
      <c r="P395" s="343">
        <f t="shared" ref="P395" si="23">K395+N395</f>
        <v>180000</v>
      </c>
      <c r="Q395" s="344">
        <f t="shared" ref="Q395" si="24">L395+O395</f>
        <v>0</v>
      </c>
      <c r="R395" s="328">
        <f t="shared" ref="R395" si="25">P395-Q395</f>
        <v>180000</v>
      </c>
    </row>
    <row r="396" spans="1:18" hidden="1">
      <c r="A396" s="318" t="s">
        <v>1001</v>
      </c>
      <c r="B396" s="313" t="s">
        <v>1002</v>
      </c>
      <c r="C396" s="313" t="s">
        <v>573</v>
      </c>
      <c r="D396" s="316" t="s">
        <v>578</v>
      </c>
      <c r="E396" s="322" t="s">
        <v>365</v>
      </c>
      <c r="F396" s="313" t="s">
        <v>992</v>
      </c>
      <c r="G396" s="339">
        <v>0</v>
      </c>
      <c r="H396" s="342">
        <v>0</v>
      </c>
      <c r="I396" s="339">
        <v>0</v>
      </c>
      <c r="J396" s="342">
        <v>0</v>
      </c>
      <c r="K396" s="339">
        <v>0</v>
      </c>
      <c r="L396" s="342">
        <v>0</v>
      </c>
      <c r="M396" s="346">
        <v>0</v>
      </c>
      <c r="N396" s="339">
        <f>Adjustments!D56+Adjustments!D72+Adjustments!D88</f>
        <v>150000</v>
      </c>
      <c r="O396" s="342">
        <v>0</v>
      </c>
      <c r="P396" s="343">
        <f t="shared" ref="P396:P399" si="26">K396+N396</f>
        <v>150000</v>
      </c>
      <c r="Q396" s="344">
        <f t="shared" ref="Q396:Q399" si="27">L396+O396</f>
        <v>0</v>
      </c>
      <c r="R396" s="328">
        <f t="shared" ref="R396:R399" si="28">P396-Q396</f>
        <v>150000</v>
      </c>
    </row>
    <row r="397" spans="1:18" hidden="1">
      <c r="A397" s="318" t="s">
        <v>997</v>
      </c>
      <c r="B397" s="313" t="s">
        <v>998</v>
      </c>
      <c r="C397" s="313" t="s">
        <v>573</v>
      </c>
      <c r="D397" s="316" t="s">
        <v>578</v>
      </c>
      <c r="E397" s="322" t="s">
        <v>365</v>
      </c>
      <c r="F397" s="313" t="s">
        <v>992</v>
      </c>
      <c r="G397" s="339">
        <v>0</v>
      </c>
      <c r="H397" s="342">
        <v>0</v>
      </c>
      <c r="I397" s="339">
        <v>0</v>
      </c>
      <c r="J397" s="342">
        <v>0</v>
      </c>
      <c r="K397" s="339">
        <v>0</v>
      </c>
      <c r="L397" s="342">
        <v>0</v>
      </c>
      <c r="M397" s="346">
        <v>0</v>
      </c>
      <c r="N397" s="339">
        <f>Adjustments!D54+Adjustments!D71+Adjustments!D87</f>
        <v>210000</v>
      </c>
      <c r="O397" s="342">
        <v>0</v>
      </c>
      <c r="P397" s="343">
        <f t="shared" si="26"/>
        <v>210000</v>
      </c>
      <c r="Q397" s="344">
        <f t="shared" si="27"/>
        <v>0</v>
      </c>
      <c r="R397" s="328">
        <f t="shared" si="28"/>
        <v>210000</v>
      </c>
    </row>
    <row r="398" spans="1:18" hidden="1">
      <c r="A398" s="318" t="s">
        <v>990</v>
      </c>
      <c r="B398" s="313" t="s">
        <v>991</v>
      </c>
      <c r="C398" s="313" t="s">
        <v>584</v>
      </c>
      <c r="D398" s="316" t="s">
        <v>365</v>
      </c>
      <c r="E398" s="322" t="s">
        <v>365</v>
      </c>
      <c r="F398" s="313" t="s">
        <v>992</v>
      </c>
      <c r="G398" s="339">
        <v>0</v>
      </c>
      <c r="H398" s="342">
        <v>0</v>
      </c>
      <c r="I398" s="339">
        <v>0</v>
      </c>
      <c r="J398" s="342">
        <v>0</v>
      </c>
      <c r="K398" s="339">
        <v>0</v>
      </c>
      <c r="L398" s="342">
        <v>0</v>
      </c>
      <c r="M398" s="346">
        <v>0</v>
      </c>
      <c r="N398" s="339">
        <f>Adjustments!D50+Adjustments!D69+Adjustments!D85</f>
        <v>99000</v>
      </c>
      <c r="O398" s="342">
        <v>0</v>
      </c>
      <c r="P398" s="343">
        <f t="shared" si="26"/>
        <v>99000</v>
      </c>
      <c r="Q398" s="344">
        <f t="shared" si="27"/>
        <v>0</v>
      </c>
      <c r="R398" s="328">
        <f t="shared" si="28"/>
        <v>99000</v>
      </c>
    </row>
    <row r="399" spans="1:18" hidden="1">
      <c r="A399" s="318" t="s">
        <v>995</v>
      </c>
      <c r="B399" s="313" t="s">
        <v>996</v>
      </c>
      <c r="C399" s="313" t="s">
        <v>584</v>
      </c>
      <c r="D399" s="316" t="s">
        <v>365</v>
      </c>
      <c r="E399" s="322" t="s">
        <v>365</v>
      </c>
      <c r="F399" s="313" t="s">
        <v>992</v>
      </c>
      <c r="G399" s="339">
        <v>0</v>
      </c>
      <c r="H399" s="342">
        <v>0</v>
      </c>
      <c r="I399" s="339">
        <v>0</v>
      </c>
      <c r="J399" s="342">
        <v>0</v>
      </c>
      <c r="K399" s="339">
        <v>0</v>
      </c>
      <c r="L399" s="342">
        <v>0</v>
      </c>
      <c r="M399" s="346">
        <v>0</v>
      </c>
      <c r="N399" s="339">
        <f>Adjustments!D53+Adjustments!D68+Adjustments!D86</f>
        <v>117357</v>
      </c>
      <c r="O399" s="342">
        <v>0</v>
      </c>
      <c r="P399" s="343">
        <f t="shared" si="26"/>
        <v>117357</v>
      </c>
      <c r="Q399" s="344">
        <f t="shared" si="27"/>
        <v>0</v>
      </c>
      <c r="R399" s="328">
        <f t="shared" si="28"/>
        <v>117357</v>
      </c>
    </row>
    <row r="400" spans="1:18" hidden="1">
      <c r="A400" s="318" t="s">
        <v>916</v>
      </c>
      <c r="B400" s="313" t="s">
        <v>325</v>
      </c>
      <c r="C400" s="313" t="s">
        <v>573</v>
      </c>
      <c r="D400" s="313" t="s">
        <v>390</v>
      </c>
      <c r="E400" s="322" t="s">
        <v>390</v>
      </c>
      <c r="F400" s="313" t="s">
        <v>1019</v>
      </c>
      <c r="G400" s="339">
        <v>0</v>
      </c>
      <c r="H400" s="340">
        <v>0</v>
      </c>
      <c r="I400" s="339">
        <v>638742</v>
      </c>
      <c r="J400" s="340">
        <v>0</v>
      </c>
      <c r="K400" s="341">
        <v>638742</v>
      </c>
      <c r="L400" s="342">
        <v>0</v>
      </c>
      <c r="M400" s="336"/>
      <c r="N400" s="343"/>
      <c r="O400" s="344"/>
      <c r="P400" s="343">
        <f t="shared" si="20"/>
        <v>638742</v>
      </c>
      <c r="Q400" s="344">
        <f t="shared" si="21"/>
        <v>0</v>
      </c>
      <c r="R400" s="328">
        <f t="shared" si="22"/>
        <v>638742</v>
      </c>
    </row>
    <row r="401" spans="1:18" hidden="1">
      <c r="A401" s="318" t="s">
        <v>917</v>
      </c>
      <c r="B401" s="313" t="s">
        <v>326</v>
      </c>
      <c r="C401" s="313" t="s">
        <v>573</v>
      </c>
      <c r="D401" s="313" t="s">
        <v>390</v>
      </c>
      <c r="E401" s="322" t="s">
        <v>390</v>
      </c>
      <c r="F401" s="313" t="s">
        <v>1019</v>
      </c>
      <c r="G401" s="339">
        <v>0</v>
      </c>
      <c r="H401" s="340">
        <v>0</v>
      </c>
      <c r="I401" s="339">
        <v>581712.76</v>
      </c>
      <c r="J401" s="340">
        <v>0</v>
      </c>
      <c r="K401" s="341">
        <v>581712.76</v>
      </c>
      <c r="L401" s="342">
        <v>0</v>
      </c>
      <c r="M401" s="336"/>
      <c r="N401" s="343"/>
      <c r="O401" s="344"/>
      <c r="P401" s="343">
        <f t="shared" si="20"/>
        <v>581712.76</v>
      </c>
      <c r="Q401" s="344">
        <f t="shared" si="21"/>
        <v>0</v>
      </c>
      <c r="R401" s="328">
        <f t="shared" si="22"/>
        <v>581712.76</v>
      </c>
    </row>
    <row r="402" spans="1:18" hidden="1">
      <c r="A402" s="318" t="s">
        <v>918</v>
      </c>
      <c r="B402" s="313" t="s">
        <v>327</v>
      </c>
      <c r="C402" s="313" t="s">
        <v>584</v>
      </c>
      <c r="D402" s="313" t="s">
        <v>365</v>
      </c>
      <c r="E402" s="322" t="s">
        <v>365</v>
      </c>
      <c r="F402" s="313" t="s">
        <v>1019</v>
      </c>
      <c r="G402" s="339">
        <v>0</v>
      </c>
      <c r="H402" s="340">
        <v>0</v>
      </c>
      <c r="I402" s="339">
        <v>787536</v>
      </c>
      <c r="J402" s="340">
        <v>0</v>
      </c>
      <c r="K402" s="341">
        <v>787536</v>
      </c>
      <c r="L402" s="342">
        <v>0</v>
      </c>
      <c r="M402" s="336"/>
      <c r="N402" s="343"/>
      <c r="O402" s="344"/>
      <c r="P402" s="343">
        <f t="shared" si="20"/>
        <v>787536</v>
      </c>
      <c r="Q402" s="344">
        <f t="shared" si="21"/>
        <v>0</v>
      </c>
      <c r="R402" s="328">
        <f t="shared" si="22"/>
        <v>787536</v>
      </c>
    </row>
    <row r="403" spans="1:18" hidden="1">
      <c r="A403" s="318" t="s">
        <v>919</v>
      </c>
      <c r="B403" s="313" t="s">
        <v>674</v>
      </c>
      <c r="C403" s="313" t="s">
        <v>573</v>
      </c>
      <c r="D403" s="313" t="s">
        <v>576</v>
      </c>
      <c r="E403" s="322" t="s">
        <v>391</v>
      </c>
      <c r="F403" s="313" t="s">
        <v>1017</v>
      </c>
      <c r="G403" s="339">
        <v>0</v>
      </c>
      <c r="H403" s="340">
        <v>0</v>
      </c>
      <c r="I403" s="339">
        <f>435566+Adjustments!D96</f>
        <v>671066</v>
      </c>
      <c r="J403" s="340">
        <v>0</v>
      </c>
      <c r="K403" s="341">
        <f>+I403</f>
        <v>671066</v>
      </c>
      <c r="L403" s="342">
        <v>0</v>
      </c>
      <c r="M403" s="336"/>
      <c r="N403" s="343"/>
      <c r="O403" s="344"/>
      <c r="P403" s="343">
        <f t="shared" si="20"/>
        <v>671066</v>
      </c>
      <c r="Q403" s="344">
        <f t="shared" si="21"/>
        <v>0</v>
      </c>
      <c r="R403" s="328">
        <f t="shared" si="22"/>
        <v>671066</v>
      </c>
    </row>
    <row r="404" spans="1:18" ht="20" hidden="1">
      <c r="A404" s="318" t="s">
        <v>920</v>
      </c>
      <c r="B404" s="313" t="s">
        <v>328</v>
      </c>
      <c r="C404" s="313" t="s">
        <v>573</v>
      </c>
      <c r="D404" s="313" t="s">
        <v>577</v>
      </c>
      <c r="E404" s="322" t="s">
        <v>387</v>
      </c>
      <c r="F404" s="313" t="s">
        <v>992</v>
      </c>
      <c r="G404" s="339">
        <v>0</v>
      </c>
      <c r="H404" s="340">
        <v>0</v>
      </c>
      <c r="I404" s="339">
        <v>70275</v>
      </c>
      <c r="J404" s="340">
        <v>0</v>
      </c>
      <c r="K404" s="341">
        <v>70275</v>
      </c>
      <c r="L404" s="342">
        <v>0</v>
      </c>
      <c r="M404" s="336"/>
      <c r="N404" s="343"/>
      <c r="O404" s="344"/>
      <c r="P404" s="343">
        <f t="shared" si="20"/>
        <v>70275</v>
      </c>
      <c r="Q404" s="344">
        <f t="shared" si="21"/>
        <v>0</v>
      </c>
      <c r="R404" s="328">
        <f t="shared" si="22"/>
        <v>70275</v>
      </c>
    </row>
    <row r="405" spans="1:18" hidden="1">
      <c r="A405" s="318" t="s">
        <v>921</v>
      </c>
      <c r="B405" s="313" t="s">
        <v>675</v>
      </c>
      <c r="C405" s="313" t="s">
        <v>573</v>
      </c>
      <c r="D405" s="313" t="s">
        <v>392</v>
      </c>
      <c r="E405" s="322" t="s">
        <v>392</v>
      </c>
      <c r="F405" s="313" t="s">
        <v>1017</v>
      </c>
      <c r="G405" s="339">
        <v>0</v>
      </c>
      <c r="H405" s="340">
        <v>0</v>
      </c>
      <c r="I405" s="339">
        <v>157334</v>
      </c>
      <c r="J405" s="340">
        <v>0</v>
      </c>
      <c r="K405" s="341">
        <v>157334</v>
      </c>
      <c r="L405" s="342">
        <v>0</v>
      </c>
      <c r="M405" s="336"/>
      <c r="N405" s="343"/>
      <c r="O405" s="344"/>
      <c r="P405" s="343">
        <f t="shared" si="20"/>
        <v>157334</v>
      </c>
      <c r="Q405" s="344">
        <f t="shared" si="21"/>
        <v>0</v>
      </c>
      <c r="R405" s="328">
        <f t="shared" si="22"/>
        <v>157334</v>
      </c>
    </row>
    <row r="406" spans="1:18" hidden="1">
      <c r="A406" s="318" t="s">
        <v>922</v>
      </c>
      <c r="B406" s="313" t="s">
        <v>431</v>
      </c>
      <c r="C406" s="313" t="s">
        <v>573</v>
      </c>
      <c r="D406" s="313" t="s">
        <v>452</v>
      </c>
      <c r="E406" s="322" t="s">
        <v>452</v>
      </c>
      <c r="F406" s="313" t="s">
        <v>1017</v>
      </c>
      <c r="G406" s="339">
        <v>0</v>
      </c>
      <c r="H406" s="340">
        <v>0</v>
      </c>
      <c r="I406" s="339">
        <v>253200</v>
      </c>
      <c r="J406" s="340">
        <v>0</v>
      </c>
      <c r="K406" s="341">
        <v>253200</v>
      </c>
      <c r="L406" s="342">
        <v>0</v>
      </c>
      <c r="M406" s="336"/>
      <c r="N406" s="343"/>
      <c r="O406" s="344"/>
      <c r="P406" s="343">
        <f t="shared" si="20"/>
        <v>253200</v>
      </c>
      <c r="Q406" s="344">
        <f t="shared" si="21"/>
        <v>0</v>
      </c>
      <c r="R406" s="328">
        <f t="shared" si="22"/>
        <v>253200</v>
      </c>
    </row>
    <row r="407" spans="1:18" ht="20" hidden="1">
      <c r="A407" s="318" t="s">
        <v>923</v>
      </c>
      <c r="B407" s="313" t="s">
        <v>432</v>
      </c>
      <c r="C407" s="313" t="s">
        <v>573</v>
      </c>
      <c r="D407" s="313" t="s">
        <v>384</v>
      </c>
      <c r="E407" s="322" t="s">
        <v>384</v>
      </c>
      <c r="F407" s="313" t="s">
        <v>974</v>
      </c>
      <c r="G407" s="339">
        <v>0</v>
      </c>
      <c r="H407" s="340">
        <v>0</v>
      </c>
      <c r="I407" s="339">
        <v>769255</v>
      </c>
      <c r="J407" s="340">
        <v>0</v>
      </c>
      <c r="K407" s="341">
        <v>769255</v>
      </c>
      <c r="L407" s="342">
        <v>0</v>
      </c>
      <c r="M407" s="336"/>
      <c r="N407" s="343"/>
      <c r="O407" s="344"/>
      <c r="P407" s="343">
        <f t="shared" si="20"/>
        <v>769255</v>
      </c>
      <c r="Q407" s="344">
        <f t="shared" si="21"/>
        <v>0</v>
      </c>
      <c r="R407" s="328">
        <f t="shared" si="22"/>
        <v>769255</v>
      </c>
    </row>
    <row r="408" spans="1:18" hidden="1">
      <c r="A408" s="318" t="s">
        <v>924</v>
      </c>
      <c r="B408" s="313" t="s">
        <v>433</v>
      </c>
      <c r="C408" s="313" t="s">
        <v>573</v>
      </c>
      <c r="D408" s="313" t="s">
        <v>578</v>
      </c>
      <c r="E408" s="322" t="s">
        <v>365</v>
      </c>
      <c r="F408" s="313" t="s">
        <v>1019</v>
      </c>
      <c r="G408" s="339">
        <v>0</v>
      </c>
      <c r="H408" s="340">
        <v>0</v>
      </c>
      <c r="I408" s="339">
        <v>2748243</v>
      </c>
      <c r="J408" s="340">
        <v>0</v>
      </c>
      <c r="K408" s="341">
        <v>2748243</v>
      </c>
      <c r="L408" s="342">
        <v>0</v>
      </c>
      <c r="M408" s="336"/>
      <c r="N408" s="343"/>
      <c r="O408" s="344"/>
      <c r="P408" s="343">
        <f t="shared" si="20"/>
        <v>2748243</v>
      </c>
      <c r="Q408" s="344">
        <f t="shared" si="21"/>
        <v>0</v>
      </c>
      <c r="R408" s="328">
        <f t="shared" si="22"/>
        <v>2748243</v>
      </c>
    </row>
    <row r="409" spans="1:18" hidden="1">
      <c r="A409" s="318" t="s">
        <v>925</v>
      </c>
      <c r="B409" s="313" t="s">
        <v>434</v>
      </c>
      <c r="C409" s="313" t="s">
        <v>584</v>
      </c>
      <c r="D409" s="313" t="s">
        <v>388</v>
      </c>
      <c r="E409" s="322" t="s">
        <v>388</v>
      </c>
      <c r="F409" s="313" t="s">
        <v>1019</v>
      </c>
      <c r="G409" s="339">
        <v>0</v>
      </c>
      <c r="H409" s="340">
        <v>0</v>
      </c>
      <c r="I409" s="339">
        <v>90329</v>
      </c>
      <c r="J409" s="340">
        <v>0</v>
      </c>
      <c r="K409" s="341">
        <v>90329</v>
      </c>
      <c r="L409" s="342">
        <v>0</v>
      </c>
      <c r="M409" s="336"/>
      <c r="N409" s="343"/>
      <c r="O409" s="344"/>
      <c r="P409" s="343">
        <f t="shared" si="20"/>
        <v>90329</v>
      </c>
      <c r="Q409" s="344">
        <f t="shared" si="21"/>
        <v>0</v>
      </c>
      <c r="R409" s="328">
        <f t="shared" si="22"/>
        <v>90329</v>
      </c>
    </row>
    <row r="410" spans="1:18" hidden="1">
      <c r="A410" s="318" t="s">
        <v>926</v>
      </c>
      <c r="B410" s="313" t="s">
        <v>435</v>
      </c>
      <c r="C410" s="313" t="s">
        <v>573</v>
      </c>
      <c r="D410" s="313" t="s">
        <v>643</v>
      </c>
      <c r="E410" s="322" t="s">
        <v>453</v>
      </c>
      <c r="F410" s="313" t="s">
        <v>1019</v>
      </c>
      <c r="G410" s="339">
        <v>0</v>
      </c>
      <c r="H410" s="340">
        <v>0</v>
      </c>
      <c r="I410" s="339">
        <v>474020</v>
      </c>
      <c r="J410" s="340">
        <v>154130</v>
      </c>
      <c r="K410" s="341">
        <v>319890</v>
      </c>
      <c r="L410" s="342">
        <v>0</v>
      </c>
      <c r="M410" s="336"/>
      <c r="N410" s="343"/>
      <c r="O410" s="344"/>
      <c r="P410" s="343">
        <f t="shared" si="20"/>
        <v>319890</v>
      </c>
      <c r="Q410" s="344">
        <f t="shared" si="21"/>
        <v>0</v>
      </c>
      <c r="R410" s="328">
        <f t="shared" si="22"/>
        <v>319890</v>
      </c>
    </row>
    <row r="411" spans="1:18" hidden="1">
      <c r="A411" s="318" t="s">
        <v>927</v>
      </c>
      <c r="B411" s="313" t="s">
        <v>436</v>
      </c>
      <c r="C411" s="313" t="s">
        <v>573</v>
      </c>
      <c r="D411" s="313" t="s">
        <v>643</v>
      </c>
      <c r="E411" s="322" t="s">
        <v>453</v>
      </c>
      <c r="F411" s="313" t="s">
        <v>1019</v>
      </c>
      <c r="G411" s="339">
        <v>0</v>
      </c>
      <c r="H411" s="340">
        <v>0</v>
      </c>
      <c r="I411" s="339">
        <v>308260</v>
      </c>
      <c r="J411" s="340">
        <v>0</v>
      </c>
      <c r="K411" s="341">
        <v>308260</v>
      </c>
      <c r="L411" s="342">
        <v>0</v>
      </c>
      <c r="M411" s="336"/>
      <c r="N411" s="343"/>
      <c r="O411" s="344"/>
      <c r="P411" s="343">
        <f t="shared" si="20"/>
        <v>308260</v>
      </c>
      <c r="Q411" s="344">
        <f t="shared" si="21"/>
        <v>0</v>
      </c>
      <c r="R411" s="328">
        <f t="shared" si="22"/>
        <v>308260</v>
      </c>
    </row>
    <row r="412" spans="1:18" hidden="1">
      <c r="A412" s="318" t="s">
        <v>928</v>
      </c>
      <c r="B412" s="313" t="s">
        <v>437</v>
      </c>
      <c r="C412" s="313" t="s">
        <v>573</v>
      </c>
      <c r="D412" s="313" t="s">
        <v>643</v>
      </c>
      <c r="E412" s="322" t="s">
        <v>453</v>
      </c>
      <c r="F412" s="313" t="s">
        <v>1019</v>
      </c>
      <c r="G412" s="339">
        <v>0</v>
      </c>
      <c r="H412" s="340">
        <v>0</v>
      </c>
      <c r="I412" s="339">
        <v>35658</v>
      </c>
      <c r="J412" s="340">
        <v>13019</v>
      </c>
      <c r="K412" s="341">
        <v>22639</v>
      </c>
      <c r="L412" s="342">
        <v>0</v>
      </c>
      <c r="M412" s="336"/>
      <c r="N412" s="343"/>
      <c r="O412" s="344"/>
      <c r="P412" s="343">
        <f t="shared" si="20"/>
        <v>22639</v>
      </c>
      <c r="Q412" s="344">
        <f t="shared" si="21"/>
        <v>0</v>
      </c>
      <c r="R412" s="328">
        <f t="shared" si="22"/>
        <v>22639</v>
      </c>
    </row>
    <row r="413" spans="1:18" hidden="1">
      <c r="A413" s="318" t="s">
        <v>929</v>
      </c>
      <c r="B413" s="313" t="s">
        <v>438</v>
      </c>
      <c r="C413" s="313" t="s">
        <v>573</v>
      </c>
      <c r="D413" s="313" t="s">
        <v>643</v>
      </c>
      <c r="E413" s="322" t="s">
        <v>453</v>
      </c>
      <c r="F413" s="313" t="s">
        <v>1019</v>
      </c>
      <c r="G413" s="339">
        <v>0</v>
      </c>
      <c r="H413" s="340">
        <v>0</v>
      </c>
      <c r="I413" s="339">
        <v>25790</v>
      </c>
      <c r="J413" s="340">
        <v>7420</v>
      </c>
      <c r="K413" s="341">
        <v>18370</v>
      </c>
      <c r="L413" s="342">
        <v>0</v>
      </c>
      <c r="M413" s="336"/>
      <c r="N413" s="343"/>
      <c r="O413" s="344"/>
      <c r="P413" s="343">
        <f t="shared" si="20"/>
        <v>18370</v>
      </c>
      <c r="Q413" s="344">
        <f t="shared" si="21"/>
        <v>0</v>
      </c>
      <c r="R413" s="328">
        <f t="shared" si="22"/>
        <v>18370</v>
      </c>
    </row>
    <row r="414" spans="1:18" hidden="1">
      <c r="A414" s="318" t="s">
        <v>930</v>
      </c>
      <c r="B414" s="313" t="s">
        <v>439</v>
      </c>
      <c r="C414" s="313" t="s">
        <v>573</v>
      </c>
      <c r="D414" s="313" t="s">
        <v>643</v>
      </c>
      <c r="E414" s="322" t="s">
        <v>453</v>
      </c>
      <c r="F414" s="313" t="s">
        <v>1019</v>
      </c>
      <c r="G414" s="339">
        <v>0</v>
      </c>
      <c r="H414" s="340">
        <v>0</v>
      </c>
      <c r="I414" s="339">
        <v>8440</v>
      </c>
      <c r="J414" s="340">
        <v>3870</v>
      </c>
      <c r="K414" s="341">
        <v>4570</v>
      </c>
      <c r="L414" s="342">
        <v>0</v>
      </c>
      <c r="M414" s="336"/>
      <c r="N414" s="343"/>
      <c r="O414" s="344"/>
      <c r="P414" s="343">
        <f t="shared" si="20"/>
        <v>4570</v>
      </c>
      <c r="Q414" s="344">
        <f t="shared" si="21"/>
        <v>0</v>
      </c>
      <c r="R414" s="328">
        <f t="shared" si="22"/>
        <v>4570</v>
      </c>
    </row>
    <row r="415" spans="1:18" hidden="1">
      <c r="A415" s="318" t="s">
        <v>931</v>
      </c>
      <c r="B415" s="313" t="s">
        <v>440</v>
      </c>
      <c r="C415" s="313" t="s">
        <v>573</v>
      </c>
      <c r="D415" s="313" t="s">
        <v>643</v>
      </c>
      <c r="E415" s="322" t="s">
        <v>453</v>
      </c>
      <c r="F415" s="313" t="s">
        <v>1019</v>
      </c>
      <c r="G415" s="339">
        <v>0</v>
      </c>
      <c r="H415" s="340">
        <v>0</v>
      </c>
      <c r="I415" s="339">
        <v>95000</v>
      </c>
      <c r="J415" s="340">
        <v>47500</v>
      </c>
      <c r="K415" s="341">
        <v>47500</v>
      </c>
      <c r="L415" s="342">
        <v>0</v>
      </c>
      <c r="M415" s="336"/>
      <c r="N415" s="343"/>
      <c r="O415" s="344"/>
      <c r="P415" s="343">
        <f t="shared" si="20"/>
        <v>47500</v>
      </c>
      <c r="Q415" s="344">
        <f t="shared" si="21"/>
        <v>0</v>
      </c>
      <c r="R415" s="328">
        <f t="shared" si="22"/>
        <v>47500</v>
      </c>
    </row>
    <row r="416" spans="1:18" hidden="1">
      <c r="A416" s="318" t="s">
        <v>932</v>
      </c>
      <c r="B416" s="313" t="s">
        <v>441</v>
      </c>
      <c r="C416" s="313" t="s">
        <v>573</v>
      </c>
      <c r="D416" s="313" t="s">
        <v>643</v>
      </c>
      <c r="E416" s="322" t="s">
        <v>453</v>
      </c>
      <c r="F416" s="313" t="s">
        <v>1019</v>
      </c>
      <c r="G416" s="339">
        <v>0</v>
      </c>
      <c r="H416" s="340">
        <v>0</v>
      </c>
      <c r="I416" s="339">
        <v>19488</v>
      </c>
      <c r="J416" s="340">
        <v>0</v>
      </c>
      <c r="K416" s="341">
        <v>19488</v>
      </c>
      <c r="L416" s="342">
        <v>0</v>
      </c>
      <c r="M416" s="336"/>
      <c r="N416" s="343"/>
      <c r="O416" s="344"/>
      <c r="P416" s="343">
        <f t="shared" si="20"/>
        <v>19488</v>
      </c>
      <c r="Q416" s="344">
        <f t="shared" si="21"/>
        <v>0</v>
      </c>
      <c r="R416" s="328">
        <f t="shared" si="22"/>
        <v>19488</v>
      </c>
    </row>
    <row r="417" spans="1:18" hidden="1">
      <c r="A417" s="318" t="s">
        <v>933</v>
      </c>
      <c r="B417" s="313" t="s">
        <v>442</v>
      </c>
      <c r="C417" s="313" t="s">
        <v>573</v>
      </c>
      <c r="D417" s="313" t="s">
        <v>643</v>
      </c>
      <c r="E417" s="322" t="s">
        <v>453</v>
      </c>
      <c r="F417" s="313" t="s">
        <v>1019</v>
      </c>
      <c r="G417" s="339">
        <v>0</v>
      </c>
      <c r="H417" s="340">
        <v>0</v>
      </c>
      <c r="I417" s="339">
        <v>10000</v>
      </c>
      <c r="J417" s="340">
        <v>0</v>
      </c>
      <c r="K417" s="341">
        <v>10000</v>
      </c>
      <c r="L417" s="342">
        <v>0</v>
      </c>
      <c r="M417" s="336"/>
      <c r="N417" s="343"/>
      <c r="O417" s="344"/>
      <c r="P417" s="343">
        <f t="shared" si="20"/>
        <v>10000</v>
      </c>
      <c r="Q417" s="344">
        <f t="shared" si="21"/>
        <v>0</v>
      </c>
      <c r="R417" s="328">
        <f t="shared" si="22"/>
        <v>10000</v>
      </c>
    </row>
    <row r="418" spans="1:18" hidden="1">
      <c r="A418" s="318" t="s">
        <v>934</v>
      </c>
      <c r="B418" s="313" t="s">
        <v>443</v>
      </c>
      <c r="C418" s="313" t="s">
        <v>573</v>
      </c>
      <c r="D418" s="313" t="s">
        <v>643</v>
      </c>
      <c r="E418" s="322" t="s">
        <v>453</v>
      </c>
      <c r="F418" s="313" t="s">
        <v>1019</v>
      </c>
      <c r="G418" s="339">
        <v>0</v>
      </c>
      <c r="H418" s="340">
        <v>0</v>
      </c>
      <c r="I418" s="339">
        <v>8000</v>
      </c>
      <c r="J418" s="340">
        <v>0</v>
      </c>
      <c r="K418" s="341">
        <v>8000</v>
      </c>
      <c r="L418" s="342">
        <v>0</v>
      </c>
      <c r="M418" s="336"/>
      <c r="N418" s="343"/>
      <c r="O418" s="344"/>
      <c r="P418" s="343">
        <f t="shared" si="20"/>
        <v>8000</v>
      </c>
      <c r="Q418" s="344">
        <f t="shared" si="21"/>
        <v>0</v>
      </c>
      <c r="R418" s="328">
        <f t="shared" si="22"/>
        <v>8000</v>
      </c>
    </row>
    <row r="419" spans="1:18" hidden="1">
      <c r="A419" s="318" t="s">
        <v>935</v>
      </c>
      <c r="B419" s="313" t="s">
        <v>444</v>
      </c>
      <c r="C419" s="313" t="s">
        <v>573</v>
      </c>
      <c r="D419" s="313" t="s">
        <v>643</v>
      </c>
      <c r="E419" s="322" t="s">
        <v>453</v>
      </c>
      <c r="F419" s="313" t="s">
        <v>1019</v>
      </c>
      <c r="G419" s="339">
        <v>0</v>
      </c>
      <c r="H419" s="340">
        <v>0</v>
      </c>
      <c r="I419" s="339">
        <v>5000</v>
      </c>
      <c r="J419" s="340">
        <v>0</v>
      </c>
      <c r="K419" s="341">
        <v>5000</v>
      </c>
      <c r="L419" s="342">
        <v>0</v>
      </c>
      <c r="M419" s="336"/>
      <c r="N419" s="343"/>
      <c r="O419" s="344"/>
      <c r="P419" s="343">
        <f t="shared" si="20"/>
        <v>5000</v>
      </c>
      <c r="Q419" s="344">
        <f t="shared" si="21"/>
        <v>0</v>
      </c>
      <c r="R419" s="328">
        <f t="shared" si="22"/>
        <v>5000</v>
      </c>
    </row>
    <row r="420" spans="1:18" hidden="1">
      <c r="A420" s="318" t="s">
        <v>936</v>
      </c>
      <c r="B420" s="313" t="s">
        <v>445</v>
      </c>
      <c r="C420" s="313" t="s">
        <v>573</v>
      </c>
      <c r="D420" s="313" t="s">
        <v>365</v>
      </c>
      <c r="E420" s="322" t="s">
        <v>365</v>
      </c>
      <c r="F420" s="313" t="s">
        <v>1019</v>
      </c>
      <c r="G420" s="339">
        <v>0</v>
      </c>
      <c r="H420" s="340">
        <v>0</v>
      </c>
      <c r="I420" s="339">
        <v>860958</v>
      </c>
      <c r="J420" s="340">
        <v>0</v>
      </c>
      <c r="K420" s="341">
        <v>860958</v>
      </c>
      <c r="L420" s="342">
        <v>0</v>
      </c>
      <c r="M420" s="336"/>
      <c r="N420" s="343"/>
      <c r="O420" s="344"/>
      <c r="P420" s="343">
        <f t="shared" si="20"/>
        <v>860958</v>
      </c>
      <c r="Q420" s="344">
        <f t="shared" si="21"/>
        <v>0</v>
      </c>
      <c r="R420" s="328">
        <f t="shared" si="22"/>
        <v>860958</v>
      </c>
    </row>
    <row r="421" spans="1:18" hidden="1">
      <c r="A421" s="318" t="s">
        <v>937</v>
      </c>
      <c r="B421" s="313" t="s">
        <v>446</v>
      </c>
      <c r="C421" s="313" t="s">
        <v>584</v>
      </c>
      <c r="D421" s="313" t="s">
        <v>365</v>
      </c>
      <c r="E421" s="322" t="s">
        <v>365</v>
      </c>
      <c r="F421" s="313" t="s">
        <v>1019</v>
      </c>
      <c r="G421" s="339">
        <v>0</v>
      </c>
      <c r="H421" s="340">
        <v>0</v>
      </c>
      <c r="I421" s="339">
        <v>832228</v>
      </c>
      <c r="J421" s="340">
        <v>0</v>
      </c>
      <c r="K421" s="341">
        <v>832228</v>
      </c>
      <c r="L421" s="342">
        <v>0</v>
      </c>
      <c r="M421" s="336"/>
      <c r="N421" s="343"/>
      <c r="O421" s="344"/>
      <c r="P421" s="343">
        <f t="shared" si="20"/>
        <v>832228</v>
      </c>
      <c r="Q421" s="344">
        <f t="shared" si="21"/>
        <v>0</v>
      </c>
      <c r="R421" s="328">
        <f t="shared" si="22"/>
        <v>832228</v>
      </c>
    </row>
    <row r="422" spans="1:18" hidden="1">
      <c r="A422" s="318" t="s">
        <v>938</v>
      </c>
      <c r="B422" s="313" t="s">
        <v>447</v>
      </c>
      <c r="C422" s="313" t="s">
        <v>573</v>
      </c>
      <c r="D422" s="313" t="s">
        <v>365</v>
      </c>
      <c r="E422" s="322" t="s">
        <v>365</v>
      </c>
      <c r="F422" s="313" t="s">
        <v>1019</v>
      </c>
      <c r="G422" s="339">
        <v>0</v>
      </c>
      <c r="H422" s="340">
        <v>0</v>
      </c>
      <c r="I422" s="339">
        <v>184000</v>
      </c>
      <c r="J422" s="340">
        <v>0</v>
      </c>
      <c r="K422" s="341">
        <v>184000</v>
      </c>
      <c r="L422" s="342">
        <v>0</v>
      </c>
      <c r="M422" s="336"/>
      <c r="N422" s="343"/>
      <c r="O422" s="344"/>
      <c r="P422" s="343">
        <f t="shared" si="20"/>
        <v>184000</v>
      </c>
      <c r="Q422" s="344">
        <f t="shared" si="21"/>
        <v>0</v>
      </c>
      <c r="R422" s="328">
        <f t="shared" si="22"/>
        <v>184000</v>
      </c>
    </row>
    <row r="423" spans="1:18" ht="20" hidden="1">
      <c r="A423" s="318" t="s">
        <v>939</v>
      </c>
      <c r="B423" s="313" t="s">
        <v>448</v>
      </c>
      <c r="C423" s="313" t="s">
        <v>573</v>
      </c>
      <c r="D423" s="313" t="s">
        <v>643</v>
      </c>
      <c r="E423" s="322" t="s">
        <v>365</v>
      </c>
      <c r="F423" s="313" t="s">
        <v>1019</v>
      </c>
      <c r="G423" s="339">
        <v>0</v>
      </c>
      <c r="H423" s="340">
        <v>0</v>
      </c>
      <c r="I423" s="339">
        <v>55835</v>
      </c>
      <c r="J423" s="340">
        <v>0</v>
      </c>
      <c r="K423" s="341">
        <v>55835</v>
      </c>
      <c r="L423" s="342">
        <v>0</v>
      </c>
      <c r="M423" s="336"/>
      <c r="N423" s="343"/>
      <c r="O423" s="344"/>
      <c r="P423" s="343">
        <f t="shared" si="20"/>
        <v>55835</v>
      </c>
      <c r="Q423" s="344">
        <f t="shared" si="21"/>
        <v>0</v>
      </c>
      <c r="R423" s="328">
        <f t="shared" si="22"/>
        <v>55835</v>
      </c>
    </row>
    <row r="424" spans="1:18" hidden="1">
      <c r="A424" s="318" t="s">
        <v>940</v>
      </c>
      <c r="B424" s="313" t="s">
        <v>449</v>
      </c>
      <c r="C424" s="313" t="s">
        <v>573</v>
      </c>
      <c r="D424" s="313" t="s">
        <v>454</v>
      </c>
      <c r="E424" s="322" t="s">
        <v>454</v>
      </c>
      <c r="F424" s="313" t="s">
        <v>1022</v>
      </c>
      <c r="G424" s="339">
        <v>0</v>
      </c>
      <c r="H424" s="340">
        <v>0</v>
      </c>
      <c r="I424" s="339">
        <v>3677045</v>
      </c>
      <c r="J424" s="340">
        <v>0</v>
      </c>
      <c r="K424" s="341">
        <v>3677045</v>
      </c>
      <c r="L424" s="342">
        <v>0</v>
      </c>
      <c r="M424" s="336"/>
      <c r="N424" s="343"/>
      <c r="O424" s="344"/>
      <c r="P424" s="343">
        <f t="shared" si="20"/>
        <v>3677045</v>
      </c>
      <c r="Q424" s="344">
        <f t="shared" si="21"/>
        <v>0</v>
      </c>
      <c r="R424" s="328">
        <f t="shared" si="22"/>
        <v>3677045</v>
      </c>
    </row>
    <row r="425" spans="1:18" hidden="1">
      <c r="A425" s="319"/>
      <c r="B425" s="314"/>
      <c r="C425" s="314"/>
      <c r="D425" s="314"/>
      <c r="E425" s="323"/>
      <c r="F425" s="313"/>
      <c r="G425" s="339">
        <f t="shared" ref="G425:L425" si="29">SUBTOTAL(109,G7:G424)</f>
        <v>55600</v>
      </c>
      <c r="H425" s="342">
        <f t="shared" si="29"/>
        <v>4972520</v>
      </c>
      <c r="I425" s="339">
        <f t="shared" si="29"/>
        <v>9340633</v>
      </c>
      <c r="J425" s="342">
        <f t="shared" si="29"/>
        <v>7175285</v>
      </c>
      <c r="K425" s="339">
        <f t="shared" si="29"/>
        <v>125600</v>
      </c>
      <c r="L425" s="342">
        <f t="shared" si="29"/>
        <v>2877172</v>
      </c>
      <c r="M425" s="336"/>
      <c r="N425" s="343"/>
      <c r="O425" s="344"/>
      <c r="P425" s="343">
        <f t="shared" si="20"/>
        <v>125600</v>
      </c>
      <c r="Q425" s="344">
        <f t="shared" si="21"/>
        <v>2877172</v>
      </c>
      <c r="R425" s="328">
        <f t="shared" si="22"/>
        <v>-2751572</v>
      </c>
    </row>
    <row r="426" spans="1:18" ht="13" hidden="1" thickBot="1">
      <c r="A426" s="320"/>
      <c r="B426" s="315"/>
      <c r="C426" s="315"/>
      <c r="D426" s="315"/>
      <c r="E426" s="324"/>
      <c r="F426" s="325"/>
      <c r="G426" s="347">
        <f>+G425-H425</f>
        <v>-4916920</v>
      </c>
      <c r="H426" s="348"/>
      <c r="I426" s="347">
        <f>+I425-J425</f>
        <v>2165348</v>
      </c>
      <c r="J426" s="348"/>
      <c r="K426" s="347">
        <f>+K425-L425</f>
        <v>-2751572</v>
      </c>
      <c r="L426" s="349"/>
      <c r="M426" s="336"/>
      <c r="N426" s="350"/>
      <c r="O426" s="351"/>
      <c r="P426" s="350"/>
      <c r="Q426" s="351">
        <f>P425-Q425</f>
        <v>-2751572</v>
      </c>
      <c r="R426" s="352">
        <f>SUM(R7:R425)</f>
        <v>-2751571.8600000087</v>
      </c>
    </row>
    <row r="427" spans="1:18" hidden="1">
      <c r="G427" s="283"/>
      <c r="H427" s="283"/>
      <c r="I427" s="284"/>
      <c r="K427" s="284">
        <f>SUM(K202:K214)-SUM((L202:L214))+K217-L218+K219-L220</f>
        <v>20128076</v>
      </c>
      <c r="Q427" s="284"/>
    </row>
    <row r="428" spans="1:18">
      <c r="H428" s="285"/>
    </row>
    <row r="433" spans="10:10">
      <c r="J433" s="285">
        <f>H319+J319-I319+O319</f>
        <v>10703356.359999999</v>
      </c>
    </row>
  </sheetData>
  <autoFilter ref="A6:R427" xr:uid="{00000000-0009-0000-0000-000011000000}">
    <filterColumn colId="2">
      <filters>
        <filter val="Current Liabilities"/>
      </filters>
    </filterColumn>
    <filterColumn colId="3">
      <filters>
        <filter val="ACCRUED, PAYABLES AND OTHER LIABILITIES"/>
      </filters>
    </filterColumn>
    <filterColumn colId="4">
      <filters>
        <filter val="Accrued expenses"/>
      </filters>
    </filterColumn>
  </autoFilter>
  <mergeCells count="5">
    <mergeCell ref="G5:H5"/>
    <mergeCell ref="I5:J5"/>
    <mergeCell ref="K5:L5"/>
    <mergeCell ref="N5:O5"/>
    <mergeCell ref="P5:Q5"/>
  </mergeCells>
  <pageMargins left="0.7" right="0.7" top="0.75" bottom="0.75" header="0.3" footer="0.3"/>
  <ignoredErrors>
    <ignoredError sqref="J179:K179 I403 L276 I276 L172 J172 I50:K50 I78" unlocked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X109"/>
  <sheetViews>
    <sheetView workbookViewId="0">
      <selection activeCell="D18" sqref="D18"/>
    </sheetView>
  </sheetViews>
  <sheetFormatPr defaultRowHeight="14.5"/>
  <cols>
    <col min="1" max="1" width="14" bestFit="1" customWidth="1"/>
    <col min="2" max="2" width="59.453125" customWidth="1"/>
    <col min="3" max="3" width="12.54296875" bestFit="1" customWidth="1"/>
    <col min="4" max="4" width="13.453125" customWidth="1"/>
    <col min="5" max="5" width="12.453125" customWidth="1"/>
    <col min="8" max="8" width="14" bestFit="1" customWidth="1"/>
    <col min="11" max="11" width="10.54296875" bestFit="1" customWidth="1"/>
    <col min="13" max="14" width="11.54296875" bestFit="1" customWidth="1"/>
  </cols>
  <sheetData>
    <row r="2" spans="1:16" ht="15" thickBot="1"/>
    <row r="3" spans="1:16" ht="15" thickBot="1">
      <c r="A3" s="288" t="s">
        <v>964</v>
      </c>
      <c r="B3" s="293" t="s">
        <v>965</v>
      </c>
      <c r="C3" s="293" t="s">
        <v>1010</v>
      </c>
      <c r="D3" s="288" t="s">
        <v>455</v>
      </c>
      <c r="E3" s="288" t="s">
        <v>456</v>
      </c>
    </row>
    <row r="4" spans="1:16" ht="15" thickBot="1">
      <c r="A4" s="303"/>
      <c r="B4" s="292"/>
      <c r="C4" s="292"/>
      <c r="D4" s="303"/>
      <c r="E4" s="303"/>
    </row>
    <row r="5" spans="1:16" ht="15" thickBot="1">
      <c r="A5" s="288">
        <v>1</v>
      </c>
      <c r="B5" s="275" t="s">
        <v>955</v>
      </c>
      <c r="C5" s="275" t="s">
        <v>969</v>
      </c>
      <c r="D5" s="291">
        <v>113275</v>
      </c>
      <c r="E5" s="304"/>
    </row>
    <row r="6" spans="1:16" ht="15" thickBot="1">
      <c r="A6" s="275"/>
      <c r="B6" s="290" t="s">
        <v>966</v>
      </c>
      <c r="C6" s="275" t="s">
        <v>969</v>
      </c>
      <c r="D6" s="291"/>
      <c r="E6" s="291">
        <v>50386</v>
      </c>
      <c r="J6" t="s">
        <v>972</v>
      </c>
      <c r="M6" s="1">
        <f>N8-M7</f>
        <v>199614</v>
      </c>
      <c r="N6" s="1"/>
    </row>
    <row r="7" spans="1:16" ht="15" thickBot="1">
      <c r="A7" s="275"/>
      <c r="B7" s="290" t="s">
        <v>956</v>
      </c>
      <c r="C7" s="275" t="s">
        <v>969</v>
      </c>
      <c r="D7" s="291"/>
      <c r="E7" s="291">
        <v>62889</v>
      </c>
      <c r="F7" t="s">
        <v>954</v>
      </c>
      <c r="J7" t="s">
        <v>955</v>
      </c>
      <c r="M7" s="1">
        <v>50386</v>
      </c>
      <c r="N7" s="1"/>
    </row>
    <row r="8" spans="1:16" ht="15" thickBot="1">
      <c r="A8" s="275"/>
      <c r="B8" s="302"/>
      <c r="C8" s="302"/>
      <c r="D8" s="301"/>
      <c r="E8" s="301"/>
      <c r="J8" t="s">
        <v>971</v>
      </c>
      <c r="M8" s="1"/>
      <c r="N8" s="1">
        <v>250000</v>
      </c>
    </row>
    <row r="9" spans="1:16" ht="15" thickBot="1">
      <c r="A9" s="288">
        <v>2</v>
      </c>
      <c r="B9" s="275" t="s">
        <v>952</v>
      </c>
      <c r="C9" s="275" t="s">
        <v>969</v>
      </c>
      <c r="D9" s="291">
        <v>24320</v>
      </c>
      <c r="E9" s="291"/>
    </row>
    <row r="10" spans="1:16" ht="15" thickBot="1">
      <c r="A10" s="275"/>
      <c r="B10" s="290" t="s">
        <v>953</v>
      </c>
      <c r="C10" s="275" t="s">
        <v>969</v>
      </c>
      <c r="D10" s="291"/>
      <c r="E10" s="291">
        <v>24320</v>
      </c>
      <c r="F10" t="s">
        <v>954</v>
      </c>
      <c r="J10" t="s">
        <v>972</v>
      </c>
      <c r="M10" s="1">
        <v>250000</v>
      </c>
      <c r="N10" s="1"/>
      <c r="P10" s="2">
        <f>M10-M6</f>
        <v>50386</v>
      </c>
    </row>
    <row r="11" spans="1:16" ht="15" thickBot="1">
      <c r="A11" s="275"/>
      <c r="B11" s="290"/>
      <c r="C11" s="302"/>
      <c r="D11" s="305"/>
      <c r="E11" s="305"/>
      <c r="M11" s="1"/>
      <c r="N11" s="1"/>
      <c r="P11" s="2"/>
    </row>
    <row r="12" spans="1:16" ht="15" thickBot="1">
      <c r="A12" s="288">
        <v>3</v>
      </c>
      <c r="B12" s="330" t="s">
        <v>963</v>
      </c>
      <c r="C12" s="275"/>
      <c r="D12" s="291"/>
      <c r="E12" s="291"/>
      <c r="J12" t="s">
        <v>971</v>
      </c>
      <c r="M12" s="1"/>
      <c r="N12" s="1">
        <v>250000</v>
      </c>
    </row>
    <row r="13" spans="1:16" ht="15" thickBot="1">
      <c r="A13" s="275" t="s">
        <v>881</v>
      </c>
      <c r="B13" s="275" t="s">
        <v>962</v>
      </c>
      <c r="C13" s="275" t="s">
        <v>969</v>
      </c>
      <c r="D13" s="291">
        <v>207360</v>
      </c>
      <c r="E13" s="291"/>
    </row>
    <row r="14" spans="1:16" ht="15" thickBot="1">
      <c r="A14" s="275" t="s">
        <v>832</v>
      </c>
      <c r="B14" s="290" t="s">
        <v>359</v>
      </c>
      <c r="C14" s="275" t="s">
        <v>969</v>
      </c>
      <c r="D14" s="291"/>
      <c r="E14" s="291">
        <v>207360</v>
      </c>
    </row>
    <row r="15" spans="1:16" ht="15" thickBot="1">
      <c r="A15" s="275"/>
      <c r="B15" s="353"/>
      <c r="C15" s="302"/>
      <c r="D15" s="305"/>
      <c r="E15" s="305"/>
    </row>
    <row r="16" spans="1:16" ht="15" thickBot="1">
      <c r="A16" s="288">
        <v>4</v>
      </c>
      <c r="B16" s="275"/>
      <c r="C16" s="275"/>
      <c r="D16" s="275"/>
      <c r="E16" s="275"/>
    </row>
    <row r="17" spans="1:24" ht="15" thickBot="1">
      <c r="A17" s="290" t="s">
        <v>782</v>
      </c>
      <c r="B17" s="298" t="s">
        <v>958</v>
      </c>
      <c r="C17" s="275" t="s">
        <v>969</v>
      </c>
      <c r="D17" s="291">
        <v>315575</v>
      </c>
      <c r="E17" s="291"/>
      <c r="F17" t="s">
        <v>954</v>
      </c>
    </row>
    <row r="18" spans="1:24" ht="15" thickBot="1">
      <c r="A18" s="275" t="s">
        <v>849</v>
      </c>
      <c r="B18" s="290" t="s">
        <v>1042</v>
      </c>
      <c r="C18" s="275" t="s">
        <v>969</v>
      </c>
      <c r="D18" s="291"/>
      <c r="E18" s="291">
        <v>315575</v>
      </c>
    </row>
    <row r="19" spans="1:24" ht="15" thickBot="1">
      <c r="A19" s="288">
        <v>5</v>
      </c>
      <c r="B19" s="329" t="s">
        <v>959</v>
      </c>
      <c r="C19" s="302"/>
      <c r="D19" s="305"/>
      <c r="E19" s="305"/>
    </row>
    <row r="20" spans="1:24" ht="15" thickBot="1">
      <c r="A20" s="290" t="s">
        <v>783</v>
      </c>
      <c r="B20" s="275" t="s">
        <v>960</v>
      </c>
      <c r="C20" s="275" t="s">
        <v>969</v>
      </c>
      <c r="D20" s="291">
        <v>315575</v>
      </c>
      <c r="E20" s="291"/>
    </row>
    <row r="21" spans="1:24" ht="15" thickBot="1">
      <c r="A21" s="275" t="s">
        <v>782</v>
      </c>
      <c r="B21" s="290" t="s">
        <v>961</v>
      </c>
      <c r="C21" s="275" t="s">
        <v>969</v>
      </c>
      <c r="D21" s="291"/>
      <c r="E21" s="291">
        <v>315575</v>
      </c>
      <c r="F21" t="s">
        <v>954</v>
      </c>
    </row>
    <row r="22" spans="1:24" ht="15" thickBot="1">
      <c r="A22" s="275"/>
      <c r="B22" s="353"/>
      <c r="C22" s="302"/>
      <c r="D22" s="305"/>
      <c r="E22" s="305"/>
    </row>
    <row r="23" spans="1:24" ht="15" thickBot="1">
      <c r="A23" s="288">
        <v>6</v>
      </c>
      <c r="B23" s="275"/>
      <c r="C23" s="275"/>
      <c r="D23" s="275"/>
      <c r="E23" s="275"/>
    </row>
    <row r="24" spans="1:24" ht="15" thickBot="1">
      <c r="A24" s="290" t="s">
        <v>704</v>
      </c>
      <c r="B24" s="275" t="s">
        <v>968</v>
      </c>
      <c r="C24" s="290" t="s">
        <v>970</v>
      </c>
      <c r="D24" s="291">
        <v>4132189</v>
      </c>
      <c r="E24" s="291"/>
    </row>
    <row r="25" spans="1:24" ht="15" thickBot="1">
      <c r="A25" s="275" t="s">
        <v>846</v>
      </c>
      <c r="B25" s="290" t="s">
        <v>967</v>
      </c>
      <c r="C25" s="290" t="s">
        <v>970</v>
      </c>
      <c r="D25" s="291"/>
      <c r="E25" s="291">
        <v>4132189</v>
      </c>
      <c r="F25" t="s">
        <v>954</v>
      </c>
    </row>
    <row r="26" spans="1:24" ht="15" thickBot="1">
      <c r="A26" s="275"/>
      <c r="B26" s="299"/>
      <c r="C26" s="353"/>
      <c r="D26" s="305"/>
      <c r="E26" s="305"/>
    </row>
    <row r="27" spans="1:24" ht="15" thickBot="1">
      <c r="A27" s="275"/>
      <c r="B27" s="275"/>
      <c r="C27" s="275"/>
      <c r="D27" s="275"/>
      <c r="E27" s="275"/>
    </row>
    <row r="28" spans="1:24" ht="15" customHeight="1" thickBot="1">
      <c r="A28" s="288">
        <v>7</v>
      </c>
      <c r="B28" s="330" t="s">
        <v>988</v>
      </c>
      <c r="C28" s="275"/>
      <c r="D28" s="275"/>
      <c r="E28" s="275"/>
      <c r="X28">
        <v>0</v>
      </c>
    </row>
    <row r="29" spans="1:24" ht="15" customHeight="1" thickBot="1">
      <c r="A29" s="275" t="s">
        <v>881</v>
      </c>
      <c r="B29" s="275" t="s">
        <v>973</v>
      </c>
      <c r="C29" s="275" t="s">
        <v>974</v>
      </c>
      <c r="D29" s="275">
        <v>40000</v>
      </c>
      <c r="E29" s="275"/>
      <c r="J29" t="s">
        <v>975</v>
      </c>
    </row>
    <row r="30" spans="1:24" ht="15" customHeight="1" thickBot="1">
      <c r="A30" s="275" t="s">
        <v>826</v>
      </c>
      <c r="B30" s="290" t="s">
        <v>976</v>
      </c>
      <c r="C30" s="275" t="s">
        <v>974</v>
      </c>
      <c r="D30" s="275"/>
      <c r="E30" s="275">
        <v>40000</v>
      </c>
      <c r="F30" t="s">
        <v>954</v>
      </c>
      <c r="J30" t="s">
        <v>975</v>
      </c>
    </row>
    <row r="31" spans="1:24" ht="15" customHeight="1" thickBot="1">
      <c r="A31" s="275"/>
      <c r="B31" s="290"/>
      <c r="C31" s="300"/>
      <c r="D31" s="300"/>
      <c r="E31" s="300"/>
    </row>
    <row r="32" spans="1:24" ht="15" thickBot="1">
      <c r="A32" s="302"/>
      <c r="B32" s="330" t="s">
        <v>1029</v>
      </c>
      <c r="C32" s="275"/>
      <c r="D32" s="275"/>
      <c r="E32" s="275"/>
    </row>
    <row r="33" spans="1:6" ht="15" thickBot="1">
      <c r="A33" s="288">
        <v>8</v>
      </c>
      <c r="B33" s="331" t="s">
        <v>987</v>
      </c>
      <c r="C33" s="301"/>
      <c r="D33" s="301"/>
      <c r="E33" s="301"/>
    </row>
    <row r="34" spans="1:6" ht="15" thickBot="1">
      <c r="A34" t="s">
        <v>897</v>
      </c>
      <c r="B34" s="275" t="s">
        <v>984</v>
      </c>
      <c r="C34" s="275" t="s">
        <v>974</v>
      </c>
      <c r="D34" s="291">
        <v>32500</v>
      </c>
      <c r="E34" s="291"/>
    </row>
    <row r="35" spans="1:6" ht="15" thickBot="1">
      <c r="A35" s="275" t="s">
        <v>766</v>
      </c>
      <c r="B35" s="275" t="s">
        <v>977</v>
      </c>
      <c r="C35" s="275" t="s">
        <v>974</v>
      </c>
      <c r="D35" s="291">
        <v>26000</v>
      </c>
      <c r="E35" s="291"/>
    </row>
    <row r="36" spans="1:6" ht="15" thickBot="1">
      <c r="A36" t="s">
        <v>901</v>
      </c>
      <c r="B36" s="275" t="s">
        <v>978</v>
      </c>
      <c r="C36" s="275" t="s">
        <v>974</v>
      </c>
      <c r="D36" s="291">
        <v>80000</v>
      </c>
      <c r="E36" s="291"/>
    </row>
    <row r="37" spans="1:6" ht="15" thickBot="1">
      <c r="A37" s="275" t="s">
        <v>766</v>
      </c>
      <c r="B37" s="290" t="s">
        <v>977</v>
      </c>
      <c r="C37" s="275" t="s">
        <v>974</v>
      </c>
      <c r="D37" s="291"/>
      <c r="E37" s="291">
        <v>32500</v>
      </c>
    </row>
    <row r="38" spans="1:6" ht="15" thickBot="1">
      <c r="A38" s="275" t="s">
        <v>766</v>
      </c>
      <c r="B38" s="290" t="s">
        <v>977</v>
      </c>
      <c r="C38" s="275" t="s">
        <v>974</v>
      </c>
      <c r="D38" s="291"/>
      <c r="E38" s="291">
        <v>80000</v>
      </c>
    </row>
    <row r="39" spans="1:6" ht="15" thickBot="1">
      <c r="A39" s="275" t="s">
        <v>871</v>
      </c>
      <c r="B39" s="290" t="s">
        <v>979</v>
      </c>
      <c r="C39" s="275" t="s">
        <v>974</v>
      </c>
      <c r="D39" s="291"/>
      <c r="E39" s="291">
        <v>13750</v>
      </c>
    </row>
    <row r="40" spans="1:6" ht="15" thickBot="1">
      <c r="A40" s="275" t="s">
        <v>877</v>
      </c>
      <c r="B40" s="290" t="s">
        <v>980</v>
      </c>
      <c r="C40" s="275" t="s">
        <v>974</v>
      </c>
      <c r="D40" s="291"/>
      <c r="E40" s="291">
        <v>2000</v>
      </c>
    </row>
    <row r="41" spans="1:6" ht="15" thickBot="1">
      <c r="A41" s="275" t="s">
        <v>875</v>
      </c>
      <c r="B41" s="290" t="s">
        <v>981</v>
      </c>
      <c r="C41" s="275" t="s">
        <v>974</v>
      </c>
      <c r="D41" s="291"/>
      <c r="E41" s="291">
        <v>600</v>
      </c>
    </row>
    <row r="42" spans="1:6" ht="15" thickBot="1">
      <c r="A42" s="275" t="s">
        <v>894</v>
      </c>
      <c r="B42" s="290" t="s">
        <v>982</v>
      </c>
      <c r="C42" s="275" t="s">
        <v>974</v>
      </c>
      <c r="D42" s="291"/>
      <c r="E42" s="291">
        <v>540</v>
      </c>
    </row>
    <row r="43" spans="1:6" ht="15" thickBot="1">
      <c r="A43" s="275" t="s">
        <v>865</v>
      </c>
      <c r="B43" s="290" t="s">
        <v>983</v>
      </c>
      <c r="C43" s="275" t="s">
        <v>974</v>
      </c>
      <c r="D43" s="291"/>
      <c r="E43" s="291">
        <v>200</v>
      </c>
    </row>
    <row r="44" spans="1:6" ht="15" thickBot="1">
      <c r="A44" s="275" t="s">
        <v>867</v>
      </c>
      <c r="B44" s="290" t="s">
        <v>985</v>
      </c>
      <c r="C44" s="275" t="s">
        <v>974</v>
      </c>
      <c r="D44" s="291"/>
      <c r="E44" s="291">
        <v>1440</v>
      </c>
    </row>
    <row r="45" spans="1:6" ht="15" thickBot="1">
      <c r="A45" s="275" t="s">
        <v>876</v>
      </c>
      <c r="B45" s="290" t="s">
        <v>986</v>
      </c>
      <c r="C45" s="275" t="s">
        <v>974</v>
      </c>
      <c r="D45" s="291"/>
      <c r="E45" s="291">
        <v>840</v>
      </c>
    </row>
    <row r="46" spans="1:6" ht="15" thickBot="1">
      <c r="A46" s="275" t="s">
        <v>901</v>
      </c>
      <c r="B46" s="307" t="s">
        <v>978</v>
      </c>
      <c r="C46" s="275" t="s">
        <v>974</v>
      </c>
      <c r="D46" s="291"/>
      <c r="E46" s="291">
        <v>6630</v>
      </c>
      <c r="F46" t="s">
        <v>954</v>
      </c>
    </row>
    <row r="47" spans="1:6" ht="15" thickBot="1">
      <c r="A47" s="275"/>
      <c r="B47" s="275"/>
      <c r="C47" s="275"/>
      <c r="D47" s="275"/>
      <c r="E47" s="275"/>
    </row>
    <row r="48" spans="1:6" ht="15" thickBot="1">
      <c r="A48" s="275"/>
      <c r="B48" s="330" t="s">
        <v>1028</v>
      </c>
      <c r="C48" s="275"/>
      <c r="D48" s="275"/>
      <c r="E48" s="275"/>
    </row>
    <row r="49" spans="1:6" ht="15" thickBot="1">
      <c r="A49" s="288">
        <v>9</v>
      </c>
      <c r="B49" s="330" t="s">
        <v>989</v>
      </c>
      <c r="C49" s="275"/>
      <c r="D49" s="275"/>
      <c r="E49" s="275"/>
    </row>
    <row r="50" spans="1:6" ht="15" thickBot="1">
      <c r="A50" s="275" t="s">
        <v>990</v>
      </c>
      <c r="B50" s="275" t="s">
        <v>991</v>
      </c>
      <c r="C50" s="275" t="s">
        <v>992</v>
      </c>
      <c r="D50" s="291">
        <v>33000</v>
      </c>
      <c r="E50" s="291"/>
    </row>
    <row r="51" spans="1:6" ht="15" thickBot="1">
      <c r="A51" s="275" t="s">
        <v>754</v>
      </c>
      <c r="B51" s="275" t="s">
        <v>993</v>
      </c>
      <c r="C51" s="275" t="s">
        <v>974</v>
      </c>
      <c r="D51" s="291">
        <v>5323</v>
      </c>
      <c r="E51" s="291"/>
    </row>
    <row r="52" spans="1:6" ht="15" thickBot="1">
      <c r="A52" s="275" t="s">
        <v>884</v>
      </c>
      <c r="B52" s="275" t="s">
        <v>994</v>
      </c>
      <c r="C52" s="275" t="s">
        <v>974</v>
      </c>
      <c r="D52" s="291">
        <v>1600</v>
      </c>
      <c r="E52" s="291"/>
    </row>
    <row r="53" spans="1:6" ht="15" thickBot="1">
      <c r="A53" s="275" t="s">
        <v>995</v>
      </c>
      <c r="B53" s="275" t="s">
        <v>996</v>
      </c>
      <c r="C53" s="275" t="s">
        <v>992</v>
      </c>
      <c r="D53" s="291">
        <v>39119</v>
      </c>
      <c r="E53" s="291"/>
    </row>
    <row r="54" spans="1:6" ht="15" thickBot="1">
      <c r="A54" s="275" t="s">
        <v>997</v>
      </c>
      <c r="B54" s="275" t="s">
        <v>998</v>
      </c>
      <c r="C54" s="275" t="s">
        <v>992</v>
      </c>
      <c r="D54" s="291">
        <v>70000</v>
      </c>
      <c r="E54" s="305"/>
    </row>
    <row r="55" spans="1:6" ht="15" thickBot="1">
      <c r="A55" s="275" t="s">
        <v>999</v>
      </c>
      <c r="B55" s="275" t="s">
        <v>1000</v>
      </c>
      <c r="C55" s="275" t="s">
        <v>992</v>
      </c>
      <c r="D55" s="291">
        <v>60000</v>
      </c>
      <c r="E55" s="291"/>
    </row>
    <row r="56" spans="1:6" ht="15" thickBot="1">
      <c r="A56" s="275" t="s">
        <v>1001</v>
      </c>
      <c r="B56" s="275" t="s">
        <v>1002</v>
      </c>
      <c r="C56" s="275" t="s">
        <v>992</v>
      </c>
      <c r="D56" s="291">
        <v>50000</v>
      </c>
      <c r="E56" s="291"/>
    </row>
    <row r="57" spans="1:6" ht="15" thickBot="1">
      <c r="A57" s="275" t="s">
        <v>830</v>
      </c>
      <c r="B57" s="290" t="s">
        <v>1003</v>
      </c>
      <c r="C57" s="275" t="s">
        <v>974</v>
      </c>
      <c r="D57" s="291"/>
      <c r="E57" s="291">
        <v>2003</v>
      </c>
    </row>
    <row r="58" spans="1:6" ht="15" thickBot="1">
      <c r="A58" s="275" t="s">
        <v>774</v>
      </c>
      <c r="B58" s="290" t="s">
        <v>335</v>
      </c>
      <c r="C58" s="275" t="s">
        <v>992</v>
      </c>
      <c r="D58" s="291"/>
      <c r="E58" s="291">
        <v>5000</v>
      </c>
    </row>
    <row r="59" spans="1:6" ht="15" thickBot="1">
      <c r="A59" s="275" t="s">
        <v>827</v>
      </c>
      <c r="B59" s="290" t="s">
        <v>1004</v>
      </c>
      <c r="C59" s="275" t="s">
        <v>974</v>
      </c>
      <c r="D59" s="291"/>
      <c r="E59" s="305">
        <v>1920</v>
      </c>
    </row>
    <row r="60" spans="1:6" ht="15" thickBot="1">
      <c r="A60" s="275" t="s">
        <v>825</v>
      </c>
      <c r="B60" s="290" t="s">
        <v>1005</v>
      </c>
      <c r="C60" s="275" t="s">
        <v>974</v>
      </c>
      <c r="D60" s="291"/>
      <c r="E60" s="291">
        <v>3000</v>
      </c>
    </row>
    <row r="61" spans="1:6" ht="15" thickBot="1">
      <c r="A61" s="275" t="s">
        <v>811</v>
      </c>
      <c r="B61" s="290" t="s">
        <v>1006</v>
      </c>
      <c r="C61" s="275" t="s">
        <v>992</v>
      </c>
      <c r="D61" s="291"/>
      <c r="E61" s="291">
        <v>5323</v>
      </c>
    </row>
    <row r="62" spans="1:6" ht="15" thickBot="1">
      <c r="A62" s="275" t="s">
        <v>823</v>
      </c>
      <c r="B62" s="290" t="s">
        <v>1007</v>
      </c>
      <c r="C62" s="275" t="s">
        <v>992</v>
      </c>
      <c r="D62" s="291"/>
      <c r="E62" s="291">
        <v>241796</v>
      </c>
      <c r="F62" t="s">
        <v>954</v>
      </c>
    </row>
    <row r="63" spans="1:6" ht="15" thickBot="1">
      <c r="A63" s="275"/>
      <c r="B63" s="290"/>
      <c r="C63" s="275"/>
      <c r="D63" s="291"/>
      <c r="E63" s="291"/>
    </row>
    <row r="64" spans="1:6" ht="15" thickBot="1">
      <c r="A64" s="275"/>
      <c r="B64" s="330" t="s">
        <v>1028</v>
      </c>
      <c r="C64" s="275"/>
      <c r="D64" s="291"/>
      <c r="E64" s="291"/>
    </row>
    <row r="65" spans="1:6" ht="15" thickBot="1">
      <c r="A65" s="288">
        <v>10</v>
      </c>
      <c r="B65" s="330" t="s">
        <v>1009</v>
      </c>
      <c r="C65" s="275"/>
      <c r="D65" s="291"/>
      <c r="E65" s="291"/>
    </row>
    <row r="66" spans="1:6" ht="15" thickBot="1">
      <c r="A66" s="275" t="s">
        <v>884</v>
      </c>
      <c r="B66" s="275" t="s">
        <v>994</v>
      </c>
      <c r="C66" s="275" t="s">
        <v>974</v>
      </c>
      <c r="D66" s="291">
        <v>1600</v>
      </c>
      <c r="E66" s="291"/>
    </row>
    <row r="67" spans="1:6" ht="15" thickBot="1">
      <c r="A67" s="275" t="s">
        <v>754</v>
      </c>
      <c r="B67" s="275" t="s">
        <v>993</v>
      </c>
      <c r="C67" s="275" t="s">
        <v>974</v>
      </c>
      <c r="D67" s="291">
        <v>5323</v>
      </c>
      <c r="E67" s="291"/>
    </row>
    <row r="68" spans="1:6" ht="15" thickBot="1">
      <c r="A68" s="275" t="s">
        <v>995</v>
      </c>
      <c r="B68" s="275" t="s">
        <v>996</v>
      </c>
      <c r="C68" s="275" t="s">
        <v>992</v>
      </c>
      <c r="D68" s="291">
        <v>39119</v>
      </c>
      <c r="E68" s="291"/>
    </row>
    <row r="69" spans="1:6" ht="15" thickBot="1">
      <c r="A69" s="275" t="s">
        <v>990</v>
      </c>
      <c r="B69" s="275" t="s">
        <v>991</v>
      </c>
      <c r="C69" s="275" t="s">
        <v>992</v>
      </c>
      <c r="D69" s="291">
        <v>33000</v>
      </c>
      <c r="E69" s="291"/>
    </row>
    <row r="70" spans="1:6" ht="15" thickBot="1">
      <c r="A70" s="275" t="s">
        <v>999</v>
      </c>
      <c r="B70" s="275" t="s">
        <v>1000</v>
      </c>
      <c r="C70" s="275" t="s">
        <v>992</v>
      </c>
      <c r="D70" s="291">
        <v>60000</v>
      </c>
      <c r="E70" s="291"/>
    </row>
    <row r="71" spans="1:6" ht="15" thickBot="1">
      <c r="A71" s="275" t="s">
        <v>997</v>
      </c>
      <c r="B71" s="275" t="s">
        <v>998</v>
      </c>
      <c r="C71" s="275" t="s">
        <v>992</v>
      </c>
      <c r="D71" s="291">
        <v>70000</v>
      </c>
      <c r="E71" s="291"/>
    </row>
    <row r="72" spans="1:6" ht="15" thickBot="1">
      <c r="A72" s="275" t="s">
        <v>1001</v>
      </c>
      <c r="B72" s="275" t="s">
        <v>1002</v>
      </c>
      <c r="C72" s="275" t="s">
        <v>992</v>
      </c>
      <c r="D72" s="291">
        <v>50000</v>
      </c>
      <c r="E72" s="291"/>
    </row>
    <row r="73" spans="1:6" ht="15" thickBot="1">
      <c r="A73" s="275" t="s">
        <v>830</v>
      </c>
      <c r="B73" s="290" t="s">
        <v>1003</v>
      </c>
      <c r="C73" s="275" t="s">
        <v>974</v>
      </c>
      <c r="D73" s="291"/>
      <c r="E73" s="291">
        <v>2003</v>
      </c>
    </row>
    <row r="74" spans="1:6" ht="15" thickBot="1">
      <c r="A74" s="275" t="s">
        <v>774</v>
      </c>
      <c r="B74" s="290" t="s">
        <v>335</v>
      </c>
      <c r="C74" s="275" t="s">
        <v>992</v>
      </c>
      <c r="D74" s="291"/>
      <c r="E74" s="291">
        <v>5000</v>
      </c>
    </row>
    <row r="75" spans="1:6" ht="15" thickBot="1">
      <c r="A75" s="275" t="s">
        <v>827</v>
      </c>
      <c r="B75" s="290" t="s">
        <v>1004</v>
      </c>
      <c r="C75" s="275" t="s">
        <v>974</v>
      </c>
      <c r="D75" s="291"/>
      <c r="E75" s="291">
        <v>1920</v>
      </c>
    </row>
    <row r="76" spans="1:6" ht="15" thickBot="1">
      <c r="A76" s="275" t="s">
        <v>825</v>
      </c>
      <c r="B76" s="290" t="s">
        <v>1005</v>
      </c>
      <c r="C76" s="275" t="s">
        <v>974</v>
      </c>
      <c r="D76" s="291"/>
      <c r="E76" s="291">
        <v>3000</v>
      </c>
    </row>
    <row r="77" spans="1:6" ht="15" thickBot="1">
      <c r="A77" s="275" t="s">
        <v>823</v>
      </c>
      <c r="B77" s="290" t="s">
        <v>1007</v>
      </c>
      <c r="C77" s="275" t="s">
        <v>992</v>
      </c>
      <c r="D77" s="291"/>
      <c r="E77" s="291">
        <v>241796</v>
      </c>
    </row>
    <row r="78" spans="1:6" ht="15" thickBot="1">
      <c r="A78" s="308" t="s">
        <v>811</v>
      </c>
      <c r="B78" s="290" t="s">
        <v>1006</v>
      </c>
      <c r="C78" s="275" t="s">
        <v>992</v>
      </c>
      <c r="D78" s="291"/>
      <c r="E78" s="291">
        <v>5323</v>
      </c>
      <c r="F78" t="s">
        <v>954</v>
      </c>
    </row>
    <row r="79" spans="1:6" ht="15" thickBot="1">
      <c r="A79" s="308"/>
      <c r="B79" s="290"/>
      <c r="C79" s="275"/>
      <c r="D79" s="291"/>
      <c r="E79" s="291"/>
    </row>
    <row r="80" spans="1:6" ht="15" thickBot="1">
      <c r="A80" s="275"/>
      <c r="B80" s="330" t="s">
        <v>1028</v>
      </c>
      <c r="C80" s="275"/>
      <c r="D80" s="291"/>
      <c r="E80" s="291"/>
    </row>
    <row r="81" spans="1:7" ht="15" thickBot="1">
      <c r="A81" s="288">
        <v>11</v>
      </c>
      <c r="B81" s="330" t="s">
        <v>1008</v>
      </c>
      <c r="C81" s="275"/>
      <c r="D81" s="291"/>
      <c r="E81" s="291"/>
    </row>
    <row r="82" spans="1:7" ht="15" thickBot="1">
      <c r="A82" s="275" t="s">
        <v>884</v>
      </c>
      <c r="B82" s="309" t="s">
        <v>994</v>
      </c>
      <c r="C82" s="275" t="s">
        <v>974</v>
      </c>
      <c r="D82" s="310">
        <v>1600</v>
      </c>
      <c r="E82" s="291"/>
    </row>
    <row r="83" spans="1:7" ht="15" thickBot="1">
      <c r="A83" s="275" t="s">
        <v>754</v>
      </c>
      <c r="B83" s="275" t="s">
        <v>993</v>
      </c>
      <c r="C83" s="275" t="s">
        <v>974</v>
      </c>
      <c r="D83" s="291">
        <v>3822</v>
      </c>
      <c r="E83" s="291"/>
    </row>
    <row r="84" spans="1:7" ht="15" thickBot="1">
      <c r="A84" s="275" t="s">
        <v>999</v>
      </c>
      <c r="B84" s="275" t="s">
        <v>1000</v>
      </c>
      <c r="C84" s="275" t="s">
        <v>992</v>
      </c>
      <c r="D84" s="291">
        <v>60000</v>
      </c>
      <c r="E84" s="291"/>
    </row>
    <row r="85" spans="1:7" ht="15" thickBot="1">
      <c r="A85" s="275" t="s">
        <v>990</v>
      </c>
      <c r="B85" s="275" t="s">
        <v>991</v>
      </c>
      <c r="C85" s="275" t="s">
        <v>992</v>
      </c>
      <c r="D85" s="291">
        <v>33000</v>
      </c>
      <c r="E85" s="291"/>
    </row>
    <row r="86" spans="1:7" ht="15" thickBot="1">
      <c r="A86" s="275" t="s">
        <v>995</v>
      </c>
      <c r="B86" s="275" t="s">
        <v>996</v>
      </c>
      <c r="C86" s="275" t="s">
        <v>992</v>
      </c>
      <c r="D86" s="291">
        <v>39119</v>
      </c>
      <c r="E86" s="291"/>
    </row>
    <row r="87" spans="1:7" ht="15" thickBot="1">
      <c r="A87" s="275" t="s">
        <v>997</v>
      </c>
      <c r="B87" s="275" t="s">
        <v>998</v>
      </c>
      <c r="C87" s="275" t="s">
        <v>992</v>
      </c>
      <c r="D87" s="291">
        <v>70000</v>
      </c>
      <c r="E87" s="291"/>
    </row>
    <row r="88" spans="1:7" ht="15" thickBot="1">
      <c r="A88" s="275" t="s">
        <v>1001</v>
      </c>
      <c r="B88" s="275" t="s">
        <v>1002</v>
      </c>
      <c r="C88" s="275" t="s">
        <v>992</v>
      </c>
      <c r="D88" s="291">
        <v>50000</v>
      </c>
      <c r="E88" s="291"/>
    </row>
    <row r="89" spans="1:7" ht="15" thickBot="1">
      <c r="A89" s="275" t="s">
        <v>823</v>
      </c>
      <c r="B89" s="290" t="s">
        <v>1007</v>
      </c>
      <c r="C89" s="275" t="s">
        <v>992</v>
      </c>
      <c r="D89" s="291"/>
      <c r="E89" s="291">
        <v>243297</v>
      </c>
    </row>
    <row r="90" spans="1:7" ht="15" thickBot="1">
      <c r="A90" s="275" t="s">
        <v>830</v>
      </c>
      <c r="B90" s="290" t="s">
        <v>1003</v>
      </c>
      <c r="C90" s="275" t="s">
        <v>974</v>
      </c>
      <c r="D90" s="291"/>
      <c r="E90" s="291">
        <v>2002</v>
      </c>
    </row>
    <row r="91" spans="1:7" ht="15" thickBot="1">
      <c r="A91" s="275" t="s">
        <v>774</v>
      </c>
      <c r="B91" s="290" t="s">
        <v>335</v>
      </c>
      <c r="C91" s="275" t="s">
        <v>992</v>
      </c>
      <c r="D91" s="291"/>
      <c r="E91" s="291">
        <v>5000</v>
      </c>
    </row>
    <row r="92" spans="1:7" ht="15" thickBot="1">
      <c r="A92" s="275" t="s">
        <v>827</v>
      </c>
      <c r="B92" s="290" t="s">
        <v>1004</v>
      </c>
      <c r="C92" s="275" t="s">
        <v>974</v>
      </c>
      <c r="D92" s="291"/>
      <c r="E92" s="291">
        <v>1920</v>
      </c>
    </row>
    <row r="93" spans="1:7" ht="15" thickBot="1">
      <c r="A93" s="275" t="s">
        <v>825</v>
      </c>
      <c r="B93" s="290" t="s">
        <v>1005</v>
      </c>
      <c r="C93" s="275" t="s">
        <v>974</v>
      </c>
      <c r="D93" s="291"/>
      <c r="E93" s="291">
        <v>1500</v>
      </c>
    </row>
    <row r="94" spans="1:7" ht="15" thickBot="1">
      <c r="A94" s="275" t="s">
        <v>811</v>
      </c>
      <c r="B94" s="290" t="s">
        <v>1006</v>
      </c>
      <c r="C94" s="275" t="s">
        <v>992</v>
      </c>
      <c r="D94" s="291"/>
      <c r="E94" s="291">
        <v>3822</v>
      </c>
      <c r="F94" t="s">
        <v>954</v>
      </c>
    </row>
    <row r="95" spans="1:7" ht="15" thickBot="1">
      <c r="A95" s="275"/>
      <c r="B95" s="366"/>
      <c r="C95" s="301"/>
      <c r="E95" s="275"/>
    </row>
    <row r="96" spans="1:7" ht="15" thickBot="1">
      <c r="A96" s="356" t="s">
        <v>919</v>
      </c>
      <c r="B96" s="355" t="s">
        <v>674</v>
      </c>
      <c r="C96" s="355" t="s">
        <v>1017</v>
      </c>
      <c r="D96" s="361">
        <v>235500</v>
      </c>
      <c r="E96" s="362"/>
      <c r="F96" t="s">
        <v>1038</v>
      </c>
      <c r="G96" t="s">
        <v>1037</v>
      </c>
    </row>
    <row r="97" spans="1:11" ht="15" thickBot="1">
      <c r="A97" s="356" t="s">
        <v>763</v>
      </c>
      <c r="B97" s="355" t="s">
        <v>145</v>
      </c>
      <c r="C97" s="355" t="s">
        <v>1017</v>
      </c>
      <c r="D97" s="362"/>
      <c r="E97" s="363">
        <v>235500</v>
      </c>
    </row>
    <row r="98" spans="1:11" ht="15" thickBot="1">
      <c r="B98" s="275"/>
      <c r="C98" s="275"/>
      <c r="D98" s="362"/>
      <c r="E98" s="362"/>
    </row>
    <row r="99" spans="1:11" ht="15" thickBot="1">
      <c r="A99" s="357" t="s">
        <v>820</v>
      </c>
      <c r="B99" s="358" t="s">
        <v>1031</v>
      </c>
      <c r="C99" s="357" t="s">
        <v>974</v>
      </c>
      <c r="D99" s="364">
        <v>1520042</v>
      </c>
      <c r="E99" s="364"/>
      <c r="F99" t="s">
        <v>1035</v>
      </c>
    </row>
    <row r="100" spans="1:11" ht="15" thickBot="1">
      <c r="A100" s="357" t="s">
        <v>820</v>
      </c>
      <c r="B100" s="358" t="s">
        <v>1031</v>
      </c>
      <c r="C100" s="357" t="s">
        <v>974</v>
      </c>
      <c r="D100" s="364">
        <v>1219082</v>
      </c>
      <c r="E100" s="364"/>
      <c r="F100" t="s">
        <v>1035</v>
      </c>
    </row>
    <row r="101" spans="1:11" ht="15" thickBot="1">
      <c r="A101" s="360" t="s">
        <v>760</v>
      </c>
      <c r="B101" s="359" t="s">
        <v>1032</v>
      </c>
      <c r="C101" s="357" t="s">
        <v>974</v>
      </c>
      <c r="D101" s="364"/>
      <c r="E101" s="364">
        <f>+D99+D100</f>
        <v>2739124</v>
      </c>
      <c r="F101" t="s">
        <v>1036</v>
      </c>
    </row>
    <row r="102" spans="1:11" ht="15" thickBot="1">
      <c r="A102" s="360"/>
      <c r="B102" s="359"/>
      <c r="C102" s="357"/>
      <c r="D102" s="364"/>
      <c r="E102" s="364"/>
    </row>
    <row r="103" spans="1:11" ht="15" thickBot="1">
      <c r="A103" s="360" t="s">
        <v>708</v>
      </c>
      <c r="B103" s="359" t="s">
        <v>1034</v>
      </c>
      <c r="C103" s="357" t="s">
        <v>1022</v>
      </c>
      <c r="D103" s="364">
        <v>2739124</v>
      </c>
      <c r="E103" s="364"/>
      <c r="F103" t="s">
        <v>1036</v>
      </c>
    </row>
    <row r="104" spans="1:11" ht="15" thickBot="1">
      <c r="A104" s="360" t="s">
        <v>704</v>
      </c>
      <c r="B104" s="359" t="s">
        <v>1033</v>
      </c>
      <c r="C104" s="357" t="s">
        <v>1022</v>
      </c>
      <c r="D104" s="364"/>
      <c r="E104" s="364">
        <f>+D100+D99</f>
        <v>2739124</v>
      </c>
      <c r="F104" t="s">
        <v>1035</v>
      </c>
      <c r="H104" s="290" t="s">
        <v>704</v>
      </c>
      <c r="J104">
        <v>4132189</v>
      </c>
      <c r="K104" s="2">
        <f>J104-E104</f>
        <v>1393065</v>
      </c>
    </row>
    <row r="108" spans="1:11">
      <c r="F108" t="s">
        <v>1039</v>
      </c>
      <c r="G108" t="s">
        <v>1040</v>
      </c>
    </row>
    <row r="109" spans="1:11">
      <c r="F109" t="s">
        <v>1041</v>
      </c>
      <c r="G109" t="s">
        <v>974</v>
      </c>
    </row>
  </sheetData>
  <pageMargins left="0.7" right="0.7" top="0.75" bottom="0.75" header="0.3" footer="0.3"/>
  <pageSetup orientation="portrait" horizontalDpi="4294967295" verticalDpi="4294967295"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V25:Z25"/>
  <sheetViews>
    <sheetView topLeftCell="A5" workbookViewId="0">
      <selection activeCell="A27" sqref="A27"/>
    </sheetView>
  </sheetViews>
  <sheetFormatPr defaultRowHeight="14.5"/>
  <sheetData>
    <row r="25" spans="22:26">
      <c r="V25">
        <f>SUM(Adjustments!D37:D46)</f>
        <v>0</v>
      </c>
      <c r="W25">
        <f>SUM(Adjustments!E37:E46)</f>
        <v>138500</v>
      </c>
      <c r="Z25">
        <f>SUM(Adjustments!E37:E46)</f>
        <v>138500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Con BS</vt:lpstr>
      <vt:lpstr>Con I EX</vt:lpstr>
      <vt:lpstr>SOCE</vt:lpstr>
      <vt:lpstr>CFS</vt:lpstr>
      <vt:lpstr>Con 1-3 (New)</vt:lpstr>
      <vt:lpstr>PPE-Note-4</vt:lpstr>
      <vt:lpstr>Con 5-18</vt:lpstr>
      <vt:lpstr>Note 16</vt:lpstr>
      <vt:lpstr>Sheet9</vt:lpstr>
      <vt:lpstr>Pivot 2025</vt:lpstr>
      <vt:lpstr>Trial Balance June 2025</vt:lpstr>
      <vt:lpstr>Sheet5</vt:lpstr>
      <vt:lpstr>Sheet7</vt:lpstr>
      <vt:lpstr>Detail1</vt:lpstr>
      <vt:lpstr>Pivot 2026</vt:lpstr>
      <vt:lpstr>Trial Balance June-2026</vt:lpstr>
      <vt:lpstr>Tax Working 2025</vt:lpstr>
      <vt:lpstr>Adjustments 2025</vt:lpstr>
      <vt:lpstr>Pivot</vt:lpstr>
      <vt:lpstr>TB (Grouping)</vt:lpstr>
      <vt:lpstr>Adjustments</vt:lpstr>
      <vt:lpstr>Sheet1</vt:lpstr>
      <vt:lpstr>CFS!Print_Area</vt:lpstr>
      <vt:lpstr>'Con 1-3 (New)'!Print_Area</vt:lpstr>
      <vt:lpstr>'Con 5-18'!Print_Area</vt:lpstr>
      <vt:lpstr>'Con BS'!Print_Area</vt:lpstr>
      <vt:lpstr>'Con I EX'!Print_Area</vt:lpstr>
      <vt:lpstr>'PPE-Note-4'!Print_Area</vt:lpstr>
      <vt:lpstr>SOCE!Print_Area</vt:lpstr>
      <vt:lpstr>'Trial Balance June 2025'!Print_Area</vt:lpstr>
      <vt:lpstr>'Trial Balance June 2025'!Print_Titles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Younus</cp:lastModifiedBy>
  <cp:lastPrinted>2025-10-04T08:38:12Z</cp:lastPrinted>
  <dcterms:created xsi:type="dcterms:W3CDTF">2020-10-26T08:44:33Z</dcterms:created>
  <dcterms:modified xsi:type="dcterms:W3CDTF">2026-07-20T12:23:55Z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2026-07-20T09:39:08Z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b7fd3918-d445-4928-899f-9a0b9515a4f3</vt:lpwstr>
  </property>
  <property fmtid="{D5CDD505-2E9C-101B-9397-08002B2CF9AE}" pid="7" name="MSIP_Label_defa4170-0d19-0005-0004-bc88714345d2_ActionId">
    <vt:lpwstr>64c4b6e0-6d7f-4e75-a2d4-53690a8e4232</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